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<sst xmlns="http://schemas.openxmlformats.org/spreadsheetml/2006/main" count="245" uniqueCount="231">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</sst>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02/10</c:v>
                </c:pt>
                <c:pt idx="1">
                  <c:v>Sat 03/10</c:v>
                </c:pt>
                <c:pt idx="2">
                  <c:v>Sun 04/10</c:v>
                </c:pt>
                <c:pt idx="3">
                  <c:v>Mon 05/10</c:v>
                </c:pt>
                <c:pt idx="4">
                  <c:v>Tue 06/10</c:v>
                </c:pt>
                <c:pt idx="5">
                  <c:v>Wed 07/10</c:v>
                </c:pt>
                <c:pt idx="6">
                  <c:v>Thu 08/10</c:v>
                </c:pt>
                <c:pt idx="7">
                  <c:v>Fri 09/10</c:v>
                </c:pt>
                <c:pt idx="8">
                  <c:v>Sat 10/10</c:v>
                </c:pt>
                <c:pt idx="9">
                  <c:v>Sun 11/10</c:v>
                </c:pt>
                <c:pt idx="10">
                  <c:v>Mon 12/10</c:v>
                </c:pt>
                <c:pt idx="11">
                  <c:v>Tue 13/10</c:v>
                </c:pt>
                <c:pt idx="12">
                  <c:v>Wed 14/10</c:v>
                </c:pt>
                <c:pt idx="13">
                  <c:v>Thu 15/10</c:v>
                </c:pt>
              </c:strCache>
            </c:strRef>
          </c:cat>
          <c:val>
            <c:numRef>
              <c:f>Dashboard!$F$29:$F$42</c:f>
              <c:numCache>
                <c:formatCode>#,##0.00" €";[RED]\-#,##0.00" €";\-</c:formatCode>
                <c:ptCount val="14"/>
                <c:pt idx="0">
                  <c:v>0</c:v>
                </c:pt>
                <c:pt idx="1">
                  <c:v>0</c:v>
                </c:pt>
                <c:pt idx="2">
                  <c:v>0</c:v>
                </c:pt>
                <c:pt idx="3">
                  <c:v>69.356477551932</c:v>
                </c:pt>
                <c:pt idx="4">
                  <c:v>14.6518851909761</c:v>
                </c:pt>
                <c:pt idx="5">
                  <c:v>44.9424257315166</c:v>
                </c:pt>
                <c:pt idx="6">
                  <c:v>121.456059861514</c:v>
                </c:pt>
                <c:pt idx="7">
                  <c:v>46.2723698905517</c:v>
                </c:pt>
                <c:pt idx="8">
                  <c:v>69.3591467500559</c:v>
                </c:pt>
                <c:pt idx="9">
                  <c:v>-18.6963077953987</c:v>
                </c:pt>
                <c:pt idx="10">
                  <c:v>103.415090462363</c:v>
                </c:pt>
                <c:pt idx="11">
                  <c:v>51.1591824882734</c:v>
                </c:pt>
                <c:pt idx="12">
                  <c:v>23.4605896805897</c:v>
                </c:pt>
                <c:pt idx="13">
                  <c:v>0</c:v>
                </c:pt>
              </c:numCache>
            </c:numRef>
          </c:val>
        </c:ser>
        <c:gapWidth val="150"/>
        <c:overlap val="0"/>
        <c:axId val="21505844"/>
        <c:axId val="21662608"/>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02/10</c:v>
                </c:pt>
                <c:pt idx="1">
                  <c:v>Sat 03/10</c:v>
                </c:pt>
                <c:pt idx="2">
                  <c:v>Sun 04/10</c:v>
                </c:pt>
                <c:pt idx="3">
                  <c:v>Mon 05/10</c:v>
                </c:pt>
                <c:pt idx="4">
                  <c:v>Tue 06/10</c:v>
                </c:pt>
                <c:pt idx="5">
                  <c:v>Wed 07/10</c:v>
                </c:pt>
                <c:pt idx="6">
                  <c:v>Thu 08/10</c:v>
                </c:pt>
                <c:pt idx="7">
                  <c:v>Fri 09/10</c:v>
                </c:pt>
                <c:pt idx="8">
                  <c:v>Sat 10/10</c:v>
                </c:pt>
                <c:pt idx="9">
                  <c:v>Sun 11/10</c:v>
                </c:pt>
                <c:pt idx="10">
                  <c:v>Mon 12/10</c:v>
                </c:pt>
                <c:pt idx="11">
                  <c:v>Tue 13/10</c:v>
                </c:pt>
                <c:pt idx="12">
                  <c:v>Wed 14/10</c:v>
                </c:pt>
                <c:pt idx="13">
                  <c:v>Thu 15/10</c:v>
                </c:pt>
              </c:strCache>
            </c:strRef>
          </c:cat>
          <c:val>
            <c:numRef>
              <c:f>Dashboard!$D$29:$D$42</c:f>
              <c:numCache>
                <c:formatCode>#,##0.00" €";[RED]\-#,##0.00" €";\-</c:formatCode>
                <c:ptCount val="14"/>
                <c:pt idx="0">
                  <c:v>0</c:v>
                </c:pt>
                <c:pt idx="1">
                  <c:v>0</c:v>
                </c:pt>
                <c:pt idx="2">
                  <c:v>0</c:v>
                </c:pt>
                <c:pt idx="3">
                  <c:v>67.67</c:v>
                </c:pt>
                <c:pt idx="4">
                  <c:v>70.18</c:v>
                </c:pt>
                <c:pt idx="5">
                  <c:v>47.78</c:v>
                </c:pt>
                <c:pt idx="6">
                  <c:v>50.46</c:v>
                </c:pt>
                <c:pt idx="7">
                  <c:v>41.21</c:v>
                </c:pt>
                <c:pt idx="8">
                  <c:v>64.81</c:v>
                </c:pt>
                <c:pt idx="9">
                  <c:v>89.51</c:v>
                </c:pt>
                <c:pt idx="10">
                  <c:v>78.33</c:v>
                </c:pt>
                <c:pt idx="11">
                  <c:v>68.05</c:v>
                </c:pt>
                <c:pt idx="12">
                  <c:v>73.18</c:v>
                </c:pt>
                <c:pt idx="13">
                  <c:v>0</c:v>
                </c:pt>
              </c:numCache>
            </c:numRef>
          </c:val>
          <c:smooth val="0"/>
        </c:ser>
        <c:hiLowLines>
          <c:spPr>
            <a:ln w="0">
              <a:noFill/>
            </a:ln>
          </c:spPr>
        </c:hiLowLines>
        <c:marker val="0"/>
        <c:axId val="21505844"/>
        <c:axId val="21662608"/>
      </c:lineChart>
      <c:catAx>
        <c:axId val="21505844"/>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62608"/>
        <c:crosses val="autoZero"/>
        <c:auto val="1"/>
        <c:lblAlgn val="ctr"/>
        <c:lblOffset val="100"/>
        <c:noMultiLvlLbl val="0"/>
      </c:catAx>
      <c:valAx>
        <c:axId val="21662608"/>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50584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525.376919812374</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40202871"/>
        <c:axId val="23891191"/>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40202871"/>
        <c:axId val="23891191"/>
      </c:lineChart>
      <c:catAx>
        <c:axId val="4020287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91191"/>
        <c:crosses val="autoZero"/>
        <c:auto val="1"/>
        <c:lblAlgn val="ctr"/>
        <c:lblOffset val="100"/>
        <c:noMultiLvlLbl val="0"/>
      </c:catAx>
      <c:valAx>
        <c:axId val="23891191"/>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20287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46310</v>
      </c>
      <c r="G3" s="4"/>
      <c r="H3" s="3" t="s">
        <v>4</v>
      </c>
      <c r="I3" s="5" t="n">
        <f aca="false">MAX(1,$F$3-$C$3+1)</f>
        <v>15</v>
      </c>
      <c r="J3" s="6" t="s">
        <v>5</v>
      </c>
      <c r="K3" s="6"/>
      <c r="L3" s="7" t="n">
        <f aca="false">TASA_USADA</f>
        <v>0.864864864864865</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525.376919812374</v>
      </c>
      <c r="C7" s="10"/>
      <c r="D7" s="10" t="n">
        <f aca="false">SUMIFS(Diario!$W$6:$W$370,Diario!$A$6:$A$370,"&gt;="&amp;$C$3,Diario!$A$6:$A$370,"&lt;="&amp;$F$3)</f>
        <v>757.8287</v>
      </c>
      <c r="E7" s="10"/>
      <c r="F7" s="10" t="n">
        <f aca="false">SUMIFS(Diario!$X$6:$X$370,Diario!$A$6:$A$370,"&gt;="&amp;$C$3,Diario!$A$6:$A$370,"&lt;="&amp;$F$3)+F24</f>
        <v>-192.099090909091</v>
      </c>
      <c r="G7" s="10"/>
      <c r="H7" s="11" t="n">
        <f aca="false">SUMIFS(Diario!$P$6:$P$370,Diario!$A$6:$A$370,"&gt;="&amp;$C$3,Diario!$A$6:$A$370,"&lt;="&amp;$F$3)</f>
        <v>90</v>
      </c>
      <c r="I7" s="11"/>
      <c r="J7" s="10" t="n">
        <f aca="false">SUMIFS(Diario!$R$6:$R$370,Diario!$A$6:$A$370,"&gt;="&amp;$C$3,Diario!$A$6:$A$370,"&lt;="&amp;$F$3)</f>
        <v>3049.1</v>
      </c>
      <c r="K7" s="10"/>
      <c r="L7" s="10" t="n">
        <f aca="false">SUMIFS(Diario!$N$6:$N$370,Diario!$A$6:$A$370,"&gt;="&amp;$C$3,Diario!$A$6:$A$370,"&lt;="&amp;$F$3)</f>
        <v>651.18</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7.23533333333333</v>
      </c>
      <c r="C10" s="10"/>
      <c r="D10" s="10" t="n">
        <f aca="false">CPA_BE</f>
        <v>13.227012565312</v>
      </c>
      <c r="E10" s="10"/>
      <c r="F10" s="12" t="n">
        <f aca="false">IF(L7&gt;0,J7/L7,"")</f>
        <v>4.6824226788292</v>
      </c>
      <c r="G10" s="12"/>
      <c r="H10" s="12" t="n">
        <f aca="false">ROAS_BE</f>
        <v>2.5613409469147</v>
      </c>
      <c r="I10" s="12"/>
      <c r="J10" s="10" t="n">
        <f aca="false">IF(H7&gt;0,J7/H7,"")</f>
        <v>33.8788888888889</v>
      </c>
      <c r="K10" s="10"/>
      <c r="L10" s="13" t="n">
        <f aca="false">IF(H7&gt;0,(SUMIFS(Diario!$C$6:$C$370,Diario!$A$6:$A$370,"&gt;="&amp;$C$3,Diario!$A$6:$A$370,"&lt;="&amp;$F$3)+SUMIFS(Diario!$D$6:$D$370,Diario!$A$6:$A$370,"&gt;="&amp;$C$3,Diario!$A$6:$A$370,"&lt;="&amp;$F$3))/H7,"")</f>
        <v>0.333333333333333</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32</v>
      </c>
      <c r="C13" s="11"/>
      <c r="D13" s="11" t="n">
        <f aca="false">SUMIFS(Diario!$Q$6:$Q$370,Diario!$A$6:$A$370,"&gt;="&amp;$C$3,Diario!$A$6:$A$370,"&lt;="&amp;$F$3)</f>
        <v>53</v>
      </c>
      <c r="E13" s="11"/>
      <c r="F13" s="11" t="n">
        <f aca="false">SUMIFS(Diario!$K$6:$K$370,Diario!$A$6:$A$370,"&gt;="&amp;$C$3,Diario!$A$6:$A$370,"&lt;="&amp;$F$3)</f>
        <v>34</v>
      </c>
      <c r="G13" s="11"/>
      <c r="H13" s="11" t="n">
        <f aca="false">SUMIFS(Diario!$H$6:$H$370,Diario!$A$6:$A$370,"&gt;="&amp;$C$3,Diario!$A$6:$A$370,"&lt;="&amp;$F$3)+SUMIFS(Diario!$I$6:$I$370,Diario!$A$6:$A$370,"&gt;="&amp;$C$3,Diario!$A$6:$A$370,"&lt;="&amp;$F$3)+SUMIFS(Diario!$J$6:$J$370,Diario!$A$6:$A$370,"&gt;="&amp;$C$3,Diario!$A$6:$A$370,"&lt;="&amp;$F$3)</f>
        <v>5</v>
      </c>
      <c r="I13" s="11"/>
      <c r="J13" s="13" t="n">
        <f aca="false">IF(B13+H13&gt;0,B13/(B13+H13),"")</f>
        <v>0.864864864864865</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2614.08648648649</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-0.0974649663155544</v>
      </c>
      <c r="F17" s="17" t="n">
        <f aca="false">-SUMIFS(Diario!$AI$6:$AI$370,Diario!$A$6:$A$370,"&gt;="&amp;$C$3,Diario!$A$6:$A$370,"&lt;="&amp;$F$3)</f>
        <v>-254.781851351351</v>
      </c>
      <c r="H17" s="15" t="s">
        <v>31</v>
      </c>
      <c r="I17" s="15"/>
      <c r="J17" s="15"/>
      <c r="K17" s="15"/>
      <c r="L17" s="20" t="n">
        <f aca="false">F25/I3</f>
        <v>35.0251279874916</v>
      </c>
      <c r="M17" s="20"/>
    </row>
    <row r="18" customFormat="false" ht="15" hidden="false" customHeight="false" outlineLevel="0" collapsed="false">
      <c r="B18" s="15" t="s">
        <v>32</v>
      </c>
      <c r="C18" s="15"/>
      <c r="D18" s="15"/>
      <c r="E18" s="19" t="n">
        <f aca="false">IF($F$16&gt;0,F18/$F$16,"")</f>
        <v>-0.225606382054813</v>
      </c>
      <c r="F18" s="17" t="n">
        <f aca="false">-SUMIFS(Diario!$AJ$6:$AJ$370,Diario!$A$6:$A$370,"&gt;="&amp;$C$3,Diario!$A$6:$A$370,"&lt;="&amp;$F$3)</f>
        <v>-589.754594594595</v>
      </c>
      <c r="H18" s="15" t="s">
        <v>33</v>
      </c>
      <c r="I18" s="15"/>
      <c r="J18" s="15"/>
      <c r="K18" s="15"/>
      <c r="L18" s="18" t="n">
        <f aca="false">L17*30</f>
        <v>1050.75383962475</v>
      </c>
      <c r="M18" s="18"/>
    </row>
    <row r="19" customFormat="false" ht="15" hidden="false" customHeight="false" outlineLevel="0" collapsed="false">
      <c r="B19" s="15" t="s">
        <v>34</v>
      </c>
      <c r="C19" s="15"/>
      <c r="D19" s="15"/>
      <c r="E19" s="19" t="n">
        <f aca="false">IF($F$16&gt;0,F19/$F$16,"")</f>
        <v>-0.0374995347452265</v>
      </c>
      <c r="F19" s="17" t="n">
        <f aca="false">-SUMIFS(Diario!$AK$6:$AK$370,Diario!$A$6:$A$370,"&gt;="&amp;$C$3,Diario!$A$6:$A$370,"&lt;="&amp;$F$3)</f>
        <v>-98.027027027027</v>
      </c>
      <c r="H19" s="21" t="s">
        <v>35</v>
      </c>
      <c r="I19" s="21"/>
      <c r="J19" s="21"/>
      <c r="K19" s="21"/>
      <c r="L19" s="22" t="n">
        <f aca="false">IF(L16&gt;0,L18/L16,"")</f>
        <v>0.105075383962475</v>
      </c>
      <c r="M19" s="22"/>
    </row>
    <row r="20" customFormat="false" ht="15" hidden="false" customHeight="false" outlineLevel="0" collapsed="false">
      <c r="B20" s="15" t="s">
        <v>36</v>
      </c>
      <c r="C20" s="15"/>
      <c r="D20" s="15"/>
      <c r="E20" s="19" t="n">
        <f aca="false">IF($F$16&gt;0,F20/$F$16,"")</f>
        <v>-0.0327074105780325</v>
      </c>
      <c r="F20" s="17" t="n">
        <f aca="false">-SUMIFS(Diario!$AO$6:$AO$370,Diario!$A$6:$A$370,"&gt;="&amp;$C$3,Diario!$A$6:$A$370,"&lt;="&amp;$F$3)</f>
        <v>-85.5</v>
      </c>
      <c r="H20" s="15" t="s">
        <v>37</v>
      </c>
      <c r="I20" s="15"/>
      <c r="J20" s="15"/>
      <c r="K20" s="15"/>
      <c r="L20" s="20" t="n">
        <f aca="false">BEN_PEDIDO</f>
        <v>13.227012565312</v>
      </c>
      <c r="M20" s="20"/>
    </row>
    <row r="21" customFormat="false" ht="15" hidden="false" customHeight="false" outlineLevel="0" collapsed="false">
      <c r="B21" s="15" t="s">
        <v>38</v>
      </c>
      <c r="C21" s="15"/>
      <c r="D21" s="15"/>
      <c r="E21" s="19" t="n">
        <f aca="false">IF($F$16&gt;0,F21/$F$16,"")</f>
        <v>-0.156638311631185</v>
      </c>
      <c r="F21" s="17" t="n">
        <f aca="false">-SUMIFS(Diario!$AL$6:$AL$370,Diario!$A$6:$A$370,"&gt;="&amp;$C$3,Diario!$A$6:$A$370,"&lt;="&amp;$F$3)</f>
        <v>-409.466093701139</v>
      </c>
      <c r="H21" s="15" t="s">
        <v>39</v>
      </c>
      <c r="I21" s="15"/>
      <c r="J21" s="15"/>
      <c r="K21" s="15"/>
      <c r="L21" s="20" t="n">
        <f aca="false">B10</f>
        <v>7.23533333333333</v>
      </c>
      <c r="M21" s="20"/>
    </row>
    <row r="22" customFormat="false" ht="15" hidden="false" customHeight="false" outlineLevel="0" collapsed="false">
      <c r="B22" s="15" t="s">
        <v>40</v>
      </c>
      <c r="C22" s="15"/>
      <c r="D22" s="15"/>
      <c r="E22" s="19" t="n">
        <f aca="false">IF($F$16&gt;0,F22/$F$16,"")</f>
        <v>-0.249104229476061</v>
      </c>
      <c r="F22" s="17" t="n">
        <f aca="false">-SUMIFS(Diario!$AM$6:$AM$370,Diario!$A$6:$A$370,"&gt;="&amp;$C$3,Diario!$A$6:$A$370,"&lt;="&amp;$F$3)</f>
        <v>-651.18</v>
      </c>
      <c r="H22" s="15" t="s">
        <v>41</v>
      </c>
      <c r="I22" s="15"/>
      <c r="J22" s="15"/>
      <c r="K22" s="15"/>
      <c r="L22" s="20" t="n">
        <f aca="false">IF(ISNUMBER(L21),L20-L21*(1+RECARGO_ADS),"")</f>
        <v>5.9916792319787</v>
      </c>
      <c r="M22" s="20"/>
    </row>
    <row r="23" customFormat="false" ht="15" hidden="false" customHeight="false" outlineLevel="0" collapsed="false">
      <c r="B23" s="23" t="s">
        <v>42</v>
      </c>
      <c r="C23" s="23"/>
      <c r="D23" s="23"/>
      <c r="E23" s="24" t="n">
        <f aca="false">IF($F$16&gt;0,F23/$F$16,"")</f>
        <v>0.200979165199128</v>
      </c>
      <c r="F23" s="25" t="n">
        <f aca="false">SUM(F16:F22)</f>
        <v>525.376919812374</v>
      </c>
      <c r="H23" s="21" t="s">
        <v>43</v>
      </c>
      <c r="I23" s="21"/>
      <c r="J23" s="21"/>
      <c r="K23" s="21"/>
      <c r="L23" s="26" t="n">
        <f aca="false">IF(NOT(ISNUMBER(L22)),"",IF(L22&lt;=0,"Baja el CPA",ROUNDUP((L16-F24/I3*30)/30/L22,0)))</f>
        <v>56</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405.178666666667</v>
      </c>
      <c r="M24" s="18"/>
    </row>
    <row r="25" customFormat="false" ht="15" hidden="false" customHeight="false" outlineLevel="0" collapsed="false">
      <c r="B25" s="23" t="s">
        <v>46</v>
      </c>
      <c r="C25" s="23"/>
      <c r="D25" s="23"/>
      <c r="E25" s="24" t="n">
        <f aca="false">IF($F$16&gt;0,F25/$F$16,"")</f>
        <v>0.200979165199128</v>
      </c>
      <c r="F25" s="25" t="n">
        <f aca="false">F23+F24</f>
        <v>525.376919812374</v>
      </c>
    </row>
    <row r="26" customFormat="false" ht="15" hidden="false" customHeight="false" outlineLevel="0" collapsed="false">
      <c r="B26" s="27" t="s">
        <v>47</v>
      </c>
      <c r="C26" s="27"/>
      <c r="D26" s="27"/>
      <c r="F26" s="28" t="n">
        <f aca="false">IF(F16&gt;0,F25/F16,"")</f>
        <v>0.200979165199128</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46297</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46298</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46299</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46300</v>
      </c>
      <c r="C32" s="31" t="n">
        <f aca="false">SUMIFS(Diario!$P$6:$P$370,Diario!$A$6:$A$370,$B32)</f>
        <v>9</v>
      </c>
      <c r="D32" s="32" t="n">
        <f aca="false">SUMIFS(Diario!$N$6:$N$370,Diario!$A$6:$A$370,$B32)</f>
        <v>67.67</v>
      </c>
      <c r="E32" s="32" t="n">
        <f aca="false">IF(C32&gt;0,D32/C32,"")</f>
        <v>7.51888888888889</v>
      </c>
      <c r="F32" s="33" t="n">
        <f aca="false">SUMIFS(Diario!$Y$6:$Y$370,Diario!$A$6:$A$370,$B32)</f>
        <v>69.356477551932</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1</v>
      </c>
    </row>
    <row r="33" customFormat="false" ht="15" hidden="false" customHeight="false" outlineLevel="0" collapsed="false">
      <c r="B33" s="30" t="n">
        <f aca="false">$F$3-9</f>
        <v>46301</v>
      </c>
      <c r="C33" s="31" t="n">
        <f aca="false">SUMIFS(Diario!$P$6:$P$370,Diario!$A$6:$A$370,$B33)</f>
        <v>8</v>
      </c>
      <c r="D33" s="32" t="n">
        <f aca="false">SUMIFS(Diario!$N$6:$N$370,Diario!$A$6:$A$370,$B33)</f>
        <v>70.18</v>
      </c>
      <c r="E33" s="32" t="n">
        <f aca="false">IF(C33&gt;0,D33/C33,"")</f>
        <v>8.7725</v>
      </c>
      <c r="F33" s="33" t="n">
        <f aca="false">SUMIFS(Diario!$Y$6:$Y$370,Diario!$A$6:$A$370,$B33)</f>
        <v>14.6518851909761</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0.75</v>
      </c>
    </row>
    <row r="34" customFormat="false" ht="15" hidden="false" customHeight="false" outlineLevel="0" collapsed="false">
      <c r="B34" s="30" t="n">
        <f aca="false">$F$3-8</f>
        <v>46302</v>
      </c>
      <c r="C34" s="31" t="n">
        <f aca="false">SUMIFS(Diario!$P$6:$P$370,Diario!$A$6:$A$370,$B34)</f>
        <v>7</v>
      </c>
      <c r="D34" s="32" t="n">
        <f aca="false">SUMIFS(Diario!$N$6:$N$370,Diario!$A$6:$A$370,$B34)</f>
        <v>47.78</v>
      </c>
      <c r="E34" s="32" t="n">
        <f aca="false">IF(C34&gt;0,D34/C34,"")</f>
        <v>6.82571428571429</v>
      </c>
      <c r="F34" s="33" t="n">
        <f aca="false">SUMIFS(Diario!$Y$6:$Y$370,Diario!$A$6:$A$370,$B34)</f>
        <v>44.9424257315166</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1</v>
      </c>
    </row>
    <row r="35" customFormat="false" ht="15" hidden="false" customHeight="false" outlineLevel="0" collapsed="false">
      <c r="B35" s="30" t="n">
        <f aca="false">$F$3-7</f>
        <v>46303</v>
      </c>
      <c r="C35" s="31" t="n">
        <f aca="false">SUMIFS(Diario!$P$6:$P$370,Diario!$A$6:$A$370,$B35)</f>
        <v>16</v>
      </c>
      <c r="D35" s="32" t="n">
        <f aca="false">SUMIFS(Diario!$N$6:$N$370,Diario!$A$6:$A$370,$B35)</f>
        <v>50.46</v>
      </c>
      <c r="E35" s="32" t="n">
        <f aca="false">IF(C35&gt;0,D35/C35,"")</f>
        <v>3.15375</v>
      </c>
      <c r="F35" s="33" t="n">
        <f aca="false">SUMIFS(Diario!$Y$6:$Y$370,Diario!$A$6:$A$370,$B35)</f>
        <v>121.456059861514</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0.7</v>
      </c>
    </row>
    <row r="36" customFormat="false" ht="15" hidden="false" customHeight="false" outlineLevel="0" collapsed="false">
      <c r="B36" s="30" t="n">
        <f aca="false">$F$3-6</f>
        <v>46304</v>
      </c>
      <c r="C36" s="31" t="n">
        <f aca="false">SUMIFS(Diario!$P$6:$P$370,Diario!$A$6:$A$370,$B36)</f>
        <v>5</v>
      </c>
      <c r="D36" s="32" t="n">
        <f aca="false">SUMIFS(Diario!$N$6:$N$370,Diario!$A$6:$A$370,$B36)</f>
        <v>41.21</v>
      </c>
      <c r="E36" s="32" t="n">
        <f aca="false">IF(C36&gt;0,D36/C36,"")</f>
        <v>8.242</v>
      </c>
      <c r="F36" s="33" t="n">
        <f aca="false">SUMIFS(Diario!$Y$6:$Y$370,Diario!$A$6:$A$370,$B36)</f>
        <v>46.2723698905517</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1</v>
      </c>
    </row>
    <row r="37" customFormat="false" ht="15" hidden="false" customHeight="false" outlineLevel="0" collapsed="false">
      <c r="B37" s="30" t="n">
        <f aca="false">$F$3-5</f>
        <v>46305</v>
      </c>
      <c r="C37" s="31" t="n">
        <f aca="false">SUMIFS(Diario!$P$6:$P$370,Diario!$A$6:$A$370,$B37)</f>
        <v>9</v>
      </c>
      <c r="D37" s="32" t="n">
        <f aca="false">SUMIFS(Diario!$N$6:$N$370,Diario!$A$6:$A$370,$B37)</f>
        <v>64.81</v>
      </c>
      <c r="E37" s="32" t="n">
        <f aca="false">IF(C37&gt;0,D37/C37,"")</f>
        <v>7.20111111111111</v>
      </c>
      <c r="F37" s="33" t="n">
        <f aca="false">SUMIFS(Diario!$Y$6:$Y$370,Diario!$A$6:$A$370,$B37)</f>
        <v>69.3591467500559</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46306</v>
      </c>
      <c r="C38" s="31" t="n">
        <f aca="false">SUMIFS(Diario!$P$6:$P$370,Diario!$A$6:$A$370,$B38)</f>
        <v>6</v>
      </c>
      <c r="D38" s="32" t="n">
        <f aca="false">SUMIFS(Diario!$N$6:$N$370,Diario!$A$6:$A$370,$B38)</f>
        <v>89.51</v>
      </c>
      <c r="E38" s="32" t="n">
        <f aca="false">IF(C38&gt;0,D38/C38,"")</f>
        <v>14.9183333333333</v>
      </c>
      <c r="F38" s="33" t="n">
        <f aca="false">SUMIFS(Diario!$Y$6:$Y$370,Diario!$A$6:$A$370,$B38)</f>
        <v>-18.6963077953987</v>
      </c>
      <c r="G38" s="34" t="str">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
      </c>
    </row>
    <row r="39" customFormat="false" ht="15" hidden="false" customHeight="false" outlineLevel="0" collapsed="false">
      <c r="B39" s="30" t="n">
        <f aca="false">$F$3-3</f>
        <v>46307</v>
      </c>
      <c r="C39" s="31" t="n">
        <f aca="false">SUMIFS(Diario!$P$6:$P$370,Diario!$A$6:$A$370,$B39)</f>
        <v>14</v>
      </c>
      <c r="D39" s="32" t="n">
        <f aca="false">SUMIFS(Diario!$N$6:$N$370,Diario!$A$6:$A$370,$B39)</f>
        <v>78.33</v>
      </c>
      <c r="E39" s="32" t="n">
        <f aca="false">IF(C39&gt;0,D39/C39,"")</f>
        <v>5.595</v>
      </c>
      <c r="F39" s="33" t="n">
        <f aca="false">SUMIFS(Diario!$Y$6:$Y$370,Diario!$A$6:$A$370,$B39)</f>
        <v>103.415090462363</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0.833333333333333</v>
      </c>
    </row>
    <row r="40" customFormat="false" ht="15" hidden="false" customHeight="false" outlineLevel="0" collapsed="false">
      <c r="B40" s="30" t="n">
        <f aca="false">$F$3-2</f>
        <v>46308</v>
      </c>
      <c r="C40" s="31" t="n">
        <f aca="false">SUMIFS(Diario!$P$6:$P$370,Diario!$A$6:$A$370,$B40)</f>
        <v>9</v>
      </c>
      <c r="D40" s="32" t="n">
        <f aca="false">SUMIFS(Diario!$N$6:$N$370,Diario!$A$6:$A$370,$B40)</f>
        <v>68.05</v>
      </c>
      <c r="E40" s="32" t="n">
        <f aca="false">IF(C40&gt;0,D40/C40,"")</f>
        <v>7.56111111111111</v>
      </c>
      <c r="F40" s="33" t="n">
        <f aca="false">SUMIFS(Diario!$Y$6:$Y$370,Diario!$A$6:$A$370,$B40)</f>
        <v>51.1591824882734</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46309</v>
      </c>
      <c r="C41" s="31" t="n">
        <f aca="false">SUMIFS(Diario!$P$6:$P$370,Diario!$A$6:$A$370,$B41)</f>
        <v>7</v>
      </c>
      <c r="D41" s="32" t="n">
        <f aca="false">SUMIFS(Diario!$N$6:$N$370,Diario!$A$6:$A$370,$B41)</f>
        <v>73.18</v>
      </c>
      <c r="E41" s="32" t="n">
        <f aca="false">IF(C41&gt;0,D41/C41,"")</f>
        <v>10.4542857142857</v>
      </c>
      <c r="F41" s="33" t="n">
        <f aca="false">SUMIFS(Diario!$Y$6:$Y$370,Diario!$A$6:$A$370,$B41)</f>
        <v>23.4605896805897</v>
      </c>
      <c r="G41" s="34" t="n">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1</v>
      </c>
    </row>
    <row r="42" customFormat="false" ht="15" hidden="false" customHeight="false" outlineLevel="0" collapsed="false">
      <c r="B42" s="30" t="n">
        <f aca="false">$F$3-0</f>
        <v>46310</v>
      </c>
      <c r="C42" s="31" t="n">
        <f aca="false">SUMIFS(Diario!$P$6:$P$370,Diario!$A$6:$A$370,$B42)</f>
        <v>0</v>
      </c>
      <c r="D42" s="32" t="n">
        <f aca="false">SUMIFS(Diario!$N$6:$N$370,Diario!$A$6:$A$370,$B42)</f>
        <v>0</v>
      </c>
      <c r="E42" s="32" t="str">
        <f aca="false">IF(C42&gt;0,D42/C42,"")</f>
        <v/>
      </c>
      <c r="F42" s="33" t="n">
        <f aca="false">SUMIFS(Diario!$Y$6:$Y$370,Diario!$A$6:$A$370,$B42)</f>
        <v>0</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90</v>
      </c>
      <c r="D47" s="37" t="n">
        <f aca="false">SUMIFS(Diario!$N$6:$N$370,Diario!$A$6:$A$370,"&gt;="&amp;$B47,Diario!$A$6:$A$370,"&lt;="&amp;EOMONTH($B47,0))</f>
        <v>651.18</v>
      </c>
      <c r="E47" s="32" t="n">
        <f aca="false">IF(C47&gt;0,D47/C47,"")</f>
        <v>7.23533333333333</v>
      </c>
      <c r="F47" s="37" t="n">
        <f aca="false">SUMIFS(Diario!$R$6:$R$370,Diario!$A$6:$A$370,"&gt;="&amp;$B47,Diario!$A$6:$A$370,"&lt;="&amp;EOMONTH($B47,0))</f>
        <v>3049.1</v>
      </c>
      <c r="G47" s="31" t="n">
        <f aca="false">SUMIFS(Diario!$E$6:$E$370,Diario!$A$6:$A$370,"&gt;="&amp;$B47,Diario!$A$6:$A$370,"&lt;="&amp;EOMONTH($B47,0))+SUMIFS(Diario!$F$6:$F$370,Diario!$A$6:$A$370,"&gt;="&amp;$B47,Diario!$A$6:$A$370,"&lt;="&amp;EOMONTH($B47,0))+SUMIFS(Diario!$G$6:$G$370,Diario!$A$6:$A$370,"&gt;="&amp;$B47,Diario!$A$6:$A$370,"&lt;="&amp;EOMONTH($B47,0))</f>
        <v>32</v>
      </c>
      <c r="H47" s="31" t="n">
        <f aca="false">SUMIFS(Diario!$H$6:$H$370,Diario!$A$6:$A$370,"&gt;="&amp;$B47,Diario!$A$6:$A$370,"&lt;="&amp;EOMONTH($B47,0))+SUMIFS(Diario!$I$6:$I$370,Diario!$A$6:$A$370,"&gt;="&amp;$B47,Diario!$A$6:$A$370,"&lt;="&amp;EOMONTH($B47,0))+SUMIFS(Diario!$J$6:$J$370,Diario!$A$6:$A$370,"&gt;="&amp;$B47,Diario!$A$6:$A$370,"&lt;="&amp;EOMONTH($B47,0))</f>
        <v>5</v>
      </c>
      <c r="I47" s="34" t="n">
        <f aca="false">IF(G47+H47&gt;0,G47/(G47+H47),"")</f>
        <v>0.864864864864865</v>
      </c>
      <c r="J47" s="37" t="n">
        <f aca="false">SUMIFS(Diario!$Y$6:$Y$370,Diario!$A$6:$A$370,"&gt;="&amp;$B47,Diario!$A$6:$A$370,"&lt;="&amp;EOMONTH($B47,0))</f>
        <v>525.376919812374</v>
      </c>
      <c r="K47" s="37" t="n">
        <f aca="false">-SUMIFS(Gastos!$D$5:$D$304,Gastos!$A$5:$A$304,"&gt;="&amp;$B47,Gastos!$A$5:$A$304,"&lt;="&amp;EOMONTH($B47,0))</f>
        <v>-0</v>
      </c>
      <c r="L47" s="38" t="n">
        <f aca="false">J47+K47</f>
        <v>525.376919812374</v>
      </c>
      <c r="M47" s="34" t="n">
        <f aca="false">IF(OBJETIVO_MES&gt;0,L47/OBJETIVO_MES,"")</f>
        <v>0.0525376919812374</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90</v>
      </c>
      <c r="D59" s="42" t="n">
        <f aca="false">SUM(D47:D58)</f>
        <v>651.18</v>
      </c>
      <c r="E59" s="43" t="n">
        <f aca="false">IF(C59&gt;0,D59/C59,"")</f>
        <v>7.23533333333333</v>
      </c>
      <c r="F59" s="42" t="n">
        <f aca="false">SUM(F47:F58)</f>
        <v>3049.1</v>
      </c>
      <c r="G59" s="41" t="n">
        <f aca="false">SUM(G47:G58)</f>
        <v>32</v>
      </c>
      <c r="H59" s="41" t="n">
        <f aca="false">SUM(H47:H58)</f>
        <v>5</v>
      </c>
      <c r="I59" s="44" t="n">
        <f aca="false">IF(G59+H59&gt;0,G59/(G59+H59),"")</f>
        <v>0.864864864864865</v>
      </c>
      <c r="J59" s="42" t="n">
        <f aca="false">SUM(J47:J58)</f>
        <v>525.376919812374</v>
      </c>
      <c r="K59" s="42" t="n">
        <f aca="false">SUM(K47:K58)</f>
        <v>0</v>
      </c>
      <c r="L59" s="42" t="n">
        <f aca="false">SUM(L47:L58)</f>
        <v>525.376919812374</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60</v>
      </c>
      <c r="C4" s="47" t="n">
        <f aca="false">SUM(C6:C370)</f>
        <v>25</v>
      </c>
      <c r="D4" s="47" t="n">
        <f aca="false">SUM(D6:D370)</f>
        <v>5</v>
      </c>
      <c r="E4" s="47" t="n">
        <f aca="false">SUM(E6:E370)</f>
        <v>19</v>
      </c>
      <c r="F4" s="47" t="n">
        <f aca="false">SUM(F6:F370)</f>
        <v>11</v>
      </c>
      <c r="G4" s="47" t="n">
        <f aca="false">SUM(G6:G370)</f>
        <v>2</v>
      </c>
      <c r="H4" s="47" t="n">
        <f aca="false">SUM(H6:H370)</f>
        <v>1</v>
      </c>
      <c r="I4" s="47" t="n">
        <f aca="false">SUM(I6:I370)</f>
        <v>3</v>
      </c>
      <c r="J4" s="47" t="n">
        <f aca="false">SUM(J6:J370)</f>
        <v>1</v>
      </c>
      <c r="K4" s="47" t="n">
        <f aca="false">SUM(K6:K370)</f>
        <v>34</v>
      </c>
      <c r="L4" s="48" t="n">
        <f aca="false">SUM(L6:L370)</f>
        <v>238.68</v>
      </c>
      <c r="M4" s="48" t="n">
        <f aca="false">SUM(M6:M370)</f>
        <v>405.93</v>
      </c>
      <c r="N4" s="48" t="n">
        <f aca="false">SUM(N6:N370)</f>
        <v>651.18</v>
      </c>
      <c r="P4" s="47" t="n">
        <f aca="false">SUM(P6:P370)</f>
        <v>90</v>
      </c>
      <c r="Q4" s="47" t="n">
        <f aca="false">SUM(Q6:Q370)</f>
        <v>53</v>
      </c>
      <c r="R4" s="48" t="n">
        <f aca="false">SUM(R6:R370)</f>
        <v>3049.1</v>
      </c>
      <c r="S4" s="48" t="n">
        <f aca="false">IF(P4&gt;0,R4/P4,"")</f>
        <v>33.8788888888889</v>
      </c>
      <c r="T4" s="48" t="n">
        <f aca="false">IF(P4&gt;0,N4/P4,"")</f>
        <v>7.23533333333333</v>
      </c>
      <c r="U4" s="49" t="n">
        <f aca="false">IF(N4&gt;0,R4/N4,"")</f>
        <v>4.6824226788292</v>
      </c>
      <c r="V4" s="50" t="n">
        <f aca="false">IF(E4+F4+G4+H4+I4+J4&gt;0,(E4+F4+G4)/(E4+F4+G4+H4+I4+J4),"")</f>
        <v>0.864864864864865</v>
      </c>
      <c r="W4" s="48" t="n">
        <f aca="false">SUM(W6:W370)</f>
        <v>757.8287</v>
      </c>
      <c r="X4" s="48" t="n">
        <f aca="false">SUM(X6:X370)</f>
        <v>-192.099090909091</v>
      </c>
      <c r="Y4" s="48" t="n">
        <f aca="false">SUM(Y6:Y370)</f>
        <v>525.376919812374</v>
      </c>
      <c r="AA4" s="47" t="n">
        <f aca="false">SUM(AA6:AA370)</f>
        <v>40</v>
      </c>
      <c r="AB4" s="47" t="n">
        <f aca="false">SUM(AB6:AB370)</f>
        <v>11</v>
      </c>
      <c r="AC4" s="47" t="n">
        <f aca="false">SUM(AC6:AC370)</f>
        <v>2</v>
      </c>
      <c r="AD4" s="51" t="n">
        <f aca="false">SUM(AD6:AD370)</f>
        <v>53.5945945945946</v>
      </c>
      <c r="AE4" s="51" t="n">
        <f aca="false">SUM(AE6:AE370)</f>
        <v>20.5135135135135</v>
      </c>
      <c r="AF4" s="51" t="n">
        <f aca="false">SUM(AF6:AF370)</f>
        <v>3.72972972972973</v>
      </c>
      <c r="AG4" s="51" t="n">
        <f aca="false">SUM(AG6:AG370)</f>
        <v>12.1621621621622</v>
      </c>
      <c r="AH4" s="48" t="n">
        <f aca="false">SUM(AH6:AH370)</f>
        <v>2614.08648648649</v>
      </c>
      <c r="AI4" s="48" t="n">
        <f aca="false">SUM(AI6:AI370)</f>
        <v>254.781851351351</v>
      </c>
      <c r="AJ4" s="48" t="n">
        <f aca="false">SUM(AJ6:AJ370)</f>
        <v>589.754594594595</v>
      </c>
      <c r="AK4" s="48" t="n">
        <f aca="false">SUM(AK6:AK370)</f>
        <v>98.027027027027</v>
      </c>
      <c r="AL4" s="48" t="n">
        <f aca="false">SUM(AL6:AL370)</f>
        <v>409.466093701139</v>
      </c>
      <c r="AM4" s="48" t="n">
        <f aca="false">SUM(AM6:AM370)</f>
        <v>651.18</v>
      </c>
      <c r="AN4" s="47" t="n">
        <f aca="false">SUM(AN6:AN370)</f>
        <v>85</v>
      </c>
      <c r="AO4" s="48" t="n">
        <f aca="false">SUM(AO6:AO370)</f>
        <v>85.5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69.356477551932</v>
      </c>
      <c r="AA6" s="58" t="n">
        <f aca="false">MAX(0,B6-E6-H6)</f>
        <v>2</v>
      </c>
      <c r="AB6" s="58" t="n">
        <f aca="false">MAX(0,C6-F6-I6)</f>
        <v>2</v>
      </c>
      <c r="AC6" s="58" t="n">
        <f aca="false">MAX(0,D6-G6-J6)</f>
        <v>0</v>
      </c>
      <c r="AD6" s="59" t="n">
        <f aca="false">E6+AA6*TASA_USADA</f>
        <v>4.72972972972973</v>
      </c>
      <c r="AE6" s="59" t="n">
        <f aca="false">F6+AB6*TASA_USADA</f>
        <v>3.72972972972973</v>
      </c>
      <c r="AF6" s="59" t="n">
        <f aca="false">G6+AC6*TASA_USADA</f>
        <v>0</v>
      </c>
      <c r="AG6" s="59" t="n">
        <f aca="false">H6+I6+J6+(AA6+AB6+AC6)*(1-TASA_USADA)</f>
        <v>0.54054054054054</v>
      </c>
      <c r="AH6" s="60" t="n">
        <f aca="false">AD6*P1_PVP+AE6*P2_PVP+AF6*P3_PVP</f>
        <v>290.996486486486</v>
      </c>
      <c r="AI6" s="60" t="n">
        <f aca="false">AD6*P1_CPROD+AE6*P2_CPROD+AF6*P3_CPROD</f>
        <v>29.3503486486486</v>
      </c>
      <c r="AJ6" s="60" t="n">
        <f aca="false">IF(ISNUMBER(L6),L6,E6*P1_LOG+F6*P2_LOG+G6*P3_LOG)+IF(ISNUMBER(M6),M6,AA6*P1_LOG+AB6*P2_LOG+AC6*P3_LOG)*TASA_USADA</f>
        <v>66.3032432432432</v>
      </c>
      <c r="AK6" s="60" t="n">
        <f aca="false">AG6*COSTE_DEV</f>
        <v>4.35675675675676</v>
      </c>
      <c r="AL6" s="60" t="n">
        <f aca="false">AD6*P1_IVAN+AE6*P2_IVAN+AF6*P3_IVAN-AG6*IVA_DEV</f>
        <v>45.4096602859057</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E7*(P1_PVP-P1_CPROD)+F7*(P2_PVP-P2_CPROD)+G7*(P3_PVP-P3_CPROD)-IF(ISNUMBER(L7),L7,E7*P1_LOG+F7*P2_LOG+G7*P3_LOG)</f>
        <v>68.2284</v>
      </c>
      <c r="X7" s="33" t="n">
        <f aca="false">W7-(E7*P1_IVAN+F7*P2_IVAN+G7*P3_IVAN)-(H7+I7+J7)*(COSTE_DEV-IVA_DEV)-AM7-AO7</f>
        <v>-33.2901652892562</v>
      </c>
      <c r="Y7" s="33" t="n">
        <f aca="false">AH7-AI7-AJ7-AK7-AL7-AM7-AO7</f>
        <v>14.6518851909761</v>
      </c>
      <c r="AA7" s="58" t="n">
        <f aca="false">MAX(0,B7-E7-H7)</f>
        <v>4</v>
      </c>
      <c r="AB7" s="58" t="n">
        <f aca="false">MAX(0,C7-F7-I7)</f>
        <v>0</v>
      </c>
      <c r="AC7" s="58" t="n">
        <f aca="false">MAX(0,D7-G7-J7)</f>
        <v>0</v>
      </c>
      <c r="AD7" s="59" t="n">
        <f aca="false">E7+AA7*TASA_USADA</f>
        <v>5.45945945945946</v>
      </c>
      <c r="AE7" s="59" t="n">
        <f aca="false">F7+AB7*TASA_USADA</f>
        <v>1</v>
      </c>
      <c r="AF7" s="59" t="n">
        <f aca="false">G7+AC7*TASA_USADA</f>
        <v>0</v>
      </c>
      <c r="AG7" s="59" t="n">
        <f aca="false">H7+I7+J7+(AA7+AB7+AC7)*(1-TASA_USADA)</f>
        <v>1.54054054054054</v>
      </c>
      <c r="AH7" s="60" t="n">
        <f aca="false">AD7*P1_PVP+AE7*P2_PVP+AF7*P3_PVP</f>
        <v>203.719189189189</v>
      </c>
      <c r="AI7" s="60" t="n">
        <f aca="false">AD7*P1_CPROD+AE7*P2_CPROD+AF7*P3_CPROD</f>
        <v>17.9616324324324</v>
      </c>
      <c r="AJ7" s="60" t="n">
        <f aca="false">IF(ISNUMBER(L7),L7,E7*P1_LOG+F7*P2_LOG+G7*P3_LOG)+IF(ISNUMBER(M7),M7,AA7*P1_LOG+AB7*P2_LOG+AC7*P3_LOG)*TASA_USADA</f>
        <v>48.67</v>
      </c>
      <c r="AK7" s="60" t="n">
        <f aca="false">AG7*COSTE_DEV</f>
        <v>12.4167567567568</v>
      </c>
      <c r="AL7" s="60" t="n">
        <f aca="false">AD7*P1_IVAN+AE7*P2_IVAN+AF7*P3_IVAN-AG7*IVA_DEV</f>
        <v>32.2389148090239</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2</v>
      </c>
      <c r="F8" s="54" t="n">
        <v>1</v>
      </c>
      <c r="G8" s="54"/>
      <c r="H8" s="54"/>
      <c r="I8" s="54"/>
      <c r="J8" s="54"/>
      <c r="K8" s="54" t="n">
        <v>3</v>
      </c>
      <c r="L8" s="55" t="n">
        <v>22.65</v>
      </c>
      <c r="M8" s="55" t="n">
        <v>31.38</v>
      </c>
      <c r="N8" s="55" t="n">
        <v>47.78</v>
      </c>
      <c r="O8" s="56"/>
      <c r="P8" s="31" t="n">
        <f aca="false">B8+C8+D8</f>
        <v>7</v>
      </c>
      <c r="Q8" s="31" t="n">
        <f aca="false">AA8+AB8+AC8</f>
        <v>4</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67.6884</v>
      </c>
      <c r="X8" s="33" t="n">
        <f aca="false">W8-(E8*P1_IVAN+F8*P2_IVAN+G8*P3_IVAN)-(H8+I8+J8)*(COSTE_DEV-IVA_DEV)-AM8-AO8</f>
        <v>-2.4201652892562</v>
      </c>
      <c r="Y8" s="33" t="n">
        <f aca="false">AH8-AI8-AJ8-AK8-AL8-AM8-AO8</f>
        <v>44.9424257315166</v>
      </c>
      <c r="AA8" s="58" t="n">
        <f aca="false">MAX(0,B8-E8-H8)</f>
        <v>4</v>
      </c>
      <c r="AB8" s="58" t="n">
        <f aca="false">MAX(0,C8-F8-I8)</f>
        <v>0</v>
      </c>
      <c r="AC8" s="58" t="n">
        <f aca="false">MAX(0,D8-G8-J8)</f>
        <v>0</v>
      </c>
      <c r="AD8" s="59" t="n">
        <f aca="false">E8+AA8*TASA_USADA</f>
        <v>5.45945945945946</v>
      </c>
      <c r="AE8" s="59" t="n">
        <f aca="false">F8+AB8*TASA_USADA</f>
        <v>1</v>
      </c>
      <c r="AF8" s="59" t="n">
        <f aca="false">G8+AC8*TASA_USADA</f>
        <v>0</v>
      </c>
      <c r="AG8" s="59" t="n">
        <f aca="false">H8+I8+J8+(AA8+AB8+AC8)*(1-TASA_USADA)</f>
        <v>0.54054054054054</v>
      </c>
      <c r="AH8" s="60" t="n">
        <f aca="false">AD8*P1_PVP+AE8*P2_PVP+AF8*P3_PVP</f>
        <v>203.719189189189</v>
      </c>
      <c r="AI8" s="60" t="n">
        <f aca="false">AD8*P1_CPROD+AE8*P2_CPROD+AF8*P3_CPROD</f>
        <v>17.9616324324324</v>
      </c>
      <c r="AJ8" s="60" t="n">
        <f aca="false">IF(ISNUMBER(L8),L8,E8*P1_LOG+F8*P2_LOG+G8*P3_LOG)+IF(ISNUMBER(M8),M8,AA8*P1_LOG+AB8*P2_LOG+AC8*P3_LOG)*TASA_USADA</f>
        <v>49.7894594594595</v>
      </c>
      <c r="AK8" s="60" t="n">
        <f aca="false">AG8*COSTE_DEV</f>
        <v>4.35675675675676</v>
      </c>
      <c r="AL8" s="60" t="n">
        <f aca="false">AD8*P1_IVAN+AE8*P2_IVAN+AF8*P3_IVAN-AG8*IVA_DEV</f>
        <v>32.2389148090239</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9</v>
      </c>
      <c r="C9" s="54" t="n">
        <v>6</v>
      </c>
      <c r="D9" s="54" t="n">
        <v>1</v>
      </c>
      <c r="E9" s="54" t="n">
        <v>4</v>
      </c>
      <c r="F9" s="54" t="n">
        <v>2</v>
      </c>
      <c r="G9" s="54" t="n">
        <v>1</v>
      </c>
      <c r="H9" s="54"/>
      <c r="I9" s="54" t="n">
        <v>3</v>
      </c>
      <c r="J9" s="54"/>
      <c r="K9" s="54" t="n">
        <v>6</v>
      </c>
      <c r="L9" s="55" t="n">
        <v>50.21</v>
      </c>
      <c r="M9" s="55" t="n">
        <v>46.64</v>
      </c>
      <c r="N9" s="55" t="n">
        <v>50.46</v>
      </c>
      <c r="O9" s="56" t="s">
        <v>107</v>
      </c>
      <c r="P9" s="31" t="n">
        <f aca="false">B9+C9+D9</f>
        <v>16</v>
      </c>
      <c r="Q9" s="31" t="n">
        <f aca="false">AA9+AB9+AC9</f>
        <v>6</v>
      </c>
      <c r="R9" s="32" t="n">
        <f aca="false">B9*P1_PVP+C9*P2_PVP+D9*P3_PVP</f>
        <v>559.84</v>
      </c>
      <c r="S9" s="32" t="n">
        <f aca="false">IF(P9&gt;0,R9/P9,"")</f>
        <v>34.99</v>
      </c>
      <c r="T9" s="32" t="n">
        <f aca="false">IF(P9&gt;0,N9/P9,"")</f>
        <v>3.15375</v>
      </c>
      <c r="U9" s="57" t="n">
        <f aca="false">IF(N9&gt;0,R9/N9,"")</f>
        <v>11.0947284978201</v>
      </c>
      <c r="V9" s="34" t="n">
        <f aca="false">IF(E9+F9+G9+H9+I9+J9&gt;0,(E9+F9+G9)/(E9+F9+G9+H9+I9+J9),"")</f>
        <v>0.7</v>
      </c>
      <c r="W9" s="33" t="n">
        <f aca="false">E9*(P1_PVP-P1_CPROD)+F9*(P2_PVP-P2_CPROD)+G9*(P3_PVP-P3_CPROD)-IF(ISNUMBER(L9),L9,E9*P1_LOG+F9*P2_LOG+G9*P3_LOG)</f>
        <v>173.2331</v>
      </c>
      <c r="X9" s="33" t="n">
        <f aca="false">W9-(E9*P1_IVAN+F9*P2_IVAN+G9*P3_IVAN)-(H9+I9+J9)*(COSTE_DEV-IVA_DEV)-AM9-AO9</f>
        <v>44.6137190082644</v>
      </c>
      <c r="Y9" s="33" t="n">
        <f aca="false">AH9-AI9-AJ9-AK9-AL9-AM9-AO9</f>
        <v>121.456059861514</v>
      </c>
      <c r="AA9" s="58" t="n">
        <f aca="false">MAX(0,B9-E9-H9)</f>
        <v>5</v>
      </c>
      <c r="AB9" s="58" t="n">
        <f aca="false">MAX(0,C9-F9-I9)</f>
        <v>1</v>
      </c>
      <c r="AC9" s="58" t="n">
        <f aca="false">MAX(0,D9-G9-J9)</f>
        <v>0</v>
      </c>
      <c r="AD9" s="59" t="n">
        <f aca="false">E9+AA9*TASA_USADA</f>
        <v>8.32432432432433</v>
      </c>
      <c r="AE9" s="59" t="n">
        <f aca="false">F9+AB9*TASA_USADA</f>
        <v>2.86486486486487</v>
      </c>
      <c r="AF9" s="59" t="n">
        <f aca="false">G9+AC9*TASA_USADA</f>
        <v>1</v>
      </c>
      <c r="AG9" s="59" t="n">
        <f aca="false">H9+I9+J9+(AA9+AB9+AC9)*(1-TASA_USADA)</f>
        <v>3.81081081081081</v>
      </c>
      <c r="AH9" s="60" t="n">
        <f aca="false">AD9*P1_PVP+AE9*P2_PVP+AF9*P3_PVP</f>
        <v>414.202432432432</v>
      </c>
      <c r="AI9" s="60" t="n">
        <f aca="false">AD9*P1_CPROD+AE9*P2_CPROD+AF9*P3_CPROD</f>
        <v>41.0644567567568</v>
      </c>
      <c r="AJ9" s="60" t="n">
        <f aca="false">IF(ISNUMBER(L9),L9,E9*P1_LOG+F9*P2_LOG+G9*P3_LOG)+IF(ISNUMBER(M9),M9,AA9*P1_LOG+AB9*P2_LOG+AC9*P3_LOG)*TASA_USADA</f>
        <v>90.5472972972973</v>
      </c>
      <c r="AK9" s="60" t="n">
        <f aca="false">AG9*COSTE_DEV</f>
        <v>30.7151351351351</v>
      </c>
      <c r="AL9" s="60" t="n">
        <f aca="false">AD9*P1_IVAN+AE9*P2_IVAN+AF9*P3_IVAN-AG9*IVA_DEV</f>
        <v>64.7594833817288</v>
      </c>
      <c r="AM9" s="60" t="n">
        <f aca="false">N9*(1+RECARGO_ADS)</f>
        <v>50.46</v>
      </c>
      <c r="AN9" s="58" t="n">
        <f aca="false">IF(ISNUMBER(L9),E9+F9+G9+AA9+AB9+AC9,0)</f>
        <v>13</v>
      </c>
      <c r="AO9" s="60" t="n">
        <f aca="false">P9*COMISION</f>
        <v>15.2</v>
      </c>
    </row>
    <row r="10" customFormat="false" ht="15" hidden="false" customHeight="false" outlineLevel="0" collapsed="false">
      <c r="A10" s="53" t="n">
        <v>46304</v>
      </c>
      <c r="B10" s="54" t="n">
        <v>2</v>
      </c>
      <c r="C10" s="54" t="n">
        <v>3</v>
      </c>
      <c r="D10" s="54" t="n">
        <v>0</v>
      </c>
      <c r="E10" s="54" t="n">
        <v>1</v>
      </c>
      <c r="F10" s="54" t="n">
        <v>3</v>
      </c>
      <c r="G10" s="54"/>
      <c r="H10" s="54"/>
      <c r="I10" s="54"/>
      <c r="J10" s="54"/>
      <c r="K10" s="54" t="n">
        <v>1</v>
      </c>
      <c r="L10" s="55" t="n">
        <v>30.17</v>
      </c>
      <c r="M10" s="55" t="n">
        <v>7.2</v>
      </c>
      <c r="N10" s="55" t="n">
        <v>41.21</v>
      </c>
      <c r="O10" s="56"/>
      <c r="P10" s="31" t="n">
        <f aca="false">B10+C10+D10</f>
        <v>5</v>
      </c>
      <c r="Q10" s="31" t="n">
        <f aca="false">AA10+AB10+AC10</f>
        <v>1</v>
      </c>
      <c r="R10" s="32" t="n">
        <f aca="false">B10*P1_PVP+C10*P2_PVP+D10*P3_PVP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E10*(P1_PVP-P1_CPROD)+F10*(P2_PVP-P2_CPROD)+G10*(P3_PVP-P3_CPROD)-IF(ISNUMBER(L10),L10,E10*P1_LOG+F10*P2_LOG+G10*P3_LOG)</f>
        <v>102.9347</v>
      </c>
      <c r="X10" s="33" t="n">
        <f aca="false">W10-(E10*P1_IVAN+F10*P2_IVAN+G10*P3_IVAN)-(H10+I10+J10)*(COSTE_DEV-IVA_DEV)-AM10-AO10</f>
        <v>33.8738842975206</v>
      </c>
      <c r="Y10" s="33" t="n">
        <f aca="false">AH10-AI10-AJ10-AK10-AL10-AM10-AO10</f>
        <v>46.2723698905517</v>
      </c>
      <c r="AA10" s="58" t="n">
        <f aca="false">MAX(0,B10-E10-H10)</f>
        <v>1</v>
      </c>
      <c r="AB10" s="58" t="n">
        <f aca="false">MAX(0,C10-F10-I10)</f>
        <v>0</v>
      </c>
      <c r="AC10" s="58" t="n">
        <f aca="false">MAX(0,D10-G10-J10)</f>
        <v>0</v>
      </c>
      <c r="AD10" s="59" t="n">
        <f aca="false">E10+AA10*TASA_USADA</f>
        <v>1.86486486486487</v>
      </c>
      <c r="AE10" s="59" t="n">
        <f aca="false">F10+AB10*TASA_USADA</f>
        <v>3</v>
      </c>
      <c r="AF10" s="59" t="n">
        <f aca="false">G10+AC10*TASA_USADA</f>
        <v>0</v>
      </c>
      <c r="AG10" s="59" t="n">
        <f aca="false">H10+I10+J10+(AA10+AB10+AC10)*(1-TASA_USADA)</f>
        <v>0.135135135135135</v>
      </c>
      <c r="AH10" s="60" t="n">
        <f aca="false">AD10*P1_PVP+AE10*P2_PVP+AF10*P3_PVP</f>
        <v>175.897297297297</v>
      </c>
      <c r="AI10" s="60" t="n">
        <f aca="false">AD10*P1_CPROD+AE10*P2_CPROD+AF10*P3_CPROD</f>
        <v>18.9378081081081</v>
      </c>
      <c r="AJ10" s="60" t="n">
        <f aca="false">IF(ISNUMBER(L10),L10,E10*P1_LOG+F10*P2_LOG+G10*P3_LOG)+IF(ISNUMBER(M10),M10,AA10*P1_LOG+AB10*P2_LOG+AC10*P3_LOG)*TASA_USADA</f>
        <v>36.397027027027</v>
      </c>
      <c r="AK10" s="60" t="n">
        <f aca="false">AG10*COSTE_DEV</f>
        <v>1.08918918918919</v>
      </c>
      <c r="AL10" s="60" t="n">
        <f aca="false">AD10*P1_IVAN+AE10*P2_IVAN+AF10*P3_IVAN-AG10*IVA_DEV</f>
        <v>27.2409030824213</v>
      </c>
      <c r="AM10" s="60" t="n">
        <f aca="false">N10*(1+RECARGO_ADS)</f>
        <v>41.21</v>
      </c>
      <c r="AN10" s="58" t="n">
        <f aca="false">IF(ISNUMBER(L10),E10+F10+G10+AA10+AB10+AC10,0)</f>
        <v>5</v>
      </c>
      <c r="AO10" s="60" t="n">
        <f aca="false">P10*COMISION</f>
        <v>4.75</v>
      </c>
    </row>
    <row r="11" customFormat="false" ht="15" hidden="false" customHeight="false" outlineLevel="0" collapsed="false">
      <c r="A11" s="53" t="n">
        <v>46305</v>
      </c>
      <c r="B11" s="54" t="n">
        <v>6</v>
      </c>
      <c r="C11" s="54" t="n">
        <v>2</v>
      </c>
      <c r="D11" s="54" t="n">
        <v>1</v>
      </c>
      <c r="E11" s="54" t="n">
        <v>2</v>
      </c>
      <c r="F11" s="54"/>
      <c r="G11" s="54" t="n">
        <v>1</v>
      </c>
      <c r="H11" s="54"/>
      <c r="I11" s="54"/>
      <c r="J11" s="54"/>
      <c r="K11" s="54" t="n">
        <v>5</v>
      </c>
      <c r="L11" s="55" t="n">
        <v>22.11</v>
      </c>
      <c r="M11" s="55" t="n">
        <v>44.76</v>
      </c>
      <c r="N11" s="55" t="n">
        <v>64.81</v>
      </c>
      <c r="O11" s="56"/>
      <c r="P11" s="31" t="n">
        <f aca="false">B11+C11+D11</f>
        <v>9</v>
      </c>
      <c r="Q11" s="31" t="n">
        <f aca="false">AA11+AB11+AC11</f>
        <v>6</v>
      </c>
      <c r="R11" s="32" t="n">
        <f aca="false">B11*P1_PVP+C11*P2_PVP+D11*P3_PVP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E11*(P1_PVP-P1_CPROD)+F11*(P2_PVP-P2_CPROD)+G11*(P3_PVP-P3_CPROD)-IF(ISNUMBER(L11),L11,E11*P1_LOG+F11*P2_LOG+G11*P3_LOG)</f>
        <v>75.8205</v>
      </c>
      <c r="X11" s="33" t="n">
        <f aca="false">W11-(E11*P1_IVAN+F11*P2_IVAN+G11*P3_IVAN)-(H11+I11+J11)*(COSTE_DEV-IVA_DEV)-AM11-AO11</f>
        <v>-14.5357024793388</v>
      </c>
      <c r="Y11" s="33" t="n">
        <f aca="false">AH11-AI11-AJ11-AK11-AL11-AM11-AO11</f>
        <v>69.3591467500559</v>
      </c>
      <c r="AA11" s="58" t="n">
        <f aca="false">MAX(0,B11-E11-H11)</f>
        <v>4</v>
      </c>
      <c r="AB11" s="58" t="n">
        <f aca="false">MAX(0,C11-F11-I11)</f>
        <v>2</v>
      </c>
      <c r="AC11" s="58" t="n">
        <f aca="false">MAX(0,D11-G11-J11)</f>
        <v>0</v>
      </c>
      <c r="AD11" s="59" t="n">
        <f aca="false">E11+AA11*TASA_USADA</f>
        <v>5.45945945945946</v>
      </c>
      <c r="AE11" s="59" t="n">
        <f aca="false">F11+AB11*TASA_USADA</f>
        <v>1.72972972972973</v>
      </c>
      <c r="AF11" s="59" t="n">
        <f aca="false">G11+AC11*TASA_USADA</f>
        <v>1</v>
      </c>
      <c r="AG11" s="59" t="n">
        <f aca="false">H11+I11+J11+(AA11+AB11+AC11)*(1-TASA_USADA)</f>
        <v>0.810810810810811</v>
      </c>
      <c r="AH11" s="60" t="n">
        <f aca="false">AD11*P1_PVP+AE11*P2_PVP+AF11*P3_PVP</f>
        <v>282.891081081081</v>
      </c>
      <c r="AI11" s="60" t="n">
        <f aca="false">AD11*P1_CPROD+AE11*P2_CPROD+AF11*P3_CPROD</f>
        <v>28.6995648648649</v>
      </c>
      <c r="AJ11" s="60" t="n">
        <f aca="false">IF(ISNUMBER(L11),L11,E11*P1_LOG+F11*P2_LOG+G11*P3_LOG)+IF(ISNUMBER(M11),M11,AA11*P1_LOG+AB11*P2_LOG+AC11*P3_LOG)*TASA_USADA</f>
        <v>60.8213513513514</v>
      </c>
      <c r="AK11" s="60" t="n">
        <f aca="false">AG11*COSTE_DEV</f>
        <v>6.53513513513513</v>
      </c>
      <c r="AL11" s="60" t="n">
        <f aca="false">AD11*P1_IVAN+AE11*P2_IVAN+AF11*P3_IVAN-AG11*IVA_DEV</f>
        <v>44.1158829796739</v>
      </c>
      <c r="AM11" s="60" t="n">
        <f aca="false">N11*(1+RECARGO_ADS)</f>
        <v>64.81</v>
      </c>
      <c r="AN11" s="58" t="n">
        <f aca="false">IF(ISNUMBER(L11),E11+F11+G11+AA11+AB11+AC11,0)</f>
        <v>9</v>
      </c>
      <c r="AO11" s="60" t="n">
        <f aca="false">P11*COMISION</f>
        <v>8.55</v>
      </c>
    </row>
    <row r="12" customFormat="false" ht="15" hidden="false" customHeight="false" outlineLevel="0" collapsed="false">
      <c r="A12" s="53" t="n">
        <v>46306</v>
      </c>
      <c r="B12" s="54" t="n">
        <v>5</v>
      </c>
      <c r="C12" s="54" t="n">
        <v>1</v>
      </c>
      <c r="D12" s="54" t="n">
        <v>0</v>
      </c>
      <c r="E12" s="54"/>
      <c r="F12" s="54"/>
      <c r="G12" s="54"/>
      <c r="H12" s="54"/>
      <c r="I12" s="54"/>
      <c r="J12" s="54"/>
      <c r="K12" s="54" t="n">
        <v>4</v>
      </c>
      <c r="L12" s="55" t="n">
        <v>0</v>
      </c>
      <c r="M12" s="55" t="n">
        <v>47.02</v>
      </c>
      <c r="N12" s="55" t="n">
        <v>89.51</v>
      </c>
      <c r="O12" s="56"/>
      <c r="P12" s="31" t="n">
        <f aca="false">B12+C12+D12</f>
        <v>6</v>
      </c>
      <c r="Q12" s="31" t="n">
        <f aca="false">AA12+AB12+AC12</f>
        <v>6</v>
      </c>
      <c r="R12" s="32" t="n">
        <f aca="false">B12*P1_PVP+C12*P2_PVP+D12*P3_PVP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-95.21</v>
      </c>
      <c r="Y12" s="33" t="n">
        <f aca="false">AH12-AI12-AJ12-AK12-AL12-AM12-AO12</f>
        <v>-18.6963077953987</v>
      </c>
      <c r="AA12" s="58" t="n">
        <f aca="false">MAX(0,B12-E12-H12)</f>
        <v>5</v>
      </c>
      <c r="AB12" s="58" t="n">
        <f aca="false">MAX(0,C12-F12-I12)</f>
        <v>1</v>
      </c>
      <c r="AC12" s="58" t="n">
        <f aca="false">MAX(0,D12-G12-J12)</f>
        <v>0</v>
      </c>
      <c r="AD12" s="59" t="n">
        <f aca="false">E12+AA12*TASA_USADA</f>
        <v>4.32432432432433</v>
      </c>
      <c r="AE12" s="59" t="n">
        <f aca="false">F12+AB12*TASA_USADA</f>
        <v>0.864864864864865</v>
      </c>
      <c r="AF12" s="59" t="n">
        <f aca="false">G12+AC12*TASA_USADA</f>
        <v>0</v>
      </c>
      <c r="AG12" s="59" t="n">
        <f aca="false">H12+I12+J12+(AA12+AB12+AC12)*(1-TASA_USADA)</f>
        <v>0.810810810810811</v>
      </c>
      <c r="AH12" s="60" t="n">
        <f aca="false">AD12*P1_PVP+AE12*P2_PVP+AF12*P3_PVP</f>
        <v>164.272432432432</v>
      </c>
      <c r="AI12" s="60" t="n">
        <f aca="false">AD12*P1_CPROD+AE12*P2_CPROD+AF12*P3_CPROD</f>
        <v>14.5775567567568</v>
      </c>
      <c r="AJ12" s="60" t="n">
        <f aca="false">IF(ISNUMBER(L12),L12,E12*P1_LOG+F12*P2_LOG+G12*P3_LOG)+IF(ISNUMBER(M12),M12,AA12*P1_LOG+AB12*P2_LOG+AC12*P3_LOG)*TASA_USADA</f>
        <v>40.665945945946</v>
      </c>
      <c r="AK12" s="60" t="n">
        <f aca="false">AG12*COSTE_DEV</f>
        <v>6.53513513513513</v>
      </c>
      <c r="AL12" s="60" t="n">
        <f aca="false">AD12*P1_IVAN+AE12*P2_IVAN+AF12*P3_IVAN-AG12*IVA_DEV</f>
        <v>25.9801023899933</v>
      </c>
      <c r="AM12" s="60" t="n">
        <f aca="false">N12*(1+RECARGO_ADS)</f>
        <v>89.51</v>
      </c>
      <c r="AN12" s="58" t="n">
        <f aca="false">IF(ISNUMBER(L12),E12+F12+G12+AA12+AB12+AC12,0)</f>
        <v>6</v>
      </c>
      <c r="AO12" s="60" t="n">
        <f aca="false">P12*COMISION</f>
        <v>5.7</v>
      </c>
    </row>
    <row r="13" customFormat="false" ht="15" hidden="false" customHeight="false" outlineLevel="0" collapsed="false">
      <c r="A13" s="53" t="n">
        <v>46307</v>
      </c>
      <c r="B13" s="54" t="n">
        <v>9</v>
      </c>
      <c r="C13" s="54" t="n">
        <v>3</v>
      </c>
      <c r="D13" s="54" t="n">
        <v>2</v>
      </c>
      <c r="E13" s="54" t="n">
        <v>3</v>
      </c>
      <c r="F13" s="54" t="n">
        <v>2</v>
      </c>
      <c r="G13" s="54"/>
      <c r="H13" s="54"/>
      <c r="I13" s="54"/>
      <c r="J13" s="54" t="n">
        <v>1</v>
      </c>
      <c r="K13" s="54" t="n">
        <v>4</v>
      </c>
      <c r="L13" s="55" t="n">
        <v>38.42</v>
      </c>
      <c r="M13" s="55" t="n">
        <v>58.14</v>
      </c>
      <c r="N13" s="55" t="n">
        <v>78.33</v>
      </c>
      <c r="O13" s="56"/>
      <c r="P13" s="31" t="n">
        <f aca="false">B13+C13+D13</f>
        <v>14</v>
      </c>
      <c r="Q13" s="31" t="n">
        <f aca="false">AA13+AB13+AC13</f>
        <v>8</v>
      </c>
      <c r="R13" s="32" t="n">
        <f aca="false">B13*P1_PVP+C13*P2_PVP+D13*P3_PVP</f>
        <v>489.86</v>
      </c>
      <c r="S13" s="32" t="n">
        <f aca="false">IF(P13&gt;0,R13/P13,"")</f>
        <v>34.99</v>
      </c>
      <c r="T13" s="32" t="n">
        <f aca="false">IF(P13&gt;0,N13/P13,"")</f>
        <v>5.595</v>
      </c>
      <c r="U13" s="57" t="n">
        <f aca="false">IF(N13&gt;0,R13/N13,"")</f>
        <v>6.25379803395889</v>
      </c>
      <c r="V13" s="34" t="n">
        <f aca="false">IF(E13+F13+G13+H13+I13+J13&gt;0,(E13+F13+G13)/(E13+F13+G13+H13+I13+J13),"")</f>
        <v>0.833333333333333</v>
      </c>
      <c r="W13" s="33" t="n">
        <f aca="false">E13*(P1_PVP-P1_CPROD)+F13*(P2_PVP-P2_CPROD)+G13*(P3_PVP-P3_CPROD)-IF(ISNUMBER(L13),L13,E13*P1_LOG+F13*P2_LOG+G13*P3_LOG)</f>
        <v>114.6747</v>
      </c>
      <c r="X13" s="33" t="n">
        <f aca="false">W13-(E13*P1_IVAN+F13*P2_IVAN+G13*P3_IVAN)-(H13+I13+J13)*(COSTE_DEV-IVA_DEV)-AM13-AO13</f>
        <v>-11.5854545454546</v>
      </c>
      <c r="Y13" s="33" t="n">
        <f aca="false">AH13-AI13-AJ13-AK13-AL13-AM13-AO13</f>
        <v>103.415090462363</v>
      </c>
      <c r="AA13" s="58" t="n">
        <f aca="false">MAX(0,B13-E13-H13)</f>
        <v>6</v>
      </c>
      <c r="AB13" s="58" t="n">
        <f aca="false">MAX(0,C13-F13-I13)</f>
        <v>1</v>
      </c>
      <c r="AC13" s="58" t="n">
        <f aca="false">MAX(0,D13-G13-J13)</f>
        <v>1</v>
      </c>
      <c r="AD13" s="59" t="n">
        <f aca="false">E13+AA13*TASA_USADA</f>
        <v>8.18918918918919</v>
      </c>
      <c r="AE13" s="59" t="n">
        <f aca="false">F13+AB13*TASA_USADA</f>
        <v>2.86486486486487</v>
      </c>
      <c r="AF13" s="59" t="n">
        <f aca="false">G13+AC13*TASA_USADA</f>
        <v>0.864864864864865</v>
      </c>
      <c r="AG13" s="59" t="n">
        <f aca="false">H13+I13+J13+(AA13+AB13+AC13)*(1-TASA_USADA)</f>
        <v>2.08108108108108</v>
      </c>
      <c r="AH13" s="60" t="n">
        <f aca="false">AD13*P1_PVP+AE13*P2_PVP+AF13*P3_PVP</f>
        <v>403.394324324324</v>
      </c>
      <c r="AI13" s="60" t="n">
        <f aca="false">AD13*P1_CPROD+AE13*P2_CPROD+AF13*P3_CPROD</f>
        <v>39.7628891891892</v>
      </c>
      <c r="AJ13" s="60" t="n">
        <f aca="false">IF(ISNUMBER(L13),L13,E13*P1_LOG+F13*P2_LOG+G13*P3_LOG)+IF(ISNUMBER(M13),M13,AA13*P1_LOG+AB13*P2_LOG+AC13*P3_LOG)*TASA_USADA</f>
        <v>88.7032432432433</v>
      </c>
      <c r="AK13" s="60" t="n">
        <f aca="false">AG13*COSTE_DEV</f>
        <v>16.7735135135135</v>
      </c>
      <c r="AL13" s="60" t="n">
        <f aca="false">AD13*P1_IVAN+AE13*P2_IVAN+AF13*P3_IVAN-AG13*IVA_DEV</f>
        <v>63.1095879160152</v>
      </c>
      <c r="AM13" s="60" t="n">
        <f aca="false">N13*(1+RECARGO_ADS)</f>
        <v>78.33</v>
      </c>
      <c r="AN13" s="58" t="n">
        <f aca="false">IF(ISNUMBER(L13),E13+F13+G13+AA13+AB13+AC13,0)</f>
        <v>13</v>
      </c>
      <c r="AO13" s="60" t="n">
        <f aca="false">P13*COMISION</f>
        <v>13.3</v>
      </c>
    </row>
    <row r="14" customFormat="false" ht="15" hidden="false" customHeight="false" outlineLevel="0" collapsed="false">
      <c r="A14" s="53" t="n">
        <v>46308</v>
      </c>
      <c r="B14" s="54" t="n">
        <v>7</v>
      </c>
      <c r="C14" s="54" t="n">
        <v>1</v>
      </c>
      <c r="D14" s="54" t="n">
        <v>1</v>
      </c>
      <c r="E14" s="54" t="n">
        <v>1</v>
      </c>
      <c r="F14" s="54"/>
      <c r="G14" s="54"/>
      <c r="H14" s="54"/>
      <c r="I14" s="54"/>
      <c r="J14" s="54"/>
      <c r="K14" s="54" t="n">
        <v>3</v>
      </c>
      <c r="L14" s="55" t="n">
        <v>7.39</v>
      </c>
      <c r="M14" s="55" t="n">
        <v>61.2</v>
      </c>
      <c r="N14" s="55" t="n">
        <v>68.05</v>
      </c>
      <c r="O14" s="56"/>
      <c r="P14" s="31" t="n">
        <f aca="false">B14+C14+D14</f>
        <v>9</v>
      </c>
      <c r="Q14" s="31" t="n">
        <f aca="false">AA14+AB14+AC14</f>
        <v>8</v>
      </c>
      <c r="R14" s="32" t="n">
        <f aca="false">B14*P1_PVP+C14*P2_PVP+D14*P3_PVP</f>
        <v>299.91</v>
      </c>
      <c r="S14" s="32" t="n">
        <f aca="false">IF(P14&gt;0,R14/P14,"")</f>
        <v>33.3233333333333</v>
      </c>
      <c r="T14" s="32" t="n">
        <f aca="false">IF(P14&gt;0,N14/P14,"")</f>
        <v>7.56111111111111</v>
      </c>
      <c r="U14" s="57" t="n">
        <f aca="false">IF(N14&gt;0,R14/N14,"")</f>
        <v>4.40720058780309</v>
      </c>
      <c r="V14" s="34" t="n">
        <f aca="false">IF(E14+F14+G14+H14+I14+J14&gt;0,(E14+F14+G14)/(E14+F14+G14+H14+I14+J14),"")</f>
        <v>1</v>
      </c>
      <c r="W14" s="33" t="n">
        <f aca="false">E14*(P1_PVP-P1_CPROD)+F14*(P2_PVP-P2_CPROD)+G14*(P3_PVP-P3_CPROD)-IF(ISNUMBER(L14),L14,E14*P1_LOG+F14*P2_LOG+G14*P3_LOG)</f>
        <v>20.1921</v>
      </c>
      <c r="X14" s="33" t="n">
        <f aca="false">W14-(E14*P1_IVAN+F14*P2_IVAN+G14*P3_IVAN)-(H14+I14+J14)*(COSTE_DEV-IVA_DEV)-AM14-AO14</f>
        <v>-61.1948760330579</v>
      </c>
      <c r="Y14" s="33" t="n">
        <f aca="false">AH14-AI14-AJ14-AK14-AL14-AM14-AO14</f>
        <v>51.1591824882734</v>
      </c>
      <c r="AA14" s="58" t="n">
        <f aca="false">MAX(0,B14-E14-H14)</f>
        <v>6</v>
      </c>
      <c r="AB14" s="58" t="n">
        <f aca="false">MAX(0,C14-F14-I14)</f>
        <v>1</v>
      </c>
      <c r="AC14" s="58" t="n">
        <f aca="false">MAX(0,D14-G14-J14)</f>
        <v>1</v>
      </c>
      <c r="AD14" s="59" t="n">
        <f aca="false">E14+AA14*TASA_USADA</f>
        <v>6.18918918918919</v>
      </c>
      <c r="AE14" s="59" t="n">
        <f aca="false">F14+AB14*TASA_USADA</f>
        <v>0.864864864864865</v>
      </c>
      <c r="AF14" s="59" t="n">
        <f aca="false">G14+AC14*TASA_USADA</f>
        <v>0.864864864864865</v>
      </c>
      <c r="AG14" s="59" t="n">
        <f aca="false">H14+I14+J14+(AA14+AB14+AC14)*(1-TASA_USADA)</f>
        <v>1.08108108108108</v>
      </c>
      <c r="AH14" s="60" t="n">
        <f aca="false">AD14*P1_PVP+AE14*P2_PVP+AF14*P3_PVP</f>
        <v>263.434324324324</v>
      </c>
      <c r="AI14" s="60" t="n">
        <f aca="false">AD14*P1_CPROD+AE14*P2_CPROD+AF14*P3_CPROD</f>
        <v>25.3154891891892</v>
      </c>
      <c r="AJ14" s="60" t="n">
        <f aca="false">IF(ISNUMBER(L14),L14,E14*P1_LOG+F14*P2_LOG+G14*P3_LOG)+IF(ISNUMBER(M14),M14,AA14*P1_LOG+AB14*P2_LOG+AC14*P3_LOG)*TASA_USADA</f>
        <v>60.3197297297297</v>
      </c>
      <c r="AK14" s="60" t="n">
        <f aca="false">AG14*COSTE_DEV</f>
        <v>8.71351351351351</v>
      </c>
      <c r="AL14" s="60" t="n">
        <f aca="false">AD14*P1_IVAN+AE14*P2_IVAN+AF14*P3_IVAN-AG14*IVA_DEV</f>
        <v>41.3264094036185</v>
      </c>
      <c r="AM14" s="60" t="n">
        <f aca="false">N14*(1+RECARGO_ADS)</f>
        <v>68.05</v>
      </c>
      <c r="AN14" s="58" t="n">
        <f aca="false">IF(ISNUMBER(L14),E14+F14+G14+AA14+AB14+AC14,0)</f>
        <v>9</v>
      </c>
      <c r="AO14" s="60" t="n">
        <f aca="false">P14*COMISION</f>
        <v>8.55</v>
      </c>
    </row>
    <row r="15" customFormat="false" ht="15" hidden="false" customHeight="false" outlineLevel="0" collapsed="false">
      <c r="A15" s="53" t="n">
        <v>46309</v>
      </c>
      <c r="B15" s="54" t="n">
        <v>4</v>
      </c>
      <c r="C15" s="54" t="n">
        <v>3</v>
      </c>
      <c r="D15" s="54" t="n">
        <v>0</v>
      </c>
      <c r="E15" s="54" t="n">
        <v>1</v>
      </c>
      <c r="F15" s="54"/>
      <c r="G15" s="54"/>
      <c r="H15" s="54"/>
      <c r="I15" s="54"/>
      <c r="J15" s="54"/>
      <c r="K15" s="54"/>
      <c r="L15" s="55" t="n">
        <v>7.2</v>
      </c>
      <c r="M15" s="55" t="n">
        <v>46.64</v>
      </c>
      <c r="N15" s="55" t="n">
        <v>73.18</v>
      </c>
      <c r="O15" s="56"/>
      <c r="P15" s="31" t="n">
        <f aca="false">B15+C15+D15</f>
        <v>7</v>
      </c>
      <c r="Q15" s="31" t="n">
        <f aca="false">AA15+AB15+AC15</f>
        <v>6</v>
      </c>
      <c r="R15" s="32" t="n">
        <f aca="false">B15*P1_PVP+C15*P2_PVP+D15*P3_PVP</f>
        <v>239.93</v>
      </c>
      <c r="S15" s="32" t="n">
        <f aca="false">IF(P15&gt;0,R15/P15,"")</f>
        <v>34.2757142857143</v>
      </c>
      <c r="T15" s="32" t="n">
        <f aca="false">IF(P15&gt;0,N15/P15,"")</f>
        <v>10.4542857142857</v>
      </c>
      <c r="U15" s="57" t="n">
        <f aca="false">IF(N15&gt;0,R15/N15,"")</f>
        <v>3.27862804044821</v>
      </c>
      <c r="V15" s="34" t="n">
        <f aca="false">IF(E15+F15+G15+H15+I15+J15&gt;0,(E15+F15+G15)/(E15+F15+G15+H15+I15+J15),"")</f>
        <v>1</v>
      </c>
      <c r="W15" s="33" t="n">
        <f aca="false">E15*(P1_PVP-P1_CPROD)+F15*(P2_PVP-P2_CPROD)+G15*(P3_PVP-P3_CPROD)-IF(ISNUMBER(L15),L15,E15*P1_LOG+F15*P2_LOG+G15*P3_LOG)</f>
        <v>20.3821</v>
      </c>
      <c r="X15" s="33" t="n">
        <f aca="false">W15-(E15*P1_IVAN+F15*P2_IVAN+G15*P3_IVAN)-(H15+I15+J15)*(COSTE_DEV-IVA_DEV)-AM15-AO15</f>
        <v>-64.2348760330579</v>
      </c>
      <c r="Y15" s="33" t="n">
        <f aca="false">AH15-AI15-AJ15-AK15-AL15-AM15-AO15</f>
        <v>23.4605896805897</v>
      </c>
      <c r="AA15" s="58" t="n">
        <f aca="false">MAX(0,B15-E15-H15)</f>
        <v>3</v>
      </c>
      <c r="AB15" s="58" t="n">
        <f aca="false">MAX(0,C15-F15-I15)</f>
        <v>3</v>
      </c>
      <c r="AC15" s="58" t="n">
        <f aca="false">MAX(0,D15-G15-J15)</f>
        <v>0</v>
      </c>
      <c r="AD15" s="59" t="n">
        <f aca="false">E15+AA15*TASA_USADA</f>
        <v>3.59459459459459</v>
      </c>
      <c r="AE15" s="59" t="n">
        <f aca="false">F15+AB15*TASA_USADA</f>
        <v>2.59459459459459</v>
      </c>
      <c r="AF15" s="59" t="n">
        <f aca="false">G15+AC15*TASA_USADA</f>
        <v>0</v>
      </c>
      <c r="AG15" s="59" t="n">
        <f aca="false">H15+I15+J15+(AA15+AB15+AC15)*(1-TASA_USADA)</f>
        <v>0.810810810810811</v>
      </c>
      <c r="AH15" s="60" t="n">
        <f aca="false">AD15*P1_PVP+AE15*P2_PVP+AF15*P3_PVP</f>
        <v>211.55972972973</v>
      </c>
      <c r="AI15" s="60" t="n">
        <f aca="false">AD15*P1_CPROD+AE15*P2_CPROD+AF15*P3_CPROD</f>
        <v>21.150472972973</v>
      </c>
      <c r="AJ15" s="60" t="n">
        <f aca="false">IF(ISNUMBER(L15),L15,E15*P1_LOG+F15*P2_LOG+G15*P3_LOG)+IF(ISNUMBER(M15),M15,AA15*P1_LOG+AB15*P2_LOG+AC15*P3_LOG)*TASA_USADA</f>
        <v>47.5372972972973</v>
      </c>
      <c r="AK15" s="60" t="n">
        <f aca="false">AG15*COSTE_DEV</f>
        <v>6.53513513513513</v>
      </c>
      <c r="AL15" s="60" t="n">
        <f aca="false">AD15*P1_IVAN+AE15*P2_IVAN+AF15*P3_IVAN-AG15*IVA_DEV</f>
        <v>33.0462346437346</v>
      </c>
      <c r="AM15" s="60" t="n">
        <f aca="false">N15*(1+RECARGO_ADS)</f>
        <v>73.18</v>
      </c>
      <c r="AN15" s="58" t="n">
        <f aca="false">IF(ISNUMBER(L15),E15+F15+G15+AA15+AB15+AC15,0)</f>
        <v>7</v>
      </c>
      <c r="AO15" s="60" t="n">
        <f aca="false">P15*COMISION</f>
        <v>6.65</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113</v>
      </c>
    </row>
    <row r="2" customFormat="false" ht="15" hidden="false" customHeight="false" outlineLevel="0" collapsed="false">
      <c r="B2" s="2" t="s">
        <v>114</v>
      </c>
    </row>
    <row r="4" customFormat="false" ht="15" hidden="false" customHeight="false" outlineLevel="0" collapsed="false">
      <c r="B4" s="62" t="s">
        <v>115</v>
      </c>
      <c r="C4" s="29" t="s">
        <v>116</v>
      </c>
      <c r="D4" s="29" t="s">
        <v>117</v>
      </c>
      <c r="E4" s="29" t="s">
        <v>118</v>
      </c>
      <c r="F4" s="29" t="s">
        <v>119</v>
      </c>
    </row>
    <row r="5" customFormat="false" ht="15" hidden="false" customHeight="false" outlineLevel="0" collapsed="false">
      <c r="B5" s="63" t="s">
        <v>120</v>
      </c>
      <c r="C5" s="64" t="n">
        <v>29.99</v>
      </c>
      <c r="D5" s="64" t="n">
        <v>39.99</v>
      </c>
      <c r="E5" s="64" t="n">
        <v>49.99</v>
      </c>
      <c r="F5" s="65" t="s">
        <v>121</v>
      </c>
    </row>
    <row r="6" customFormat="false" ht="15" hidden="false" customHeight="false" outlineLevel="0" collapsed="false">
      <c r="B6" s="63" t="s">
        <v>122</v>
      </c>
      <c r="C6" s="66" t="n">
        <v>1</v>
      </c>
      <c r="D6" s="66" t="n">
        <v>2</v>
      </c>
      <c r="E6" s="66" t="n">
        <v>3</v>
      </c>
      <c r="F6" s="65" t="s">
        <v>123</v>
      </c>
    </row>
    <row r="7" customFormat="false" ht="15" hidden="false" customHeight="false" outlineLevel="0" collapsed="false">
      <c r="B7" s="63" t="s">
        <v>124</v>
      </c>
      <c r="C7" s="64" t="n">
        <v>1.99</v>
      </c>
      <c r="D7" s="64" t="n">
        <v>1.99</v>
      </c>
      <c r="E7" s="64" t="n">
        <v>1.99</v>
      </c>
      <c r="F7" s="65" t="s">
        <v>125</v>
      </c>
    </row>
    <row r="8" customFormat="false" ht="22.35" hidden="false" customHeight="false" outlineLevel="0" collapsed="false">
      <c r="B8" s="63" t="s">
        <v>126</v>
      </c>
      <c r="C8" s="64" t="n">
        <v>8.06</v>
      </c>
      <c r="D8" s="64" t="n">
        <v>8.06</v>
      </c>
      <c r="E8" s="64" t="n">
        <v>8.06</v>
      </c>
      <c r="F8" s="65" t="s">
        <v>127</v>
      </c>
    </row>
    <row r="9" customFormat="false" ht="15" hidden="false" customHeight="false" outlineLevel="0" collapsed="false">
      <c r="B9" s="63" t="s">
        <v>128</v>
      </c>
      <c r="C9" s="32" t="n">
        <f aca="false">C6*C7*(1+IVA_PROD)</f>
        <v>2.4079</v>
      </c>
      <c r="D9" s="32" t="n">
        <f aca="false">D6*D7*(1+IVA_PROD)</f>
        <v>4.8158</v>
      </c>
      <c r="E9" s="32" t="n">
        <f aca="false">E6*E7*(1+IVA_PROD)</f>
        <v>7.2237</v>
      </c>
      <c r="F9" s="67" t="s">
        <v>129</v>
      </c>
    </row>
    <row r="10" customFormat="false" ht="15" hidden="false" customHeight="false" outlineLevel="0" collapsed="false">
      <c r="B10" s="63" t="s">
        <v>130</v>
      </c>
      <c r="C10" s="32" t="n">
        <f aca="false">C9+C8</f>
        <v>10.4679</v>
      </c>
      <c r="D10" s="32" t="n">
        <f aca="false">D9+D8</f>
        <v>12.8758</v>
      </c>
      <c r="E10" s="32" t="n">
        <f aca="false">E9+E8</f>
        <v>15.2837</v>
      </c>
      <c r="F10" s="67" t="s">
        <v>131</v>
      </c>
    </row>
    <row r="11" customFormat="false" ht="15" hidden="false" customHeight="false" outlineLevel="0" collapsed="false">
      <c r="B11" s="68" t="s">
        <v>132</v>
      </c>
      <c r="C11" s="33" t="n">
        <f aca="false">C5-C10</f>
        <v>19.5221</v>
      </c>
      <c r="D11" s="33" t="n">
        <f aca="false">D5-D10</f>
        <v>27.1142</v>
      </c>
      <c r="E11" s="33" t="n">
        <f aca="false">E5-E10</f>
        <v>34.7063</v>
      </c>
      <c r="F11" s="67" t="s">
        <v>133</v>
      </c>
    </row>
    <row r="12" customFormat="false" ht="15" hidden="false" customHeight="false" outlineLevel="0" collapsed="false">
      <c r="B12" s="63" t="s">
        <v>134</v>
      </c>
      <c r="C12" s="32" t="n">
        <f aca="false">C5*IVA_VENTAS/(1+IVA_VENTAS)</f>
        <v>5.20487603305785</v>
      </c>
      <c r="D12" s="32" t="n">
        <f aca="false">D5*IVA_VENTAS/(1+IVA_VENTAS)</f>
        <v>6.9404132231405</v>
      </c>
      <c r="E12" s="32" t="n">
        <f aca="false">E5*IVA_VENTAS/(1+IVA_VENTAS)</f>
        <v>8.67595041322314</v>
      </c>
      <c r="F12" s="67" t="s">
        <v>135</v>
      </c>
    </row>
    <row r="13" customFormat="false" ht="15" hidden="false" customHeight="false" outlineLevel="0" collapsed="false">
      <c r="B13" s="63" t="s">
        <v>136</v>
      </c>
      <c r="C13" s="32" t="n">
        <f aca="false">C6*C7*IVA_PROD+IF(LOG_IVA=1,C8*IVA_VENTAS/(1+IVA_VENTAS),0)</f>
        <v>0.4179</v>
      </c>
      <c r="D13" s="32" t="n">
        <f aca="false">D6*D7*IVA_PROD+IF(LOG_IVA=1,D8*IVA_VENTAS/(1+IVA_VENTAS),0)</f>
        <v>0.8358</v>
      </c>
      <c r="E13" s="32" t="n">
        <f aca="false">E6*E7*IVA_PROD+IF(LOG_IVA=1,E8*IVA_VENTAS/(1+IVA_VENTAS),0)</f>
        <v>1.2537</v>
      </c>
      <c r="F13" s="67" t="s">
        <v>137</v>
      </c>
    </row>
    <row r="14" customFormat="false" ht="15" hidden="false" customHeight="false" outlineLevel="0" collapsed="false">
      <c r="B14" s="63" t="s">
        <v>138</v>
      </c>
      <c r="C14" s="32" t="n">
        <f aca="false">IF(APLICA_IVA=1,C12-C13,0)</f>
        <v>4.78697603305785</v>
      </c>
      <c r="D14" s="32" t="n">
        <f aca="false">IF(APLICA_IVA=1,D12-D13,0)</f>
        <v>6.1046132231405</v>
      </c>
      <c r="E14" s="32" t="n">
        <f aca="false">IF(APLICA_IVA=1,E12-E13,0)</f>
        <v>7.42225041322314</v>
      </c>
      <c r="F14" s="67" t="s">
        <v>139</v>
      </c>
    </row>
    <row r="15" customFormat="false" ht="15" hidden="false" customHeight="false" outlineLevel="0" collapsed="false">
      <c r="B15" s="68" t="s">
        <v>140</v>
      </c>
      <c r="C15" s="33" t="n">
        <f aca="false">C11-C14</f>
        <v>14.7351239669421</v>
      </c>
      <c r="D15" s="33" t="n">
        <f aca="false">D11-D14</f>
        <v>21.0095867768595</v>
      </c>
      <c r="E15" s="33" t="n">
        <f aca="false">E11-E14</f>
        <v>27.2840495867769</v>
      </c>
      <c r="F15" s="67" t="s">
        <v>141</v>
      </c>
    </row>
    <row r="17" customFormat="false" ht="15" hidden="false" customHeight="false" outlineLevel="0" collapsed="false">
      <c r="B17" s="62" t="s">
        <v>142</v>
      </c>
      <c r="C17" s="29" t="s">
        <v>143</v>
      </c>
      <c r="D17" s="29"/>
      <c r="E17" s="29"/>
      <c r="F17" s="29" t="s">
        <v>144</v>
      </c>
    </row>
    <row r="18" customFormat="false" ht="15" hidden="false" customHeight="false" outlineLevel="0" collapsed="false">
      <c r="B18" s="63" t="s">
        <v>145</v>
      </c>
      <c r="C18" s="69" t="n">
        <v>0.21</v>
      </c>
      <c r="F18" s="65" t="s">
        <v>146</v>
      </c>
    </row>
    <row r="19" customFormat="false" ht="15" hidden="false" customHeight="false" outlineLevel="0" collapsed="false">
      <c r="B19" s="63" t="s">
        <v>147</v>
      </c>
      <c r="C19" s="69" t="n">
        <v>0.21</v>
      </c>
      <c r="F19" s="65" t="s">
        <v>148</v>
      </c>
    </row>
    <row r="20" customFormat="false" ht="22.35" hidden="false" customHeight="false" outlineLevel="0" collapsed="false">
      <c r="B20" s="63" t="s">
        <v>149</v>
      </c>
      <c r="C20" s="70" t="s">
        <v>150</v>
      </c>
      <c r="F20" s="65" t="s">
        <v>151</v>
      </c>
    </row>
    <row r="21" customFormat="false" ht="22.35" hidden="false" customHeight="false" outlineLevel="0" collapsed="false">
      <c r="B21" s="63" t="s">
        <v>152</v>
      </c>
      <c r="C21" s="70" t="s">
        <v>153</v>
      </c>
      <c r="F21" s="65" t="s">
        <v>154</v>
      </c>
    </row>
    <row r="22" customFormat="false" ht="22.35" hidden="false" customHeight="false" outlineLevel="0" collapsed="false">
      <c r="B22" s="63" t="s">
        <v>155</v>
      </c>
      <c r="C22" s="64" t="n">
        <v>8.06</v>
      </c>
      <c r="F22" s="65" t="s">
        <v>156</v>
      </c>
    </row>
    <row r="23" customFormat="false" ht="15" hidden="false" customHeight="false" outlineLevel="0" collapsed="false">
      <c r="B23" s="63" t="s">
        <v>157</v>
      </c>
      <c r="C23" s="69" t="n">
        <v>0</v>
      </c>
      <c r="F23" s="65" t="s">
        <v>158</v>
      </c>
    </row>
    <row r="24" customFormat="false" ht="15" hidden="false" customHeight="false" outlineLevel="0" collapsed="false">
      <c r="B24" s="63" t="s">
        <v>159</v>
      </c>
      <c r="C24" s="69" t="n">
        <v>0.8</v>
      </c>
      <c r="F24" s="65" t="s">
        <v>160</v>
      </c>
    </row>
    <row r="25" customFormat="false" ht="15" hidden="false" customHeight="false" outlineLevel="0" collapsed="false">
      <c r="B25" s="63" t="s">
        <v>161</v>
      </c>
      <c r="C25" s="66" t="n">
        <v>30</v>
      </c>
      <c r="F25" s="65" t="s">
        <v>162</v>
      </c>
    </row>
    <row r="26" customFormat="false" ht="15" hidden="false" customHeight="false" outlineLevel="0" collapsed="false">
      <c r="B26" s="63" t="s">
        <v>163</v>
      </c>
      <c r="C26" s="69" t="n">
        <v>0.3</v>
      </c>
      <c r="D26" s="69" t="n">
        <v>0.05</v>
      </c>
      <c r="F26" s="65" t="s">
        <v>164</v>
      </c>
    </row>
    <row r="27" customFormat="false" ht="15" hidden="false" customHeight="false" outlineLevel="0" collapsed="false">
      <c r="B27" s="63" t="s">
        <v>29</v>
      </c>
      <c r="C27" s="71" t="n">
        <v>10000</v>
      </c>
      <c r="F27" s="65" t="s">
        <v>165</v>
      </c>
    </row>
    <row r="28" customFormat="false" ht="15" hidden="false" customHeight="false" outlineLevel="0" collapsed="false">
      <c r="B28" s="63" t="s">
        <v>166</v>
      </c>
      <c r="C28" s="4" t="n">
        <v>46300</v>
      </c>
      <c r="F28" s="65" t="s">
        <v>167</v>
      </c>
    </row>
    <row r="29" customFormat="false" ht="15" hidden="false" customHeight="false" outlineLevel="0" collapsed="false">
      <c r="B29" s="63" t="s">
        <v>168</v>
      </c>
      <c r="C29" s="70" t="s">
        <v>169</v>
      </c>
      <c r="F29" s="65" t="s">
        <v>170</v>
      </c>
    </row>
    <row r="30" customFormat="false" ht="15" hidden="false" customHeight="false" outlineLevel="0" collapsed="false">
      <c r="B30" s="63" t="s">
        <v>171</v>
      </c>
      <c r="C30" s="70" t="s">
        <v>172</v>
      </c>
      <c r="F30" s="65" t="s">
        <v>173</v>
      </c>
    </row>
    <row r="31" customFormat="false" ht="15" hidden="false" customHeight="false" outlineLevel="0" collapsed="false">
      <c r="B31" s="63" t="s">
        <v>174</v>
      </c>
      <c r="C31" s="64" t="n">
        <v>0.95</v>
      </c>
      <c r="F31" s="65" t="s">
        <v>175</v>
      </c>
    </row>
    <row r="32" customFormat="false" ht="19.5" hidden="false" customHeight="true" outlineLevel="0" collapsed="false">
      <c r="B32" s="62" t="s">
        <v>176</v>
      </c>
      <c r="C32" s="29" t="s">
        <v>143</v>
      </c>
      <c r="D32" s="29"/>
      <c r="E32" s="29"/>
      <c r="F32" s="29" t="s">
        <v>177</v>
      </c>
    </row>
    <row r="33" customFormat="false" ht="15" hidden="false" customHeight="false" outlineLevel="0" collapsed="false">
      <c r="B33" s="63" t="s">
        <v>178</v>
      </c>
      <c r="C33" s="31" t="n">
        <f aca="false">IF(C20="SÍ",1,0)</f>
        <v>1</v>
      </c>
      <c r="F33" s="67"/>
    </row>
    <row r="34" customFormat="false" ht="15" hidden="false" customHeight="false" outlineLevel="0" collapsed="false">
      <c r="B34" s="63" t="s">
        <v>179</v>
      </c>
      <c r="C34" s="31" t="n">
        <f aca="false">IF(C21="SÍ",1,0)</f>
        <v>0</v>
      </c>
      <c r="F34" s="67"/>
    </row>
    <row r="35" customFormat="false" ht="15" hidden="false" customHeight="false" outlineLevel="0" collapsed="false">
      <c r="B35" s="63" t="s">
        <v>180</v>
      </c>
      <c r="C35" s="32" t="n">
        <f aca="false">IF(AND(APLICA_IVA=1,LOG_IVA=1),C22*IVA_VENTAS/(1+IVA_VENTAS),0)</f>
        <v>0</v>
      </c>
      <c r="F35" s="67"/>
    </row>
    <row r="36" customFormat="false" ht="15" hidden="false" customHeight="false" outlineLevel="0" collapsed="false">
      <c r="B36" s="63" t="s">
        <v>181</v>
      </c>
      <c r="C36" s="32" t="n">
        <f aca="false">C22-C35</f>
        <v>8.06</v>
      </c>
      <c r="F36" s="67"/>
    </row>
    <row r="37" customFormat="false" ht="15" hidden="false" customHeight="false" outlineLevel="0" collapsed="false">
      <c r="B37" s="63" t="s">
        <v>182</v>
      </c>
      <c r="C37" s="31" t="n">
        <f aca="false">(SUM(Diario!$E$6:$E$370)+SUM(Diario!$F$6:$F$370)+SUM(Diario!$G$6:$G$370))+(SUM(Diario!$H$6:$H$370)+SUM(Diario!$I$6:$I$370)+SUM(Diario!$J$6:$J$370))</f>
        <v>37</v>
      </c>
      <c r="F37" s="67" t="s">
        <v>183</v>
      </c>
    </row>
    <row r="38" customFormat="false" ht="15" hidden="false" customHeight="false" outlineLevel="0" collapsed="false">
      <c r="B38" s="63" t="s">
        <v>184</v>
      </c>
      <c r="C38" s="34" t="n">
        <f aca="false">IF(C37&gt;0,(SUM(Diario!$E$6:$E$370)+SUM(Diario!$F$6:$F$370)+SUM(Diario!$G$6:$G$370))/C37,"")</f>
        <v>0.864864864864865</v>
      </c>
      <c r="F38" s="67" t="s">
        <v>185</v>
      </c>
    </row>
    <row r="39" customFormat="false" ht="15" hidden="false" customHeight="false" outlineLevel="0" collapsed="false">
      <c r="B39" s="63" t="s">
        <v>186</v>
      </c>
      <c r="C39" s="34" t="n">
        <f aca="false">IF(AND(C37&gt;=C25,C38&lt;&gt;""),C38,C24)</f>
        <v>0.864864864864865</v>
      </c>
      <c r="F39" s="67" t="s">
        <v>187</v>
      </c>
    </row>
    <row r="40" customFormat="false" ht="15" hidden="false" customHeight="false" outlineLevel="0" collapsed="false">
      <c r="B40" s="63" t="s">
        <v>188</v>
      </c>
      <c r="C40" s="34" t="n">
        <f aca="false">IF(SUM(Diario!$P$6:$P$370)&gt;0,SUM(Diario!$C$6:$C$370)/SUM(Diario!$P$6:$P$370),"")</f>
        <v>0.277777777777778</v>
      </c>
      <c r="D40" s="34" t="n">
        <f aca="false">IF(SUM(Diario!$P$6:$P$370)&gt;0,SUM(Diario!$D$6:$D$370)/SUM(Diario!$P$6:$P$370),"")</f>
        <v>0.0555555555555556</v>
      </c>
      <c r="F40" s="67" t="s">
        <v>189</v>
      </c>
    </row>
    <row r="41" customFormat="false" ht="15" hidden="false" customHeight="false" outlineLevel="0" collapsed="false">
      <c r="B41" s="63" t="s">
        <v>190</v>
      </c>
      <c r="C41" s="34" t="n">
        <f aca="false">IF(C40="",C26,C40)</f>
        <v>0.277777777777778</v>
      </c>
      <c r="D41" s="34" t="n">
        <f aca="false">IF(D40="",D26,D40)</f>
        <v>0.0555555555555556</v>
      </c>
      <c r="F41" s="67"/>
    </row>
    <row r="42" customFormat="false" ht="15" hidden="false" customHeight="false" outlineLevel="0" collapsed="false">
      <c r="B42" s="63" t="s">
        <v>191</v>
      </c>
      <c r="C42" s="32" t="n">
        <f aca="false">IF(SUM(Diario!$AN$6:$AN$370)&gt;0,(SUM(Diario!$L$6:$L$370)+SUM(Diario!$M$6:$M$370))/SUM(Diario!$AN$6:$AN$370),"")</f>
        <v>7.58364705882353</v>
      </c>
      <c r="F42" s="67" t="s">
        <v>192</v>
      </c>
    </row>
    <row r="43" customFormat="false" ht="15" hidden="false" customHeight="false" outlineLevel="0" collapsed="false">
      <c r="B43" s="63" t="s">
        <v>193</v>
      </c>
      <c r="C43" s="32" t="n">
        <f aca="false">(1-C41-D41)*C5+C41*D5+D41*E5</f>
        <v>33.8788888888889</v>
      </c>
      <c r="F43" s="67"/>
    </row>
    <row r="44" customFormat="false" ht="15" hidden="false" customHeight="false" outlineLevel="0" collapsed="false">
      <c r="B44" s="63" t="s">
        <v>194</v>
      </c>
      <c r="C44" s="32" t="n">
        <f aca="false">(1-C41-D41)*(C5-C9-IF(C42="",C8,C42)-C14)+C41*(D5-D9-IF(C42="",D8,C42)-D14)+D41*(E5-E9-IF(C42="",E8,C42)-E14)</f>
        <v>17.651545778642</v>
      </c>
      <c r="F44" s="67" t="s">
        <v>195</v>
      </c>
    </row>
    <row r="45" customFormat="false" ht="15" hidden="false" customHeight="false" outlineLevel="0" collapsed="false">
      <c r="B45" s="63" t="s">
        <v>196</v>
      </c>
      <c r="C45" s="32" t="n">
        <f aca="false">C39*C44-(1-C39)*C36-COMISION</f>
        <v>13.227012565312</v>
      </c>
      <c r="F45" s="67" t="s">
        <v>197</v>
      </c>
    </row>
    <row r="46" customFormat="false" ht="15" hidden="false" customHeight="false" outlineLevel="0" collapsed="false">
      <c r="B46" s="68" t="s">
        <v>198</v>
      </c>
      <c r="C46" s="33" t="n">
        <f aca="false">C45/(1+RECARGO_ADS)</f>
        <v>13.227012565312</v>
      </c>
      <c r="F46" s="67" t="s">
        <v>199</v>
      </c>
    </row>
    <row r="47" customFormat="false" ht="15" hidden="false" customHeight="false" outlineLevel="0" collapsed="false">
      <c r="B47" s="68" t="s">
        <v>200</v>
      </c>
      <c r="C47" s="72" t="n">
        <f aca="false">IF(C46&gt;0,C43/C46,"")</f>
        <v>2.5613409469147</v>
      </c>
      <c r="F47" s="67" t="s">
        <v>201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202</v>
      </c>
    </row>
    <row r="4" customFormat="false" ht="15" hidden="false" customHeight="false" outlineLevel="0" collapsed="false">
      <c r="B4" s="73" t="s">
        <v>203</v>
      </c>
    </row>
    <row r="5" customFormat="false" ht="15" hidden="false" customHeight="false" outlineLevel="0" collapsed="false">
      <c r="B5" s="74" t="s">
        <v>204</v>
      </c>
    </row>
    <row r="6" customFormat="false" ht="15" hidden="false" customHeight="false" outlineLevel="0" collapsed="false">
      <c r="B6" s="74" t="s">
        <v>205</v>
      </c>
    </row>
    <row r="7" customFormat="false" ht="15" hidden="false" customHeight="false" outlineLevel="0" collapsed="false">
      <c r="B7" s="74" t="s">
        <v>206</v>
      </c>
    </row>
    <row r="8" customFormat="false" ht="15" hidden="false" customHeight="false" outlineLevel="0" collapsed="false">
      <c r="B8" s="74" t="s">
        <v>207</v>
      </c>
    </row>
    <row r="10" customFormat="false" ht="15" hidden="false" customHeight="false" outlineLevel="0" collapsed="false">
      <c r="B10" s="73" t="s">
        <v>208</v>
      </c>
    </row>
    <row r="11" customFormat="false" ht="23.85" hidden="false" customHeight="false" outlineLevel="0" collapsed="false">
      <c r="B11" s="74" t="s">
        <v>209</v>
      </c>
    </row>
    <row r="12" customFormat="false" ht="15" hidden="false" customHeight="false" outlineLevel="0" collapsed="false">
      <c r="B12" s="74" t="s">
        <v>210</v>
      </c>
    </row>
    <row r="13" customFormat="false" ht="15" hidden="false" customHeight="false" outlineLevel="0" collapsed="false">
      <c r="B13" s="74" t="s">
        <v>211</v>
      </c>
    </row>
    <row r="15" customFormat="false" ht="15" hidden="false" customHeight="false" outlineLevel="0" collapsed="false">
      <c r="B15" s="73" t="s">
        <v>212</v>
      </c>
    </row>
    <row r="16" customFormat="false" ht="15" hidden="false" customHeight="false" outlineLevel="0" collapsed="false">
      <c r="B16" s="74" t="s">
        <v>213</v>
      </c>
    </row>
    <row r="17" customFormat="false" ht="23.85" hidden="false" customHeight="false" outlineLevel="0" collapsed="false">
      <c r="B17" s="74" t="s">
        <v>214</v>
      </c>
    </row>
    <row r="18" customFormat="false" ht="15" hidden="false" customHeight="false" outlineLevel="0" collapsed="false">
      <c r="B18" s="74" t="s">
        <v>215</v>
      </c>
    </row>
    <row r="20" customFormat="false" ht="15" hidden="false" customHeight="false" outlineLevel="0" collapsed="false">
      <c r="B20" s="73" t="s">
        <v>216</v>
      </c>
    </row>
    <row r="21" customFormat="false" ht="15" hidden="false" customHeight="false" outlineLevel="0" collapsed="false">
      <c r="B21" s="74" t="s">
        <v>217</v>
      </c>
    </row>
    <row r="22" customFormat="false" ht="23.85" hidden="false" customHeight="false" outlineLevel="0" collapsed="false">
      <c r="B22" s="74" t="s">
        <v>218</v>
      </c>
    </row>
    <row r="23" customFormat="false" ht="15" hidden="false" customHeight="false" outlineLevel="0" collapsed="false">
      <c r="B23" s="74" t="s">
        <v>219</v>
      </c>
    </row>
    <row r="25" customFormat="false" ht="15" hidden="false" customHeight="false" outlineLevel="0" collapsed="false">
      <c r="B25" s="73" t="s">
        <v>220</v>
      </c>
    </row>
    <row r="26" customFormat="false" ht="15" hidden="false" customHeight="false" outlineLevel="0" collapsed="false">
      <c r="B26" s="74" t="s">
        <v>221</v>
      </c>
    </row>
    <row r="27" customFormat="false" ht="15" hidden="false" customHeight="false" outlineLevel="0" collapsed="false">
      <c r="B27" s="74" t="s">
        <v>222</v>
      </c>
    </row>
    <row r="28" customFormat="false" ht="15" hidden="false" customHeight="false" outlineLevel="0" collapsed="false">
      <c r="B28" s="74" t="s">
        <v>223</v>
      </c>
    </row>
    <row r="30" customFormat="false" ht="15" hidden="false" customHeight="false" outlineLevel="0" collapsed="false">
      <c r="B30" s="73" t="s">
        <v>224</v>
      </c>
    </row>
    <row r="31" customFormat="false" ht="15" hidden="false" customHeight="false" outlineLevel="0" collapsed="false">
      <c r="B31" s="74" t="s">
        <v>225</v>
      </c>
    </row>
    <row r="32" customFormat="false" ht="15" hidden="false" customHeight="false" outlineLevel="0" collapsed="false">
      <c r="B32" s="74" t="s">
        <v>226</v>
      </c>
    </row>
    <row r="33" customFormat="false" ht="15" hidden="false" customHeight="false" outlineLevel="0" collapsed="false">
      <c r="B33" s="74" t="s">
        <v>227</v>
      </c>
    </row>
    <row r="34" customFormat="false" ht="23.85" hidden="false" customHeight="false" outlineLevel="0" collapsed="false">
      <c r="B34" s="74" t="s">
        <v>228</v>
      </c>
    </row>
    <row r="36" customFormat="false" ht="15" hidden="false" customHeight="false" outlineLevel="0" collapsed="false">
      <c r="B36" s="73" t="s">
        <v>229</v>
      </c>
    </row>
    <row r="37" customFormat="false" ht="15" hidden="false" customHeight="false" outlineLevel="0" collapsed="false">
      <c r="B37" s="7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2026-10-15T11:44:07Z</dcterms:created>
  <dc:creator>openpyxl</dc:creator>
  <dc:description/>
  <dc:language>en-US</dc:language>
  <cp:lastModifiedBy/>
  <dcterms:modified xsi:type="dcterms:W3CDTF">2026-10-15T11:44:14Z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