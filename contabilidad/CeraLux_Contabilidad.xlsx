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A_CPROD" vbProcedure="false">Config!$G$9</definedName>
    <definedName function="false" hidden="false" name="P3A_IVAN" vbProcedure="false">Config!$G$14</definedName>
    <definedName function="false" hidden="false" name="P3A_PVP" vbProcedure="false">Config!$G$5</definedName>
    <definedName function="false" hidden="false" name="P3_CPROD" vbProcedure="false">Config!$E$9</definedName>
    <definedName function="false" hidden="false" name="P3_DESDE" vbProcedure="false">Config!$C$16</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<sst xmlns="http://schemas.openxmlformats.org/spreadsheetml/2006/main" count="247" uniqueCount="233">
  <si>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</si>
  <si>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</si>
  <si>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</si>
  <si>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</si>
  <si>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</si>
  <si>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</si>
  <si>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</si>
  <si>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</si>
  <si>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</si>
  <si>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</si>
  <si>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</si>
  <si>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</si>
  <si>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</si>
  <si>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</si>
  <si>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</si>
  <si>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</si>
  <si>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</si>
  <si>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</si>
  <si>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</si>
  <si>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</si>
  <si>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</si>
  <si>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</si>
  <si>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</si>
  <si>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</si>
  <si>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</si>
  <si>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</si>
  <si>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</si>
  <si>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</si>
  <si>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</si>
  <si>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</si>
  <si>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</si>
  <si>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</si>
  <si>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</si>
  <si>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</si>
  <si>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</si>
  <si>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</si>
  <si>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</si>
  <si>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</si>
  <si>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</si>
  <si>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</si>
  <si>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</si>
  <si>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</si>
  <si>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</si>
  <si>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</si>
  <si>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</si>
  <si>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</si>
  <si>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</si>
  <si>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</si>
  <si>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</si>
  <si>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</si>
  <si>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</si>
  <si>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</si>
  <si>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</si>
  <si>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</si>
  <si>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</si>
  <si>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</si>
  <si>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</si>
  <si>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</si>
  <si>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</si>
  <si>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</si>
  <si>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</si>
  <si>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</si>
  <si>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</si>
  <si>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</si>
  <si>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</si>
  <si>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</si>
  <si>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</si>
  <si>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</si>
  <si>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</si>
  <si>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</si>
  <si>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</si>
  <si>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</si>
  <si>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</si>
  <si>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</si>
  <si>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</si>
  <si>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</si>
  <si>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</si>
  <si>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</si>
  <si>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</si>
  <si>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</si>
  <si>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</si>
  <si>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</si>
  <si>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</si>
  <si>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</si>
  <si>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</si>
  <si>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</si>
  <si>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</si>
  <si>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</si>
  <si>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</si>
  <si>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</si>
  <si>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</si>
  <si>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</si>
  <si>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</si>
  <si>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</si>
  <si>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</si>
  <si>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</si>
  <si>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</si>
  <si>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</si>
  <si>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</si>
  <si>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</si>
  <si>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</si>
  <si>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</si>
  <si>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</si>
  <si>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</si>
  <si>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</si>
  <si>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</si>
  <si>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</si>
  <si>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</si>
  <si>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</si>
  <si>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</si>
  <si>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</si>
  <si>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</si>
  <si>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</si>
  <si>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</si>
  <si>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</si>
  <si>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</si>
  <si>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</si>
  <si>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</si>
  <si>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 aspirador</t>
  </si>
  <si>
    <t xml:space="preserve">De dónde sale</t>
  </si>
  <si>
    <t xml:space="preserve">Pack 3 antes</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</si>
  <si>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</si>
  <si>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</si>
  <si>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</si>
  <si>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</si>
  <si>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</si>
  <si>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 Pack 3 desde el 15/10: (3 × 1,99 + aspirador 4,19) / 3.</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</si>
  <si>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</si>
  <si>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</si>
  <si>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</si>
  <si>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</si>
  <si>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</si>
  <si>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12,88 € y 20,35 € (Pack 3 + aspirador; 15,28 € el de antes).</t>
  </si>
  <si>
    <t xml:space="preserve">Beneficio dropshipper por pedido ENTREGADO</t>
  </si>
  <si>
    <t xml:space="preserve">Lo que te liquida el almacén: 19,52 €, 27,11 € y 39,64 € (34,71 € el Pack 3 de antes).</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</si>
  <si>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</si>
  <si>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</si>
  <si>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</si>
  <si>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</si>
  <si>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</si>
  <si>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</si>
  <si>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</si>
  <si>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</si>
  <si>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Pack 3 actual vigente desde (antes: columna G)</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</si>
  <si>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</si>
  <si>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</si>
  <si>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</si>
  <si>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</si>
  <si>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</si>
  <si>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</si>
  <si>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</si>
  <si>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</si>
  <si>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</si>
  <si>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</si>
  <si>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</si>
  <si>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</si>
  <si>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</si>
  <si>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</si>
  <si>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Confirmado con Dropi: el envío de ida ya incluye la vuelta, así que pierdes el envío (8,06 €) y el producto vuelve.</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</si>
  <si>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</si>
  <si>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</si>
  <si>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</si>
  <si>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</si>
  <si>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</si>
  <si>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</si>
  <si>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</si>
  <si>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</si>
  <si>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</si>
  <si>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</si>
  <si>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</si>
  <si>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</si>
  <si>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</si>
  <si>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</si>
  <si>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</si>
  <si>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</si>
  <si>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</si>
  <si>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</si>
  <si>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</si>
  <si>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</si>
  <si>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</si>
  <si>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</si>
  <si>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</si>
  <si>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</si>
  <si>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</si>
  <si>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</si>
  <si>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</si>
  <si>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</si>
  <si>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</si>
  <si>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</si>
  <si>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</si>
  <si>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</si>
  <si>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</si>
  <si>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</si>
  <si>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</si>
  <si>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</si>
  <si>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</si>
  <si>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</si>
  <si>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</si>
  <si>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</si>
  <si>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</si>
  <si>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</si>
  <si>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</si>
  <si>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</si>
  <si>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</si>
  <si>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</si>
  <si>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</si>
  <si>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</si>
  <si>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</si>
  <si>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</si>
  <si>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</si>
  <si>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</si>
  <si>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</si>
  <si>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</si>
  <si>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</si>
  <si>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</si>
  <si>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</si>
  <si>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</si>
  <si>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</si>
  <si>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</si>
  <si>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</si>
  <si>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</si>
  <si>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</si>
  <si>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</si>
  <si>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</si>
  <si>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</si>
  <si>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</si>
  <si>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</si>
  <si>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(confirmado con Dropi: el envío de ida ya incluye la vuelta).</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</si>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</sst>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02/10</c:v>
                </c:pt>
                <c:pt idx="1">
                  <c:v>Sat 03/10</c:v>
                </c:pt>
                <c:pt idx="2">
                  <c:v>Sun 04/10</c:v>
                </c:pt>
                <c:pt idx="3">
                  <c:v>Mon 05/10</c:v>
                </c:pt>
                <c:pt idx="4">
                  <c:v>Tue 06/10</c:v>
                </c:pt>
                <c:pt idx="5">
                  <c:v>Wed 07/10</c:v>
                </c:pt>
                <c:pt idx="6">
                  <c:v>Thu 08/10</c:v>
                </c:pt>
                <c:pt idx="7">
                  <c:v>Fri 09/10</c:v>
                </c:pt>
                <c:pt idx="8">
                  <c:v>Sat 10/10</c:v>
                </c:pt>
                <c:pt idx="9">
                  <c:v>Sun 11/10</c:v>
                </c:pt>
                <c:pt idx="10">
                  <c:v>Mon 12/10</c:v>
                </c:pt>
                <c:pt idx="11">
                  <c:v>Tue 13/10</c:v>
                </c:pt>
                <c:pt idx="12">
                  <c:v>Wed 14/10</c:v>
                </c:pt>
                <c:pt idx="13">
                  <c:v>Thu 15/10</c:v>
                </c:pt>
              </c:strCache>
            </c:strRef>
          </c:cat>
          <c:val>
            <c:numRef>
              <c:f>Dashboard!$F$29:$F$42</c:f>
              <c:numCache>
                <c:formatCode>#,##0.00" €";[RED]\-#,##0.00" €";\-</c:formatCode>
                <c:ptCount val="14"/>
                <c:pt idx="0">
                  <c:v>0</c:v>
                </c:pt>
                <c:pt idx="1">
                  <c:v>0</c:v>
                </c:pt>
                <c:pt idx="2">
                  <c:v>0</c:v>
                </c:pt>
                <c:pt idx="3">
                  <c:v>68.5554781582054</c:v>
                </c:pt>
                <c:pt idx="4">
                  <c:v>13.935974025974</c:v>
                </c:pt>
                <c:pt idx="5">
                  <c:v>23.9558677685951</c:v>
                </c:pt>
                <c:pt idx="6">
                  <c:v>120.338181818182</c:v>
                </c:pt>
                <c:pt idx="7">
                  <c:v>46.0897048406139</c:v>
                </c:pt>
                <c:pt idx="8">
                  <c:v>71.6076033057851</c:v>
                </c:pt>
                <c:pt idx="9">
                  <c:v>-19.8112514757969</c:v>
                </c:pt>
                <c:pt idx="10">
                  <c:v>110.413896103896</c:v>
                </c:pt>
                <c:pt idx="11">
                  <c:v>53.0096103896104</c:v>
                </c:pt>
                <c:pt idx="12">
                  <c:v>52.4884179456907</c:v>
                </c:pt>
                <c:pt idx="13">
                  <c:v>31.8520070838253</c:v>
                </c:pt>
              </c:numCache>
            </c:numRef>
          </c:val>
        </c:ser>
        <c:gapWidth val="150"/>
        <c:overlap val="0"/>
        <c:axId val="56870898"/>
        <c:axId val="53679593"/>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02/10</c:v>
                </c:pt>
                <c:pt idx="1">
                  <c:v>Sat 03/10</c:v>
                </c:pt>
                <c:pt idx="2">
                  <c:v>Sun 04/10</c:v>
                </c:pt>
                <c:pt idx="3">
                  <c:v>Mon 05/10</c:v>
                </c:pt>
                <c:pt idx="4">
                  <c:v>Tue 06/10</c:v>
                </c:pt>
                <c:pt idx="5">
                  <c:v>Wed 07/10</c:v>
                </c:pt>
                <c:pt idx="6">
                  <c:v>Thu 08/10</c:v>
                </c:pt>
                <c:pt idx="7">
                  <c:v>Fri 09/10</c:v>
                </c:pt>
                <c:pt idx="8">
                  <c:v>Sat 10/10</c:v>
                </c:pt>
                <c:pt idx="9">
                  <c:v>Sun 11/10</c:v>
                </c:pt>
                <c:pt idx="10">
                  <c:v>Mon 12/10</c:v>
                </c:pt>
                <c:pt idx="11">
                  <c:v>Tue 13/10</c:v>
                </c:pt>
                <c:pt idx="12">
                  <c:v>Wed 14/10</c:v>
                </c:pt>
                <c:pt idx="13">
                  <c:v>Thu 15/10</c:v>
                </c:pt>
              </c:strCache>
            </c:strRef>
          </c:cat>
          <c:val>
            <c:numRef>
              <c:f>Dashboard!$D$29:$D$42</c:f>
              <c:numCache>
                <c:formatCode>#,##0.00" €";[RED]\-#,##0.00" €";\-</c:formatCode>
                <c:ptCount val="14"/>
                <c:pt idx="0">
                  <c:v>0</c:v>
                </c:pt>
                <c:pt idx="1">
                  <c:v>0</c:v>
                </c:pt>
                <c:pt idx="2">
                  <c:v>0</c:v>
                </c:pt>
                <c:pt idx="3">
                  <c:v>67.67</c:v>
                </c:pt>
                <c:pt idx="4">
                  <c:v>70.18</c:v>
                </c:pt>
                <c:pt idx="5">
                  <c:v>47.78</c:v>
                </c:pt>
                <c:pt idx="6">
                  <c:v>50.46</c:v>
                </c:pt>
                <c:pt idx="7">
                  <c:v>41.21</c:v>
                </c:pt>
                <c:pt idx="8">
                  <c:v>64.81</c:v>
                </c:pt>
                <c:pt idx="9">
                  <c:v>89.51</c:v>
                </c:pt>
                <c:pt idx="10">
                  <c:v>78.33</c:v>
                </c:pt>
                <c:pt idx="11">
                  <c:v>68.05</c:v>
                </c:pt>
                <c:pt idx="12">
                  <c:v>73.35</c:v>
                </c:pt>
                <c:pt idx="13">
                  <c:v>41.64</c:v>
                </c:pt>
              </c:numCache>
            </c:numRef>
          </c:val>
          <c:smooth val="0"/>
        </c:ser>
        <c:hiLowLines>
          <c:spPr>
            <a:ln w="0">
              <a:noFill/>
            </a:ln>
          </c:spPr>
        </c:hiLowLines>
        <c:marker val="0"/>
        <c:axId val="56870898"/>
        <c:axId val="53679593"/>
      </c:lineChart>
      <c:catAx>
        <c:axId val="56870898"/>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679593"/>
        <c:crosses val="autoZero"/>
        <c:auto val="1"/>
        <c:lblAlgn val="ctr"/>
        <c:lblOffset val="100"/>
        <c:noMultiLvlLbl val="0"/>
      </c:catAx>
      <c:valAx>
        <c:axId val="53679593"/>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87089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572.435489964581</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38917003"/>
        <c:axId val="77706079"/>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38917003"/>
        <c:axId val="77706079"/>
      </c:lineChart>
      <c:catAx>
        <c:axId val="38917003"/>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706079"/>
        <c:crosses val="autoZero"/>
        <c:auto val="1"/>
        <c:lblAlgn val="ctr"/>
        <c:lblOffset val="100"/>
        <c:noMultiLvlLbl val="0"/>
      </c:catAx>
      <c:valAx>
        <c:axId val="77706079"/>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91700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46310</v>
      </c>
      <c r="G3" s="4"/>
      <c r="H3" s="3" t="s">
        <v>4</v>
      </c>
      <c r="I3" s="5" t="n">
        <f aca="false">MAX(1,$F$3-$C$3+1)</f>
        <v>15</v>
      </c>
      <c r="J3" s="6" t="s">
        <v>5</v>
      </c>
      <c r="K3" s="6"/>
      <c r="L3" s="7" t="n">
        <f aca="false">TASA_USADA</f>
        <v>0.857142857142857</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572.435489964581</v>
      </c>
      <c r="C7" s="10"/>
      <c r="D7" s="10" t="n">
        <f aca="false">SUMIFS(Diario!$W$6:$W$370,Diario!$A$6:$A$370,"&gt;="&amp;$C$3,Diario!$A$6:$A$370,"&lt;="&amp;$F$3)</f>
        <v>855.5913</v>
      </c>
      <c r="E7" s="10"/>
      <c r="F7" s="10" t="n">
        <f aca="false">SUMIFS(Diario!$X$6:$X$370,Diario!$A$6:$A$370,"&gt;="&amp;$C$3,Diario!$A$6:$A$370,"&lt;="&amp;$F$3)+F24</f>
        <v>-172.639669421488</v>
      </c>
      <c r="G7" s="10"/>
      <c r="H7" s="11" t="n">
        <f aca="false">SUMIFS(Diario!$P$6:$P$370,Diario!$A$6:$A$370,"&gt;="&amp;$C$3,Diario!$A$6:$A$370,"&lt;="&amp;$F$3)</f>
        <v>97</v>
      </c>
      <c r="I7" s="11"/>
      <c r="J7" s="10" t="n">
        <f aca="false">SUMIFS(Diario!$R$6:$R$370,Diario!$A$6:$A$370,"&gt;="&amp;$C$3,Diario!$A$6:$A$370,"&lt;="&amp;$F$3)</f>
        <v>3299.03</v>
      </c>
      <c r="K7" s="10"/>
      <c r="L7" s="10" t="n">
        <f aca="false">SUMIFS(Diario!$N$6:$N$370,Diario!$A$6:$A$370,"&gt;="&amp;$C$3,Diario!$A$6:$A$370,"&lt;="&amp;$F$3)</f>
        <v>692.99</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7.14422680412371</v>
      </c>
      <c r="C10" s="10"/>
      <c r="D10" s="10" t="n">
        <f aca="false">CPA_BE</f>
        <v>13.339818205225</v>
      </c>
      <c r="E10" s="10"/>
      <c r="F10" s="12" t="n">
        <f aca="false">IF(L7&gt;0,J7/L7,"")</f>
        <v>4.7605737456529</v>
      </c>
      <c r="G10" s="12"/>
      <c r="H10" s="12" t="n">
        <f aca="false">ROAS_BE</f>
        <v>2.58819737593602</v>
      </c>
      <c r="I10" s="12"/>
      <c r="J10" s="10" t="n">
        <f aca="false">IF(H7&gt;0,J7/H7,"")</f>
        <v>34.010618556701</v>
      </c>
      <c r="K10" s="10"/>
      <c r="L10" s="13" t="n">
        <f aca="false">IF(H7&gt;0,(SUMIFS(Diario!$C$6:$C$370,Diario!$A$6:$A$370,"&gt;="&amp;$C$3,Diario!$A$6:$A$370,"&lt;="&amp;$F$3)+SUMIFS(Diario!$D$6:$D$370,Diario!$A$6:$A$370,"&gt;="&amp;$C$3,Diario!$A$6:$A$370,"&lt;="&amp;$F$3))/H7,"")</f>
        <v>0.350515463917526</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36</v>
      </c>
      <c r="C13" s="11"/>
      <c r="D13" s="11" t="n">
        <f aca="false">SUMIFS(Diario!$Q$6:$Q$370,Diario!$A$6:$A$370,"&gt;="&amp;$C$3,Diario!$A$6:$A$370,"&lt;="&amp;$F$3)</f>
        <v>55</v>
      </c>
      <c r="E13" s="11"/>
      <c r="F13" s="11" t="n">
        <f aca="false">SUMIFS(Diario!$K$6:$K$370,Diario!$A$6:$A$370,"&gt;="&amp;$C$3,Diario!$A$6:$A$370,"&lt;="&amp;$F$3)</f>
        <v>34</v>
      </c>
      <c r="G13" s="11"/>
      <c r="H13" s="11" t="n">
        <f aca="false">SUMIFS(Diario!$H$6:$H$370,Diario!$A$6:$A$370,"&gt;="&amp;$C$3,Diario!$A$6:$A$370,"&lt;="&amp;$F$3)+SUMIFS(Diario!$I$6:$I$370,Diario!$A$6:$A$370,"&gt;="&amp;$C$3,Diario!$A$6:$A$370,"&lt;="&amp;$F$3)+SUMIFS(Diario!$J$6:$J$370,Diario!$A$6:$A$370,"&gt;="&amp;$C$3,Diario!$A$6:$A$370,"&lt;="&amp;$F$3)</f>
        <v>6</v>
      </c>
      <c r="I13" s="11"/>
      <c r="J13" s="13" t="n">
        <f aca="false">IF(B13+H13&gt;0,B13/(B13+H13),"")</f>
        <v>0.857142857142857</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2809.16857142857</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-0.0983282140419789</v>
      </c>
      <c r="F17" s="17" t="n">
        <f aca="false">-SUMIFS(Diario!$AI$6:$AI$370,Diario!$A$6:$A$370,"&gt;="&amp;$C$3,Diario!$A$6:$A$370,"&lt;="&amp;$F$3)</f>
        <v>-276.220528571429</v>
      </c>
      <c r="H17" s="15" t="s">
        <v>31</v>
      </c>
      <c r="I17" s="15"/>
      <c r="J17" s="15"/>
      <c r="K17" s="15"/>
      <c r="L17" s="20" t="n">
        <f aca="false">F25/I3</f>
        <v>38.1623659976387</v>
      </c>
      <c r="M17" s="20"/>
    </row>
    <row r="18" customFormat="false" ht="15" hidden="false" customHeight="false" outlineLevel="0" collapsed="false">
      <c r="B18" s="15" t="s">
        <v>32</v>
      </c>
      <c r="C18" s="15"/>
      <c r="D18" s="15"/>
      <c r="E18" s="19" t="n">
        <f aca="false">IF($F$16&gt;0,F18/$F$16,"")</f>
        <v>-0.222158767871327</v>
      </c>
      <c r="F18" s="17" t="n">
        <f aca="false">-SUMIFS(Diario!$AJ$6:$AJ$370,Diario!$A$6:$A$370,"&gt;="&amp;$C$3,Diario!$A$6:$A$370,"&lt;="&amp;$F$3)</f>
        <v>-624.081428571429</v>
      </c>
      <c r="H18" s="15" t="s">
        <v>33</v>
      </c>
      <c r="I18" s="15"/>
      <c r="J18" s="15"/>
      <c r="K18" s="15"/>
      <c r="L18" s="18" t="n">
        <f aca="false">L17*30</f>
        <v>1144.87097992916</v>
      </c>
      <c r="M18" s="18"/>
    </row>
    <row r="19" customFormat="false" ht="15" hidden="false" customHeight="false" outlineLevel="0" collapsed="false">
      <c r="B19" s="15" t="s">
        <v>34</v>
      </c>
      <c r="C19" s="15"/>
      <c r="D19" s="15"/>
      <c r="E19" s="19" t="n">
        <f aca="false">IF($F$16&gt;0,F19/$F$16,"")</f>
        <v>-0.0397585864246564</v>
      </c>
      <c r="F19" s="17" t="n">
        <f aca="false">-SUMIFS(Diario!$AK$6:$AK$370,Diario!$A$6:$A$370,"&gt;="&amp;$C$3,Diario!$A$6:$A$370,"&lt;="&amp;$F$3)</f>
        <v>-111.688571428571</v>
      </c>
      <c r="H19" s="21" t="s">
        <v>35</v>
      </c>
      <c r="I19" s="21"/>
      <c r="J19" s="21"/>
      <c r="K19" s="21"/>
      <c r="L19" s="22" t="n">
        <f aca="false">IF(L16&gt;0,L18/L16,"")</f>
        <v>0.114487097992916</v>
      </c>
      <c r="M19" s="22"/>
    </row>
    <row r="20" customFormat="false" ht="15" hidden="false" customHeight="false" outlineLevel="0" collapsed="false">
      <c r="B20" s="15" t="s">
        <v>36</v>
      </c>
      <c r="C20" s="15"/>
      <c r="D20" s="15"/>
      <c r="E20" s="19" t="n">
        <f aca="false">IF($F$16&gt;0,F20/$F$16,"")</f>
        <v>-0.0328033002138915</v>
      </c>
      <c r="F20" s="17" t="n">
        <f aca="false">-SUMIFS(Diario!$AO$6:$AO$370,Diario!$A$6:$A$370,"&gt;="&amp;$C$3,Diario!$A$6:$A$370,"&lt;="&amp;$F$3)</f>
        <v>-92.15</v>
      </c>
      <c r="H20" s="15" t="s">
        <v>37</v>
      </c>
      <c r="I20" s="15"/>
      <c r="J20" s="15"/>
      <c r="K20" s="15"/>
      <c r="L20" s="20" t="n">
        <f aca="false">BEN_PEDIDO</f>
        <v>13.339818205225</v>
      </c>
      <c r="M20" s="20"/>
    </row>
    <row r="21" customFormat="false" ht="15" hidden="false" customHeight="false" outlineLevel="0" collapsed="false">
      <c r="B21" s="15" t="s">
        <v>38</v>
      </c>
      <c r="C21" s="15"/>
      <c r="D21" s="15"/>
      <c r="E21" s="19" t="n">
        <f aca="false">IF($F$16&gt;0,F21/$F$16,"")</f>
        <v>-0.156488491777838</v>
      </c>
      <c r="F21" s="17" t="n">
        <f aca="false">-SUMIFS(Diario!$AL$6:$AL$370,Diario!$A$6:$A$370,"&gt;="&amp;$C$3,Diario!$A$6:$A$370,"&lt;="&amp;$F$3)</f>
        <v>-439.602552892562</v>
      </c>
      <c r="H21" s="15" t="s">
        <v>39</v>
      </c>
      <c r="I21" s="15"/>
      <c r="J21" s="15"/>
      <c r="K21" s="15"/>
      <c r="L21" s="20" t="n">
        <f aca="false">B10</f>
        <v>7.14422680412371</v>
      </c>
      <c r="M21" s="20"/>
    </row>
    <row r="22" customFormat="false" ht="15" hidden="false" customHeight="false" outlineLevel="0" collapsed="false">
      <c r="B22" s="15" t="s">
        <v>40</v>
      </c>
      <c r="C22" s="15"/>
      <c r="D22" s="15"/>
      <c r="E22" s="19" t="n">
        <f aca="false">IF($F$16&gt;0,F22/$F$16,"")</f>
        <v>-0.246688649107158</v>
      </c>
      <c r="F22" s="17" t="n">
        <f aca="false">-SUMIFS(Diario!$AM$6:$AM$370,Diario!$A$6:$A$370,"&gt;="&amp;$C$3,Diario!$A$6:$A$370,"&lt;="&amp;$F$3)</f>
        <v>-692.99</v>
      </c>
      <c r="H22" s="15" t="s">
        <v>41</v>
      </c>
      <c r="I22" s="15"/>
      <c r="J22" s="15"/>
      <c r="K22" s="15"/>
      <c r="L22" s="20" t="n">
        <f aca="false">IF(ISNUMBER(L21),L20-L21*(1+RECARGO_ADS),"")</f>
        <v>6.19559140110124</v>
      </c>
      <c r="M22" s="20"/>
    </row>
    <row r="23" customFormat="false" ht="15" hidden="false" customHeight="false" outlineLevel="0" collapsed="false">
      <c r="B23" s="23" t="s">
        <v>42</v>
      </c>
      <c r="C23" s="23"/>
      <c r="D23" s="23"/>
      <c r="E23" s="24" t="n">
        <f aca="false">IF($F$16&gt;0,F23/$F$16,"")</f>
        <v>0.203773990563149</v>
      </c>
      <c r="F23" s="25" t="n">
        <f aca="false">SUM(F16:F22)</f>
        <v>572.435489964581</v>
      </c>
      <c r="H23" s="21" t="s">
        <v>43</v>
      </c>
      <c r="I23" s="21"/>
      <c r="J23" s="21"/>
      <c r="K23" s="21"/>
      <c r="L23" s="26" t="n">
        <f aca="false">IF(NOT(ISNUMBER(L22)),"",IF(L22&lt;=0,"Baja el CPA",ROUNDUP((L16-F24/I3*30)/30/L22,0)))</f>
        <v>54</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385.78824742268</v>
      </c>
      <c r="M24" s="18"/>
    </row>
    <row r="25" customFormat="false" ht="15" hidden="false" customHeight="false" outlineLevel="0" collapsed="false">
      <c r="B25" s="23" t="s">
        <v>46</v>
      </c>
      <c r="C25" s="23"/>
      <c r="D25" s="23"/>
      <c r="E25" s="24" t="n">
        <f aca="false">IF($F$16&gt;0,F25/$F$16,"")</f>
        <v>0.203773990563149</v>
      </c>
      <c r="F25" s="25" t="n">
        <f aca="false">F23+F24</f>
        <v>572.435489964581</v>
      </c>
    </row>
    <row r="26" customFormat="false" ht="15" hidden="false" customHeight="false" outlineLevel="0" collapsed="false">
      <c r="B26" s="27" t="s">
        <v>47</v>
      </c>
      <c r="C26" s="27"/>
      <c r="D26" s="27"/>
      <c r="F26" s="28" t="n">
        <f aca="false">IF(F16&gt;0,F25/F16,"")</f>
        <v>0.203773990563149</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46297</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46298</v>
      </c>
      <c r="C30" s="31" t="n">
        <f aca="false">SUMIFS(Diario!$P$6:$P$370,Diario!$A$6:$A$370,$B30)</f>
        <v>0</v>
      </c>
      <c r="D30" s="32" t="n">
        <f aca="false">SUMIFS(Diario!$N$6:$N$370,Diario!$A$6:$A$370,$B30)</f>
        <v>0</v>
      </c>
      <c r="E30" s="32" t="str">
        <f aca="false">IF(C30&gt;0,D30/C30,"")</f>
        <v/>
      </c>
      <c r="F30" s="33" t="n">
        <f aca="false">SUMIFS(Diario!$Y$6:$Y$370,Diario!$A$6:$A$370,$B30)</f>
        <v>0</v>
      </c>
      <c r="G30" s="34" t="str">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
      </c>
    </row>
    <row r="31" customFormat="false" ht="15" hidden="false" customHeight="false" outlineLevel="0" collapsed="false">
      <c r="B31" s="30" t="n">
        <f aca="false">$F$3-11</f>
        <v>46299</v>
      </c>
      <c r="C31" s="31" t="n">
        <f aca="false">SUMIFS(Diario!$P$6:$P$370,Diario!$A$6:$A$370,$B31)</f>
        <v>0</v>
      </c>
      <c r="D31" s="32" t="n">
        <f aca="false">SUMIFS(Diario!$N$6:$N$370,Diario!$A$6:$A$370,$B31)</f>
        <v>0</v>
      </c>
      <c r="E31" s="32" t="str">
        <f aca="false">IF(C31&gt;0,D31/C31,"")</f>
        <v/>
      </c>
      <c r="F31" s="33" t="n">
        <f aca="false">SUMIFS(Diario!$Y$6:$Y$370,Diario!$A$6:$A$370,$B31)</f>
        <v>0</v>
      </c>
      <c r="G31" s="34" t="str">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
      </c>
    </row>
    <row r="32" customFormat="false" ht="15" hidden="false" customHeight="false" outlineLevel="0" collapsed="false">
      <c r="B32" s="30" t="n">
        <f aca="false">$F$3-10</f>
        <v>46300</v>
      </c>
      <c r="C32" s="31" t="n">
        <f aca="false">SUMIFS(Diario!$P$6:$P$370,Diario!$A$6:$A$370,$B32)</f>
        <v>9</v>
      </c>
      <c r="D32" s="32" t="n">
        <f aca="false">SUMIFS(Diario!$N$6:$N$370,Diario!$A$6:$A$370,$B32)</f>
        <v>67.67</v>
      </c>
      <c r="E32" s="32" t="n">
        <f aca="false">IF(C32&gt;0,D32/C32,"")</f>
        <v>7.51888888888889</v>
      </c>
      <c r="F32" s="33" t="n">
        <f aca="false">SUMIFS(Diario!$Y$6:$Y$370,Diario!$A$6:$A$370,$B32)</f>
        <v>68.5554781582054</v>
      </c>
      <c r="G32" s="34" t="n">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1</v>
      </c>
    </row>
    <row r="33" customFormat="false" ht="15" hidden="false" customHeight="false" outlineLevel="0" collapsed="false">
      <c r="B33" s="30" t="n">
        <f aca="false">$F$3-9</f>
        <v>46301</v>
      </c>
      <c r="C33" s="31" t="n">
        <f aca="false">SUMIFS(Diario!$P$6:$P$370,Diario!$A$6:$A$370,$B33)</f>
        <v>8</v>
      </c>
      <c r="D33" s="32" t="n">
        <f aca="false">SUMIFS(Diario!$N$6:$N$370,Diario!$A$6:$A$370,$B33)</f>
        <v>70.18</v>
      </c>
      <c r="E33" s="32" t="n">
        <f aca="false">IF(C33&gt;0,D33/C33,"")</f>
        <v>8.7725</v>
      </c>
      <c r="F33" s="33" t="n">
        <f aca="false">SUMIFS(Diario!$Y$6:$Y$370,Diario!$A$6:$A$370,$B33)</f>
        <v>13.935974025974</v>
      </c>
      <c r="G33" s="34" t="n">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0.75</v>
      </c>
    </row>
    <row r="34" customFormat="false" ht="15" hidden="false" customHeight="false" outlineLevel="0" collapsed="false">
      <c r="B34" s="30" t="n">
        <f aca="false">$F$3-8</f>
        <v>46302</v>
      </c>
      <c r="C34" s="31" t="n">
        <f aca="false">SUMIFS(Diario!$P$6:$P$370,Diario!$A$6:$A$370,$B34)</f>
        <v>7</v>
      </c>
      <c r="D34" s="32" t="n">
        <f aca="false">SUMIFS(Diario!$N$6:$N$370,Diario!$A$6:$A$370,$B34)</f>
        <v>47.78</v>
      </c>
      <c r="E34" s="32" t="n">
        <f aca="false">IF(C34&gt;0,D34/C34,"")</f>
        <v>6.82571428571429</v>
      </c>
      <c r="F34" s="33" t="n">
        <f aca="false">SUMIFS(Diario!$Y$6:$Y$370,Diario!$A$6:$A$370,$B34)</f>
        <v>23.9558677685951</v>
      </c>
      <c r="G34" s="34" t="n">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0.75</v>
      </c>
    </row>
    <row r="35" customFormat="false" ht="15" hidden="false" customHeight="false" outlineLevel="0" collapsed="false">
      <c r="B35" s="30" t="n">
        <f aca="false">$F$3-7</f>
        <v>46303</v>
      </c>
      <c r="C35" s="31" t="n">
        <f aca="false">SUMIFS(Diario!$P$6:$P$370,Diario!$A$6:$A$370,$B35)</f>
        <v>16</v>
      </c>
      <c r="D35" s="32" t="n">
        <f aca="false">SUMIFS(Diario!$N$6:$N$370,Diario!$A$6:$A$370,$B35)</f>
        <v>50.46</v>
      </c>
      <c r="E35" s="32" t="n">
        <f aca="false">IF(C35&gt;0,D35/C35,"")</f>
        <v>3.15375</v>
      </c>
      <c r="F35" s="33" t="n">
        <f aca="false">SUMIFS(Diario!$Y$6:$Y$370,Diario!$A$6:$A$370,$B35)</f>
        <v>120.338181818182</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0.7</v>
      </c>
    </row>
    <row r="36" customFormat="false" ht="15" hidden="false" customHeight="false" outlineLevel="0" collapsed="false">
      <c r="B36" s="30" t="n">
        <f aca="false">$F$3-6</f>
        <v>46304</v>
      </c>
      <c r="C36" s="31" t="n">
        <f aca="false">SUMIFS(Diario!$P$6:$P$370,Diario!$A$6:$A$370,$B36)</f>
        <v>5</v>
      </c>
      <c r="D36" s="32" t="n">
        <f aca="false">SUMIFS(Diario!$N$6:$N$370,Diario!$A$6:$A$370,$B36)</f>
        <v>41.21</v>
      </c>
      <c r="E36" s="32" t="n">
        <f aca="false">IF(C36&gt;0,D36/C36,"")</f>
        <v>8.242</v>
      </c>
      <c r="F36" s="33" t="n">
        <f aca="false">SUMIFS(Diario!$Y$6:$Y$370,Diario!$A$6:$A$370,$B36)</f>
        <v>46.0897048406139</v>
      </c>
      <c r="G36" s="34" t="n">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1</v>
      </c>
    </row>
    <row r="37" customFormat="false" ht="15" hidden="false" customHeight="false" outlineLevel="0" collapsed="false">
      <c r="B37" s="30" t="n">
        <f aca="false">$F$3-5</f>
        <v>46305</v>
      </c>
      <c r="C37" s="31" t="n">
        <f aca="false">SUMIFS(Diario!$P$6:$P$370,Diario!$A$6:$A$370,$B37)</f>
        <v>9</v>
      </c>
      <c r="D37" s="32" t="n">
        <f aca="false">SUMIFS(Diario!$N$6:$N$370,Diario!$A$6:$A$370,$B37)</f>
        <v>64.81</v>
      </c>
      <c r="E37" s="32" t="n">
        <f aca="false">IF(C37&gt;0,D37/C37,"")</f>
        <v>7.20111111111111</v>
      </c>
      <c r="F37" s="33" t="n">
        <f aca="false">SUMIFS(Diario!$Y$6:$Y$370,Diario!$A$6:$A$370,$B37)</f>
        <v>71.6076033057851</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1</v>
      </c>
    </row>
    <row r="38" customFormat="false" ht="15" hidden="false" customHeight="false" outlineLevel="0" collapsed="false">
      <c r="B38" s="30" t="n">
        <f aca="false">$F$3-4</f>
        <v>46306</v>
      </c>
      <c r="C38" s="31" t="n">
        <f aca="false">SUMIFS(Diario!$P$6:$P$370,Diario!$A$6:$A$370,$B38)</f>
        <v>6</v>
      </c>
      <c r="D38" s="32" t="n">
        <f aca="false">SUMIFS(Diario!$N$6:$N$370,Diario!$A$6:$A$370,$B38)</f>
        <v>89.51</v>
      </c>
      <c r="E38" s="32" t="n">
        <f aca="false">IF(C38&gt;0,D38/C38,"")</f>
        <v>14.9183333333333</v>
      </c>
      <c r="F38" s="33" t="n">
        <f aca="false">SUMIFS(Diario!$Y$6:$Y$370,Diario!$A$6:$A$370,$B38)</f>
        <v>-19.8112514757969</v>
      </c>
      <c r="G38" s="34" t="str">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
      </c>
    </row>
    <row r="39" customFormat="false" ht="15" hidden="false" customHeight="false" outlineLevel="0" collapsed="false">
      <c r="B39" s="30" t="n">
        <f aca="false">$F$3-3</f>
        <v>46307</v>
      </c>
      <c r="C39" s="31" t="n">
        <f aca="false">SUMIFS(Diario!$P$6:$P$370,Diario!$A$6:$A$370,$B39)</f>
        <v>14</v>
      </c>
      <c r="D39" s="32" t="n">
        <f aca="false">SUMIFS(Diario!$N$6:$N$370,Diario!$A$6:$A$370,$B39)</f>
        <v>78.33</v>
      </c>
      <c r="E39" s="32" t="n">
        <f aca="false">IF(C39&gt;0,D39/C39,"")</f>
        <v>5.595</v>
      </c>
      <c r="F39" s="33" t="n">
        <f aca="false">SUMIFS(Diario!$Y$6:$Y$370,Diario!$A$6:$A$370,$B39)</f>
        <v>110.413896103896</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0.875</v>
      </c>
    </row>
    <row r="40" customFormat="false" ht="15" hidden="false" customHeight="false" outlineLevel="0" collapsed="false">
      <c r="B40" s="30" t="n">
        <f aca="false">$F$3-2</f>
        <v>46308</v>
      </c>
      <c r="C40" s="31" t="n">
        <f aca="false">SUMIFS(Diario!$P$6:$P$370,Diario!$A$6:$A$370,$B40)</f>
        <v>9</v>
      </c>
      <c r="D40" s="32" t="n">
        <f aca="false">SUMIFS(Diario!$N$6:$N$370,Diario!$A$6:$A$370,$B40)</f>
        <v>68.05</v>
      </c>
      <c r="E40" s="32" t="n">
        <f aca="false">IF(C40&gt;0,D40/C40,"")</f>
        <v>7.56111111111111</v>
      </c>
      <c r="F40" s="33" t="n">
        <f aca="false">SUMIFS(Diario!$Y$6:$Y$370,Diario!$A$6:$A$370,$B40)</f>
        <v>53.0096103896104</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1</v>
      </c>
    </row>
    <row r="41" customFormat="false" ht="15" hidden="false" customHeight="false" outlineLevel="0" collapsed="false">
      <c r="B41" s="30" t="n">
        <f aca="false">$F$3-1</f>
        <v>46309</v>
      </c>
      <c r="C41" s="31" t="n">
        <f aca="false">SUMIFS(Diario!$P$6:$P$370,Diario!$A$6:$A$370,$B41)</f>
        <v>9</v>
      </c>
      <c r="D41" s="32" t="n">
        <f aca="false">SUMIFS(Diario!$N$6:$N$370,Diario!$A$6:$A$370,$B41)</f>
        <v>73.35</v>
      </c>
      <c r="E41" s="32" t="n">
        <f aca="false">IF(C41&gt;0,D41/C41,"")</f>
        <v>8.15</v>
      </c>
      <c r="F41" s="33" t="n">
        <f aca="false">SUMIFS(Diario!$Y$6:$Y$370,Diario!$A$6:$A$370,$B41)</f>
        <v>52.4884179456907</v>
      </c>
      <c r="G41" s="34" t="n">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1</v>
      </c>
    </row>
    <row r="42" customFormat="false" ht="15" hidden="false" customHeight="false" outlineLevel="0" collapsed="false">
      <c r="B42" s="30" t="n">
        <f aca="false">$F$3-0</f>
        <v>46310</v>
      </c>
      <c r="C42" s="31" t="n">
        <f aca="false">SUMIFS(Diario!$P$6:$P$370,Diario!$A$6:$A$370,$B42)</f>
        <v>5</v>
      </c>
      <c r="D42" s="32" t="n">
        <f aca="false">SUMIFS(Diario!$N$6:$N$370,Diario!$A$6:$A$370,$B42)</f>
        <v>41.64</v>
      </c>
      <c r="E42" s="32" t="n">
        <f aca="false">IF(C42&gt;0,D42/C42,"")</f>
        <v>8.328</v>
      </c>
      <c r="F42" s="33" t="n">
        <f aca="false">SUMIFS(Diario!$Y$6:$Y$370,Diario!$A$6:$A$370,$B42)</f>
        <v>31.8520070838253</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97</v>
      </c>
      <c r="D47" s="37" t="n">
        <f aca="false">SUMIFS(Diario!$N$6:$N$370,Diario!$A$6:$A$370,"&gt;="&amp;$B47,Diario!$A$6:$A$370,"&lt;="&amp;EOMONTH($B47,0))</f>
        <v>692.99</v>
      </c>
      <c r="E47" s="32" t="n">
        <f aca="false">IF(C47&gt;0,D47/C47,"")</f>
        <v>7.14422680412371</v>
      </c>
      <c r="F47" s="37" t="n">
        <f aca="false">SUMIFS(Diario!$R$6:$R$370,Diario!$A$6:$A$370,"&gt;="&amp;$B47,Diario!$A$6:$A$370,"&lt;="&amp;EOMONTH($B47,0))</f>
        <v>3299.03</v>
      </c>
      <c r="G47" s="31" t="n">
        <f aca="false">SUMIFS(Diario!$E$6:$E$370,Diario!$A$6:$A$370,"&gt;="&amp;$B47,Diario!$A$6:$A$370,"&lt;="&amp;EOMONTH($B47,0))+SUMIFS(Diario!$F$6:$F$370,Diario!$A$6:$A$370,"&gt;="&amp;$B47,Diario!$A$6:$A$370,"&lt;="&amp;EOMONTH($B47,0))+SUMIFS(Diario!$G$6:$G$370,Diario!$A$6:$A$370,"&gt;="&amp;$B47,Diario!$A$6:$A$370,"&lt;="&amp;EOMONTH($B47,0))</f>
        <v>36</v>
      </c>
      <c r="H47" s="31" t="n">
        <f aca="false">SUMIFS(Diario!$H$6:$H$370,Diario!$A$6:$A$370,"&gt;="&amp;$B47,Diario!$A$6:$A$370,"&lt;="&amp;EOMONTH($B47,0))+SUMIFS(Diario!$I$6:$I$370,Diario!$A$6:$A$370,"&gt;="&amp;$B47,Diario!$A$6:$A$370,"&lt;="&amp;EOMONTH($B47,0))+SUMIFS(Diario!$J$6:$J$370,Diario!$A$6:$A$370,"&gt;="&amp;$B47,Diario!$A$6:$A$370,"&lt;="&amp;EOMONTH($B47,0))</f>
        <v>6</v>
      </c>
      <c r="I47" s="34" t="n">
        <f aca="false">IF(G47+H47&gt;0,G47/(G47+H47),"")</f>
        <v>0.857142857142857</v>
      </c>
      <c r="J47" s="37" t="n">
        <f aca="false">SUMIFS(Diario!$Y$6:$Y$370,Diario!$A$6:$A$370,"&gt;="&amp;$B47,Diario!$A$6:$A$370,"&lt;="&amp;EOMONTH($B47,0))</f>
        <v>572.435489964581</v>
      </c>
      <c r="K47" s="37" t="n">
        <f aca="false">-SUMIFS(Gastos!$D$5:$D$304,Gastos!$A$5:$A$304,"&gt;="&amp;$B47,Gastos!$A$5:$A$304,"&lt;="&amp;EOMONTH($B47,0))</f>
        <v>-0</v>
      </c>
      <c r="L47" s="38" t="n">
        <f aca="false">J47+K47</f>
        <v>572.435489964581</v>
      </c>
      <c r="M47" s="34" t="n">
        <f aca="false">IF(OBJETIVO_MES&gt;0,L47/OBJETIVO_MES,"")</f>
        <v>0.0572435489964581</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97</v>
      </c>
      <c r="D59" s="42" t="n">
        <f aca="false">SUM(D47:D58)</f>
        <v>692.99</v>
      </c>
      <c r="E59" s="43" t="n">
        <f aca="false">IF(C59&gt;0,D59/C59,"")</f>
        <v>7.14422680412371</v>
      </c>
      <c r="F59" s="42" t="n">
        <f aca="false">SUM(F47:F58)</f>
        <v>3299.03</v>
      </c>
      <c r="G59" s="41" t="n">
        <f aca="false">SUM(G47:G58)</f>
        <v>36</v>
      </c>
      <c r="H59" s="41" t="n">
        <f aca="false">SUM(H47:H58)</f>
        <v>6</v>
      </c>
      <c r="I59" s="44" t="n">
        <f aca="false">IF(G59+H59&gt;0,G59/(G59+H59),"")</f>
        <v>0.857142857142857</v>
      </c>
      <c r="J59" s="42" t="n">
        <f aca="false">SUM(J47:J58)</f>
        <v>572.435489964581</v>
      </c>
      <c r="K59" s="42" t="n">
        <f aca="false">SUM(K47:K58)</f>
        <v>0</v>
      </c>
      <c r="L59" s="42" t="n">
        <f aca="false">SUM(L47:L58)</f>
        <v>572.435489964581</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1"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63</v>
      </c>
      <c r="C4" s="47" t="n">
        <f aca="false">SUM(C6:C370)</f>
        <v>29</v>
      </c>
      <c r="D4" s="47" t="n">
        <f aca="false">SUM(D6:D370)</f>
        <v>5</v>
      </c>
      <c r="E4" s="47" t="n">
        <f aca="false">SUM(E6:E370)</f>
        <v>22</v>
      </c>
      <c r="F4" s="47" t="n">
        <f aca="false">SUM(F6:F370)</f>
        <v>11</v>
      </c>
      <c r="G4" s="47" t="n">
        <f aca="false">SUM(G6:G370)</f>
        <v>3</v>
      </c>
      <c r="H4" s="47" t="n">
        <f aca="false">SUM(H6:H370)</f>
        <v>2</v>
      </c>
      <c r="I4" s="47" t="n">
        <f aca="false">SUM(I6:I370)</f>
        <v>3</v>
      </c>
      <c r="J4" s="47" t="n">
        <f aca="false">SUM(J6:J370)</f>
        <v>1</v>
      </c>
      <c r="K4" s="47" t="n">
        <f aca="false">SUM(K6:K370)</f>
        <v>34</v>
      </c>
      <c r="L4" s="48" t="n">
        <f aca="false">SUM(L6:L370)</f>
        <v>266.43</v>
      </c>
      <c r="M4" s="48" t="n">
        <f aca="false">SUM(M6:M370)</f>
        <v>417.26</v>
      </c>
      <c r="N4" s="48" t="n">
        <f aca="false">SUM(N6:N370)</f>
        <v>692.99</v>
      </c>
      <c r="P4" s="47" t="n">
        <f aca="false">SUM(P6:P370)</f>
        <v>97</v>
      </c>
      <c r="Q4" s="47" t="n">
        <f aca="false">SUM(Q6:Q370)</f>
        <v>55</v>
      </c>
      <c r="R4" s="48" t="n">
        <f aca="false">SUM(R6:R370)</f>
        <v>3299.03</v>
      </c>
      <c r="S4" s="48" t="n">
        <f aca="false">IF(P4&gt;0,R4/P4,"")</f>
        <v>34.010618556701</v>
      </c>
      <c r="T4" s="48" t="n">
        <f aca="false">IF(P4&gt;0,N4/P4,"")</f>
        <v>7.14422680412371</v>
      </c>
      <c r="U4" s="49" t="n">
        <f aca="false">IF(N4&gt;0,R4/N4,"")</f>
        <v>4.7605737456529</v>
      </c>
      <c r="V4" s="50" t="n">
        <f aca="false">IF(E4+F4+G4+H4+I4+J4&gt;0,(E4+F4+G4)/(E4+F4+G4+H4+I4+J4),"")</f>
        <v>0.857142857142857</v>
      </c>
      <c r="W4" s="48" t="n">
        <f aca="false">SUM(W6:W370)</f>
        <v>855.5913</v>
      </c>
      <c r="X4" s="48" t="n">
        <f aca="false">SUM(X6:X370)</f>
        <v>-172.639669421488</v>
      </c>
      <c r="Y4" s="48" t="n">
        <f aca="false">SUM(Y6:Y370)</f>
        <v>572.435489964581</v>
      </c>
      <c r="AA4" s="47" t="n">
        <f aca="false">SUM(AA6:AA370)</f>
        <v>39</v>
      </c>
      <c r="AB4" s="47" t="n">
        <f aca="false">SUM(AB6:AB370)</f>
        <v>15</v>
      </c>
      <c r="AC4" s="47" t="n">
        <f aca="false">SUM(AC6:AC370)</f>
        <v>1</v>
      </c>
      <c r="AD4" s="51" t="n">
        <f aca="false">SUM(AD6:AD370)</f>
        <v>55.4285714285714</v>
      </c>
      <c r="AE4" s="51" t="n">
        <f aca="false">SUM(AE6:AE370)</f>
        <v>23.8571428571429</v>
      </c>
      <c r="AF4" s="51" t="n">
        <f aca="false">SUM(AF6:AF370)</f>
        <v>3.85714285714286</v>
      </c>
      <c r="AG4" s="51" t="n">
        <f aca="false">SUM(AG6:AG370)</f>
        <v>13.8571428571429</v>
      </c>
      <c r="AH4" s="48" t="n">
        <f aca="false">SUM(AH6:AH370)</f>
        <v>2809.16857142857</v>
      </c>
      <c r="AI4" s="48" t="n">
        <f aca="false">SUM(AI6:AI370)</f>
        <v>276.220528571429</v>
      </c>
      <c r="AJ4" s="48" t="n">
        <f aca="false">SUM(AJ6:AJ370)</f>
        <v>624.081428571429</v>
      </c>
      <c r="AK4" s="48" t="n">
        <f aca="false">SUM(AK6:AK370)</f>
        <v>111.688571428571</v>
      </c>
      <c r="AL4" s="48" t="n">
        <f aca="false">SUM(AL6:AL370)</f>
        <v>439.602552892562</v>
      </c>
      <c r="AM4" s="48" t="n">
        <f aca="false">SUM(AM6:AM370)</f>
        <v>692.99</v>
      </c>
      <c r="AN4" s="47" t="n">
        <f aca="false">SUM(AN6:AN370)</f>
        <v>91</v>
      </c>
      <c r="AO4" s="48" t="n">
        <f aca="false">SUM(AO6:AO370)</f>
        <v>92.15</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row>
    <row r="6" customFormat="false" ht="15" hidden="false" customHeight="false" outlineLevel="0" collapsed="false">
      <c r="A6" s="53" t="n">
        <v>46300</v>
      </c>
      <c r="B6" s="54" t="n">
        <v>5</v>
      </c>
      <c r="C6" s="54" t="n">
        <v>4</v>
      </c>
      <c r="D6" s="54" t="n">
        <v>0</v>
      </c>
      <c r="E6" s="54" t="n">
        <v>3</v>
      </c>
      <c r="F6" s="54" t="n">
        <v>2</v>
      </c>
      <c r="G6" s="54"/>
      <c r="H6" s="54"/>
      <c r="I6" s="54"/>
      <c r="J6" s="54"/>
      <c r="K6" s="54" t="n">
        <v>4</v>
      </c>
      <c r="L6" s="55" t="n">
        <v>38.42</v>
      </c>
      <c r="M6" s="55" t="n">
        <v>32.24</v>
      </c>
      <c r="N6" s="55" t="n">
        <v>67.67</v>
      </c>
      <c r="O6" s="56" t="s">
        <v>106</v>
      </c>
      <c r="P6" s="31" t="n">
        <f aca="false">B6+C6+D6</f>
        <v>9</v>
      </c>
      <c r="Q6" s="31" t="n">
        <f aca="false">AA6+AB6+AC6</f>
        <v>4</v>
      </c>
      <c r="R6" s="32" t="n">
        <f aca="false">B6*P1_PVP+C6*P2_PVP+D6*IF($A6&lt;P3_DESDE,P3A_PVP,P3_PVP)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E6*(P1_PVP-P1_CPROD)+F6*(P2_PVP-P2_CPROD)+G6*(IF($A6&lt;P3_DESDE,P3A_PVP,P3_PVP)-IF($A6&lt;P3_DESDE,P3A_CPROD,P3_CPROD))-IF(ISNUMBER(L6),L6,E6*P1_LOG+F6*P2_LOG+G6*P3_LOG)</f>
        <v>114.6747</v>
      </c>
      <c r="X6" s="33" t="n">
        <f aca="false">W6-(E6*P1_IVAN+F6*P2_IVAN+G6*IF($A6&lt;P3_DESDE,P3A_IVAN,P3_IVAN))-(H6+I6+J6)*(COSTE_DEV-IVA_DEV)-AM6-AO6</f>
        <v>11.8845454545454</v>
      </c>
      <c r="Y6" s="33" t="n">
        <f aca="false">AH6-AI6-AJ6-AK6-AL6-AM6-AO6</f>
        <v>68.5554781582054</v>
      </c>
      <c r="AA6" s="58" t="n">
        <f aca="false">MAX(0,B6-E6-H6)</f>
        <v>2</v>
      </c>
      <c r="AB6" s="58" t="n">
        <f aca="false">MAX(0,C6-F6-I6)</f>
        <v>2</v>
      </c>
      <c r="AC6" s="58" t="n">
        <f aca="false">MAX(0,D6-G6-J6)</f>
        <v>0</v>
      </c>
      <c r="AD6" s="59" t="n">
        <f aca="false">E6+AA6*TASA_USADA</f>
        <v>4.71428571428571</v>
      </c>
      <c r="AE6" s="59" t="n">
        <f aca="false">F6+AB6*TASA_USADA</f>
        <v>3.71428571428571</v>
      </c>
      <c r="AF6" s="59" t="n">
        <f aca="false">G6+AC6*TASA_USADA</f>
        <v>0</v>
      </c>
      <c r="AG6" s="59" t="n">
        <f aca="false">H6+I6+J6+(AA6+AB6+AC6)*(1-TASA_USADA)</f>
        <v>0.571428571428572</v>
      </c>
      <c r="AH6" s="60" t="n">
        <f aca="false">AD6*P1_PVP+AE6*P2_PVP+AF6*IF($A6&lt;P3_DESDE,P3A_PVP,P3_PVP)</f>
        <v>289.915714285714</v>
      </c>
      <c r="AI6" s="60" t="n">
        <f aca="false">AD6*P1_CPROD+AE6*P2_CPROD+AF6*IF($A6&lt;P3_DESDE,P3A_CPROD,P3_CPROD)</f>
        <v>29.2387857142857</v>
      </c>
      <c r="AJ6" s="60" t="n">
        <f aca="false">IF(ISNUMBER(L6),L6,E6*P1_LOG+F6*P2_LOG+G6*P3_LOG)+IF(ISNUMBER(M6),M6,AA6*P1_LOG+AB6*P2_LOG+AC6*P3_LOG)*TASA_USADA</f>
        <v>66.0542857142857</v>
      </c>
      <c r="AK6" s="60" t="n">
        <f aca="false">AG6*COSTE_DEV</f>
        <v>4.60571428571429</v>
      </c>
      <c r="AL6" s="60" t="n">
        <f aca="false">AD6*P1_IVAN+AE6*P2_IVAN+AF6*IF($A6&lt;P3_DESDE,P3A_IVAN,P3_IVAN)-AG6*IVA_DEV</f>
        <v>45.2414504132231</v>
      </c>
      <c r="AM6" s="60" t="n">
        <f aca="false">N6*(1+RECARGO_ADS)</f>
        <v>67.67</v>
      </c>
      <c r="AN6" s="58" t="n">
        <f aca="false">IF(ISNUMBER(L6),E6+F6+G6+AA6+AB6+AC6,0)</f>
        <v>9</v>
      </c>
      <c r="AO6" s="60" t="n">
        <f aca="false">P6*COMISION</f>
        <v>8.55</v>
      </c>
    </row>
    <row r="7" customFormat="false" ht="15" hidden="false" customHeight="false" outlineLevel="0" collapsed="false">
      <c r="A7" s="53" t="n">
        <v>46301</v>
      </c>
      <c r="B7" s="54" t="n">
        <v>7</v>
      </c>
      <c r="C7" s="54" t="n">
        <v>1</v>
      </c>
      <c r="D7" s="54" t="n">
        <v>0</v>
      </c>
      <c r="E7" s="54" t="n">
        <v>2</v>
      </c>
      <c r="F7" s="54" t="n">
        <v>1</v>
      </c>
      <c r="G7" s="54"/>
      <c r="H7" s="54" t="n">
        <v>1</v>
      </c>
      <c r="I7" s="54"/>
      <c r="J7" s="54"/>
      <c r="K7" s="54" t="n">
        <v>4</v>
      </c>
      <c r="L7" s="55" t="n">
        <v>22.11</v>
      </c>
      <c r="M7" s="55" t="n">
        <v>30.71</v>
      </c>
      <c r="N7" s="55" t="n">
        <v>70.18</v>
      </c>
      <c r="O7" s="56"/>
      <c r="P7" s="31" t="n">
        <f aca="false">B7+C7+D7</f>
        <v>8</v>
      </c>
      <c r="Q7" s="31" t="n">
        <f aca="false">AA7+AB7+AC7</f>
        <v>4</v>
      </c>
      <c r="R7" s="32" t="n">
        <f aca="false">B7*P1_PVP+C7*P2_PVP+D7*IF($A7&lt;P3_DESDE,P3A_PVP,P3_PVP)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E7*(P1_PVP-P1_CPROD)+F7*(P2_PVP-P2_CPROD)+G7*(IF($A7&lt;P3_DESDE,P3A_PVP,P3_PVP)-IF($A7&lt;P3_DESDE,P3A_CPROD,P3_CPROD))-IF(ISNUMBER(L7),L7,E7*P1_LOG+F7*P2_LOG+G7*P3_LOG)</f>
        <v>68.2284</v>
      </c>
      <c r="X7" s="33" t="n">
        <f aca="false">W7-(E7*P1_IVAN+F7*P2_IVAN+G7*IF($A7&lt;P3_DESDE,P3A_IVAN,P3_IVAN))-(H7+I7+J7)*(COSTE_DEV-IVA_DEV)-AM7-AO7</f>
        <v>-33.2901652892562</v>
      </c>
      <c r="Y7" s="33" t="n">
        <f aca="false">AH7-AI7-AJ7-AK7-AL7-AM7-AO7</f>
        <v>13.935974025974</v>
      </c>
      <c r="AA7" s="58" t="n">
        <f aca="false">MAX(0,B7-E7-H7)</f>
        <v>4</v>
      </c>
      <c r="AB7" s="58" t="n">
        <f aca="false">MAX(0,C7-F7-I7)</f>
        <v>0</v>
      </c>
      <c r="AC7" s="58" t="n">
        <f aca="false">MAX(0,D7-G7-J7)</f>
        <v>0</v>
      </c>
      <c r="AD7" s="59" t="n">
        <f aca="false">E7+AA7*TASA_USADA</f>
        <v>5.42857142857143</v>
      </c>
      <c r="AE7" s="59" t="n">
        <f aca="false">F7+AB7*TASA_USADA</f>
        <v>1</v>
      </c>
      <c r="AF7" s="59" t="n">
        <f aca="false">G7+AC7*TASA_USADA</f>
        <v>0</v>
      </c>
      <c r="AG7" s="59" t="n">
        <f aca="false">H7+I7+J7+(AA7+AB7+AC7)*(1-TASA_USADA)</f>
        <v>1.57142857142857</v>
      </c>
      <c r="AH7" s="60" t="n">
        <f aca="false">AD7*P1_PVP+AE7*P2_PVP+AF7*IF($A7&lt;P3_DESDE,P3A_PVP,P3_PVP)</f>
        <v>202.792857142857</v>
      </c>
      <c r="AI7" s="60" t="n">
        <f aca="false">AD7*P1_CPROD+AE7*P2_CPROD+AF7*IF($A7&lt;P3_DESDE,P3A_CPROD,P3_CPROD)</f>
        <v>17.8872571428571</v>
      </c>
      <c r="AJ7" s="60" t="n">
        <f aca="false">IF(ISNUMBER(L7),L7,E7*P1_LOG+F7*P2_LOG+G7*P3_LOG)+IF(ISNUMBER(M7),M7,AA7*P1_LOG+AB7*P2_LOG+AC7*P3_LOG)*TASA_USADA</f>
        <v>48.4328571428571</v>
      </c>
      <c r="AK7" s="60" t="n">
        <f aca="false">AG7*COSTE_DEV</f>
        <v>12.6657142857143</v>
      </c>
      <c r="AL7" s="60" t="n">
        <f aca="false">AD7*P1_IVAN+AE7*P2_IVAN+AF7*IF($A7&lt;P3_DESDE,P3A_IVAN,P3_IVAN)-AG7*IVA_DEV</f>
        <v>32.0910545454545</v>
      </c>
      <c r="AM7" s="60" t="n">
        <f aca="false">N7*(1+RECARGO_ADS)</f>
        <v>70.18</v>
      </c>
      <c r="AN7" s="58" t="n">
        <f aca="false">IF(ISNUMBER(L7),E7+F7+G7+AA7+AB7+AC7,0)</f>
        <v>7</v>
      </c>
      <c r="AO7" s="60" t="n">
        <f aca="false">P7*COMISION</f>
        <v>7.6</v>
      </c>
    </row>
    <row r="8" customFormat="false" ht="15" hidden="false" customHeight="false" outlineLevel="0" collapsed="false">
      <c r="A8" s="53" t="n">
        <v>46302</v>
      </c>
      <c r="B8" s="54" t="n">
        <v>6</v>
      </c>
      <c r="C8" s="54" t="n">
        <v>1</v>
      </c>
      <c r="D8" s="54" t="n">
        <v>0</v>
      </c>
      <c r="E8" s="54" t="n">
        <v>2</v>
      </c>
      <c r="F8" s="54" t="n">
        <v>1</v>
      </c>
      <c r="G8" s="54"/>
      <c r="H8" s="54" t="n">
        <v>1</v>
      </c>
      <c r="I8" s="54"/>
      <c r="J8" s="54"/>
      <c r="K8" s="54" t="n">
        <v>2</v>
      </c>
      <c r="L8" s="55" t="n">
        <v>22.65</v>
      </c>
      <c r="M8" s="55" t="n">
        <v>24.18</v>
      </c>
      <c r="N8" s="55" t="n">
        <v>47.78</v>
      </c>
      <c r="O8" s="56"/>
      <c r="P8" s="31" t="n">
        <f aca="false">B8+C8+D8</f>
        <v>7</v>
      </c>
      <c r="Q8" s="31" t="n">
        <f aca="false">AA8+AB8+AC8</f>
        <v>3</v>
      </c>
      <c r="R8" s="32" t="n">
        <f aca="false">B8*P1_PVP+C8*P2_PVP+D8*IF($A8&lt;P3_DESDE,P3A_PVP,P3_PVP)</f>
        <v>219.93</v>
      </c>
      <c r="S8" s="32" t="n">
        <f aca="false">IF(P8&gt;0,R8/P8,"")</f>
        <v>31.4185714285714</v>
      </c>
      <c r="T8" s="32" t="n">
        <f aca="false">IF(P8&gt;0,N8/P8,"")</f>
        <v>6.82571428571429</v>
      </c>
      <c r="U8" s="57" t="n">
        <f aca="false">IF(N8&gt;0,R8/N8,"")</f>
        <v>4.6029719547928</v>
      </c>
      <c r="V8" s="34" t="n">
        <f aca="false">IF(E8+F8+G8+H8+I8+J8&gt;0,(E8+F8+G8)/(E8+F8+G8+H8+I8+J8),"")</f>
        <v>0.75</v>
      </c>
      <c r="W8" s="33" t="n">
        <f aca="false">E8*(P1_PVP-P1_CPROD)+F8*(P2_PVP-P2_CPROD)+G8*(IF($A8&lt;P3_DESDE,P3A_PVP,P3_PVP)-IF($A8&lt;P3_DESDE,P3A_CPROD,P3_CPROD))-IF(ISNUMBER(L8),L8,E8*P1_LOG+F8*P2_LOG+G8*P3_LOG)</f>
        <v>67.6884</v>
      </c>
      <c r="X8" s="33" t="n">
        <f aca="false">W8-(E8*P1_IVAN+F8*P2_IVAN+G8*IF($A8&lt;P3_DESDE,P3A_IVAN,P3_IVAN))-(H8+I8+J8)*(COSTE_DEV-IVA_DEV)-AM8-AO8</f>
        <v>-10.4801652892562</v>
      </c>
      <c r="Y8" s="33" t="n">
        <f aca="false">AH8-AI8-AJ8-AK8-AL8-AM8-AO8</f>
        <v>23.9558677685951</v>
      </c>
      <c r="AA8" s="58" t="n">
        <f aca="false">MAX(0,B8-E8-H8)</f>
        <v>3</v>
      </c>
      <c r="AB8" s="58" t="n">
        <f aca="false">MAX(0,C8-F8-I8)</f>
        <v>0</v>
      </c>
      <c r="AC8" s="58" t="n">
        <f aca="false">MAX(0,D8-G8-J8)</f>
        <v>0</v>
      </c>
      <c r="AD8" s="59" t="n">
        <f aca="false">E8+AA8*TASA_USADA</f>
        <v>4.57142857142857</v>
      </c>
      <c r="AE8" s="59" t="n">
        <f aca="false">F8+AB8*TASA_USADA</f>
        <v>1</v>
      </c>
      <c r="AF8" s="59" t="n">
        <f aca="false">G8+AC8*TASA_USADA</f>
        <v>0</v>
      </c>
      <c r="AG8" s="59" t="n">
        <f aca="false">H8+I8+J8+(AA8+AB8+AC8)*(1-TASA_USADA)</f>
        <v>1.42857142857143</v>
      </c>
      <c r="AH8" s="60" t="n">
        <f aca="false">AD8*P1_PVP+AE8*P2_PVP+AF8*IF($A8&lt;P3_DESDE,P3A_PVP,P3_PVP)</f>
        <v>177.087142857143</v>
      </c>
      <c r="AI8" s="60" t="n">
        <f aca="false">AD8*P1_CPROD+AE8*P2_CPROD+AF8*IF($A8&lt;P3_DESDE,P3A_CPROD,P3_CPROD)</f>
        <v>15.8233428571429</v>
      </c>
      <c r="AJ8" s="60" t="n">
        <f aca="false">IF(ISNUMBER(L8),L8,E8*P1_LOG+F8*P2_LOG+G8*P3_LOG)+IF(ISNUMBER(M8),M8,AA8*P1_LOG+AB8*P2_LOG+AC8*P3_LOG)*TASA_USADA</f>
        <v>43.3757142857143</v>
      </c>
      <c r="AK8" s="60" t="n">
        <f aca="false">AG8*COSTE_DEV</f>
        <v>11.5142857142857</v>
      </c>
      <c r="AL8" s="60" t="n">
        <f aca="false">AD8*P1_IVAN+AE8*P2_IVAN+AF8*IF($A8&lt;P3_DESDE,P3A_IVAN,P3_IVAN)-AG8*IVA_DEV</f>
        <v>27.987932231405</v>
      </c>
      <c r="AM8" s="60" t="n">
        <f aca="false">N8*(1+RECARGO_ADS)</f>
        <v>47.78</v>
      </c>
      <c r="AN8" s="58" t="n">
        <f aca="false">IF(ISNUMBER(L8),E8+F8+G8+AA8+AB8+AC8,0)</f>
        <v>6</v>
      </c>
      <c r="AO8" s="60" t="n">
        <f aca="false">P8*COMISION</f>
        <v>6.65</v>
      </c>
    </row>
    <row r="9" customFormat="false" ht="15" hidden="false" customHeight="false" outlineLevel="0" collapsed="false">
      <c r="A9" s="53" t="n">
        <v>46303</v>
      </c>
      <c r="B9" s="54" t="n">
        <v>9</v>
      </c>
      <c r="C9" s="54" t="n">
        <v>6</v>
      </c>
      <c r="D9" s="54" t="n">
        <v>1</v>
      </c>
      <c r="E9" s="54" t="n">
        <v>4</v>
      </c>
      <c r="F9" s="54" t="n">
        <v>2</v>
      </c>
      <c r="G9" s="54" t="n">
        <v>1</v>
      </c>
      <c r="H9" s="54"/>
      <c r="I9" s="54" t="n">
        <v>3</v>
      </c>
      <c r="J9" s="54"/>
      <c r="K9" s="54" t="n">
        <v>6</v>
      </c>
      <c r="L9" s="55" t="n">
        <v>50.21</v>
      </c>
      <c r="M9" s="55" t="n">
        <v>46.64</v>
      </c>
      <c r="N9" s="55" t="n">
        <v>50.46</v>
      </c>
      <c r="O9" s="56" t="s">
        <v>107</v>
      </c>
      <c r="P9" s="31" t="n">
        <f aca="false">B9+C9+D9</f>
        <v>16</v>
      </c>
      <c r="Q9" s="31" t="n">
        <f aca="false">AA9+AB9+AC9</f>
        <v>6</v>
      </c>
      <c r="R9" s="32" t="n">
        <f aca="false">B9*P1_PVP+C9*P2_PVP+D9*IF($A9&lt;P3_DESDE,P3A_PVP,P3_PVP)</f>
        <v>559.84</v>
      </c>
      <c r="S9" s="32" t="n">
        <f aca="false">IF(P9&gt;0,R9/P9,"")</f>
        <v>34.99</v>
      </c>
      <c r="T9" s="32" t="n">
        <f aca="false">IF(P9&gt;0,N9/P9,"")</f>
        <v>3.15375</v>
      </c>
      <c r="U9" s="57" t="n">
        <f aca="false">IF(N9&gt;0,R9/N9,"")</f>
        <v>11.0947284978201</v>
      </c>
      <c r="V9" s="34" t="n">
        <f aca="false">IF(E9+F9+G9+H9+I9+J9&gt;0,(E9+F9+G9)/(E9+F9+G9+H9+I9+J9),"")</f>
        <v>0.7</v>
      </c>
      <c r="W9" s="33" t="n">
        <f aca="false">E9*(P1_PVP-P1_CPROD)+F9*(P2_PVP-P2_CPROD)+G9*(IF($A9&lt;P3_DESDE,P3A_PVP,P3_PVP)-IF($A9&lt;P3_DESDE,P3A_CPROD,P3_CPROD))-IF(ISNUMBER(L9),L9,E9*P1_LOG+F9*P2_LOG+G9*P3_LOG)</f>
        <v>173.2331</v>
      </c>
      <c r="X9" s="33" t="n">
        <f aca="false">W9-(E9*P1_IVAN+F9*P2_IVAN+G9*IF($A9&lt;P3_DESDE,P3A_IVAN,P3_IVAN))-(H9+I9+J9)*(COSTE_DEV-IVA_DEV)-AM9-AO9</f>
        <v>44.6137190082644</v>
      </c>
      <c r="Y9" s="33" t="n">
        <f aca="false">AH9-AI9-AJ9-AK9-AL9-AM9-AO9</f>
        <v>120.338181818182</v>
      </c>
      <c r="AA9" s="58" t="n">
        <f aca="false">MAX(0,B9-E9-H9)</f>
        <v>5</v>
      </c>
      <c r="AB9" s="58" t="n">
        <f aca="false">MAX(0,C9-F9-I9)</f>
        <v>1</v>
      </c>
      <c r="AC9" s="58" t="n">
        <f aca="false">MAX(0,D9-G9-J9)</f>
        <v>0</v>
      </c>
      <c r="AD9" s="59" t="n">
        <f aca="false">E9+AA9*TASA_USADA</f>
        <v>8.28571428571429</v>
      </c>
      <c r="AE9" s="59" t="n">
        <f aca="false">F9+AB9*TASA_USADA</f>
        <v>2.85714285714286</v>
      </c>
      <c r="AF9" s="59" t="n">
        <f aca="false">G9+AC9*TASA_USADA</f>
        <v>1</v>
      </c>
      <c r="AG9" s="59" t="n">
        <f aca="false">H9+I9+J9+(AA9+AB9+AC9)*(1-TASA_USADA)</f>
        <v>3.85714285714286</v>
      </c>
      <c r="AH9" s="60" t="n">
        <f aca="false">AD9*P1_PVP+AE9*P2_PVP+AF9*IF($A9&lt;P3_DESDE,P3A_PVP,P3_PVP)</f>
        <v>412.735714285714</v>
      </c>
      <c r="AI9" s="60" t="n">
        <f aca="false">AD9*P1_CPROD+AE9*P2_CPROD+AF9*IF($A9&lt;P3_DESDE,P3A_CPROD,P3_CPROD)</f>
        <v>40.9343</v>
      </c>
      <c r="AJ9" s="60" t="n">
        <f aca="false">IF(ISNUMBER(L9),L9,E9*P1_LOG+F9*P2_LOG+G9*P3_LOG)+IF(ISNUMBER(M9),M9,AA9*P1_LOG+AB9*P2_LOG+AC9*P3_LOG)*TASA_USADA</f>
        <v>90.1871428571429</v>
      </c>
      <c r="AK9" s="60" t="n">
        <f aca="false">AG9*COSTE_DEV</f>
        <v>31.0885714285714</v>
      </c>
      <c r="AL9" s="60" t="n">
        <f aca="false">AD9*P1_IVAN+AE9*P2_IVAN+AF9*IF($A9&lt;P3_DESDE,P3A_IVAN,P3_IVAN)-AG9*IVA_DEV</f>
        <v>64.5275181818182</v>
      </c>
      <c r="AM9" s="60" t="n">
        <f aca="false">N9*(1+RECARGO_ADS)</f>
        <v>50.46</v>
      </c>
      <c r="AN9" s="58" t="n">
        <f aca="false">IF(ISNUMBER(L9),E9+F9+G9+AA9+AB9+AC9,0)</f>
        <v>13</v>
      </c>
      <c r="AO9" s="60" t="n">
        <f aca="false">P9*COMISION</f>
        <v>15.2</v>
      </c>
    </row>
    <row r="10" customFormat="false" ht="15" hidden="false" customHeight="false" outlineLevel="0" collapsed="false">
      <c r="A10" s="53" t="n">
        <v>46304</v>
      </c>
      <c r="B10" s="54" t="n">
        <v>2</v>
      </c>
      <c r="C10" s="54" t="n">
        <v>3</v>
      </c>
      <c r="D10" s="54" t="n">
        <v>0</v>
      </c>
      <c r="E10" s="54" t="n">
        <v>1</v>
      </c>
      <c r="F10" s="54" t="n">
        <v>3</v>
      </c>
      <c r="G10" s="54"/>
      <c r="H10" s="54"/>
      <c r="I10" s="54"/>
      <c r="J10" s="54"/>
      <c r="K10" s="54" t="n">
        <v>1</v>
      </c>
      <c r="L10" s="55" t="n">
        <v>30.17</v>
      </c>
      <c r="M10" s="55" t="n">
        <v>7.2</v>
      </c>
      <c r="N10" s="55" t="n">
        <v>41.21</v>
      </c>
      <c r="O10" s="56"/>
      <c r="P10" s="31" t="n">
        <f aca="false">B10+C10+D10</f>
        <v>5</v>
      </c>
      <c r="Q10" s="31" t="n">
        <f aca="false">AA10+AB10+AC10</f>
        <v>1</v>
      </c>
      <c r="R10" s="32" t="n">
        <f aca="false">B10*P1_PVP+C10*P2_PVP+D10*IF($A10&lt;P3_DESDE,P3A_PVP,P3_PVP)</f>
        <v>179.95</v>
      </c>
      <c r="S10" s="32" t="n">
        <f aca="false">IF(P10&gt;0,R10/P10,"")</f>
        <v>35.99</v>
      </c>
      <c r="T10" s="32" t="n">
        <f aca="false">IF(P10&gt;0,N10/P10,"")</f>
        <v>8.242</v>
      </c>
      <c r="U10" s="57" t="n">
        <f aca="false">IF(N10&gt;0,R10/N10,"")</f>
        <v>4.36665857801505</v>
      </c>
      <c r="V10" s="34" t="n">
        <f aca="false">IF(E10+F10+G10+H10+I10+J10&gt;0,(E10+F10+G10)/(E10+F10+G10+H10+I10+J10),"")</f>
        <v>1</v>
      </c>
      <c r="W10" s="33" t="n">
        <f aca="false">E10*(P1_PVP-P1_CPROD)+F10*(P2_PVP-P2_CPROD)+G10*(IF($A10&lt;P3_DESDE,P3A_PVP,P3_PVP)-IF($A10&lt;P3_DESDE,P3A_CPROD,P3_CPROD))-IF(ISNUMBER(L10),L10,E10*P1_LOG+F10*P2_LOG+G10*P3_LOG)</f>
        <v>102.9347</v>
      </c>
      <c r="X10" s="33" t="n">
        <f aca="false">W10-(E10*P1_IVAN+F10*P2_IVAN+G10*IF($A10&lt;P3_DESDE,P3A_IVAN,P3_IVAN))-(H10+I10+J10)*(COSTE_DEV-IVA_DEV)-AM10-AO10</f>
        <v>33.8738842975206</v>
      </c>
      <c r="Y10" s="33" t="n">
        <f aca="false">AH10-AI10-AJ10-AK10-AL10-AM10-AO10</f>
        <v>46.0897048406139</v>
      </c>
      <c r="AA10" s="58" t="n">
        <f aca="false">MAX(0,B10-E10-H10)</f>
        <v>1</v>
      </c>
      <c r="AB10" s="58" t="n">
        <f aca="false">MAX(0,C10-F10-I10)</f>
        <v>0</v>
      </c>
      <c r="AC10" s="58" t="n">
        <f aca="false">MAX(0,D10-G10-J10)</f>
        <v>0</v>
      </c>
      <c r="AD10" s="59" t="n">
        <f aca="false">E10+AA10*TASA_USADA</f>
        <v>1.85714285714286</v>
      </c>
      <c r="AE10" s="59" t="n">
        <f aca="false">F10+AB10*TASA_USADA</f>
        <v>3</v>
      </c>
      <c r="AF10" s="59" t="n">
        <f aca="false">G10+AC10*TASA_USADA</f>
        <v>0</v>
      </c>
      <c r="AG10" s="59" t="n">
        <f aca="false">H10+I10+J10+(AA10+AB10+AC10)*(1-TASA_USADA)</f>
        <v>0.142857142857143</v>
      </c>
      <c r="AH10" s="60" t="n">
        <f aca="false">AD10*P1_PVP+AE10*P2_PVP+AF10*IF($A10&lt;P3_DESDE,P3A_PVP,P3_PVP)</f>
        <v>175.665714285714</v>
      </c>
      <c r="AI10" s="60" t="n">
        <f aca="false">AD10*P1_CPROD+AE10*P2_CPROD+AF10*IF($A10&lt;P3_DESDE,P3A_CPROD,P3_CPROD)</f>
        <v>18.9192142857143</v>
      </c>
      <c r="AJ10" s="60" t="n">
        <f aca="false">IF(ISNUMBER(L10),L10,E10*P1_LOG+F10*P2_LOG+G10*P3_LOG)+IF(ISNUMBER(M10),M10,AA10*P1_LOG+AB10*P2_LOG+AC10*P3_LOG)*TASA_USADA</f>
        <v>36.3414285714286</v>
      </c>
      <c r="AK10" s="60" t="n">
        <f aca="false">AG10*COSTE_DEV</f>
        <v>1.15142857142857</v>
      </c>
      <c r="AL10" s="60" t="n">
        <f aca="false">AD10*P1_IVAN+AE10*P2_IVAN+AF10*IF($A10&lt;P3_DESDE,P3A_IVAN,P3_IVAN)-AG10*IVA_DEV</f>
        <v>27.2039380165289</v>
      </c>
      <c r="AM10" s="60" t="n">
        <f aca="false">N10*(1+RECARGO_ADS)</f>
        <v>41.21</v>
      </c>
      <c r="AN10" s="58" t="n">
        <f aca="false">IF(ISNUMBER(L10),E10+F10+G10+AA10+AB10+AC10,0)</f>
        <v>5</v>
      </c>
      <c r="AO10" s="60" t="n">
        <f aca="false">P10*COMISION</f>
        <v>4.75</v>
      </c>
    </row>
    <row r="11" customFormat="false" ht="15" hidden="false" customHeight="false" outlineLevel="0" collapsed="false">
      <c r="A11" s="53" t="n">
        <v>46305</v>
      </c>
      <c r="B11" s="54" t="n">
        <v>6</v>
      </c>
      <c r="C11" s="54" t="n">
        <v>2</v>
      </c>
      <c r="D11" s="54" t="n">
        <v>1</v>
      </c>
      <c r="E11" s="54" t="n">
        <v>3</v>
      </c>
      <c r="F11" s="54"/>
      <c r="G11" s="54" t="n">
        <v>1</v>
      </c>
      <c r="H11" s="54"/>
      <c r="I11" s="54"/>
      <c r="J11" s="54"/>
      <c r="K11" s="54" t="n">
        <v>5</v>
      </c>
      <c r="L11" s="55" t="n">
        <v>28.96</v>
      </c>
      <c r="M11" s="55" t="n">
        <v>37.91</v>
      </c>
      <c r="N11" s="55" t="n">
        <v>64.81</v>
      </c>
      <c r="O11" s="56"/>
      <c r="P11" s="31" t="n">
        <f aca="false">B11+C11+D11</f>
        <v>9</v>
      </c>
      <c r="Q11" s="31" t="n">
        <f aca="false">AA11+AB11+AC11</f>
        <v>5</v>
      </c>
      <c r="R11" s="32" t="n">
        <f aca="false">B11*P1_PVP+C11*P2_PVP+D11*IF($A11&lt;P3_DESDE,P3A_PVP,P3_PVP)</f>
        <v>309.91</v>
      </c>
      <c r="S11" s="32" t="n">
        <f aca="false">IF(P11&gt;0,R11/P11,"")</f>
        <v>34.4344444444444</v>
      </c>
      <c r="T11" s="32" t="n">
        <f aca="false">IF(P11&gt;0,N11/P11,"")</f>
        <v>7.20111111111111</v>
      </c>
      <c r="U11" s="57" t="n">
        <f aca="false">IF(N11&gt;0,R11/N11,"")</f>
        <v>4.7818237926246</v>
      </c>
      <c r="V11" s="34" t="n">
        <f aca="false">IF(E11+F11+G11+H11+I11+J11&gt;0,(E11+F11+G11)/(E11+F11+G11+H11+I11+J11),"")</f>
        <v>1</v>
      </c>
      <c r="W11" s="33" t="n">
        <f aca="false">E11*(P1_PVP-P1_CPROD)+F11*(P2_PVP-P2_CPROD)+G11*(IF($A11&lt;P3_DESDE,P3A_PVP,P3_PVP)-IF($A11&lt;P3_DESDE,P3A_CPROD,P3_CPROD))-IF(ISNUMBER(L11),L11,E11*P1_LOG+F11*P2_LOG+G11*P3_LOG)</f>
        <v>96.5526</v>
      </c>
      <c r="X11" s="33" t="n">
        <f aca="false">W11-(E11*P1_IVAN+F11*P2_IVAN+G11*IF($A11&lt;P3_DESDE,P3A_IVAN,P3_IVAN))-(H11+I11+J11)*(COSTE_DEV-IVA_DEV)-AM11-AO11</f>
        <v>1.40942148760329</v>
      </c>
      <c r="Y11" s="33" t="n">
        <f aca="false">AH11-AI11-AJ11-AK11-AL11-AM11-AO11</f>
        <v>71.6076033057851</v>
      </c>
      <c r="AA11" s="58" t="n">
        <f aca="false">MAX(0,B11-E11-H11)</f>
        <v>3</v>
      </c>
      <c r="AB11" s="58" t="n">
        <f aca="false">MAX(0,C11-F11-I11)</f>
        <v>2</v>
      </c>
      <c r="AC11" s="58" t="n">
        <f aca="false">MAX(0,D11-G11-J11)</f>
        <v>0</v>
      </c>
      <c r="AD11" s="59" t="n">
        <f aca="false">E11+AA11*TASA_USADA</f>
        <v>5.57142857142857</v>
      </c>
      <c r="AE11" s="59" t="n">
        <f aca="false">F11+AB11*TASA_USADA</f>
        <v>1.71428571428571</v>
      </c>
      <c r="AF11" s="59" t="n">
        <f aca="false">G11+AC11*TASA_USADA</f>
        <v>1</v>
      </c>
      <c r="AG11" s="59" t="n">
        <f aca="false">H11+I11+J11+(AA11+AB11+AC11)*(1-TASA_USADA)</f>
        <v>0.714285714285715</v>
      </c>
      <c r="AH11" s="60" t="n">
        <f aca="false">AD11*P1_PVP+AE11*P2_PVP+AF11*IF($A11&lt;P3_DESDE,P3A_PVP,P3_PVP)</f>
        <v>285.631428571429</v>
      </c>
      <c r="AI11" s="60" t="n">
        <f aca="false">AD11*P1_CPROD+AE11*P2_CPROD+AF11*IF($A11&lt;P3_DESDE,P3A_CPROD,P3_CPROD)</f>
        <v>28.8948</v>
      </c>
      <c r="AJ11" s="60" t="n">
        <f aca="false">IF(ISNUMBER(L11),L11,E11*P1_LOG+F11*P2_LOG+G11*P3_LOG)+IF(ISNUMBER(M11),M11,AA11*P1_LOG+AB11*P2_LOG+AC11*P3_LOG)*TASA_USADA</f>
        <v>61.4542857142857</v>
      </c>
      <c r="AK11" s="60" t="n">
        <f aca="false">AG11*COSTE_DEV</f>
        <v>5.75714285714286</v>
      </c>
      <c r="AL11" s="60" t="n">
        <f aca="false">AD11*P1_IVAN+AE11*P2_IVAN+AF11*IF($A11&lt;P3_DESDE,P3A_IVAN,P3_IVAN)-AG11*IVA_DEV</f>
        <v>44.5575966942149</v>
      </c>
      <c r="AM11" s="60" t="n">
        <f aca="false">N11*(1+RECARGO_ADS)</f>
        <v>64.81</v>
      </c>
      <c r="AN11" s="58" t="n">
        <f aca="false">IF(ISNUMBER(L11),E11+F11+G11+AA11+AB11+AC11,0)</f>
        <v>9</v>
      </c>
      <c r="AO11" s="60" t="n">
        <f aca="false">P11*COMISION</f>
        <v>8.55</v>
      </c>
    </row>
    <row r="12" customFormat="false" ht="15" hidden="false" customHeight="false" outlineLevel="0" collapsed="false">
      <c r="A12" s="53" t="n">
        <v>46306</v>
      </c>
      <c r="B12" s="54" t="n">
        <v>5</v>
      </c>
      <c r="C12" s="54" t="n">
        <v>1</v>
      </c>
      <c r="D12" s="54" t="n">
        <v>0</v>
      </c>
      <c r="E12" s="54"/>
      <c r="F12" s="54"/>
      <c r="G12" s="54"/>
      <c r="H12" s="54"/>
      <c r="I12" s="54"/>
      <c r="J12" s="54"/>
      <c r="K12" s="54" t="n">
        <v>4</v>
      </c>
      <c r="L12" s="55" t="n">
        <v>0</v>
      </c>
      <c r="M12" s="55" t="n">
        <v>47.02</v>
      </c>
      <c r="N12" s="55" t="n">
        <v>89.51</v>
      </c>
      <c r="O12" s="56"/>
      <c r="P12" s="31" t="n">
        <f aca="false">B12+C12+D12</f>
        <v>6</v>
      </c>
      <c r="Q12" s="31" t="n">
        <f aca="false">AA12+AB12+AC12</f>
        <v>6</v>
      </c>
      <c r="R12" s="32" t="n">
        <f aca="false">B12*P1_PVP+C12*P2_PVP+D12*IF($A12&lt;P3_DESDE,P3A_PVP,P3_PVP)</f>
        <v>189.94</v>
      </c>
      <c r="S12" s="32" t="n">
        <f aca="false">IF(P12&gt;0,R12/P12,"")</f>
        <v>31.6566666666667</v>
      </c>
      <c r="T12" s="32" t="n">
        <f aca="false">IF(P12&gt;0,N12/P12,"")</f>
        <v>14.9183333333333</v>
      </c>
      <c r="U12" s="57" t="n">
        <f aca="false">IF(N12&gt;0,R12/N12,"")</f>
        <v>2.12199754217406</v>
      </c>
      <c r="V12" s="34" t="str">
        <f aca="false">IF(E12+F12+G12+H12+I12+J12&gt;0,(E12+F12+G12)/(E12+F12+G12+H12+I12+J12),"")</f>
        <v/>
      </c>
      <c r="W12" s="33" t="n">
        <f aca="false">E12*(P1_PVP-P1_CPROD)+F12*(P2_PVP-P2_CPROD)+G12*(IF($A12&lt;P3_DESDE,P3A_PVP,P3_PVP)-IF($A12&lt;P3_DESDE,P3A_CPROD,P3_CPROD))-IF(ISNUMBER(L12),L12,E12*P1_LOG+F12*P2_LOG+G12*P3_LOG)</f>
        <v>0</v>
      </c>
      <c r="X12" s="33" t="n">
        <f aca="false">W12-(E12*P1_IVAN+F12*P2_IVAN+G12*IF($A12&lt;P3_DESDE,P3A_IVAN,P3_IVAN))-(H12+I12+J12)*(COSTE_DEV-IVA_DEV)-AM12-AO12</f>
        <v>-95.21</v>
      </c>
      <c r="Y12" s="33" t="n">
        <f aca="false">AH12-AI12-AJ12-AK12-AL12-AM12-AO12</f>
        <v>-19.8112514757969</v>
      </c>
      <c r="AA12" s="58" t="n">
        <f aca="false">MAX(0,B12-E12-H12)</f>
        <v>5</v>
      </c>
      <c r="AB12" s="58" t="n">
        <f aca="false">MAX(0,C12-F12-I12)</f>
        <v>1</v>
      </c>
      <c r="AC12" s="58" t="n">
        <f aca="false">MAX(0,D12-G12-J12)</f>
        <v>0</v>
      </c>
      <c r="AD12" s="59" t="n">
        <f aca="false">E12+AA12*TASA_USADA</f>
        <v>4.28571428571429</v>
      </c>
      <c r="AE12" s="59" t="n">
        <f aca="false">F12+AB12*TASA_USADA</f>
        <v>0.857142857142857</v>
      </c>
      <c r="AF12" s="59" t="n">
        <f aca="false">G12+AC12*TASA_USADA</f>
        <v>0</v>
      </c>
      <c r="AG12" s="59" t="n">
        <f aca="false">H12+I12+J12+(AA12+AB12+AC12)*(1-TASA_USADA)</f>
        <v>0.857142857142857</v>
      </c>
      <c r="AH12" s="60" t="n">
        <f aca="false">AD12*P1_PVP+AE12*P2_PVP+AF12*IF($A12&lt;P3_DESDE,P3A_PVP,P3_PVP)</f>
        <v>162.805714285714</v>
      </c>
      <c r="AI12" s="60" t="n">
        <f aca="false">AD12*P1_CPROD+AE12*P2_CPROD+AF12*IF($A12&lt;P3_DESDE,P3A_CPROD,P3_CPROD)</f>
        <v>14.4474</v>
      </c>
      <c r="AJ12" s="60" t="n">
        <f aca="false">IF(ISNUMBER(L12),L12,E12*P1_LOG+F12*P2_LOG+G12*P3_LOG)+IF(ISNUMBER(M12),M12,AA12*P1_LOG+AB12*P2_LOG+AC12*P3_LOG)*TASA_USADA</f>
        <v>40.3028571428571</v>
      </c>
      <c r="AK12" s="60" t="n">
        <f aca="false">AG12*COSTE_DEV</f>
        <v>6.90857142857143</v>
      </c>
      <c r="AL12" s="60" t="n">
        <f aca="false">AD12*P1_IVAN+AE12*P2_IVAN+AF12*IF($A12&lt;P3_DESDE,P3A_IVAN,P3_IVAN)-AG12*IVA_DEV</f>
        <v>25.7481371900826</v>
      </c>
      <c r="AM12" s="60" t="n">
        <f aca="false">N12*(1+RECARGO_ADS)</f>
        <v>89.51</v>
      </c>
      <c r="AN12" s="58" t="n">
        <f aca="false">IF(ISNUMBER(L12),E12+F12+G12+AA12+AB12+AC12,0)</f>
        <v>6</v>
      </c>
      <c r="AO12" s="60" t="n">
        <f aca="false">P12*COMISION</f>
        <v>5.7</v>
      </c>
    </row>
    <row r="13" customFormat="false" ht="15" hidden="false" customHeight="false" outlineLevel="0" collapsed="false">
      <c r="A13" s="53" t="n">
        <v>46307</v>
      </c>
      <c r="B13" s="54" t="n">
        <v>9</v>
      </c>
      <c r="C13" s="54" t="n">
        <v>3</v>
      </c>
      <c r="D13" s="54" t="n">
        <v>2</v>
      </c>
      <c r="E13" s="54" t="n">
        <v>4</v>
      </c>
      <c r="F13" s="54" t="n">
        <v>2</v>
      </c>
      <c r="G13" s="54" t="n">
        <v>1</v>
      </c>
      <c r="H13" s="54"/>
      <c r="I13" s="54"/>
      <c r="J13" s="54" t="n">
        <v>1</v>
      </c>
      <c r="K13" s="54" t="n">
        <v>5</v>
      </c>
      <c r="L13" s="55" t="n">
        <v>52.47</v>
      </c>
      <c r="M13" s="55" t="n">
        <v>44.09</v>
      </c>
      <c r="N13" s="55" t="n">
        <v>78.33</v>
      </c>
      <c r="O13" s="56"/>
      <c r="P13" s="31" t="n">
        <f aca="false">B13+C13+D13</f>
        <v>14</v>
      </c>
      <c r="Q13" s="31" t="n">
        <f aca="false">AA13+AB13+AC13</f>
        <v>6</v>
      </c>
      <c r="R13" s="32" t="n">
        <f aca="false">B13*P1_PVP+C13*P2_PVP+D13*IF($A13&lt;P3_DESDE,P3A_PVP,P3_PVP)</f>
        <v>489.86</v>
      </c>
      <c r="S13" s="32" t="n">
        <f aca="false">IF(P13&gt;0,R13/P13,"")</f>
        <v>34.99</v>
      </c>
      <c r="T13" s="32" t="n">
        <f aca="false">IF(P13&gt;0,N13/P13,"")</f>
        <v>5.595</v>
      </c>
      <c r="U13" s="57" t="n">
        <f aca="false">IF(N13&gt;0,R13/N13,"")</f>
        <v>6.25379803395889</v>
      </c>
      <c r="V13" s="34" t="n">
        <f aca="false">IF(E13+F13+G13+H13+I13+J13&gt;0,(E13+F13+G13)/(E13+F13+G13+H13+I13+J13),"")</f>
        <v>0.875</v>
      </c>
      <c r="W13" s="33" t="n">
        <f aca="false">E13*(P1_PVP-P1_CPROD)+F13*(P2_PVP-P2_CPROD)+G13*(IF($A13&lt;P3_DESDE,P3A_PVP,P3_PVP)-IF($A13&lt;P3_DESDE,P3A_CPROD,P3_CPROD))-IF(ISNUMBER(L13),L13,E13*P1_LOG+F13*P2_LOG+G13*P3_LOG)</f>
        <v>170.9731</v>
      </c>
      <c r="X13" s="33" t="n">
        <f aca="false">W13-(E13*P1_IVAN+F13*P2_IVAN+G13*IF($A13&lt;P3_DESDE,P3A_IVAN,P3_IVAN))-(H13+I13+J13)*(COSTE_DEV-IVA_DEV)-AM13-AO13</f>
        <v>32.5037190082645</v>
      </c>
      <c r="Y13" s="33" t="n">
        <f aca="false">AH13-AI13-AJ13-AK13-AL13-AM13-AO13</f>
        <v>110.413896103896</v>
      </c>
      <c r="AA13" s="58" t="n">
        <f aca="false">MAX(0,B13-E13-H13)</f>
        <v>5</v>
      </c>
      <c r="AB13" s="58" t="n">
        <f aca="false">MAX(0,C13-F13-I13)</f>
        <v>1</v>
      </c>
      <c r="AC13" s="58" t="n">
        <f aca="false">MAX(0,D13-G13-J13)</f>
        <v>0</v>
      </c>
      <c r="AD13" s="59" t="n">
        <f aca="false">E13+AA13*TASA_USADA</f>
        <v>8.28571428571429</v>
      </c>
      <c r="AE13" s="59" t="n">
        <f aca="false">F13+AB13*TASA_USADA</f>
        <v>2.85714285714286</v>
      </c>
      <c r="AF13" s="59" t="n">
        <f aca="false">G13+AC13*TASA_USADA</f>
        <v>1</v>
      </c>
      <c r="AG13" s="59" t="n">
        <f aca="false">H13+I13+J13+(AA13+AB13+AC13)*(1-TASA_USADA)</f>
        <v>1.85714285714286</v>
      </c>
      <c r="AH13" s="60" t="n">
        <f aca="false">AD13*P1_PVP+AE13*P2_PVP+AF13*IF($A13&lt;P3_DESDE,P3A_PVP,P3_PVP)</f>
        <v>412.735714285714</v>
      </c>
      <c r="AI13" s="60" t="n">
        <f aca="false">AD13*P1_CPROD+AE13*P2_CPROD+AF13*IF($A13&lt;P3_DESDE,P3A_CPROD,P3_CPROD)</f>
        <v>40.9343</v>
      </c>
      <c r="AJ13" s="60" t="n">
        <f aca="false">IF(ISNUMBER(L13),L13,E13*P1_LOG+F13*P2_LOG+G13*P3_LOG)+IF(ISNUMBER(M13),M13,AA13*P1_LOG+AB13*P2_LOG+AC13*P3_LOG)*TASA_USADA</f>
        <v>90.2614285714286</v>
      </c>
      <c r="AK13" s="60" t="n">
        <f aca="false">AG13*COSTE_DEV</f>
        <v>14.9685714285714</v>
      </c>
      <c r="AL13" s="60" t="n">
        <f aca="false">AD13*P1_IVAN+AE13*P2_IVAN+AF13*IF($A13&lt;P3_DESDE,P3A_IVAN,P3_IVAN)-AG13*IVA_DEV</f>
        <v>64.5275181818182</v>
      </c>
      <c r="AM13" s="60" t="n">
        <f aca="false">N13*(1+RECARGO_ADS)</f>
        <v>78.33</v>
      </c>
      <c r="AN13" s="58" t="n">
        <f aca="false">IF(ISNUMBER(L13),E13+F13+G13+AA13+AB13+AC13,0)</f>
        <v>13</v>
      </c>
      <c r="AO13" s="60" t="n">
        <f aca="false">P13*COMISION</f>
        <v>13.3</v>
      </c>
    </row>
    <row r="14" customFormat="false" ht="15" hidden="false" customHeight="false" outlineLevel="0" collapsed="false">
      <c r="A14" s="53" t="n">
        <v>46308</v>
      </c>
      <c r="B14" s="54" t="n">
        <v>7</v>
      </c>
      <c r="C14" s="54" t="n">
        <v>1</v>
      </c>
      <c r="D14" s="54" t="n">
        <v>1</v>
      </c>
      <c r="E14" s="54" t="n">
        <v>2</v>
      </c>
      <c r="F14" s="54"/>
      <c r="G14" s="54"/>
      <c r="H14" s="54"/>
      <c r="I14" s="54"/>
      <c r="J14" s="54"/>
      <c r="K14" s="54" t="n">
        <v>3</v>
      </c>
      <c r="L14" s="55" t="n">
        <v>14.24</v>
      </c>
      <c r="M14" s="55" t="n">
        <v>54.35</v>
      </c>
      <c r="N14" s="55" t="n">
        <v>68.05</v>
      </c>
      <c r="O14" s="56"/>
      <c r="P14" s="31" t="n">
        <f aca="false">B14+C14+D14</f>
        <v>9</v>
      </c>
      <c r="Q14" s="31" t="n">
        <f aca="false">AA14+AB14+AC14</f>
        <v>7</v>
      </c>
      <c r="R14" s="32" t="n">
        <f aca="false">B14*P1_PVP+C14*P2_PVP+D14*IF($A14&lt;P3_DESDE,P3A_PVP,P3_PVP)</f>
        <v>299.91</v>
      </c>
      <c r="S14" s="32" t="n">
        <f aca="false">IF(P14&gt;0,R14/P14,"")</f>
        <v>33.3233333333333</v>
      </c>
      <c r="T14" s="32" t="n">
        <f aca="false">IF(P14&gt;0,N14/P14,"")</f>
        <v>7.56111111111111</v>
      </c>
      <c r="U14" s="57" t="n">
        <f aca="false">IF(N14&gt;0,R14/N14,"")</f>
        <v>4.40720058780309</v>
      </c>
      <c r="V14" s="34" t="n">
        <f aca="false">IF(E14+F14+G14+H14+I14+J14&gt;0,(E14+F14+G14)/(E14+F14+G14+H14+I14+J14),"")</f>
        <v>1</v>
      </c>
      <c r="W14" s="33" t="n">
        <f aca="false">E14*(P1_PVP-P1_CPROD)+F14*(P2_PVP-P2_CPROD)+G14*(IF($A14&lt;P3_DESDE,P3A_PVP,P3_PVP)-IF($A14&lt;P3_DESDE,P3A_CPROD,P3_CPROD))-IF(ISNUMBER(L14),L14,E14*P1_LOG+F14*P2_LOG+G14*P3_LOG)</f>
        <v>40.9242</v>
      </c>
      <c r="X14" s="33" t="n">
        <f aca="false">W14-(E14*P1_IVAN+F14*P2_IVAN+G14*IF($A14&lt;P3_DESDE,P3A_IVAN,P3_IVAN))-(H14+I14+J14)*(COSTE_DEV-IVA_DEV)-AM14-AO14</f>
        <v>-45.2497520661157</v>
      </c>
      <c r="Y14" s="33" t="n">
        <f aca="false">AH14-AI14-AJ14-AK14-AL14-AM14-AO14</f>
        <v>53.0096103896104</v>
      </c>
      <c r="AA14" s="58" t="n">
        <f aca="false">MAX(0,B14-E14-H14)</f>
        <v>5</v>
      </c>
      <c r="AB14" s="58" t="n">
        <f aca="false">MAX(0,C14-F14-I14)</f>
        <v>1</v>
      </c>
      <c r="AC14" s="58" t="n">
        <f aca="false">MAX(0,D14-G14-J14)</f>
        <v>1</v>
      </c>
      <c r="AD14" s="59" t="n">
        <f aca="false">E14+AA14*TASA_USADA</f>
        <v>6.28571428571429</v>
      </c>
      <c r="AE14" s="59" t="n">
        <f aca="false">F14+AB14*TASA_USADA</f>
        <v>0.857142857142857</v>
      </c>
      <c r="AF14" s="59" t="n">
        <f aca="false">G14+AC14*TASA_USADA</f>
        <v>0.857142857142857</v>
      </c>
      <c r="AG14" s="59" t="n">
        <f aca="false">H14+I14+J14+(AA14+AB14+AC14)*(1-TASA_USADA)</f>
        <v>1</v>
      </c>
      <c r="AH14" s="60" t="n">
        <f aca="false">AD14*P1_PVP+AE14*P2_PVP+AF14*IF($A14&lt;P3_DESDE,P3A_PVP,P3_PVP)</f>
        <v>265.634285714286</v>
      </c>
      <c r="AI14" s="60" t="n">
        <f aca="false">AD14*P1_CPROD+AE14*P2_CPROD+AF14*IF($A14&lt;P3_DESDE,P3A_CPROD,P3_CPROD)</f>
        <v>25.4549428571429</v>
      </c>
      <c r="AJ14" s="60" t="n">
        <f aca="false">IF(ISNUMBER(L14),L14,E14*P1_LOG+F14*P2_LOG+G14*P3_LOG)+IF(ISNUMBER(M14),M14,AA14*P1_LOG+AB14*P2_LOG+AC14*P3_LOG)*TASA_USADA</f>
        <v>60.8257142857143</v>
      </c>
      <c r="AK14" s="60" t="n">
        <f aca="false">AG14*COSTE_DEV</f>
        <v>8.06</v>
      </c>
      <c r="AL14" s="60" t="n">
        <f aca="false">AD14*P1_IVAN+AE14*P2_IVAN+AF14*IF($A14&lt;P3_DESDE,P3A_IVAN,P3_IVAN)-AG14*IVA_DEV</f>
        <v>41.6840181818182</v>
      </c>
      <c r="AM14" s="60" t="n">
        <f aca="false">N14*(1+RECARGO_ADS)</f>
        <v>68.05</v>
      </c>
      <c r="AN14" s="58" t="n">
        <f aca="false">IF(ISNUMBER(L14),E14+F14+G14+AA14+AB14+AC14,0)</f>
        <v>9</v>
      </c>
      <c r="AO14" s="60" t="n">
        <f aca="false">P14*COMISION</f>
        <v>8.55</v>
      </c>
    </row>
    <row r="15" customFormat="false" ht="15" hidden="false" customHeight="false" outlineLevel="0" collapsed="false">
      <c r="A15" s="53" t="n">
        <v>46309</v>
      </c>
      <c r="B15" s="54" t="n">
        <v>5</v>
      </c>
      <c r="C15" s="54" t="n">
        <v>4</v>
      </c>
      <c r="D15" s="54" t="n">
        <v>0</v>
      </c>
      <c r="E15" s="54" t="n">
        <v>1</v>
      </c>
      <c r="F15" s="54"/>
      <c r="G15" s="54"/>
      <c r="H15" s="54"/>
      <c r="I15" s="54"/>
      <c r="J15" s="54"/>
      <c r="K15" s="54"/>
      <c r="L15" s="55" t="n">
        <v>7.2</v>
      </c>
      <c r="M15" s="55" t="n">
        <v>58.12</v>
      </c>
      <c r="N15" s="55" t="n">
        <v>73.35</v>
      </c>
      <c r="O15" s="56"/>
      <c r="P15" s="31" t="n">
        <f aca="false">B15+C15+D15</f>
        <v>9</v>
      </c>
      <c r="Q15" s="31" t="n">
        <f aca="false">AA15+AB15+AC15</f>
        <v>8</v>
      </c>
      <c r="R15" s="32" t="n">
        <f aca="false">B15*P1_PVP+C15*P2_PVP+D15*IF($A15&lt;P3_DESDE,P3A_PVP,P3_PVP)</f>
        <v>309.91</v>
      </c>
      <c r="S15" s="32" t="n">
        <f aca="false">IF(P15&gt;0,R15/P15,"")</f>
        <v>34.4344444444444</v>
      </c>
      <c r="T15" s="32" t="n">
        <f aca="false">IF(P15&gt;0,N15/P15,"")</f>
        <v>8.15</v>
      </c>
      <c r="U15" s="57" t="n">
        <f aca="false">IF(N15&gt;0,R15/N15,"")</f>
        <v>4.22508520790729</v>
      </c>
      <c r="V15" s="34" t="n">
        <f aca="false">IF(E15+F15+G15+H15+I15+J15&gt;0,(E15+F15+G15)/(E15+F15+G15+H15+I15+J15),"")</f>
        <v>1</v>
      </c>
      <c r="W15" s="33" t="n">
        <f aca="false">E15*(P1_PVP-P1_CPROD)+F15*(P2_PVP-P2_CPROD)+G15*(IF($A15&lt;P3_DESDE,P3A_PVP,P3_PVP)-IF($A15&lt;P3_DESDE,P3A_CPROD,P3_CPROD))-IF(ISNUMBER(L15),L15,E15*P1_LOG+F15*P2_LOG+G15*P3_LOG)</f>
        <v>20.3821</v>
      </c>
      <c r="X15" s="33" t="n">
        <f aca="false">W15-(E15*P1_IVAN+F15*P2_IVAN+G15*IF($A15&lt;P3_DESDE,P3A_IVAN,P3_IVAN))-(H15+I15+J15)*(COSTE_DEV-IVA_DEV)-AM15-AO15</f>
        <v>-66.3048760330579</v>
      </c>
      <c r="Y15" s="33" t="n">
        <f aca="false">AH15-AI15-AJ15-AK15-AL15-AM15-AO15</f>
        <v>52.4884179456907</v>
      </c>
      <c r="AA15" s="58" t="n">
        <f aca="false">MAX(0,B15-E15-H15)</f>
        <v>4</v>
      </c>
      <c r="AB15" s="58" t="n">
        <f aca="false">MAX(0,C15-F15-I15)</f>
        <v>4</v>
      </c>
      <c r="AC15" s="58" t="n">
        <f aca="false">MAX(0,D15-G15-J15)</f>
        <v>0</v>
      </c>
      <c r="AD15" s="59" t="n">
        <f aca="false">E15+AA15*TASA_USADA</f>
        <v>4.42857142857143</v>
      </c>
      <c r="AE15" s="59" t="n">
        <f aca="false">F15+AB15*TASA_USADA</f>
        <v>3.42857142857143</v>
      </c>
      <c r="AF15" s="59" t="n">
        <f aca="false">G15+AC15*TASA_USADA</f>
        <v>0</v>
      </c>
      <c r="AG15" s="59" t="n">
        <f aca="false">H15+I15+J15+(AA15+AB15+AC15)*(1-TASA_USADA)</f>
        <v>1.14285714285714</v>
      </c>
      <c r="AH15" s="60" t="n">
        <f aca="false">AD15*P1_PVP+AE15*P2_PVP+AF15*IF($A15&lt;P3_DESDE,P3A_PVP,P3_PVP)</f>
        <v>269.921428571429</v>
      </c>
      <c r="AI15" s="60" t="n">
        <f aca="false">AD15*P1_CPROD+AE15*P2_CPROD+AF15*IF($A15&lt;P3_DESDE,P3A_CPROD,P3_CPROD)</f>
        <v>27.1748714285714</v>
      </c>
      <c r="AJ15" s="60" t="n">
        <f aca="false">IF(ISNUMBER(L15),L15,E15*P1_LOG+F15*P2_LOG+G15*P3_LOG)+IF(ISNUMBER(M15),M15,AA15*P1_LOG+AB15*P2_LOG+AC15*P3_LOG)*TASA_USADA</f>
        <v>57.0171428571429</v>
      </c>
      <c r="AK15" s="60" t="n">
        <f aca="false">AG15*COSTE_DEV</f>
        <v>9.21142857142858</v>
      </c>
      <c r="AL15" s="60" t="n">
        <f aca="false">AD15*P1_IVAN+AE15*P2_IVAN+AF15*IF($A15&lt;P3_DESDE,P3A_IVAN,P3_IVAN)-AG15*IVA_DEV</f>
        <v>42.129567768595</v>
      </c>
      <c r="AM15" s="60" t="n">
        <f aca="false">N15*(1+RECARGO_ADS)</f>
        <v>73.35</v>
      </c>
      <c r="AN15" s="58" t="n">
        <f aca="false">IF(ISNUMBER(L15),E15+F15+G15+AA15+AB15+AC15,0)</f>
        <v>9</v>
      </c>
      <c r="AO15" s="60" t="n">
        <f aca="false">P15*COMISION</f>
        <v>8.55</v>
      </c>
    </row>
    <row r="16" customFormat="false" ht="15" hidden="false" customHeight="false" outlineLevel="0" collapsed="false">
      <c r="A16" s="53" t="n">
        <v>46310</v>
      </c>
      <c r="B16" s="54" t="n">
        <v>2</v>
      </c>
      <c r="C16" s="54" t="n">
        <v>3</v>
      </c>
      <c r="D16" s="54" t="n">
        <v>0</v>
      </c>
      <c r="E16" s="54"/>
      <c r="F16" s="54"/>
      <c r="G16" s="54"/>
      <c r="H16" s="54"/>
      <c r="I16" s="54"/>
      <c r="J16" s="54"/>
      <c r="K16" s="54"/>
      <c r="L16" s="55" t="n">
        <v>0</v>
      </c>
      <c r="M16" s="55" t="n">
        <v>34.8</v>
      </c>
      <c r="N16" s="55" t="n">
        <v>41.64</v>
      </c>
      <c r="O16" s="56"/>
      <c r="P16" s="31" t="n">
        <f aca="false">B16+C16+D16</f>
        <v>5</v>
      </c>
      <c r="Q16" s="31" t="n">
        <f aca="false">AA16+AB16+AC16</f>
        <v>5</v>
      </c>
      <c r="R16" s="32" t="n">
        <f aca="false">B16*P1_PVP+C16*P2_PVP+D16*IF($A16&lt;P3_DESDE,P3A_PVP,P3_PVP)</f>
        <v>179.95</v>
      </c>
      <c r="S16" s="32" t="n">
        <f aca="false">IF(P16&gt;0,R16/P16,"")</f>
        <v>35.99</v>
      </c>
      <c r="T16" s="32" t="n">
        <f aca="false">IF(P16&gt;0,N16/P16,"")</f>
        <v>8.328</v>
      </c>
      <c r="U16" s="57" t="n">
        <f aca="false">IF(N16&gt;0,R16/N16,"")</f>
        <v>4.32156580211335</v>
      </c>
      <c r="V16" s="34" t="str">
        <f aca="false">IF(E16+F16+G16+H16+I16+J16&gt;0,(E16+F16+G16)/(E16+F16+G16+H16+I16+J16),"")</f>
        <v/>
      </c>
      <c r="W16" s="33" t="n">
        <f aca="false">E16*(P1_PVP-P1_CPROD)+F16*(P2_PVP-P2_CPROD)+G16*(IF($A16&lt;P3_DESDE,P3A_PVP,P3_PVP)-IF($A16&lt;P3_DESDE,P3A_CPROD,P3_CPROD))-IF(ISNUMBER(L16),L16,E16*P1_LOG+F16*P2_LOG+G16*P3_LOG)</f>
        <v>0</v>
      </c>
      <c r="X16" s="33" t="n">
        <f aca="false">W16-(E16*P1_IVAN+F16*P2_IVAN+G16*IF($A16&lt;P3_DESDE,P3A_IVAN,P3_IVAN))-(H16+I16+J16)*(COSTE_DEV-IVA_DEV)-AM16-AO16</f>
        <v>-46.39</v>
      </c>
      <c r="Y16" s="33" t="n">
        <f aca="false">AH16-AI16-AJ16-AK16-AL16-AM16-AO16</f>
        <v>31.8520070838253</v>
      </c>
      <c r="AA16" s="58" t="n">
        <f aca="false">MAX(0,B16-E16-H16)</f>
        <v>2</v>
      </c>
      <c r="AB16" s="58" t="n">
        <f aca="false">MAX(0,C16-F16-I16)</f>
        <v>3</v>
      </c>
      <c r="AC16" s="58" t="n">
        <f aca="false">MAX(0,D16-G16-J16)</f>
        <v>0</v>
      </c>
      <c r="AD16" s="59" t="n">
        <f aca="false">E16+AA16*TASA_USADA</f>
        <v>1.71428571428571</v>
      </c>
      <c r="AE16" s="59" t="n">
        <f aca="false">F16+AB16*TASA_USADA</f>
        <v>2.57142857142857</v>
      </c>
      <c r="AF16" s="59" t="n">
        <f aca="false">G16+AC16*TASA_USADA</f>
        <v>0</v>
      </c>
      <c r="AG16" s="59" t="n">
        <f aca="false">H16+I16+J16+(AA16+AB16+AC16)*(1-TASA_USADA)</f>
        <v>0.714285714285715</v>
      </c>
      <c r="AH16" s="60" t="n">
        <f aca="false">AD16*P1_PVP+AE16*P2_PVP+AF16*IF($A16&lt;P3_DESDE,P3A_PVP,P3_PVP)</f>
        <v>154.242857142857</v>
      </c>
      <c r="AI16" s="60" t="n">
        <f aca="false">AD16*P1_CPROD+AE16*P2_CPROD+AF16*IF($A16&lt;P3_DESDE,P3A_CPROD,P3_CPROD)</f>
        <v>16.5113142857143</v>
      </c>
      <c r="AJ16" s="60" t="n">
        <f aca="false">IF(ISNUMBER(L16),L16,E16*P1_LOG+F16*P2_LOG+G16*P3_LOG)+IF(ISNUMBER(M16),M16,AA16*P1_LOG+AB16*P2_LOG+AC16*P3_LOG)*TASA_USADA</f>
        <v>29.8285714285714</v>
      </c>
      <c r="AK16" s="60" t="n">
        <f aca="false">AG16*COSTE_DEV</f>
        <v>5.75714285714286</v>
      </c>
      <c r="AL16" s="60" t="n">
        <f aca="false">AD16*P1_IVAN+AE16*P2_IVAN+AF16*IF($A16&lt;P3_DESDE,P3A_IVAN,P3_IVAN)-AG16*IVA_DEV</f>
        <v>23.9038214876033</v>
      </c>
      <c r="AM16" s="60" t="n">
        <f aca="false">N16*(1+RECARGO_ADS)</f>
        <v>41.64</v>
      </c>
      <c r="AN16" s="58" t="n">
        <f aca="false">IF(ISNUMBER(L16),E16+F16+G16+AA16+AB16+AC16,0)</f>
        <v>5</v>
      </c>
      <c r="AO16" s="60" t="n">
        <f aca="false">P16*COMISION</f>
        <v>4.75</v>
      </c>
    </row>
    <row r="17" customFormat="false" ht="15" hidden="false" customHeight="false" outlineLevel="0" collapsed="false">
      <c r="A17" s="53" t="n">
        <v>46311</v>
      </c>
      <c r="B17" s="54"/>
      <c r="C17" s="54"/>
      <c r="D17" s="54"/>
      <c r="E17" s="54"/>
      <c r="F17" s="54"/>
      <c r="G17" s="54"/>
      <c r="H17" s="54"/>
      <c r="I17" s="54"/>
      <c r="J17" s="54"/>
      <c r="K17" s="54"/>
      <c r="L17" s="55"/>
      <c r="M17" s="55"/>
      <c r="N17" s="55"/>
      <c r="O17" s="56"/>
      <c r="P17" s="31" t="n">
        <f aca="false">B17+C17+D17</f>
        <v>0</v>
      </c>
      <c r="Q17" s="31" t="n">
        <f aca="false">AA17+AB17+AC17</f>
        <v>0</v>
      </c>
      <c r="R17" s="32" t="n">
        <f aca="false">B17*P1_PVP+C17*P2_PVP+D17*IF($A17&lt;P3_DESDE,P3A_PVP,P3_PVP)</f>
        <v>0</v>
      </c>
      <c r="S17" s="32" t="str">
        <f aca="false">IF(P17&gt;0,R17/P17,"")</f>
        <v/>
      </c>
      <c r="T17" s="32" t="str">
        <f aca="false">IF(P17&gt;0,N17/P17,"")</f>
        <v/>
      </c>
      <c r="U17" s="57" t="str">
        <f aca="false">IF(N17&gt;0,R17/N17,"")</f>
        <v/>
      </c>
      <c r="V17" s="34" t="str">
        <f aca="false">IF(E17+F17+G17+H17+I17+J17&gt;0,(E17+F17+G17)/(E17+F17+G17+H17+I17+J17),"")</f>
        <v/>
      </c>
      <c r="W17" s="33" t="n">
        <f aca="false">E17*(P1_PVP-P1_CPROD)+F17*(P2_PVP-P2_CPROD)+G17*(IF($A17&lt;P3_DESDE,P3A_PVP,P3_PVP)-IF($A17&lt;P3_DESDE,P3A_CPROD,P3_CPROD))-IF(ISNUMBER(L17),L17,E17*P1_LOG+F17*P2_LOG+G17*P3_LOG)</f>
        <v>0</v>
      </c>
      <c r="X17" s="33" t="n">
        <f aca="false">W17-(E17*P1_IVAN+F17*P2_IVAN+G17*IF($A17&lt;P3_DESDE,P3A_IVAN,P3_IVAN))-(H17+I17+J17)*(COSTE_DEV-IVA_DEV)-AM17-AO17</f>
        <v>0</v>
      </c>
      <c r="Y17" s="33" t="n">
        <f aca="false">AH17-AI17-AJ17-AK17-AL17-AM17-AO17</f>
        <v>0</v>
      </c>
      <c r="AA17" s="58" t="n">
        <f aca="false">MAX(0,B17-E17-H17)</f>
        <v>0</v>
      </c>
      <c r="AB17" s="58" t="n">
        <f aca="false">MAX(0,C17-F17-I17)</f>
        <v>0</v>
      </c>
      <c r="AC17" s="58" t="n">
        <f aca="false">MAX(0,D17-G17-J17)</f>
        <v>0</v>
      </c>
      <c r="AD17" s="59" t="n">
        <f aca="false">E17+AA17*TASA_USADA</f>
        <v>0</v>
      </c>
      <c r="AE17" s="59" t="n">
        <f aca="false">F17+AB17*TASA_USADA</f>
        <v>0</v>
      </c>
      <c r="AF17" s="59" t="n">
        <f aca="false">G17+AC17*TASA_USADA</f>
        <v>0</v>
      </c>
      <c r="AG17" s="59" t="n">
        <f aca="false">H17+I17+J17+(AA17+AB17+AC17)*(1-TASA_USADA)</f>
        <v>0</v>
      </c>
      <c r="AH17" s="60" t="n">
        <f aca="false">AD17*P1_PVP+AE17*P2_PVP+AF17*IF($A17&lt;P3_DESDE,P3A_PVP,P3_PVP)</f>
        <v>0</v>
      </c>
      <c r="AI17" s="60" t="n">
        <f aca="false">AD17*P1_CPROD+AE17*P2_CPROD+AF17*IF($A17&lt;P3_DESDE,P3A_CPROD,P3_CPROD)</f>
        <v>0</v>
      </c>
      <c r="AJ17" s="60" t="n">
        <f aca="false">IF(ISNUMBER(L17),L17,E17*P1_LOG+F17*P2_LOG+G17*P3_LOG)+IF(ISNUMBER(M17),M17,AA17*P1_LOG+AB17*P2_LOG+AC17*P3_LOG)*TASA_USADA</f>
        <v>0</v>
      </c>
      <c r="AK17" s="60" t="n">
        <f aca="false">AG17*COSTE_DEV</f>
        <v>0</v>
      </c>
      <c r="AL17" s="60" t="n">
        <f aca="false">AD17*P1_IVAN+AE17*P2_IVAN+AF17*IF($A17&lt;P3_DESDE,P3A_IVAN,P3_IVAN)-AG17*IVA_DEV</f>
        <v>0</v>
      </c>
      <c r="AM17" s="60" t="n">
        <f aca="false">N17*(1+RECARGO_ADS)</f>
        <v>0</v>
      </c>
      <c r="AN17" s="58" t="n">
        <f aca="false">IF(ISNUMBER(L17),E17+F17+G17+AA17+AB17+AC17,0)</f>
        <v>0</v>
      </c>
      <c r="AO17" s="60" t="n">
        <f aca="false">P17*COMISION</f>
        <v>0</v>
      </c>
    </row>
    <row r="18" customFormat="false" ht="15" hidden="false" customHeight="false" outlineLevel="0" collapsed="false">
      <c r="A18" s="53" t="n">
        <v>46312</v>
      </c>
      <c r="B18" s="54"/>
      <c r="C18" s="54"/>
      <c r="D18" s="54"/>
      <c r="E18" s="54"/>
      <c r="F18" s="54"/>
      <c r="G18" s="54"/>
      <c r="H18" s="54"/>
      <c r="I18" s="54"/>
      <c r="J18" s="54"/>
      <c r="K18" s="54"/>
      <c r="L18" s="55"/>
      <c r="M18" s="55"/>
      <c r="N18" s="55"/>
      <c r="O18" s="56"/>
      <c r="P18" s="31" t="n">
        <f aca="false">B18+C18+D18</f>
        <v>0</v>
      </c>
      <c r="Q18" s="31" t="n">
        <f aca="false">AA18+AB18+AC18</f>
        <v>0</v>
      </c>
      <c r="R18" s="32" t="n">
        <f aca="false">B18*P1_PVP+C18*P2_PVP+D18*IF($A18&lt;P3_DESDE,P3A_PVP,P3_PVP)</f>
        <v>0</v>
      </c>
      <c r="S18" s="32" t="str">
        <f aca="false">IF(P18&gt;0,R18/P18,"")</f>
        <v/>
      </c>
      <c r="T18" s="32" t="str">
        <f aca="false">IF(P18&gt;0,N18/P18,"")</f>
        <v/>
      </c>
      <c r="U18" s="57" t="str">
        <f aca="false">IF(N18&gt;0,R18/N18,"")</f>
        <v/>
      </c>
      <c r="V18" s="34" t="str">
        <f aca="false">IF(E18+F18+G18+H18+I18+J18&gt;0,(E18+F18+G18)/(E18+F18+G18+H18+I18+J18),"")</f>
        <v/>
      </c>
      <c r="W18" s="33" t="n">
        <f aca="false">E18*(P1_PVP-P1_CPROD)+F18*(P2_PVP-P2_CPROD)+G18*(IF($A18&lt;P3_DESDE,P3A_PVP,P3_PVP)-IF($A18&lt;P3_DESDE,P3A_CPROD,P3_CPROD))-IF(ISNUMBER(L18),L18,E18*P1_LOG+F18*P2_LOG+G18*P3_LOG)</f>
        <v>0</v>
      </c>
      <c r="X18" s="33" t="n">
        <f aca="false">W18-(E18*P1_IVAN+F18*P2_IVAN+G18*IF($A18&lt;P3_DESDE,P3A_IVAN,P3_IVAN))-(H18+I18+J18)*(COSTE_DEV-IVA_DEV)-AM18-AO18</f>
        <v>0</v>
      </c>
      <c r="Y18" s="33" t="n">
        <f aca="false">AH18-AI18-AJ18-AK18-AL18-AM18-AO18</f>
        <v>0</v>
      </c>
      <c r="AA18" s="58" t="n">
        <f aca="false">MAX(0,B18-E18-H18)</f>
        <v>0</v>
      </c>
      <c r="AB18" s="58" t="n">
        <f aca="false">MAX(0,C18-F18-I18)</f>
        <v>0</v>
      </c>
      <c r="AC18" s="58" t="n">
        <f aca="false">MAX(0,D18-G18-J18)</f>
        <v>0</v>
      </c>
      <c r="AD18" s="59" t="n">
        <f aca="false">E18+AA18*TASA_USADA</f>
        <v>0</v>
      </c>
      <c r="AE18" s="59" t="n">
        <f aca="false">F18+AB18*TASA_USADA</f>
        <v>0</v>
      </c>
      <c r="AF18" s="59" t="n">
        <f aca="false">G18+AC18*TASA_USADA</f>
        <v>0</v>
      </c>
      <c r="AG18" s="59" t="n">
        <f aca="false">H18+I18+J18+(AA18+AB18+AC18)*(1-TASA_USADA)</f>
        <v>0</v>
      </c>
      <c r="AH18" s="60" t="n">
        <f aca="false">AD18*P1_PVP+AE18*P2_PVP+AF18*IF($A18&lt;P3_DESDE,P3A_PVP,P3_PVP)</f>
        <v>0</v>
      </c>
      <c r="AI18" s="60" t="n">
        <f aca="false">AD18*P1_CPROD+AE18*P2_CPROD+AF18*IF($A18&lt;P3_DESDE,P3A_CPROD,P3_CPROD)</f>
        <v>0</v>
      </c>
      <c r="AJ18" s="60" t="n">
        <f aca="false">IF(ISNUMBER(L18),L18,E18*P1_LOG+F18*P2_LOG+G18*P3_LOG)+IF(ISNUMBER(M18),M18,AA18*P1_LOG+AB18*P2_LOG+AC18*P3_LOG)*TASA_USADA</f>
        <v>0</v>
      </c>
      <c r="AK18" s="60" t="n">
        <f aca="false">AG18*COSTE_DEV</f>
        <v>0</v>
      </c>
      <c r="AL18" s="60" t="n">
        <f aca="false">AD18*P1_IVAN+AE18*P2_IVAN+AF18*IF($A18&lt;P3_DESDE,P3A_IVAN,P3_IVAN)-AG18*IVA_DEV</f>
        <v>0</v>
      </c>
      <c r="AM18" s="60" t="n">
        <f aca="false">N18*(1+RECARGO_ADS)</f>
        <v>0</v>
      </c>
      <c r="AN18" s="58" t="n">
        <f aca="false">IF(ISNUMBER(L18),E18+F18+G18+AA18+AB18+AC18,0)</f>
        <v>0</v>
      </c>
      <c r="AO18" s="60" t="n">
        <f aca="false">P18*COMISION</f>
        <v>0</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B19*P1_PVP+C19*P2_PVP+D19*IF($A19&lt;P3_DESDE,P3A_PVP,P3_PVP)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E19*(P1_PVP-P1_CPROD)+F19*(P2_PVP-P2_CPROD)+G19*(IF($A19&lt;P3_DESDE,P3A_PVP,P3_PVP)-IF($A19&lt;P3_DESDE,P3A_CPROD,P3_CPROD))-IF(ISNUMBER(L19),L19,E19*P1_LOG+F19*P2_LOG+G19*P3_LOG)</f>
        <v>0</v>
      </c>
      <c r="X19" s="33" t="n">
        <f aca="false">W19-(E19*P1_IVAN+F19*P2_IVAN+G19*IF($A19&lt;P3_DESDE,P3A_IVAN,P3_IVAN))-(H19+I19+J19)*(COSTE_DEV-IVA_DEV)-AM19-AO19</f>
        <v>0</v>
      </c>
      <c r="Y19" s="33" t="n">
        <f aca="false">AH19-AI19-AJ19-AK19-AL19-AM19-AO19</f>
        <v>0</v>
      </c>
      <c r="AA19" s="58" t="n">
        <f aca="false">MAX(0,B19-E19-H19)</f>
        <v>0</v>
      </c>
      <c r="AB19" s="58" t="n">
        <f aca="false">MAX(0,C19-F19-I19)</f>
        <v>0</v>
      </c>
      <c r="AC19" s="58" t="n">
        <f aca="false">MAX(0,D19-G19-J19)</f>
        <v>0</v>
      </c>
      <c r="AD19" s="59" t="n">
        <f aca="false">E19+AA19*TASA_USADA</f>
        <v>0</v>
      </c>
      <c r="AE19" s="59" t="n">
        <f aca="false">F19+AB19*TASA_USADA</f>
        <v>0</v>
      </c>
      <c r="AF19" s="59" t="n">
        <f aca="false">G19+AC19*TASA_USADA</f>
        <v>0</v>
      </c>
      <c r="AG19" s="59" t="n">
        <f aca="false">H19+I19+J19+(AA19+AB19+AC19)*(1-TASA_USADA)</f>
        <v>0</v>
      </c>
      <c r="AH19" s="60" t="n">
        <f aca="false">AD19*P1_PVP+AE19*P2_PVP+AF19*IF($A19&lt;P3_DESDE,P3A_PVP,P3_PVP)</f>
        <v>0</v>
      </c>
      <c r="AI19" s="60" t="n">
        <f aca="false">AD19*P1_CPROD+AE19*P2_CPROD+AF19*IF($A19&lt;P3_DESDE,P3A_CPROD,P3_CPROD)</f>
        <v>0</v>
      </c>
      <c r="AJ19" s="60" t="n">
        <f aca="false">IF(ISNUMBER(L19),L19,E19*P1_LOG+F19*P2_LOG+G19*P3_LOG)+IF(ISNUMBER(M19),M19,AA19*P1_LOG+AB19*P2_LOG+AC19*P3_LOG)*TASA_USADA</f>
        <v>0</v>
      </c>
      <c r="AK19" s="60" t="n">
        <f aca="false">AG19*COSTE_DEV</f>
        <v>0</v>
      </c>
      <c r="AL19" s="60" t="n">
        <f aca="false">AD19*P1_IVAN+AE19*P2_IVAN+AF19*IF($A19&lt;P3_DESDE,P3A_IVAN,P3_IVAN)-AG19*IVA_DEV</f>
        <v>0</v>
      </c>
      <c r="AM19" s="60" t="n">
        <f aca="false">N19*(1+RECARGO_ADS)</f>
        <v>0</v>
      </c>
      <c r="AN19" s="58" t="n">
        <f aca="false">IF(ISNUMBER(L19),E19+F19+G19+AA19+AB19+AC19,0)</f>
        <v>0</v>
      </c>
      <c r="AO19" s="60" t="n">
        <f aca="false">P19*COMISION</f>
        <v>0</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B20*P1_PVP+C20*P2_PVP+D20*IF($A20&lt;P3_DESDE,P3A_PVP,P3_PVP)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E20*(P1_PVP-P1_CPROD)+F20*(P2_PVP-P2_CPROD)+G20*(IF($A20&lt;P3_DESDE,P3A_PVP,P3_PVP)-IF($A20&lt;P3_DESDE,P3A_CPROD,P3_CPROD))-IF(ISNUMBER(L20),L20,E20*P1_LOG+F20*P2_LOG+G20*P3_LOG)</f>
        <v>0</v>
      </c>
      <c r="X20" s="33" t="n">
        <f aca="false">W20-(E20*P1_IVAN+F20*P2_IVAN+G20*IF($A20&lt;P3_DESDE,P3A_IVAN,P3_IVAN))-(H20+I20+J20)*(COSTE_DEV-IVA_DEV)-AM20-AO20</f>
        <v>0</v>
      </c>
      <c r="Y20" s="33" t="n">
        <f aca="false">AH20-AI20-AJ20-AK20-AL20-AM20-AO20</f>
        <v>0</v>
      </c>
      <c r="AA20" s="58" t="n">
        <f aca="false">MAX(0,B20-E20-H20)</f>
        <v>0</v>
      </c>
      <c r="AB20" s="58" t="n">
        <f aca="false">MAX(0,C20-F20-I20)</f>
        <v>0</v>
      </c>
      <c r="AC20" s="58" t="n">
        <f aca="false">MAX(0,D20-G20-J20)</f>
        <v>0</v>
      </c>
      <c r="AD20" s="59" t="n">
        <f aca="false">E20+AA20*TASA_USADA</f>
        <v>0</v>
      </c>
      <c r="AE20" s="59" t="n">
        <f aca="false">F20+AB20*TASA_USADA</f>
        <v>0</v>
      </c>
      <c r="AF20" s="59" t="n">
        <f aca="false">G20+AC20*TASA_USADA</f>
        <v>0</v>
      </c>
      <c r="AG20" s="59" t="n">
        <f aca="false">H20+I20+J20+(AA20+AB20+AC20)*(1-TASA_USADA)</f>
        <v>0</v>
      </c>
      <c r="AH20" s="60" t="n">
        <f aca="false">AD20*P1_PVP+AE20*P2_PVP+AF20*IF($A20&lt;P3_DESDE,P3A_PVP,P3_PVP)</f>
        <v>0</v>
      </c>
      <c r="AI20" s="60" t="n">
        <f aca="false">AD20*P1_CPROD+AE20*P2_CPROD+AF20*IF($A20&lt;P3_DESDE,P3A_CPROD,P3_CPROD)</f>
        <v>0</v>
      </c>
      <c r="AJ20" s="60" t="n">
        <f aca="false">IF(ISNUMBER(L20),L20,E20*P1_LOG+F20*P2_LOG+G20*P3_LOG)+IF(ISNUMBER(M20),M20,AA20*P1_LOG+AB20*P2_LOG+AC20*P3_LOG)*TASA_USADA</f>
        <v>0</v>
      </c>
      <c r="AK20" s="60" t="n">
        <f aca="false">AG20*COSTE_DEV</f>
        <v>0</v>
      </c>
      <c r="AL20" s="60" t="n">
        <f aca="false">AD20*P1_IVAN+AE20*P2_IVAN+AF20*IF($A20&lt;P3_DESDE,P3A_IVAN,P3_IVAN)-AG20*IVA_DEV</f>
        <v>0</v>
      </c>
      <c r="AM20" s="60" t="n">
        <f aca="false">N20*(1+RECARGO_ADS)</f>
        <v>0</v>
      </c>
      <c r="AN20" s="58" t="n">
        <f aca="false">IF(ISNUMBER(L20),E20+F20+G20+AA20+AB20+AC20,0)</f>
        <v>0</v>
      </c>
      <c r="AO20" s="60" t="n">
        <f aca="false">P20*COMISION</f>
        <v>0</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B21*P1_PVP+C21*P2_PVP+D21*IF($A21&lt;P3_DESDE,P3A_PVP,P3_PVP)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E21*(P1_PVP-P1_CPROD)+F21*(P2_PVP-P2_CPROD)+G21*(IF($A21&lt;P3_DESDE,P3A_PVP,P3_PVP)-IF($A21&lt;P3_DESDE,P3A_CPROD,P3_CPROD))-IF(ISNUMBER(L21),L21,E21*P1_LOG+F21*P2_LOG+G21*P3_LOG)</f>
        <v>0</v>
      </c>
      <c r="X21" s="33" t="n">
        <f aca="false">W21-(E21*P1_IVAN+F21*P2_IVAN+G21*IF($A21&lt;P3_DESDE,P3A_IVAN,P3_IVAN))-(H21+I21+J21)*(COSTE_DEV-IVA_DEV)-AM21-AO21</f>
        <v>0</v>
      </c>
      <c r="Y21" s="33" t="n">
        <f aca="false">AH21-AI21-AJ21-AK21-AL21-AM21-AO21</f>
        <v>0</v>
      </c>
      <c r="AA21" s="58" t="n">
        <f aca="false">MAX(0,B21-E21-H21)</f>
        <v>0</v>
      </c>
      <c r="AB21" s="58" t="n">
        <f aca="false">MAX(0,C21-F21-I21)</f>
        <v>0</v>
      </c>
      <c r="AC21" s="58" t="n">
        <f aca="false">MAX(0,D21-G21-J21)</f>
        <v>0</v>
      </c>
      <c r="AD21" s="59" t="n">
        <f aca="false">E21+AA21*TASA_USADA</f>
        <v>0</v>
      </c>
      <c r="AE21" s="59" t="n">
        <f aca="false">F21+AB21*TASA_USADA</f>
        <v>0</v>
      </c>
      <c r="AF21" s="59" t="n">
        <f aca="false">G21+AC21*TASA_USADA</f>
        <v>0</v>
      </c>
      <c r="AG21" s="59" t="n">
        <f aca="false">H21+I21+J21+(AA21+AB21+AC21)*(1-TASA_USADA)</f>
        <v>0</v>
      </c>
      <c r="AH21" s="60" t="n">
        <f aca="false">AD21*P1_PVP+AE21*P2_PVP+AF21*IF($A21&lt;P3_DESDE,P3A_PVP,P3_PVP)</f>
        <v>0</v>
      </c>
      <c r="AI21" s="60" t="n">
        <f aca="false">AD21*P1_CPROD+AE21*P2_CPROD+AF21*IF($A21&lt;P3_DESDE,P3A_CPROD,P3_CPROD)</f>
        <v>0</v>
      </c>
      <c r="AJ21" s="60" t="n">
        <f aca="false">IF(ISNUMBER(L21),L21,E21*P1_LOG+F21*P2_LOG+G21*P3_LOG)+IF(ISNUMBER(M21),M21,AA21*P1_LOG+AB21*P2_LOG+AC21*P3_LOG)*TASA_USADA</f>
        <v>0</v>
      </c>
      <c r="AK21" s="60" t="n">
        <f aca="false">AG21*COSTE_DEV</f>
        <v>0</v>
      </c>
      <c r="AL21" s="60" t="n">
        <f aca="false">AD21*P1_IVAN+AE21*P2_IVAN+AF21*IF($A21&lt;P3_DESDE,P3A_IVAN,P3_IVAN)-AG21*IVA_DEV</f>
        <v>0</v>
      </c>
      <c r="AM21" s="60" t="n">
        <f aca="false">N21*(1+RECARGO_ADS)</f>
        <v>0</v>
      </c>
      <c r="AN21" s="58" t="n">
        <f aca="false">IF(ISNUMBER(L21),E21+F21+G21+AA21+AB21+AC21,0)</f>
        <v>0</v>
      </c>
      <c r="AO21" s="60" t="n">
        <f aca="false">P21*COMISION</f>
        <v>0</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B22*P1_PVP+C22*P2_PVP+D22*IF($A22&lt;P3_DESDE,P3A_PVP,P3_PVP)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E22*(P1_PVP-P1_CPROD)+F22*(P2_PVP-P2_CPROD)+G22*(IF($A22&lt;P3_DESDE,P3A_PVP,P3_PVP)-IF($A22&lt;P3_DESDE,P3A_CPROD,P3_CPROD))-IF(ISNUMBER(L22),L22,E22*P1_LOG+F22*P2_LOG+G22*P3_LOG)</f>
        <v>0</v>
      </c>
      <c r="X22" s="33" t="n">
        <f aca="false">W22-(E22*P1_IVAN+F22*P2_IVAN+G22*IF($A22&lt;P3_DESDE,P3A_IVAN,P3_IVAN))-(H22+I22+J22)*(COSTE_DEV-IVA_DEV)-AM22-AO22</f>
        <v>0</v>
      </c>
      <c r="Y22" s="33" t="n">
        <f aca="false">AH22-AI22-AJ22-AK22-AL22-AM22-AO22</f>
        <v>0</v>
      </c>
      <c r="AA22" s="58" t="n">
        <f aca="false">MAX(0,B22-E22-H22)</f>
        <v>0</v>
      </c>
      <c r="AB22" s="58" t="n">
        <f aca="false">MAX(0,C22-F22-I22)</f>
        <v>0</v>
      </c>
      <c r="AC22" s="58" t="n">
        <f aca="false">MAX(0,D22-G22-J22)</f>
        <v>0</v>
      </c>
      <c r="AD22" s="59" t="n">
        <f aca="false">E22+AA22*TASA_USADA</f>
        <v>0</v>
      </c>
      <c r="AE22" s="59" t="n">
        <f aca="false">F22+AB22*TASA_USADA</f>
        <v>0</v>
      </c>
      <c r="AF22" s="59" t="n">
        <f aca="false">G22+AC22*TASA_USADA</f>
        <v>0</v>
      </c>
      <c r="AG22" s="59" t="n">
        <f aca="false">H22+I22+J22+(AA22+AB22+AC22)*(1-TASA_USADA)</f>
        <v>0</v>
      </c>
      <c r="AH22" s="60" t="n">
        <f aca="false">AD22*P1_PVP+AE22*P2_PVP+AF22*IF($A22&lt;P3_DESDE,P3A_PVP,P3_PVP)</f>
        <v>0</v>
      </c>
      <c r="AI22" s="60" t="n">
        <f aca="false">AD22*P1_CPROD+AE22*P2_CPROD+AF22*IF($A22&lt;P3_DESDE,P3A_CPROD,P3_CPROD)</f>
        <v>0</v>
      </c>
      <c r="AJ22" s="60" t="n">
        <f aca="false">IF(ISNUMBER(L22),L22,E22*P1_LOG+F22*P2_LOG+G22*P3_LOG)+IF(ISNUMBER(M22),M22,AA22*P1_LOG+AB22*P2_LOG+AC22*P3_LOG)*TASA_USADA</f>
        <v>0</v>
      </c>
      <c r="AK22" s="60" t="n">
        <f aca="false">AG22*COSTE_DEV</f>
        <v>0</v>
      </c>
      <c r="AL22" s="60" t="n">
        <f aca="false">AD22*P1_IVAN+AE22*P2_IVAN+AF22*IF($A22&lt;P3_DESDE,P3A_IVAN,P3_IVAN)-AG22*IVA_DEV</f>
        <v>0</v>
      </c>
      <c r="AM22" s="60" t="n">
        <f aca="false">N22*(1+RECARGO_ADS)</f>
        <v>0</v>
      </c>
      <c r="AN22" s="58" t="n">
        <f aca="false">IF(ISNUMBER(L22),E22+F22+G22+AA22+AB22+AC22,0)</f>
        <v>0</v>
      </c>
      <c r="AO22" s="60" t="n">
        <f aca="false">P22*COMISION</f>
        <v>0</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B23*P1_PVP+C23*P2_PVP+D23*IF($A23&lt;P3_DESDE,P3A_PVP,P3_PVP)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E23*(P1_PVP-P1_CPROD)+F23*(P2_PVP-P2_CPROD)+G23*(IF($A23&lt;P3_DESDE,P3A_PVP,P3_PVP)-IF($A23&lt;P3_DESDE,P3A_CPROD,P3_CPROD))-IF(ISNUMBER(L23),L23,E23*P1_LOG+F23*P2_LOG+G23*P3_LOG)</f>
        <v>0</v>
      </c>
      <c r="X23" s="33" t="n">
        <f aca="false">W23-(E23*P1_IVAN+F23*P2_IVAN+G23*IF($A23&lt;P3_DESDE,P3A_IVAN,P3_IVAN))-(H23+I23+J23)*(COSTE_DEV-IVA_DEV)-AM23-AO23</f>
        <v>0</v>
      </c>
      <c r="Y23" s="33" t="n">
        <f aca="false">AH23-AI23-AJ23-AK23-AL23-AM23-AO23</f>
        <v>0</v>
      </c>
      <c r="AA23" s="58" t="n">
        <f aca="false">MAX(0,B23-E23-H23)</f>
        <v>0</v>
      </c>
      <c r="AB23" s="58" t="n">
        <f aca="false">MAX(0,C23-F23-I23)</f>
        <v>0</v>
      </c>
      <c r="AC23" s="58" t="n">
        <f aca="false">MAX(0,D23-G23-J23)</f>
        <v>0</v>
      </c>
      <c r="AD23" s="59" t="n">
        <f aca="false">E23+AA23*TASA_USADA</f>
        <v>0</v>
      </c>
      <c r="AE23" s="59" t="n">
        <f aca="false">F23+AB23*TASA_USADA</f>
        <v>0</v>
      </c>
      <c r="AF23" s="59" t="n">
        <f aca="false">G23+AC23*TASA_USADA</f>
        <v>0</v>
      </c>
      <c r="AG23" s="59" t="n">
        <f aca="false">H23+I23+J23+(AA23+AB23+AC23)*(1-TASA_USADA)</f>
        <v>0</v>
      </c>
      <c r="AH23" s="60" t="n">
        <f aca="false">AD23*P1_PVP+AE23*P2_PVP+AF23*IF($A23&lt;P3_DESDE,P3A_PVP,P3_PVP)</f>
        <v>0</v>
      </c>
      <c r="AI23" s="60" t="n">
        <f aca="false">AD23*P1_CPROD+AE23*P2_CPROD+AF23*IF($A23&lt;P3_DESDE,P3A_CPROD,P3_CPROD)</f>
        <v>0</v>
      </c>
      <c r="AJ23" s="60" t="n">
        <f aca="false">IF(ISNUMBER(L23),L23,E23*P1_LOG+F23*P2_LOG+G23*P3_LOG)+IF(ISNUMBER(M23),M23,AA23*P1_LOG+AB23*P2_LOG+AC23*P3_LOG)*TASA_USADA</f>
        <v>0</v>
      </c>
      <c r="AK23" s="60" t="n">
        <f aca="false">AG23*COSTE_DEV</f>
        <v>0</v>
      </c>
      <c r="AL23" s="60" t="n">
        <f aca="false">AD23*P1_IVAN+AE23*P2_IVAN+AF23*IF($A23&lt;P3_DESDE,P3A_IVAN,P3_IVAN)-AG23*IVA_DEV</f>
        <v>0</v>
      </c>
      <c r="AM23" s="60" t="n">
        <f aca="false">N23*(1+RECARGO_ADS)</f>
        <v>0</v>
      </c>
      <c r="AN23" s="58" t="n">
        <f aca="false">IF(ISNUMBER(L23),E23+F23+G23+AA23+AB23+AC23,0)</f>
        <v>0</v>
      </c>
      <c r="AO23" s="60" t="n">
        <f aca="false">P23*COMISION</f>
        <v>0</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B24*P1_PVP+C24*P2_PVP+D24*IF($A24&lt;P3_DESDE,P3A_PVP,P3_PVP)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E24*(P1_PVP-P1_CPROD)+F24*(P2_PVP-P2_CPROD)+G24*(IF($A24&lt;P3_DESDE,P3A_PVP,P3_PVP)-IF($A24&lt;P3_DESDE,P3A_CPROD,P3_CPROD))-IF(ISNUMBER(L24),L24,E24*P1_LOG+F24*P2_LOG+G24*P3_LOG)</f>
        <v>0</v>
      </c>
      <c r="X24" s="33" t="n">
        <f aca="false">W24-(E24*P1_IVAN+F24*P2_IVAN+G24*IF($A24&lt;P3_DESDE,P3A_IVAN,P3_IVAN))-(H24+I24+J24)*(COSTE_DEV-IVA_DEV)-AM24-AO24</f>
        <v>0</v>
      </c>
      <c r="Y24" s="33" t="n">
        <f aca="false">AH24-AI24-AJ24-AK24-AL24-AM24-AO24</f>
        <v>0</v>
      </c>
      <c r="AA24" s="58" t="n">
        <f aca="false">MAX(0,B24-E24-H24)</f>
        <v>0</v>
      </c>
      <c r="AB24" s="58" t="n">
        <f aca="false">MAX(0,C24-F24-I24)</f>
        <v>0</v>
      </c>
      <c r="AC24" s="58" t="n">
        <f aca="false">MAX(0,D24-G24-J24)</f>
        <v>0</v>
      </c>
      <c r="AD24" s="59" t="n">
        <f aca="false">E24+AA24*TASA_USADA</f>
        <v>0</v>
      </c>
      <c r="AE24" s="59" t="n">
        <f aca="false">F24+AB24*TASA_USADA</f>
        <v>0</v>
      </c>
      <c r="AF24" s="59" t="n">
        <f aca="false">G24+AC24*TASA_USADA</f>
        <v>0</v>
      </c>
      <c r="AG24" s="59" t="n">
        <f aca="false">H24+I24+J24+(AA24+AB24+AC24)*(1-TASA_USADA)</f>
        <v>0</v>
      </c>
      <c r="AH24" s="60" t="n">
        <f aca="false">AD24*P1_PVP+AE24*P2_PVP+AF24*IF($A24&lt;P3_DESDE,P3A_PVP,P3_PVP)</f>
        <v>0</v>
      </c>
      <c r="AI24" s="60" t="n">
        <f aca="false">AD24*P1_CPROD+AE24*P2_CPROD+AF24*IF($A24&lt;P3_DESDE,P3A_CPROD,P3_CPROD)</f>
        <v>0</v>
      </c>
      <c r="AJ24" s="60" t="n">
        <f aca="false">IF(ISNUMBER(L24),L24,E24*P1_LOG+F24*P2_LOG+G24*P3_LOG)+IF(ISNUMBER(M24),M24,AA24*P1_LOG+AB24*P2_LOG+AC24*P3_LOG)*TASA_USADA</f>
        <v>0</v>
      </c>
      <c r="AK24" s="60" t="n">
        <f aca="false">AG24*COSTE_DEV</f>
        <v>0</v>
      </c>
      <c r="AL24" s="60" t="n">
        <f aca="false">AD24*P1_IVAN+AE24*P2_IVAN+AF24*IF($A24&lt;P3_DESDE,P3A_IVAN,P3_IVAN)-AG24*IVA_DEV</f>
        <v>0</v>
      </c>
      <c r="AM24" s="60" t="n">
        <f aca="false">N24*(1+RECARGO_ADS)</f>
        <v>0</v>
      </c>
      <c r="AN24" s="58" t="n">
        <f aca="false">IF(ISNUMBER(L24),E24+F24+G24+AA24+AB24+AC24,0)</f>
        <v>0</v>
      </c>
      <c r="AO24" s="60" t="n">
        <f aca="false">P24*COMISION</f>
        <v>0</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B25*P1_PVP+C25*P2_PVP+D25*IF($A25&lt;P3_DESDE,P3A_PVP,P3_PVP)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E25*(P1_PVP-P1_CPROD)+F25*(P2_PVP-P2_CPROD)+G25*(IF($A25&lt;P3_DESDE,P3A_PVP,P3_PVP)-IF($A25&lt;P3_DESDE,P3A_CPROD,P3_CPROD))-IF(ISNUMBER(L25),L25,E25*P1_LOG+F25*P2_LOG+G25*P3_LOG)</f>
        <v>0</v>
      </c>
      <c r="X25" s="33" t="n">
        <f aca="false">W25-(E25*P1_IVAN+F25*P2_IVAN+G25*IF($A25&lt;P3_DESDE,P3A_IVAN,P3_IVAN))-(H25+I25+J25)*(COSTE_DEV-IVA_DEV)-AM25-AO25</f>
        <v>0</v>
      </c>
      <c r="Y25" s="33" t="n">
        <f aca="false">AH25-AI25-AJ25-AK25-AL25-AM25-AO25</f>
        <v>0</v>
      </c>
      <c r="AA25" s="58" t="n">
        <f aca="false">MAX(0,B25-E25-H25)</f>
        <v>0</v>
      </c>
      <c r="AB25" s="58" t="n">
        <f aca="false">MAX(0,C25-F25-I25)</f>
        <v>0</v>
      </c>
      <c r="AC25" s="58" t="n">
        <f aca="false">MAX(0,D25-G25-J25)</f>
        <v>0</v>
      </c>
      <c r="AD25" s="59" t="n">
        <f aca="false">E25+AA25*TASA_USADA</f>
        <v>0</v>
      </c>
      <c r="AE25" s="59" t="n">
        <f aca="false">F25+AB25*TASA_USADA</f>
        <v>0</v>
      </c>
      <c r="AF25" s="59" t="n">
        <f aca="false">G25+AC25*TASA_USADA</f>
        <v>0</v>
      </c>
      <c r="AG25" s="59" t="n">
        <f aca="false">H25+I25+J25+(AA25+AB25+AC25)*(1-TASA_USADA)</f>
        <v>0</v>
      </c>
      <c r="AH25" s="60" t="n">
        <f aca="false">AD25*P1_PVP+AE25*P2_PVP+AF25*IF($A25&lt;P3_DESDE,P3A_PVP,P3_PVP)</f>
        <v>0</v>
      </c>
      <c r="AI25" s="60" t="n">
        <f aca="false">AD25*P1_CPROD+AE25*P2_CPROD+AF25*IF($A25&lt;P3_DESDE,P3A_CPROD,P3_CPROD)</f>
        <v>0</v>
      </c>
      <c r="AJ25" s="60" t="n">
        <f aca="false">IF(ISNUMBER(L25),L25,E25*P1_LOG+F25*P2_LOG+G25*P3_LOG)+IF(ISNUMBER(M25),M25,AA25*P1_LOG+AB25*P2_LOG+AC25*P3_LOG)*TASA_USADA</f>
        <v>0</v>
      </c>
      <c r="AK25" s="60" t="n">
        <f aca="false">AG25*COSTE_DEV</f>
        <v>0</v>
      </c>
      <c r="AL25" s="60" t="n">
        <f aca="false">AD25*P1_IVAN+AE25*P2_IVAN+AF25*IF($A25&lt;P3_DESDE,P3A_IVAN,P3_IVAN)-AG25*IVA_DEV</f>
        <v>0</v>
      </c>
      <c r="AM25" s="60" t="n">
        <f aca="false">N25*(1+RECARGO_ADS)</f>
        <v>0</v>
      </c>
      <c r="AN25" s="58" t="n">
        <f aca="false">IF(ISNUMBER(L25),E25+F25+G25+AA25+AB25+AC25,0)</f>
        <v>0</v>
      </c>
      <c r="AO25" s="60" t="n">
        <f aca="false">P25*COMISION</f>
        <v>0</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B26*P1_PVP+C26*P2_PVP+D26*IF($A26&lt;P3_DESDE,P3A_PVP,P3_PVP)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E26*(P1_PVP-P1_CPROD)+F26*(P2_PVP-P2_CPROD)+G26*(IF($A26&lt;P3_DESDE,P3A_PVP,P3_PVP)-IF($A26&lt;P3_DESDE,P3A_CPROD,P3_CPROD))-IF(ISNUMBER(L26),L26,E26*P1_LOG+F26*P2_LOG+G26*P3_LOG)</f>
        <v>0</v>
      </c>
      <c r="X26" s="33" t="n">
        <f aca="false">W26-(E26*P1_IVAN+F26*P2_IVAN+G26*IF($A26&lt;P3_DESDE,P3A_IVAN,P3_IVAN))-(H26+I26+J26)*(COSTE_DEV-IVA_DEV)-AM26-AO26</f>
        <v>0</v>
      </c>
      <c r="Y26" s="33" t="n">
        <f aca="false">AH26-AI26-AJ26-AK26-AL26-AM26-AO26</f>
        <v>0</v>
      </c>
      <c r="AA26" s="58" t="n">
        <f aca="false">MAX(0,B26-E26-H26)</f>
        <v>0</v>
      </c>
      <c r="AB26" s="58" t="n">
        <f aca="false">MAX(0,C26-F26-I26)</f>
        <v>0</v>
      </c>
      <c r="AC26" s="58" t="n">
        <f aca="false">MAX(0,D26-G26-J26)</f>
        <v>0</v>
      </c>
      <c r="AD26" s="59" t="n">
        <f aca="false">E26+AA26*TASA_USADA</f>
        <v>0</v>
      </c>
      <c r="AE26" s="59" t="n">
        <f aca="false">F26+AB26*TASA_USADA</f>
        <v>0</v>
      </c>
      <c r="AF26" s="59" t="n">
        <f aca="false">G26+AC26*TASA_USADA</f>
        <v>0</v>
      </c>
      <c r="AG26" s="59" t="n">
        <f aca="false">H26+I26+J26+(AA26+AB26+AC26)*(1-TASA_USADA)</f>
        <v>0</v>
      </c>
      <c r="AH26" s="60" t="n">
        <f aca="false">AD26*P1_PVP+AE26*P2_PVP+AF26*IF($A26&lt;P3_DESDE,P3A_PVP,P3_PVP)</f>
        <v>0</v>
      </c>
      <c r="AI26" s="60" t="n">
        <f aca="false">AD26*P1_CPROD+AE26*P2_CPROD+AF26*IF($A26&lt;P3_DESDE,P3A_CPROD,P3_CPROD)</f>
        <v>0</v>
      </c>
      <c r="AJ26" s="60" t="n">
        <f aca="false">IF(ISNUMBER(L26),L26,E26*P1_LOG+F26*P2_LOG+G26*P3_LOG)+IF(ISNUMBER(M26),M26,AA26*P1_LOG+AB26*P2_LOG+AC26*P3_LOG)*TASA_USADA</f>
        <v>0</v>
      </c>
      <c r="AK26" s="60" t="n">
        <f aca="false">AG26*COSTE_DEV</f>
        <v>0</v>
      </c>
      <c r="AL26" s="60" t="n">
        <f aca="false">AD26*P1_IVAN+AE26*P2_IVAN+AF26*IF($A26&lt;P3_DESDE,P3A_IVAN,P3_IVAN)-AG26*IVA_DEV</f>
        <v>0</v>
      </c>
      <c r="AM26" s="60" t="n">
        <f aca="false">N26*(1+RECARGO_ADS)</f>
        <v>0</v>
      </c>
      <c r="AN26" s="58" t="n">
        <f aca="false">IF(ISNUMBER(L26),E26+F26+G26+AA26+AB26+AC26,0)</f>
        <v>0</v>
      </c>
      <c r="AO26" s="60" t="n">
        <f aca="false">P26*COMISION</f>
        <v>0</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B27*P1_PVP+C27*P2_PVP+D27*IF($A27&lt;P3_DESDE,P3A_PVP,P3_PVP)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E27*(P1_PVP-P1_CPROD)+F27*(P2_PVP-P2_CPROD)+G27*(IF($A27&lt;P3_DESDE,P3A_PVP,P3_PVP)-IF($A27&lt;P3_DESDE,P3A_CPROD,P3_CPROD))-IF(ISNUMBER(L27),L27,E27*P1_LOG+F27*P2_LOG+G27*P3_LOG)</f>
        <v>0</v>
      </c>
      <c r="X27" s="33" t="n">
        <f aca="false">W27-(E27*P1_IVAN+F27*P2_IVAN+G27*IF($A27&lt;P3_DESDE,P3A_IVAN,P3_IVAN))-(H27+I27+J27)*(COSTE_DEV-IVA_DEV)-AM27-AO27</f>
        <v>0</v>
      </c>
      <c r="Y27" s="33" t="n">
        <f aca="false">AH27-AI27-AJ27-AK27-AL27-AM27-AO27</f>
        <v>0</v>
      </c>
      <c r="AA27" s="58" t="n">
        <f aca="false">MAX(0,B27-E27-H27)</f>
        <v>0</v>
      </c>
      <c r="AB27" s="58" t="n">
        <f aca="false">MAX(0,C27-F27-I27)</f>
        <v>0</v>
      </c>
      <c r="AC27" s="58" t="n">
        <f aca="false">MAX(0,D27-G27-J27)</f>
        <v>0</v>
      </c>
      <c r="AD27" s="59" t="n">
        <f aca="false">E27+AA27*TASA_USADA</f>
        <v>0</v>
      </c>
      <c r="AE27" s="59" t="n">
        <f aca="false">F27+AB27*TASA_USADA</f>
        <v>0</v>
      </c>
      <c r="AF27" s="59" t="n">
        <f aca="false">G27+AC27*TASA_USADA</f>
        <v>0</v>
      </c>
      <c r="AG27" s="59" t="n">
        <f aca="false">H27+I27+J27+(AA27+AB27+AC27)*(1-TASA_USADA)</f>
        <v>0</v>
      </c>
      <c r="AH27" s="60" t="n">
        <f aca="false">AD27*P1_PVP+AE27*P2_PVP+AF27*IF($A27&lt;P3_DESDE,P3A_PVP,P3_PVP)</f>
        <v>0</v>
      </c>
      <c r="AI27" s="60" t="n">
        <f aca="false">AD27*P1_CPROD+AE27*P2_CPROD+AF27*IF($A27&lt;P3_DESDE,P3A_CPROD,P3_CPROD)</f>
        <v>0</v>
      </c>
      <c r="AJ27" s="60" t="n">
        <f aca="false">IF(ISNUMBER(L27),L27,E27*P1_LOG+F27*P2_LOG+G27*P3_LOG)+IF(ISNUMBER(M27),M27,AA27*P1_LOG+AB27*P2_LOG+AC27*P3_LOG)*TASA_USADA</f>
        <v>0</v>
      </c>
      <c r="AK27" s="60" t="n">
        <f aca="false">AG27*COSTE_DEV</f>
        <v>0</v>
      </c>
      <c r="AL27" s="60" t="n">
        <f aca="false">AD27*P1_IVAN+AE27*P2_IVAN+AF27*IF($A27&lt;P3_DESDE,P3A_IVAN,P3_IVAN)-AG27*IVA_DEV</f>
        <v>0</v>
      </c>
      <c r="AM27" s="60" t="n">
        <f aca="false">N27*(1+RECARGO_ADS)</f>
        <v>0</v>
      </c>
      <c r="AN27" s="58" t="n">
        <f aca="false">IF(ISNUMBER(L27),E27+F27+G27+AA27+AB27+AC27,0)</f>
        <v>0</v>
      </c>
      <c r="AO27" s="60" t="n">
        <f aca="false">P27*COMISION</f>
        <v>0</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B28*P1_PVP+C28*P2_PVP+D28*IF($A28&lt;P3_DESDE,P3A_PVP,P3_PVP)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E28*(P1_PVP-P1_CPROD)+F28*(P2_PVP-P2_CPROD)+G28*(IF($A28&lt;P3_DESDE,P3A_PVP,P3_PVP)-IF($A28&lt;P3_DESDE,P3A_CPROD,P3_CPROD))-IF(ISNUMBER(L28),L28,E28*P1_LOG+F28*P2_LOG+G28*P3_LOG)</f>
        <v>0</v>
      </c>
      <c r="X28" s="33" t="n">
        <f aca="false">W28-(E28*P1_IVAN+F28*P2_IVAN+G28*IF($A28&lt;P3_DESDE,P3A_IVAN,P3_IVAN))-(H28+I28+J28)*(COSTE_DEV-IVA_DEV)-AM28-AO28</f>
        <v>0</v>
      </c>
      <c r="Y28" s="33" t="n">
        <f aca="false">AH28-AI28-AJ28-AK28-AL28-AM28-AO28</f>
        <v>0</v>
      </c>
      <c r="AA28" s="58" t="n">
        <f aca="false">MAX(0,B28-E28-H28)</f>
        <v>0</v>
      </c>
      <c r="AB28" s="58" t="n">
        <f aca="false">MAX(0,C28-F28-I28)</f>
        <v>0</v>
      </c>
      <c r="AC28" s="58" t="n">
        <f aca="false">MAX(0,D28-G28-J28)</f>
        <v>0</v>
      </c>
      <c r="AD28" s="59" t="n">
        <f aca="false">E28+AA28*TASA_USADA</f>
        <v>0</v>
      </c>
      <c r="AE28" s="59" t="n">
        <f aca="false">F28+AB28*TASA_USADA</f>
        <v>0</v>
      </c>
      <c r="AF28" s="59" t="n">
        <f aca="false">G28+AC28*TASA_USADA</f>
        <v>0</v>
      </c>
      <c r="AG28" s="59" t="n">
        <f aca="false">H28+I28+J28+(AA28+AB28+AC28)*(1-TASA_USADA)</f>
        <v>0</v>
      </c>
      <c r="AH28" s="60" t="n">
        <f aca="false">AD28*P1_PVP+AE28*P2_PVP+AF28*IF($A28&lt;P3_DESDE,P3A_PVP,P3_PVP)</f>
        <v>0</v>
      </c>
      <c r="AI28" s="60" t="n">
        <f aca="false">AD28*P1_CPROD+AE28*P2_CPROD+AF28*IF($A28&lt;P3_DESDE,P3A_CPROD,P3_CPROD)</f>
        <v>0</v>
      </c>
      <c r="AJ28" s="60" t="n">
        <f aca="false">IF(ISNUMBER(L28),L28,E28*P1_LOG+F28*P2_LOG+G28*P3_LOG)+IF(ISNUMBER(M28),M28,AA28*P1_LOG+AB28*P2_LOG+AC28*P3_LOG)*TASA_USADA</f>
        <v>0</v>
      </c>
      <c r="AK28" s="60" t="n">
        <f aca="false">AG28*COSTE_DEV</f>
        <v>0</v>
      </c>
      <c r="AL28" s="60" t="n">
        <f aca="false">AD28*P1_IVAN+AE28*P2_IVAN+AF28*IF($A28&lt;P3_DESDE,P3A_IVAN,P3_IVAN)-AG28*IVA_DEV</f>
        <v>0</v>
      </c>
      <c r="AM28" s="60" t="n">
        <f aca="false">N28*(1+RECARGO_ADS)</f>
        <v>0</v>
      </c>
      <c r="AN28" s="58" t="n">
        <f aca="false">IF(ISNUMBER(L28),E28+F28+G28+AA28+AB28+AC28,0)</f>
        <v>0</v>
      </c>
      <c r="AO28" s="60" t="n">
        <f aca="false">P28*COMISION</f>
        <v>0</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B29*P1_PVP+C29*P2_PVP+D29*IF($A29&lt;P3_DESDE,P3A_PVP,P3_PVP)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E29*(P1_PVP-P1_CPROD)+F29*(P2_PVP-P2_CPROD)+G29*(IF($A29&lt;P3_DESDE,P3A_PVP,P3_PVP)-IF($A29&lt;P3_DESDE,P3A_CPROD,P3_CPROD))-IF(ISNUMBER(L29),L29,E29*P1_LOG+F29*P2_LOG+G29*P3_LOG)</f>
        <v>0</v>
      </c>
      <c r="X29" s="33" t="n">
        <f aca="false">W29-(E29*P1_IVAN+F29*P2_IVAN+G29*IF($A29&lt;P3_DESDE,P3A_IVAN,P3_IVAN))-(H29+I29+J29)*(COSTE_DEV-IVA_DEV)-AM29-AO29</f>
        <v>0</v>
      </c>
      <c r="Y29" s="33" t="n">
        <f aca="false">AH29-AI29-AJ29-AK29-AL29-AM29-AO29</f>
        <v>0</v>
      </c>
      <c r="AA29" s="58" t="n">
        <f aca="false">MAX(0,B29-E29-H29)</f>
        <v>0</v>
      </c>
      <c r="AB29" s="58" t="n">
        <f aca="false">MAX(0,C29-F29-I29)</f>
        <v>0</v>
      </c>
      <c r="AC29" s="58" t="n">
        <f aca="false">MAX(0,D29-G29-J29)</f>
        <v>0</v>
      </c>
      <c r="AD29" s="59" t="n">
        <f aca="false">E29+AA29*TASA_USADA</f>
        <v>0</v>
      </c>
      <c r="AE29" s="59" t="n">
        <f aca="false">F29+AB29*TASA_USADA</f>
        <v>0</v>
      </c>
      <c r="AF29" s="59" t="n">
        <f aca="false">G29+AC29*TASA_USADA</f>
        <v>0</v>
      </c>
      <c r="AG29" s="59" t="n">
        <f aca="false">H29+I29+J29+(AA29+AB29+AC29)*(1-TASA_USADA)</f>
        <v>0</v>
      </c>
      <c r="AH29" s="60" t="n">
        <f aca="false">AD29*P1_PVP+AE29*P2_PVP+AF29*IF($A29&lt;P3_DESDE,P3A_PVP,P3_PVP)</f>
        <v>0</v>
      </c>
      <c r="AI29" s="60" t="n">
        <f aca="false">AD29*P1_CPROD+AE29*P2_CPROD+AF29*IF($A29&lt;P3_DESDE,P3A_CPROD,P3_CPROD)</f>
        <v>0</v>
      </c>
      <c r="AJ29" s="60" t="n">
        <f aca="false">IF(ISNUMBER(L29),L29,E29*P1_LOG+F29*P2_LOG+G29*P3_LOG)+IF(ISNUMBER(M29),M29,AA29*P1_LOG+AB29*P2_LOG+AC29*P3_LOG)*TASA_USADA</f>
        <v>0</v>
      </c>
      <c r="AK29" s="60" t="n">
        <f aca="false">AG29*COSTE_DEV</f>
        <v>0</v>
      </c>
      <c r="AL29" s="60" t="n">
        <f aca="false">AD29*P1_IVAN+AE29*P2_IVAN+AF29*IF($A29&lt;P3_DESDE,P3A_IVAN,P3_IVAN)-AG29*IVA_DEV</f>
        <v>0</v>
      </c>
      <c r="AM29" s="60" t="n">
        <f aca="false">N29*(1+RECARGO_ADS)</f>
        <v>0</v>
      </c>
      <c r="AN29" s="58" t="n">
        <f aca="false">IF(ISNUMBER(L29),E29+F29+G29+AA29+AB29+AC29,0)</f>
        <v>0</v>
      </c>
      <c r="AO29" s="60" t="n">
        <f aca="false">P29*COMISION</f>
        <v>0</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B30*P1_PVP+C30*P2_PVP+D30*IF($A30&lt;P3_DESDE,P3A_PVP,P3_PVP)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E30*(P1_PVP-P1_CPROD)+F30*(P2_PVP-P2_CPROD)+G30*(IF($A30&lt;P3_DESDE,P3A_PVP,P3_PVP)-IF($A30&lt;P3_DESDE,P3A_CPROD,P3_CPROD))-IF(ISNUMBER(L30),L30,E30*P1_LOG+F30*P2_LOG+G30*P3_LOG)</f>
        <v>0</v>
      </c>
      <c r="X30" s="33" t="n">
        <f aca="false">W30-(E30*P1_IVAN+F30*P2_IVAN+G30*IF($A30&lt;P3_DESDE,P3A_IVAN,P3_IVAN))-(H30+I30+J30)*(COSTE_DEV-IVA_DEV)-AM30-AO30</f>
        <v>0</v>
      </c>
      <c r="Y30" s="33" t="n">
        <f aca="false">AH30-AI30-AJ30-AK30-AL30-AM30-AO30</f>
        <v>0</v>
      </c>
      <c r="AA30" s="58" t="n">
        <f aca="false">MAX(0,B30-E30-H30)</f>
        <v>0</v>
      </c>
      <c r="AB30" s="58" t="n">
        <f aca="false">MAX(0,C30-F30-I30)</f>
        <v>0</v>
      </c>
      <c r="AC30" s="58" t="n">
        <f aca="false">MAX(0,D30-G30-J30)</f>
        <v>0</v>
      </c>
      <c r="AD30" s="59" t="n">
        <f aca="false">E30+AA30*TASA_USADA</f>
        <v>0</v>
      </c>
      <c r="AE30" s="59" t="n">
        <f aca="false">F30+AB30*TASA_USADA</f>
        <v>0</v>
      </c>
      <c r="AF30" s="59" t="n">
        <f aca="false">G30+AC30*TASA_USADA</f>
        <v>0</v>
      </c>
      <c r="AG30" s="59" t="n">
        <f aca="false">H30+I30+J30+(AA30+AB30+AC30)*(1-TASA_USADA)</f>
        <v>0</v>
      </c>
      <c r="AH30" s="60" t="n">
        <f aca="false">AD30*P1_PVP+AE30*P2_PVP+AF30*IF($A30&lt;P3_DESDE,P3A_PVP,P3_PVP)</f>
        <v>0</v>
      </c>
      <c r="AI30" s="60" t="n">
        <f aca="false">AD30*P1_CPROD+AE30*P2_CPROD+AF30*IF($A30&lt;P3_DESDE,P3A_CPROD,P3_CPROD)</f>
        <v>0</v>
      </c>
      <c r="AJ30" s="60" t="n">
        <f aca="false">IF(ISNUMBER(L30),L30,E30*P1_LOG+F30*P2_LOG+G30*P3_LOG)+IF(ISNUMBER(M30),M30,AA30*P1_LOG+AB30*P2_LOG+AC30*P3_LOG)*TASA_USADA</f>
        <v>0</v>
      </c>
      <c r="AK30" s="60" t="n">
        <f aca="false">AG30*COSTE_DEV</f>
        <v>0</v>
      </c>
      <c r="AL30" s="60" t="n">
        <f aca="false">AD30*P1_IVAN+AE30*P2_IVAN+AF30*IF($A30&lt;P3_DESDE,P3A_IVAN,P3_IVAN)-AG30*IVA_DEV</f>
        <v>0</v>
      </c>
      <c r="AM30" s="60" t="n">
        <f aca="false">N30*(1+RECARGO_ADS)</f>
        <v>0</v>
      </c>
      <c r="AN30" s="58" t="n">
        <f aca="false">IF(ISNUMBER(L30),E30+F30+G30+AA30+AB30+AC30,0)</f>
        <v>0</v>
      </c>
      <c r="AO30" s="60" t="n">
        <f aca="false">P30*COMISION</f>
        <v>0</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B31*P1_PVP+C31*P2_PVP+D31*IF($A31&lt;P3_DESDE,P3A_PVP,P3_PVP)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E31*(P1_PVP-P1_CPROD)+F31*(P2_PVP-P2_CPROD)+G31*(IF($A31&lt;P3_DESDE,P3A_PVP,P3_PVP)-IF($A31&lt;P3_DESDE,P3A_CPROD,P3_CPROD))-IF(ISNUMBER(L31),L31,E31*P1_LOG+F31*P2_LOG+G31*P3_LOG)</f>
        <v>0</v>
      </c>
      <c r="X31" s="33" t="n">
        <f aca="false">W31-(E31*P1_IVAN+F31*P2_IVAN+G31*IF($A31&lt;P3_DESDE,P3A_IVAN,P3_IVAN))-(H31+I31+J31)*(COSTE_DEV-IVA_DEV)-AM31-AO31</f>
        <v>0</v>
      </c>
      <c r="Y31" s="33" t="n">
        <f aca="false">AH31-AI31-AJ31-AK31-AL31-AM31-AO31</f>
        <v>0</v>
      </c>
      <c r="AA31" s="58" t="n">
        <f aca="false">MAX(0,B31-E31-H31)</f>
        <v>0</v>
      </c>
      <c r="AB31" s="58" t="n">
        <f aca="false">MAX(0,C31-F31-I31)</f>
        <v>0</v>
      </c>
      <c r="AC31" s="58" t="n">
        <f aca="false">MAX(0,D31-G31-J31)</f>
        <v>0</v>
      </c>
      <c r="AD31" s="59" t="n">
        <f aca="false">E31+AA31*TASA_USADA</f>
        <v>0</v>
      </c>
      <c r="AE31" s="59" t="n">
        <f aca="false">F31+AB31*TASA_USADA</f>
        <v>0</v>
      </c>
      <c r="AF31" s="59" t="n">
        <f aca="false">G31+AC31*TASA_USADA</f>
        <v>0</v>
      </c>
      <c r="AG31" s="59" t="n">
        <f aca="false">H31+I31+J31+(AA31+AB31+AC31)*(1-TASA_USADA)</f>
        <v>0</v>
      </c>
      <c r="AH31" s="60" t="n">
        <f aca="false">AD31*P1_PVP+AE31*P2_PVP+AF31*IF($A31&lt;P3_DESDE,P3A_PVP,P3_PVP)</f>
        <v>0</v>
      </c>
      <c r="AI31" s="60" t="n">
        <f aca="false">AD31*P1_CPROD+AE31*P2_CPROD+AF31*IF($A31&lt;P3_DESDE,P3A_CPROD,P3_CPROD)</f>
        <v>0</v>
      </c>
      <c r="AJ31" s="60" t="n">
        <f aca="false">IF(ISNUMBER(L31),L31,E31*P1_LOG+F31*P2_LOG+G31*P3_LOG)+IF(ISNUMBER(M31),M31,AA31*P1_LOG+AB31*P2_LOG+AC31*P3_LOG)*TASA_USADA</f>
        <v>0</v>
      </c>
      <c r="AK31" s="60" t="n">
        <f aca="false">AG31*COSTE_DEV</f>
        <v>0</v>
      </c>
      <c r="AL31" s="60" t="n">
        <f aca="false">AD31*P1_IVAN+AE31*P2_IVAN+AF31*IF($A31&lt;P3_DESDE,P3A_IVAN,P3_IVAN)-AG31*IVA_DEV</f>
        <v>0</v>
      </c>
      <c r="AM31" s="60" t="n">
        <f aca="false">N31*(1+RECARGO_ADS)</f>
        <v>0</v>
      </c>
      <c r="AN31" s="58" t="n">
        <f aca="false">IF(ISNUMBER(L31),E31+F31+G31+AA31+AB31+AC31,0)</f>
        <v>0</v>
      </c>
      <c r="AO31" s="60" t="n">
        <f aca="false">P31*COMISION</f>
        <v>0</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B32*P1_PVP+C32*P2_PVP+D32*IF($A32&lt;P3_DESDE,P3A_PVP,P3_PVP)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E32*(P1_PVP-P1_CPROD)+F32*(P2_PVP-P2_CPROD)+G32*(IF($A32&lt;P3_DESDE,P3A_PVP,P3_PVP)-IF($A32&lt;P3_DESDE,P3A_CPROD,P3_CPROD))-IF(ISNUMBER(L32),L32,E32*P1_LOG+F32*P2_LOG+G32*P3_LOG)</f>
        <v>0</v>
      </c>
      <c r="X32" s="33" t="n">
        <f aca="false">W32-(E32*P1_IVAN+F32*P2_IVAN+G32*IF($A32&lt;P3_DESDE,P3A_IVAN,P3_IVAN))-(H32+I32+J32)*(COSTE_DEV-IVA_DEV)-AM32-AO32</f>
        <v>0</v>
      </c>
      <c r="Y32" s="33" t="n">
        <f aca="false">AH32-AI32-AJ32-AK32-AL32-AM32-AO32</f>
        <v>0</v>
      </c>
      <c r="AA32" s="58" t="n">
        <f aca="false">MAX(0,B32-E32-H32)</f>
        <v>0</v>
      </c>
      <c r="AB32" s="58" t="n">
        <f aca="false">MAX(0,C32-F32-I32)</f>
        <v>0</v>
      </c>
      <c r="AC32" s="58" t="n">
        <f aca="false">MAX(0,D32-G32-J32)</f>
        <v>0</v>
      </c>
      <c r="AD32" s="59" t="n">
        <f aca="false">E32+AA32*TASA_USADA</f>
        <v>0</v>
      </c>
      <c r="AE32" s="59" t="n">
        <f aca="false">F32+AB32*TASA_USADA</f>
        <v>0</v>
      </c>
      <c r="AF32" s="59" t="n">
        <f aca="false">G32+AC32*TASA_USADA</f>
        <v>0</v>
      </c>
      <c r="AG32" s="59" t="n">
        <f aca="false">H32+I32+J32+(AA32+AB32+AC32)*(1-TASA_USADA)</f>
        <v>0</v>
      </c>
      <c r="AH32" s="60" t="n">
        <f aca="false">AD32*P1_PVP+AE32*P2_PVP+AF32*IF($A32&lt;P3_DESDE,P3A_PVP,P3_PVP)</f>
        <v>0</v>
      </c>
      <c r="AI32" s="60" t="n">
        <f aca="false">AD32*P1_CPROD+AE32*P2_CPROD+AF32*IF($A32&lt;P3_DESDE,P3A_CPROD,P3_CPROD)</f>
        <v>0</v>
      </c>
      <c r="AJ32" s="60" t="n">
        <f aca="false">IF(ISNUMBER(L32),L32,E32*P1_LOG+F32*P2_LOG+G32*P3_LOG)+IF(ISNUMBER(M32),M32,AA32*P1_LOG+AB32*P2_LOG+AC32*P3_LOG)*TASA_USADA</f>
        <v>0</v>
      </c>
      <c r="AK32" s="60" t="n">
        <f aca="false">AG32*COSTE_DEV</f>
        <v>0</v>
      </c>
      <c r="AL32" s="60" t="n">
        <f aca="false">AD32*P1_IVAN+AE32*P2_IVAN+AF32*IF($A32&lt;P3_DESDE,P3A_IVAN,P3_IVAN)-AG32*IVA_DEV</f>
        <v>0</v>
      </c>
      <c r="AM32" s="60" t="n">
        <f aca="false">N32*(1+RECARGO_ADS)</f>
        <v>0</v>
      </c>
      <c r="AN32" s="58" t="n">
        <f aca="false">IF(ISNUMBER(L32),E32+F32+G32+AA32+AB32+AC32,0)</f>
        <v>0</v>
      </c>
      <c r="AO32" s="60" t="n">
        <f aca="false">P32*COMISION</f>
        <v>0</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B33*P1_PVP+C33*P2_PVP+D33*IF($A33&lt;P3_DESDE,P3A_PVP,P3_PVP)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E33*(P1_PVP-P1_CPROD)+F33*(P2_PVP-P2_CPROD)+G33*(IF($A33&lt;P3_DESDE,P3A_PVP,P3_PVP)-IF($A33&lt;P3_DESDE,P3A_CPROD,P3_CPROD))-IF(ISNUMBER(L33),L33,E33*P1_LOG+F33*P2_LOG+G33*P3_LOG)</f>
        <v>0</v>
      </c>
      <c r="X33" s="33" t="n">
        <f aca="false">W33-(E33*P1_IVAN+F33*P2_IVAN+G33*IF($A33&lt;P3_DESDE,P3A_IVAN,P3_IVAN))-(H33+I33+J33)*(COSTE_DEV-IVA_DEV)-AM33-AO33</f>
        <v>0</v>
      </c>
      <c r="Y33" s="33" t="n">
        <f aca="false">AH33-AI33-AJ33-AK33-AL33-AM33-AO33</f>
        <v>0</v>
      </c>
      <c r="AA33" s="58" t="n">
        <f aca="false">MAX(0,B33-E33-H33)</f>
        <v>0</v>
      </c>
      <c r="AB33" s="58" t="n">
        <f aca="false">MAX(0,C33-F33-I33)</f>
        <v>0</v>
      </c>
      <c r="AC33" s="58" t="n">
        <f aca="false">MAX(0,D33-G33-J33)</f>
        <v>0</v>
      </c>
      <c r="AD33" s="59" t="n">
        <f aca="false">E33+AA33*TASA_USADA</f>
        <v>0</v>
      </c>
      <c r="AE33" s="59" t="n">
        <f aca="false">F33+AB33*TASA_USADA</f>
        <v>0</v>
      </c>
      <c r="AF33" s="59" t="n">
        <f aca="false">G33+AC33*TASA_USADA</f>
        <v>0</v>
      </c>
      <c r="AG33" s="59" t="n">
        <f aca="false">H33+I33+J33+(AA33+AB33+AC33)*(1-TASA_USADA)</f>
        <v>0</v>
      </c>
      <c r="AH33" s="60" t="n">
        <f aca="false">AD33*P1_PVP+AE33*P2_PVP+AF33*IF($A33&lt;P3_DESDE,P3A_PVP,P3_PVP)</f>
        <v>0</v>
      </c>
      <c r="AI33" s="60" t="n">
        <f aca="false">AD33*P1_CPROD+AE33*P2_CPROD+AF33*IF($A33&lt;P3_DESDE,P3A_CPROD,P3_CPROD)</f>
        <v>0</v>
      </c>
      <c r="AJ33" s="60" t="n">
        <f aca="false">IF(ISNUMBER(L33),L33,E33*P1_LOG+F33*P2_LOG+G33*P3_LOG)+IF(ISNUMBER(M33),M33,AA33*P1_LOG+AB33*P2_LOG+AC33*P3_LOG)*TASA_USADA</f>
        <v>0</v>
      </c>
      <c r="AK33" s="60" t="n">
        <f aca="false">AG33*COSTE_DEV</f>
        <v>0</v>
      </c>
      <c r="AL33" s="60" t="n">
        <f aca="false">AD33*P1_IVAN+AE33*P2_IVAN+AF33*IF($A33&lt;P3_DESDE,P3A_IVAN,P3_IVAN)-AG33*IVA_DEV</f>
        <v>0</v>
      </c>
      <c r="AM33" s="60" t="n">
        <f aca="false">N33*(1+RECARGO_ADS)</f>
        <v>0</v>
      </c>
      <c r="AN33" s="58" t="n">
        <f aca="false">IF(ISNUMBER(L33),E33+F33+G33+AA33+AB33+AC33,0)</f>
        <v>0</v>
      </c>
      <c r="AO33" s="60" t="n">
        <f aca="false">P33*COMISION</f>
        <v>0</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B34*P1_PVP+C34*P2_PVP+D34*IF($A34&lt;P3_DESDE,P3A_PVP,P3_PVP)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E34*(P1_PVP-P1_CPROD)+F34*(P2_PVP-P2_CPROD)+G34*(IF($A34&lt;P3_DESDE,P3A_PVP,P3_PVP)-IF($A34&lt;P3_DESDE,P3A_CPROD,P3_CPROD))-IF(ISNUMBER(L34),L34,E34*P1_LOG+F34*P2_LOG+G34*P3_LOG)</f>
        <v>0</v>
      </c>
      <c r="X34" s="33" t="n">
        <f aca="false">W34-(E34*P1_IVAN+F34*P2_IVAN+G34*IF($A34&lt;P3_DESDE,P3A_IVAN,P3_IVAN))-(H34+I34+J34)*(COSTE_DEV-IVA_DEV)-AM34-AO34</f>
        <v>0</v>
      </c>
      <c r="Y34" s="33" t="n">
        <f aca="false">AH34-AI34-AJ34-AK34-AL34-AM34-AO34</f>
        <v>0</v>
      </c>
      <c r="AA34" s="58" t="n">
        <f aca="false">MAX(0,B34-E34-H34)</f>
        <v>0</v>
      </c>
      <c r="AB34" s="58" t="n">
        <f aca="false">MAX(0,C34-F34-I34)</f>
        <v>0</v>
      </c>
      <c r="AC34" s="58" t="n">
        <f aca="false">MAX(0,D34-G34-J34)</f>
        <v>0</v>
      </c>
      <c r="AD34" s="59" t="n">
        <f aca="false">E34+AA34*TASA_USADA</f>
        <v>0</v>
      </c>
      <c r="AE34" s="59" t="n">
        <f aca="false">F34+AB34*TASA_USADA</f>
        <v>0</v>
      </c>
      <c r="AF34" s="59" t="n">
        <f aca="false">G34+AC34*TASA_USADA</f>
        <v>0</v>
      </c>
      <c r="AG34" s="59" t="n">
        <f aca="false">H34+I34+J34+(AA34+AB34+AC34)*(1-TASA_USADA)</f>
        <v>0</v>
      </c>
      <c r="AH34" s="60" t="n">
        <f aca="false">AD34*P1_PVP+AE34*P2_PVP+AF34*IF($A34&lt;P3_DESDE,P3A_PVP,P3_PVP)</f>
        <v>0</v>
      </c>
      <c r="AI34" s="60" t="n">
        <f aca="false">AD34*P1_CPROD+AE34*P2_CPROD+AF34*IF($A34&lt;P3_DESDE,P3A_CPROD,P3_CPROD)</f>
        <v>0</v>
      </c>
      <c r="AJ34" s="60" t="n">
        <f aca="false">IF(ISNUMBER(L34),L34,E34*P1_LOG+F34*P2_LOG+G34*P3_LOG)+IF(ISNUMBER(M34),M34,AA34*P1_LOG+AB34*P2_LOG+AC34*P3_LOG)*TASA_USADA</f>
        <v>0</v>
      </c>
      <c r="AK34" s="60" t="n">
        <f aca="false">AG34*COSTE_DEV</f>
        <v>0</v>
      </c>
      <c r="AL34" s="60" t="n">
        <f aca="false">AD34*P1_IVAN+AE34*P2_IVAN+AF34*IF($A34&lt;P3_DESDE,P3A_IVAN,P3_IVAN)-AG34*IVA_DEV</f>
        <v>0</v>
      </c>
      <c r="AM34" s="60" t="n">
        <f aca="false">N34*(1+RECARGO_ADS)</f>
        <v>0</v>
      </c>
      <c r="AN34" s="58" t="n">
        <f aca="false">IF(ISNUMBER(L34),E34+F34+G34+AA34+AB34+AC34,0)</f>
        <v>0</v>
      </c>
      <c r="AO34" s="60" t="n">
        <f aca="false">P34*COMISION</f>
        <v>0</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B35*P1_PVP+C35*P2_PVP+D35*IF($A35&lt;P3_DESDE,P3A_PVP,P3_PVP)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E35*(P1_PVP-P1_CPROD)+F35*(P2_PVP-P2_CPROD)+G35*(IF($A35&lt;P3_DESDE,P3A_PVP,P3_PVP)-IF($A35&lt;P3_DESDE,P3A_CPROD,P3_CPROD))-IF(ISNUMBER(L35),L35,E35*P1_LOG+F35*P2_LOG+G35*P3_LOG)</f>
        <v>0</v>
      </c>
      <c r="X35" s="33" t="n">
        <f aca="false">W35-(E35*P1_IVAN+F35*P2_IVAN+G35*IF($A35&lt;P3_DESDE,P3A_IVAN,P3_IVAN))-(H35+I35+J35)*(COSTE_DEV-IVA_DEV)-AM35-AO35</f>
        <v>0</v>
      </c>
      <c r="Y35" s="33" t="n">
        <f aca="false">AH35-AI35-AJ35-AK35-AL35-AM35-AO35</f>
        <v>0</v>
      </c>
      <c r="AA35" s="58" t="n">
        <f aca="false">MAX(0,B35-E35-H35)</f>
        <v>0</v>
      </c>
      <c r="AB35" s="58" t="n">
        <f aca="false">MAX(0,C35-F35-I35)</f>
        <v>0</v>
      </c>
      <c r="AC35" s="58" t="n">
        <f aca="false">MAX(0,D35-G35-J35)</f>
        <v>0</v>
      </c>
      <c r="AD35" s="59" t="n">
        <f aca="false">E35+AA35*TASA_USADA</f>
        <v>0</v>
      </c>
      <c r="AE35" s="59" t="n">
        <f aca="false">F35+AB35*TASA_USADA</f>
        <v>0</v>
      </c>
      <c r="AF35" s="59" t="n">
        <f aca="false">G35+AC35*TASA_USADA</f>
        <v>0</v>
      </c>
      <c r="AG35" s="59" t="n">
        <f aca="false">H35+I35+J35+(AA35+AB35+AC35)*(1-TASA_USADA)</f>
        <v>0</v>
      </c>
      <c r="AH35" s="60" t="n">
        <f aca="false">AD35*P1_PVP+AE35*P2_PVP+AF35*IF($A35&lt;P3_DESDE,P3A_PVP,P3_PVP)</f>
        <v>0</v>
      </c>
      <c r="AI35" s="60" t="n">
        <f aca="false">AD35*P1_CPROD+AE35*P2_CPROD+AF35*IF($A35&lt;P3_DESDE,P3A_CPROD,P3_CPROD)</f>
        <v>0</v>
      </c>
      <c r="AJ35" s="60" t="n">
        <f aca="false">IF(ISNUMBER(L35),L35,E35*P1_LOG+F35*P2_LOG+G35*P3_LOG)+IF(ISNUMBER(M35),M35,AA35*P1_LOG+AB35*P2_LOG+AC35*P3_LOG)*TASA_USADA</f>
        <v>0</v>
      </c>
      <c r="AK35" s="60" t="n">
        <f aca="false">AG35*COSTE_DEV</f>
        <v>0</v>
      </c>
      <c r="AL35" s="60" t="n">
        <f aca="false">AD35*P1_IVAN+AE35*P2_IVAN+AF35*IF($A35&lt;P3_DESDE,P3A_IVAN,P3_IVAN)-AG35*IVA_DEV</f>
        <v>0</v>
      </c>
      <c r="AM35" s="60" t="n">
        <f aca="false">N35*(1+RECARGO_ADS)</f>
        <v>0</v>
      </c>
      <c r="AN35" s="58" t="n">
        <f aca="false">IF(ISNUMBER(L35),E35+F35+G35+AA35+AB35+AC35,0)</f>
        <v>0</v>
      </c>
      <c r="AO35" s="60" t="n">
        <f aca="false">P35*COMISION</f>
        <v>0</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B36*P1_PVP+C36*P2_PVP+D36*IF($A36&lt;P3_DESDE,P3A_PVP,P3_PVP)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E36*(P1_PVP-P1_CPROD)+F36*(P2_PVP-P2_CPROD)+G36*(IF($A36&lt;P3_DESDE,P3A_PVP,P3_PVP)-IF($A36&lt;P3_DESDE,P3A_CPROD,P3_CPROD))-IF(ISNUMBER(L36),L36,E36*P1_LOG+F36*P2_LOG+G36*P3_LOG)</f>
        <v>0</v>
      </c>
      <c r="X36" s="33" t="n">
        <f aca="false">W36-(E36*P1_IVAN+F36*P2_IVAN+G36*IF($A36&lt;P3_DESDE,P3A_IVAN,P3_IVAN))-(H36+I36+J36)*(COSTE_DEV-IVA_DEV)-AM36-AO36</f>
        <v>0</v>
      </c>
      <c r="Y36" s="33" t="n">
        <f aca="false">AH36-AI36-AJ36-AK36-AL36-AM36-AO36</f>
        <v>0</v>
      </c>
      <c r="AA36" s="58" t="n">
        <f aca="false">MAX(0,B36-E36-H36)</f>
        <v>0</v>
      </c>
      <c r="AB36" s="58" t="n">
        <f aca="false">MAX(0,C36-F36-I36)</f>
        <v>0</v>
      </c>
      <c r="AC36" s="58" t="n">
        <f aca="false">MAX(0,D36-G36-J36)</f>
        <v>0</v>
      </c>
      <c r="AD36" s="59" t="n">
        <f aca="false">E36+AA36*TASA_USADA</f>
        <v>0</v>
      </c>
      <c r="AE36" s="59" t="n">
        <f aca="false">F36+AB36*TASA_USADA</f>
        <v>0</v>
      </c>
      <c r="AF36" s="59" t="n">
        <f aca="false">G36+AC36*TASA_USADA</f>
        <v>0</v>
      </c>
      <c r="AG36" s="59" t="n">
        <f aca="false">H36+I36+J36+(AA36+AB36+AC36)*(1-TASA_USADA)</f>
        <v>0</v>
      </c>
      <c r="AH36" s="60" t="n">
        <f aca="false">AD36*P1_PVP+AE36*P2_PVP+AF36*IF($A36&lt;P3_DESDE,P3A_PVP,P3_PVP)</f>
        <v>0</v>
      </c>
      <c r="AI36" s="60" t="n">
        <f aca="false">AD36*P1_CPROD+AE36*P2_CPROD+AF36*IF($A36&lt;P3_DESDE,P3A_CPROD,P3_CPROD)</f>
        <v>0</v>
      </c>
      <c r="AJ36" s="60" t="n">
        <f aca="false">IF(ISNUMBER(L36),L36,E36*P1_LOG+F36*P2_LOG+G36*P3_LOG)+IF(ISNUMBER(M36),M36,AA36*P1_LOG+AB36*P2_LOG+AC36*P3_LOG)*TASA_USADA</f>
        <v>0</v>
      </c>
      <c r="AK36" s="60" t="n">
        <f aca="false">AG36*COSTE_DEV</f>
        <v>0</v>
      </c>
      <c r="AL36" s="60" t="n">
        <f aca="false">AD36*P1_IVAN+AE36*P2_IVAN+AF36*IF($A36&lt;P3_DESDE,P3A_IVAN,P3_IVAN)-AG36*IVA_DEV</f>
        <v>0</v>
      </c>
      <c r="AM36" s="60" t="n">
        <f aca="false">N36*(1+RECARGO_ADS)</f>
        <v>0</v>
      </c>
      <c r="AN36" s="58" t="n">
        <f aca="false">IF(ISNUMBER(L36),E36+F36+G36+AA36+AB36+AC36,0)</f>
        <v>0</v>
      </c>
      <c r="AO36" s="60" t="n">
        <f aca="false">P36*COMISION</f>
        <v>0</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B37*P1_PVP+C37*P2_PVP+D37*IF($A37&lt;P3_DESDE,P3A_PVP,P3_PVP)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E37*(P1_PVP-P1_CPROD)+F37*(P2_PVP-P2_CPROD)+G37*(IF($A37&lt;P3_DESDE,P3A_PVP,P3_PVP)-IF($A37&lt;P3_DESDE,P3A_CPROD,P3_CPROD))-IF(ISNUMBER(L37),L37,E37*P1_LOG+F37*P2_LOG+G37*P3_LOG)</f>
        <v>0</v>
      </c>
      <c r="X37" s="33" t="n">
        <f aca="false">W37-(E37*P1_IVAN+F37*P2_IVAN+G37*IF($A37&lt;P3_DESDE,P3A_IVAN,P3_IVAN))-(H37+I37+J37)*(COSTE_DEV-IVA_DEV)-AM37-AO37</f>
        <v>0</v>
      </c>
      <c r="Y37" s="33" t="n">
        <f aca="false">AH37-AI37-AJ37-AK37-AL37-AM37-AO37</f>
        <v>0</v>
      </c>
      <c r="AA37" s="58" t="n">
        <f aca="false">MAX(0,B37-E37-H37)</f>
        <v>0</v>
      </c>
      <c r="AB37" s="58" t="n">
        <f aca="false">MAX(0,C37-F37-I37)</f>
        <v>0</v>
      </c>
      <c r="AC37" s="58" t="n">
        <f aca="false">MAX(0,D37-G37-J37)</f>
        <v>0</v>
      </c>
      <c r="AD37" s="59" t="n">
        <f aca="false">E37+AA37*TASA_USADA</f>
        <v>0</v>
      </c>
      <c r="AE37" s="59" t="n">
        <f aca="false">F37+AB37*TASA_USADA</f>
        <v>0</v>
      </c>
      <c r="AF37" s="59" t="n">
        <f aca="false">G37+AC37*TASA_USADA</f>
        <v>0</v>
      </c>
      <c r="AG37" s="59" t="n">
        <f aca="false">H37+I37+J37+(AA37+AB37+AC37)*(1-TASA_USADA)</f>
        <v>0</v>
      </c>
      <c r="AH37" s="60" t="n">
        <f aca="false">AD37*P1_PVP+AE37*P2_PVP+AF37*IF($A37&lt;P3_DESDE,P3A_PVP,P3_PVP)</f>
        <v>0</v>
      </c>
      <c r="AI37" s="60" t="n">
        <f aca="false">AD37*P1_CPROD+AE37*P2_CPROD+AF37*IF($A37&lt;P3_DESDE,P3A_CPROD,P3_CPROD)</f>
        <v>0</v>
      </c>
      <c r="AJ37" s="60" t="n">
        <f aca="false">IF(ISNUMBER(L37),L37,E37*P1_LOG+F37*P2_LOG+G37*P3_LOG)+IF(ISNUMBER(M37),M37,AA37*P1_LOG+AB37*P2_LOG+AC37*P3_LOG)*TASA_USADA</f>
        <v>0</v>
      </c>
      <c r="AK37" s="60" t="n">
        <f aca="false">AG37*COSTE_DEV</f>
        <v>0</v>
      </c>
      <c r="AL37" s="60" t="n">
        <f aca="false">AD37*P1_IVAN+AE37*P2_IVAN+AF37*IF($A37&lt;P3_DESDE,P3A_IVAN,P3_IVAN)-AG37*IVA_DEV</f>
        <v>0</v>
      </c>
      <c r="AM37" s="60" t="n">
        <f aca="false">N37*(1+RECARGO_ADS)</f>
        <v>0</v>
      </c>
      <c r="AN37" s="58" t="n">
        <f aca="false">IF(ISNUMBER(L37),E37+F37+G37+AA37+AB37+AC37,0)</f>
        <v>0</v>
      </c>
      <c r="AO37" s="60" t="n">
        <f aca="false">P37*COMISION</f>
        <v>0</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B38*P1_PVP+C38*P2_PVP+D38*IF($A38&lt;P3_DESDE,P3A_PVP,P3_PVP)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E38*(P1_PVP-P1_CPROD)+F38*(P2_PVP-P2_CPROD)+G38*(IF($A38&lt;P3_DESDE,P3A_PVP,P3_PVP)-IF($A38&lt;P3_DESDE,P3A_CPROD,P3_CPROD))-IF(ISNUMBER(L38),L38,E38*P1_LOG+F38*P2_LOG+G38*P3_LOG)</f>
        <v>0</v>
      </c>
      <c r="X38" s="33" t="n">
        <f aca="false">W38-(E38*P1_IVAN+F38*P2_IVAN+G38*IF($A38&lt;P3_DESDE,P3A_IVAN,P3_IVAN))-(H38+I38+J38)*(COSTE_DEV-IVA_DEV)-AM38-AO38</f>
        <v>0</v>
      </c>
      <c r="Y38" s="33" t="n">
        <f aca="false">AH38-AI38-AJ38-AK38-AL38-AM38-AO38</f>
        <v>0</v>
      </c>
      <c r="AA38" s="58" t="n">
        <f aca="false">MAX(0,B38-E38-H38)</f>
        <v>0</v>
      </c>
      <c r="AB38" s="58" t="n">
        <f aca="false">MAX(0,C38-F38-I38)</f>
        <v>0</v>
      </c>
      <c r="AC38" s="58" t="n">
        <f aca="false">MAX(0,D38-G38-J38)</f>
        <v>0</v>
      </c>
      <c r="AD38" s="59" t="n">
        <f aca="false">E38+AA38*TASA_USADA</f>
        <v>0</v>
      </c>
      <c r="AE38" s="59" t="n">
        <f aca="false">F38+AB38*TASA_USADA</f>
        <v>0</v>
      </c>
      <c r="AF38" s="59" t="n">
        <f aca="false">G38+AC38*TASA_USADA</f>
        <v>0</v>
      </c>
      <c r="AG38" s="59" t="n">
        <f aca="false">H38+I38+J38+(AA38+AB38+AC38)*(1-TASA_USADA)</f>
        <v>0</v>
      </c>
      <c r="AH38" s="60" t="n">
        <f aca="false">AD38*P1_PVP+AE38*P2_PVP+AF38*IF($A38&lt;P3_DESDE,P3A_PVP,P3_PVP)</f>
        <v>0</v>
      </c>
      <c r="AI38" s="60" t="n">
        <f aca="false">AD38*P1_CPROD+AE38*P2_CPROD+AF38*IF($A38&lt;P3_DESDE,P3A_CPROD,P3_CPROD)</f>
        <v>0</v>
      </c>
      <c r="AJ38" s="60" t="n">
        <f aca="false">IF(ISNUMBER(L38),L38,E38*P1_LOG+F38*P2_LOG+G38*P3_LOG)+IF(ISNUMBER(M38),M38,AA38*P1_LOG+AB38*P2_LOG+AC38*P3_LOG)*TASA_USADA</f>
        <v>0</v>
      </c>
      <c r="AK38" s="60" t="n">
        <f aca="false">AG38*COSTE_DEV</f>
        <v>0</v>
      </c>
      <c r="AL38" s="60" t="n">
        <f aca="false">AD38*P1_IVAN+AE38*P2_IVAN+AF38*IF($A38&lt;P3_DESDE,P3A_IVAN,P3_IVAN)-AG38*IVA_DEV</f>
        <v>0</v>
      </c>
      <c r="AM38" s="60" t="n">
        <f aca="false">N38*(1+RECARGO_ADS)</f>
        <v>0</v>
      </c>
      <c r="AN38" s="58" t="n">
        <f aca="false">IF(ISNUMBER(L38),E38+F38+G38+AA38+AB38+AC38,0)</f>
        <v>0</v>
      </c>
      <c r="AO38" s="60" t="n">
        <f aca="false">P38*COMISION</f>
        <v>0</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B39*P1_PVP+C39*P2_PVP+D39*IF($A39&lt;P3_DESDE,P3A_PVP,P3_PVP)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E39*(P1_PVP-P1_CPROD)+F39*(P2_PVP-P2_CPROD)+G39*(IF($A39&lt;P3_DESDE,P3A_PVP,P3_PVP)-IF($A39&lt;P3_DESDE,P3A_CPROD,P3_CPROD))-IF(ISNUMBER(L39),L39,E39*P1_LOG+F39*P2_LOG+G39*P3_LOG)</f>
        <v>0</v>
      </c>
      <c r="X39" s="33" t="n">
        <f aca="false">W39-(E39*P1_IVAN+F39*P2_IVAN+G39*IF($A39&lt;P3_DESDE,P3A_IVAN,P3_IVAN))-(H39+I39+J39)*(COSTE_DEV-IVA_DEV)-AM39-AO39</f>
        <v>0</v>
      </c>
      <c r="Y39" s="33" t="n">
        <f aca="false">AH39-AI39-AJ39-AK39-AL39-AM39-AO39</f>
        <v>0</v>
      </c>
      <c r="AA39" s="58" t="n">
        <f aca="false">MAX(0,B39-E39-H39)</f>
        <v>0</v>
      </c>
      <c r="AB39" s="58" t="n">
        <f aca="false">MAX(0,C39-F39-I39)</f>
        <v>0</v>
      </c>
      <c r="AC39" s="58" t="n">
        <f aca="false">MAX(0,D39-G39-J39)</f>
        <v>0</v>
      </c>
      <c r="AD39" s="59" t="n">
        <f aca="false">E39+AA39*TASA_USADA</f>
        <v>0</v>
      </c>
      <c r="AE39" s="59" t="n">
        <f aca="false">F39+AB39*TASA_USADA</f>
        <v>0</v>
      </c>
      <c r="AF39" s="59" t="n">
        <f aca="false">G39+AC39*TASA_USADA</f>
        <v>0</v>
      </c>
      <c r="AG39" s="59" t="n">
        <f aca="false">H39+I39+J39+(AA39+AB39+AC39)*(1-TASA_USADA)</f>
        <v>0</v>
      </c>
      <c r="AH39" s="60" t="n">
        <f aca="false">AD39*P1_PVP+AE39*P2_PVP+AF39*IF($A39&lt;P3_DESDE,P3A_PVP,P3_PVP)</f>
        <v>0</v>
      </c>
      <c r="AI39" s="60" t="n">
        <f aca="false">AD39*P1_CPROD+AE39*P2_CPROD+AF39*IF($A39&lt;P3_DESDE,P3A_CPROD,P3_CPROD)</f>
        <v>0</v>
      </c>
      <c r="AJ39" s="60" t="n">
        <f aca="false">IF(ISNUMBER(L39),L39,E39*P1_LOG+F39*P2_LOG+G39*P3_LOG)+IF(ISNUMBER(M39),M39,AA39*P1_LOG+AB39*P2_LOG+AC39*P3_LOG)*TASA_USADA</f>
        <v>0</v>
      </c>
      <c r="AK39" s="60" t="n">
        <f aca="false">AG39*COSTE_DEV</f>
        <v>0</v>
      </c>
      <c r="AL39" s="60" t="n">
        <f aca="false">AD39*P1_IVAN+AE39*P2_IVAN+AF39*IF($A39&lt;P3_DESDE,P3A_IVAN,P3_IVAN)-AG39*IVA_DEV</f>
        <v>0</v>
      </c>
      <c r="AM39" s="60" t="n">
        <f aca="false">N39*(1+RECARGO_ADS)</f>
        <v>0</v>
      </c>
      <c r="AN39" s="58" t="n">
        <f aca="false">IF(ISNUMBER(L39),E39+F39+G39+AA39+AB39+AC39,0)</f>
        <v>0</v>
      </c>
      <c r="AO39" s="60" t="n">
        <f aca="false">P39*COMISION</f>
        <v>0</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B40*P1_PVP+C40*P2_PVP+D40*IF($A40&lt;P3_DESDE,P3A_PVP,P3_PVP)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E40*(P1_PVP-P1_CPROD)+F40*(P2_PVP-P2_CPROD)+G40*(IF($A40&lt;P3_DESDE,P3A_PVP,P3_PVP)-IF($A40&lt;P3_DESDE,P3A_CPROD,P3_CPROD))-IF(ISNUMBER(L40),L40,E40*P1_LOG+F40*P2_LOG+G40*P3_LOG)</f>
        <v>0</v>
      </c>
      <c r="X40" s="33" t="n">
        <f aca="false">W40-(E40*P1_IVAN+F40*P2_IVAN+G40*IF($A40&lt;P3_DESDE,P3A_IVAN,P3_IVAN))-(H40+I40+J40)*(COSTE_DEV-IVA_DEV)-AM40-AO40</f>
        <v>0</v>
      </c>
      <c r="Y40" s="33" t="n">
        <f aca="false">AH40-AI40-AJ40-AK40-AL40-AM40-AO40</f>
        <v>0</v>
      </c>
      <c r="AA40" s="58" t="n">
        <f aca="false">MAX(0,B40-E40-H40)</f>
        <v>0</v>
      </c>
      <c r="AB40" s="58" t="n">
        <f aca="false">MAX(0,C40-F40-I40)</f>
        <v>0</v>
      </c>
      <c r="AC40" s="58" t="n">
        <f aca="false">MAX(0,D40-G40-J40)</f>
        <v>0</v>
      </c>
      <c r="AD40" s="59" t="n">
        <f aca="false">E40+AA40*TASA_USADA</f>
        <v>0</v>
      </c>
      <c r="AE40" s="59" t="n">
        <f aca="false">F40+AB40*TASA_USADA</f>
        <v>0</v>
      </c>
      <c r="AF40" s="59" t="n">
        <f aca="false">G40+AC40*TASA_USADA</f>
        <v>0</v>
      </c>
      <c r="AG40" s="59" t="n">
        <f aca="false">H40+I40+J40+(AA40+AB40+AC40)*(1-TASA_USADA)</f>
        <v>0</v>
      </c>
      <c r="AH40" s="60" t="n">
        <f aca="false">AD40*P1_PVP+AE40*P2_PVP+AF40*IF($A40&lt;P3_DESDE,P3A_PVP,P3_PVP)</f>
        <v>0</v>
      </c>
      <c r="AI40" s="60" t="n">
        <f aca="false">AD40*P1_CPROD+AE40*P2_CPROD+AF40*IF($A40&lt;P3_DESDE,P3A_CPROD,P3_CPROD)</f>
        <v>0</v>
      </c>
      <c r="AJ40" s="60" t="n">
        <f aca="false">IF(ISNUMBER(L40),L40,E40*P1_LOG+F40*P2_LOG+G40*P3_LOG)+IF(ISNUMBER(M40),M40,AA40*P1_LOG+AB40*P2_LOG+AC40*P3_LOG)*TASA_USADA</f>
        <v>0</v>
      </c>
      <c r="AK40" s="60" t="n">
        <f aca="false">AG40*COSTE_DEV</f>
        <v>0</v>
      </c>
      <c r="AL40" s="60" t="n">
        <f aca="false">AD40*P1_IVAN+AE40*P2_IVAN+AF40*IF($A40&lt;P3_DESDE,P3A_IVAN,P3_IVAN)-AG40*IVA_DEV</f>
        <v>0</v>
      </c>
      <c r="AM40" s="60" t="n">
        <f aca="false">N40*(1+RECARGO_ADS)</f>
        <v>0</v>
      </c>
      <c r="AN40" s="58" t="n">
        <f aca="false">IF(ISNUMBER(L40),E40+F40+G40+AA40+AB40+AC40,0)</f>
        <v>0</v>
      </c>
      <c r="AO40" s="60" t="n">
        <f aca="false">P40*COMISION</f>
        <v>0</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B41*P1_PVP+C41*P2_PVP+D41*IF($A41&lt;P3_DESDE,P3A_PVP,P3_PVP)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E41*(P1_PVP-P1_CPROD)+F41*(P2_PVP-P2_CPROD)+G41*(IF($A41&lt;P3_DESDE,P3A_PVP,P3_PVP)-IF($A41&lt;P3_DESDE,P3A_CPROD,P3_CPROD))-IF(ISNUMBER(L41),L41,E41*P1_LOG+F41*P2_LOG+G41*P3_LOG)</f>
        <v>0</v>
      </c>
      <c r="X41" s="33" t="n">
        <f aca="false">W41-(E41*P1_IVAN+F41*P2_IVAN+G41*IF($A41&lt;P3_DESDE,P3A_IVAN,P3_IVAN))-(H41+I41+J41)*(COSTE_DEV-IVA_DEV)-AM41-AO41</f>
        <v>0</v>
      </c>
      <c r="Y41" s="33" t="n">
        <f aca="false">AH41-AI41-AJ41-AK41-AL41-AM41-AO41</f>
        <v>0</v>
      </c>
      <c r="AA41" s="58" t="n">
        <f aca="false">MAX(0,B41-E41-H41)</f>
        <v>0</v>
      </c>
      <c r="AB41" s="58" t="n">
        <f aca="false">MAX(0,C41-F41-I41)</f>
        <v>0</v>
      </c>
      <c r="AC41" s="58" t="n">
        <f aca="false">MAX(0,D41-G41-J41)</f>
        <v>0</v>
      </c>
      <c r="AD41" s="59" t="n">
        <f aca="false">E41+AA41*TASA_USADA</f>
        <v>0</v>
      </c>
      <c r="AE41" s="59" t="n">
        <f aca="false">F41+AB41*TASA_USADA</f>
        <v>0</v>
      </c>
      <c r="AF41" s="59" t="n">
        <f aca="false">G41+AC41*TASA_USADA</f>
        <v>0</v>
      </c>
      <c r="AG41" s="59" t="n">
        <f aca="false">H41+I41+J41+(AA41+AB41+AC41)*(1-TASA_USADA)</f>
        <v>0</v>
      </c>
      <c r="AH41" s="60" t="n">
        <f aca="false">AD41*P1_PVP+AE41*P2_PVP+AF41*IF($A41&lt;P3_DESDE,P3A_PVP,P3_PVP)</f>
        <v>0</v>
      </c>
      <c r="AI41" s="60" t="n">
        <f aca="false">AD41*P1_CPROD+AE41*P2_CPROD+AF41*IF($A41&lt;P3_DESDE,P3A_CPROD,P3_CPROD)</f>
        <v>0</v>
      </c>
      <c r="AJ41" s="60" t="n">
        <f aca="false">IF(ISNUMBER(L41),L41,E41*P1_LOG+F41*P2_LOG+G41*P3_LOG)+IF(ISNUMBER(M41),M41,AA41*P1_LOG+AB41*P2_LOG+AC41*P3_LOG)*TASA_USADA</f>
        <v>0</v>
      </c>
      <c r="AK41" s="60" t="n">
        <f aca="false">AG41*COSTE_DEV</f>
        <v>0</v>
      </c>
      <c r="AL41" s="60" t="n">
        <f aca="false">AD41*P1_IVAN+AE41*P2_IVAN+AF41*IF($A41&lt;P3_DESDE,P3A_IVAN,P3_IVAN)-AG41*IVA_DEV</f>
        <v>0</v>
      </c>
      <c r="AM41" s="60" t="n">
        <f aca="false">N41*(1+RECARGO_ADS)</f>
        <v>0</v>
      </c>
      <c r="AN41" s="58" t="n">
        <f aca="false">IF(ISNUMBER(L41),E41+F41+G41+AA41+AB41+AC41,0)</f>
        <v>0</v>
      </c>
      <c r="AO41" s="60" t="n">
        <f aca="false">P41*COMISION</f>
        <v>0</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B42*P1_PVP+C42*P2_PVP+D42*IF($A42&lt;P3_DESDE,P3A_PVP,P3_PVP)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E42*(P1_PVP-P1_CPROD)+F42*(P2_PVP-P2_CPROD)+G42*(IF($A42&lt;P3_DESDE,P3A_PVP,P3_PVP)-IF($A42&lt;P3_DESDE,P3A_CPROD,P3_CPROD))-IF(ISNUMBER(L42),L42,E42*P1_LOG+F42*P2_LOG+G42*P3_LOG)</f>
        <v>0</v>
      </c>
      <c r="X42" s="33" t="n">
        <f aca="false">W42-(E42*P1_IVAN+F42*P2_IVAN+G42*IF($A42&lt;P3_DESDE,P3A_IVAN,P3_IVAN))-(H42+I42+J42)*(COSTE_DEV-IVA_DEV)-AM42-AO42</f>
        <v>0</v>
      </c>
      <c r="Y42" s="33" t="n">
        <f aca="false">AH42-AI42-AJ42-AK42-AL42-AM42-AO42</f>
        <v>0</v>
      </c>
      <c r="AA42" s="58" t="n">
        <f aca="false">MAX(0,B42-E42-H42)</f>
        <v>0</v>
      </c>
      <c r="AB42" s="58" t="n">
        <f aca="false">MAX(0,C42-F42-I42)</f>
        <v>0</v>
      </c>
      <c r="AC42" s="58" t="n">
        <f aca="false">MAX(0,D42-G42-J42)</f>
        <v>0</v>
      </c>
      <c r="AD42" s="59" t="n">
        <f aca="false">E42+AA42*TASA_USADA</f>
        <v>0</v>
      </c>
      <c r="AE42" s="59" t="n">
        <f aca="false">F42+AB42*TASA_USADA</f>
        <v>0</v>
      </c>
      <c r="AF42" s="59" t="n">
        <f aca="false">G42+AC42*TASA_USADA</f>
        <v>0</v>
      </c>
      <c r="AG42" s="59" t="n">
        <f aca="false">H42+I42+J42+(AA42+AB42+AC42)*(1-TASA_USADA)</f>
        <v>0</v>
      </c>
      <c r="AH42" s="60" t="n">
        <f aca="false">AD42*P1_PVP+AE42*P2_PVP+AF42*IF($A42&lt;P3_DESDE,P3A_PVP,P3_PVP)</f>
        <v>0</v>
      </c>
      <c r="AI42" s="60" t="n">
        <f aca="false">AD42*P1_CPROD+AE42*P2_CPROD+AF42*IF($A42&lt;P3_DESDE,P3A_CPROD,P3_CPROD)</f>
        <v>0</v>
      </c>
      <c r="AJ42" s="60" t="n">
        <f aca="false">IF(ISNUMBER(L42),L42,E42*P1_LOG+F42*P2_LOG+G42*P3_LOG)+IF(ISNUMBER(M42),M42,AA42*P1_LOG+AB42*P2_LOG+AC42*P3_LOG)*TASA_USADA</f>
        <v>0</v>
      </c>
      <c r="AK42" s="60" t="n">
        <f aca="false">AG42*COSTE_DEV</f>
        <v>0</v>
      </c>
      <c r="AL42" s="60" t="n">
        <f aca="false">AD42*P1_IVAN+AE42*P2_IVAN+AF42*IF($A42&lt;P3_DESDE,P3A_IVAN,P3_IVAN)-AG42*IVA_DEV</f>
        <v>0</v>
      </c>
      <c r="AM42" s="60" t="n">
        <f aca="false">N42*(1+RECARGO_ADS)</f>
        <v>0</v>
      </c>
      <c r="AN42" s="58" t="n">
        <f aca="false">IF(ISNUMBER(L42),E42+F42+G42+AA42+AB42+AC42,0)</f>
        <v>0</v>
      </c>
      <c r="AO42" s="60" t="n">
        <f aca="false">P42*COMISION</f>
        <v>0</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B43*P1_PVP+C43*P2_PVP+D43*IF($A43&lt;P3_DESDE,P3A_PVP,P3_PVP)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E43*(P1_PVP-P1_CPROD)+F43*(P2_PVP-P2_CPROD)+G43*(IF($A43&lt;P3_DESDE,P3A_PVP,P3_PVP)-IF($A43&lt;P3_DESDE,P3A_CPROD,P3_CPROD))-IF(ISNUMBER(L43),L43,E43*P1_LOG+F43*P2_LOG+G43*P3_LOG)</f>
        <v>0</v>
      </c>
      <c r="X43" s="33" t="n">
        <f aca="false">W43-(E43*P1_IVAN+F43*P2_IVAN+G43*IF($A43&lt;P3_DESDE,P3A_IVAN,P3_IVAN))-(H43+I43+J43)*(COSTE_DEV-IVA_DEV)-AM43-AO43</f>
        <v>0</v>
      </c>
      <c r="Y43" s="33" t="n">
        <f aca="false">AH43-AI43-AJ43-AK43-AL43-AM43-AO43</f>
        <v>0</v>
      </c>
      <c r="AA43" s="58" t="n">
        <f aca="false">MAX(0,B43-E43-H43)</f>
        <v>0</v>
      </c>
      <c r="AB43" s="58" t="n">
        <f aca="false">MAX(0,C43-F43-I43)</f>
        <v>0</v>
      </c>
      <c r="AC43" s="58" t="n">
        <f aca="false">MAX(0,D43-G43-J43)</f>
        <v>0</v>
      </c>
      <c r="AD43" s="59" t="n">
        <f aca="false">E43+AA43*TASA_USADA</f>
        <v>0</v>
      </c>
      <c r="AE43" s="59" t="n">
        <f aca="false">F43+AB43*TASA_USADA</f>
        <v>0</v>
      </c>
      <c r="AF43" s="59" t="n">
        <f aca="false">G43+AC43*TASA_USADA</f>
        <v>0</v>
      </c>
      <c r="AG43" s="59" t="n">
        <f aca="false">H43+I43+J43+(AA43+AB43+AC43)*(1-TASA_USADA)</f>
        <v>0</v>
      </c>
      <c r="AH43" s="60" t="n">
        <f aca="false">AD43*P1_PVP+AE43*P2_PVP+AF43*IF($A43&lt;P3_DESDE,P3A_PVP,P3_PVP)</f>
        <v>0</v>
      </c>
      <c r="AI43" s="60" t="n">
        <f aca="false">AD43*P1_CPROD+AE43*P2_CPROD+AF43*IF($A43&lt;P3_DESDE,P3A_CPROD,P3_CPROD)</f>
        <v>0</v>
      </c>
      <c r="AJ43" s="60" t="n">
        <f aca="false">IF(ISNUMBER(L43),L43,E43*P1_LOG+F43*P2_LOG+G43*P3_LOG)+IF(ISNUMBER(M43),M43,AA43*P1_LOG+AB43*P2_LOG+AC43*P3_LOG)*TASA_USADA</f>
        <v>0</v>
      </c>
      <c r="AK43" s="60" t="n">
        <f aca="false">AG43*COSTE_DEV</f>
        <v>0</v>
      </c>
      <c r="AL43" s="60" t="n">
        <f aca="false">AD43*P1_IVAN+AE43*P2_IVAN+AF43*IF($A43&lt;P3_DESDE,P3A_IVAN,P3_IVAN)-AG43*IVA_DEV</f>
        <v>0</v>
      </c>
      <c r="AM43" s="60" t="n">
        <f aca="false">N43*(1+RECARGO_ADS)</f>
        <v>0</v>
      </c>
      <c r="AN43" s="58" t="n">
        <f aca="false">IF(ISNUMBER(L43),E43+F43+G43+AA43+AB43+AC43,0)</f>
        <v>0</v>
      </c>
      <c r="AO43" s="60" t="n">
        <f aca="false">P43*COMISION</f>
        <v>0</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B44*P1_PVP+C44*P2_PVP+D44*IF($A44&lt;P3_DESDE,P3A_PVP,P3_PVP)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E44*(P1_PVP-P1_CPROD)+F44*(P2_PVP-P2_CPROD)+G44*(IF($A44&lt;P3_DESDE,P3A_PVP,P3_PVP)-IF($A44&lt;P3_DESDE,P3A_CPROD,P3_CPROD))-IF(ISNUMBER(L44),L44,E44*P1_LOG+F44*P2_LOG+G44*P3_LOG)</f>
        <v>0</v>
      </c>
      <c r="X44" s="33" t="n">
        <f aca="false">W44-(E44*P1_IVAN+F44*P2_IVAN+G44*IF($A44&lt;P3_DESDE,P3A_IVAN,P3_IVAN))-(H44+I44+J44)*(COSTE_DEV-IVA_DEV)-AM44-AO44</f>
        <v>0</v>
      </c>
      <c r="Y44" s="33" t="n">
        <f aca="false">AH44-AI44-AJ44-AK44-AL44-AM44-AO44</f>
        <v>0</v>
      </c>
      <c r="AA44" s="58" t="n">
        <f aca="false">MAX(0,B44-E44-H44)</f>
        <v>0</v>
      </c>
      <c r="AB44" s="58" t="n">
        <f aca="false">MAX(0,C44-F44-I44)</f>
        <v>0</v>
      </c>
      <c r="AC44" s="58" t="n">
        <f aca="false">MAX(0,D44-G44-J44)</f>
        <v>0</v>
      </c>
      <c r="AD44" s="59" t="n">
        <f aca="false">E44+AA44*TASA_USADA</f>
        <v>0</v>
      </c>
      <c r="AE44" s="59" t="n">
        <f aca="false">F44+AB44*TASA_USADA</f>
        <v>0</v>
      </c>
      <c r="AF44" s="59" t="n">
        <f aca="false">G44+AC44*TASA_USADA</f>
        <v>0</v>
      </c>
      <c r="AG44" s="59" t="n">
        <f aca="false">H44+I44+J44+(AA44+AB44+AC44)*(1-TASA_USADA)</f>
        <v>0</v>
      </c>
      <c r="AH44" s="60" t="n">
        <f aca="false">AD44*P1_PVP+AE44*P2_PVP+AF44*IF($A44&lt;P3_DESDE,P3A_PVP,P3_PVP)</f>
        <v>0</v>
      </c>
      <c r="AI44" s="60" t="n">
        <f aca="false">AD44*P1_CPROD+AE44*P2_CPROD+AF44*IF($A44&lt;P3_DESDE,P3A_CPROD,P3_CPROD)</f>
        <v>0</v>
      </c>
      <c r="AJ44" s="60" t="n">
        <f aca="false">IF(ISNUMBER(L44),L44,E44*P1_LOG+F44*P2_LOG+G44*P3_LOG)+IF(ISNUMBER(M44),M44,AA44*P1_LOG+AB44*P2_LOG+AC44*P3_LOG)*TASA_USADA</f>
        <v>0</v>
      </c>
      <c r="AK44" s="60" t="n">
        <f aca="false">AG44*COSTE_DEV</f>
        <v>0</v>
      </c>
      <c r="AL44" s="60" t="n">
        <f aca="false">AD44*P1_IVAN+AE44*P2_IVAN+AF44*IF($A44&lt;P3_DESDE,P3A_IVAN,P3_IVAN)-AG44*IVA_DEV</f>
        <v>0</v>
      </c>
      <c r="AM44" s="60" t="n">
        <f aca="false">N44*(1+RECARGO_ADS)</f>
        <v>0</v>
      </c>
      <c r="AN44" s="58" t="n">
        <f aca="false">IF(ISNUMBER(L44),E44+F44+G44+AA44+AB44+AC44,0)</f>
        <v>0</v>
      </c>
      <c r="AO44" s="60" t="n">
        <f aca="false">P44*COMISION</f>
        <v>0</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B45*P1_PVP+C45*P2_PVP+D45*IF($A45&lt;P3_DESDE,P3A_PVP,P3_PVP)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E45*(P1_PVP-P1_CPROD)+F45*(P2_PVP-P2_CPROD)+G45*(IF($A45&lt;P3_DESDE,P3A_PVP,P3_PVP)-IF($A45&lt;P3_DESDE,P3A_CPROD,P3_CPROD))-IF(ISNUMBER(L45),L45,E45*P1_LOG+F45*P2_LOG+G45*P3_LOG)</f>
        <v>0</v>
      </c>
      <c r="X45" s="33" t="n">
        <f aca="false">W45-(E45*P1_IVAN+F45*P2_IVAN+G45*IF($A45&lt;P3_DESDE,P3A_IVAN,P3_IVAN))-(H45+I45+J45)*(COSTE_DEV-IVA_DEV)-AM45-AO45</f>
        <v>0</v>
      </c>
      <c r="Y45" s="33" t="n">
        <f aca="false">AH45-AI45-AJ45-AK45-AL45-AM45-AO45</f>
        <v>0</v>
      </c>
      <c r="AA45" s="58" t="n">
        <f aca="false">MAX(0,B45-E45-H45)</f>
        <v>0</v>
      </c>
      <c r="AB45" s="58" t="n">
        <f aca="false">MAX(0,C45-F45-I45)</f>
        <v>0</v>
      </c>
      <c r="AC45" s="58" t="n">
        <f aca="false">MAX(0,D45-G45-J45)</f>
        <v>0</v>
      </c>
      <c r="AD45" s="59" t="n">
        <f aca="false">E45+AA45*TASA_USADA</f>
        <v>0</v>
      </c>
      <c r="AE45" s="59" t="n">
        <f aca="false">F45+AB45*TASA_USADA</f>
        <v>0</v>
      </c>
      <c r="AF45" s="59" t="n">
        <f aca="false">G45+AC45*TASA_USADA</f>
        <v>0</v>
      </c>
      <c r="AG45" s="59" t="n">
        <f aca="false">H45+I45+J45+(AA45+AB45+AC45)*(1-TASA_USADA)</f>
        <v>0</v>
      </c>
      <c r="AH45" s="60" t="n">
        <f aca="false">AD45*P1_PVP+AE45*P2_PVP+AF45*IF($A45&lt;P3_DESDE,P3A_PVP,P3_PVP)</f>
        <v>0</v>
      </c>
      <c r="AI45" s="60" t="n">
        <f aca="false">AD45*P1_CPROD+AE45*P2_CPROD+AF45*IF($A45&lt;P3_DESDE,P3A_CPROD,P3_CPROD)</f>
        <v>0</v>
      </c>
      <c r="AJ45" s="60" t="n">
        <f aca="false">IF(ISNUMBER(L45),L45,E45*P1_LOG+F45*P2_LOG+G45*P3_LOG)+IF(ISNUMBER(M45),M45,AA45*P1_LOG+AB45*P2_LOG+AC45*P3_LOG)*TASA_USADA</f>
        <v>0</v>
      </c>
      <c r="AK45" s="60" t="n">
        <f aca="false">AG45*COSTE_DEV</f>
        <v>0</v>
      </c>
      <c r="AL45" s="60" t="n">
        <f aca="false">AD45*P1_IVAN+AE45*P2_IVAN+AF45*IF($A45&lt;P3_DESDE,P3A_IVAN,P3_IVAN)-AG45*IVA_DEV</f>
        <v>0</v>
      </c>
      <c r="AM45" s="60" t="n">
        <f aca="false">N45*(1+RECARGO_ADS)</f>
        <v>0</v>
      </c>
      <c r="AN45" s="58" t="n">
        <f aca="false">IF(ISNUMBER(L45),E45+F45+G45+AA45+AB45+AC45,0)</f>
        <v>0</v>
      </c>
      <c r="AO45" s="60" t="n">
        <f aca="false">P45*COMISION</f>
        <v>0</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B46*P1_PVP+C46*P2_PVP+D46*IF($A46&lt;P3_DESDE,P3A_PVP,P3_PVP)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E46*(P1_PVP-P1_CPROD)+F46*(P2_PVP-P2_CPROD)+G46*(IF($A46&lt;P3_DESDE,P3A_PVP,P3_PVP)-IF($A46&lt;P3_DESDE,P3A_CPROD,P3_CPROD))-IF(ISNUMBER(L46),L46,E46*P1_LOG+F46*P2_LOG+G46*P3_LOG)</f>
        <v>0</v>
      </c>
      <c r="X46" s="33" t="n">
        <f aca="false">W46-(E46*P1_IVAN+F46*P2_IVAN+G46*IF($A46&lt;P3_DESDE,P3A_IVAN,P3_IVAN))-(H46+I46+J46)*(COSTE_DEV-IVA_DEV)-AM46-AO46</f>
        <v>0</v>
      </c>
      <c r="Y46" s="33" t="n">
        <f aca="false">AH46-AI46-AJ46-AK46-AL46-AM46-AO46</f>
        <v>0</v>
      </c>
      <c r="AA46" s="58" t="n">
        <f aca="false">MAX(0,B46-E46-H46)</f>
        <v>0</v>
      </c>
      <c r="AB46" s="58" t="n">
        <f aca="false">MAX(0,C46-F46-I46)</f>
        <v>0</v>
      </c>
      <c r="AC46" s="58" t="n">
        <f aca="false">MAX(0,D46-G46-J46)</f>
        <v>0</v>
      </c>
      <c r="AD46" s="59" t="n">
        <f aca="false">E46+AA46*TASA_USADA</f>
        <v>0</v>
      </c>
      <c r="AE46" s="59" t="n">
        <f aca="false">F46+AB46*TASA_USADA</f>
        <v>0</v>
      </c>
      <c r="AF46" s="59" t="n">
        <f aca="false">G46+AC46*TASA_USADA</f>
        <v>0</v>
      </c>
      <c r="AG46" s="59" t="n">
        <f aca="false">H46+I46+J46+(AA46+AB46+AC46)*(1-TASA_USADA)</f>
        <v>0</v>
      </c>
      <c r="AH46" s="60" t="n">
        <f aca="false">AD46*P1_PVP+AE46*P2_PVP+AF46*IF($A46&lt;P3_DESDE,P3A_PVP,P3_PVP)</f>
        <v>0</v>
      </c>
      <c r="AI46" s="60" t="n">
        <f aca="false">AD46*P1_CPROD+AE46*P2_CPROD+AF46*IF($A46&lt;P3_DESDE,P3A_CPROD,P3_CPROD)</f>
        <v>0</v>
      </c>
      <c r="AJ46" s="60" t="n">
        <f aca="false">IF(ISNUMBER(L46),L46,E46*P1_LOG+F46*P2_LOG+G46*P3_LOG)+IF(ISNUMBER(M46),M46,AA46*P1_LOG+AB46*P2_LOG+AC46*P3_LOG)*TASA_USADA</f>
        <v>0</v>
      </c>
      <c r="AK46" s="60" t="n">
        <f aca="false">AG46*COSTE_DEV</f>
        <v>0</v>
      </c>
      <c r="AL46" s="60" t="n">
        <f aca="false">AD46*P1_IVAN+AE46*P2_IVAN+AF46*IF($A46&lt;P3_DESDE,P3A_IVAN,P3_IVAN)-AG46*IVA_DEV</f>
        <v>0</v>
      </c>
      <c r="AM46" s="60" t="n">
        <f aca="false">N46*(1+RECARGO_ADS)</f>
        <v>0</v>
      </c>
      <c r="AN46" s="58" t="n">
        <f aca="false">IF(ISNUMBER(L46),E46+F46+G46+AA46+AB46+AC46,0)</f>
        <v>0</v>
      </c>
      <c r="AO46" s="60" t="n">
        <f aca="false">P46*COMISION</f>
        <v>0</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B47*P1_PVP+C47*P2_PVP+D47*IF($A47&lt;P3_DESDE,P3A_PVP,P3_PVP)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E47*(P1_PVP-P1_CPROD)+F47*(P2_PVP-P2_CPROD)+G47*(IF($A47&lt;P3_DESDE,P3A_PVP,P3_PVP)-IF($A47&lt;P3_DESDE,P3A_CPROD,P3_CPROD))-IF(ISNUMBER(L47),L47,E47*P1_LOG+F47*P2_LOG+G47*P3_LOG)</f>
        <v>0</v>
      </c>
      <c r="X47" s="33" t="n">
        <f aca="false">W47-(E47*P1_IVAN+F47*P2_IVAN+G47*IF($A47&lt;P3_DESDE,P3A_IVAN,P3_IVAN))-(H47+I47+J47)*(COSTE_DEV-IVA_DEV)-AM47-AO47</f>
        <v>0</v>
      </c>
      <c r="Y47" s="33" t="n">
        <f aca="false">AH47-AI47-AJ47-AK47-AL47-AM47-AO47</f>
        <v>0</v>
      </c>
      <c r="AA47" s="58" t="n">
        <f aca="false">MAX(0,B47-E47-H47)</f>
        <v>0</v>
      </c>
      <c r="AB47" s="58" t="n">
        <f aca="false">MAX(0,C47-F47-I47)</f>
        <v>0</v>
      </c>
      <c r="AC47" s="58" t="n">
        <f aca="false">MAX(0,D47-G47-J47)</f>
        <v>0</v>
      </c>
      <c r="AD47" s="59" t="n">
        <f aca="false">E47+AA47*TASA_USADA</f>
        <v>0</v>
      </c>
      <c r="AE47" s="59" t="n">
        <f aca="false">F47+AB47*TASA_USADA</f>
        <v>0</v>
      </c>
      <c r="AF47" s="59" t="n">
        <f aca="false">G47+AC47*TASA_USADA</f>
        <v>0</v>
      </c>
      <c r="AG47" s="59" t="n">
        <f aca="false">H47+I47+J47+(AA47+AB47+AC47)*(1-TASA_USADA)</f>
        <v>0</v>
      </c>
      <c r="AH47" s="60" t="n">
        <f aca="false">AD47*P1_PVP+AE47*P2_PVP+AF47*IF($A47&lt;P3_DESDE,P3A_PVP,P3_PVP)</f>
        <v>0</v>
      </c>
      <c r="AI47" s="60" t="n">
        <f aca="false">AD47*P1_CPROD+AE47*P2_CPROD+AF47*IF($A47&lt;P3_DESDE,P3A_CPROD,P3_CPROD)</f>
        <v>0</v>
      </c>
      <c r="AJ47" s="60" t="n">
        <f aca="false">IF(ISNUMBER(L47),L47,E47*P1_LOG+F47*P2_LOG+G47*P3_LOG)+IF(ISNUMBER(M47),M47,AA47*P1_LOG+AB47*P2_LOG+AC47*P3_LOG)*TASA_USADA</f>
        <v>0</v>
      </c>
      <c r="AK47" s="60" t="n">
        <f aca="false">AG47*COSTE_DEV</f>
        <v>0</v>
      </c>
      <c r="AL47" s="60" t="n">
        <f aca="false">AD47*P1_IVAN+AE47*P2_IVAN+AF47*IF($A47&lt;P3_DESDE,P3A_IVAN,P3_IVAN)-AG47*IVA_DEV</f>
        <v>0</v>
      </c>
      <c r="AM47" s="60" t="n">
        <f aca="false">N47*(1+RECARGO_ADS)</f>
        <v>0</v>
      </c>
      <c r="AN47" s="58" t="n">
        <f aca="false">IF(ISNUMBER(L47),E47+F47+G47+AA47+AB47+AC47,0)</f>
        <v>0</v>
      </c>
      <c r="AO47" s="60" t="n">
        <f aca="false">P47*COMISION</f>
        <v>0</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B48*P1_PVP+C48*P2_PVP+D48*IF($A48&lt;P3_DESDE,P3A_PVP,P3_PVP)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E48*(P1_PVP-P1_CPROD)+F48*(P2_PVP-P2_CPROD)+G48*(IF($A48&lt;P3_DESDE,P3A_PVP,P3_PVP)-IF($A48&lt;P3_DESDE,P3A_CPROD,P3_CPROD))-IF(ISNUMBER(L48),L48,E48*P1_LOG+F48*P2_LOG+G48*P3_LOG)</f>
        <v>0</v>
      </c>
      <c r="X48" s="33" t="n">
        <f aca="false">W48-(E48*P1_IVAN+F48*P2_IVAN+G48*IF($A48&lt;P3_DESDE,P3A_IVAN,P3_IVAN))-(H48+I48+J48)*(COSTE_DEV-IVA_DEV)-AM48-AO48</f>
        <v>0</v>
      </c>
      <c r="Y48" s="33" t="n">
        <f aca="false">AH48-AI48-AJ48-AK48-AL48-AM48-AO48</f>
        <v>0</v>
      </c>
      <c r="AA48" s="58" t="n">
        <f aca="false">MAX(0,B48-E48-H48)</f>
        <v>0</v>
      </c>
      <c r="AB48" s="58" t="n">
        <f aca="false">MAX(0,C48-F48-I48)</f>
        <v>0</v>
      </c>
      <c r="AC48" s="58" t="n">
        <f aca="false">MAX(0,D48-G48-J48)</f>
        <v>0</v>
      </c>
      <c r="AD48" s="59" t="n">
        <f aca="false">E48+AA48*TASA_USADA</f>
        <v>0</v>
      </c>
      <c r="AE48" s="59" t="n">
        <f aca="false">F48+AB48*TASA_USADA</f>
        <v>0</v>
      </c>
      <c r="AF48" s="59" t="n">
        <f aca="false">G48+AC48*TASA_USADA</f>
        <v>0</v>
      </c>
      <c r="AG48" s="59" t="n">
        <f aca="false">H48+I48+J48+(AA48+AB48+AC48)*(1-TASA_USADA)</f>
        <v>0</v>
      </c>
      <c r="AH48" s="60" t="n">
        <f aca="false">AD48*P1_PVP+AE48*P2_PVP+AF48*IF($A48&lt;P3_DESDE,P3A_PVP,P3_PVP)</f>
        <v>0</v>
      </c>
      <c r="AI48" s="60" t="n">
        <f aca="false">AD48*P1_CPROD+AE48*P2_CPROD+AF48*IF($A48&lt;P3_DESDE,P3A_CPROD,P3_CPROD)</f>
        <v>0</v>
      </c>
      <c r="AJ48" s="60" t="n">
        <f aca="false">IF(ISNUMBER(L48),L48,E48*P1_LOG+F48*P2_LOG+G48*P3_LOG)+IF(ISNUMBER(M48),M48,AA48*P1_LOG+AB48*P2_LOG+AC48*P3_LOG)*TASA_USADA</f>
        <v>0</v>
      </c>
      <c r="AK48" s="60" t="n">
        <f aca="false">AG48*COSTE_DEV</f>
        <v>0</v>
      </c>
      <c r="AL48" s="60" t="n">
        <f aca="false">AD48*P1_IVAN+AE48*P2_IVAN+AF48*IF($A48&lt;P3_DESDE,P3A_IVAN,P3_IVAN)-AG48*IVA_DEV</f>
        <v>0</v>
      </c>
      <c r="AM48" s="60" t="n">
        <f aca="false">N48*(1+RECARGO_ADS)</f>
        <v>0</v>
      </c>
      <c r="AN48" s="58" t="n">
        <f aca="false">IF(ISNUMBER(L48),E48+F48+G48+AA48+AB48+AC48,0)</f>
        <v>0</v>
      </c>
      <c r="AO48" s="60" t="n">
        <f aca="false">P48*COMISION</f>
        <v>0</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B49*P1_PVP+C49*P2_PVP+D49*IF($A49&lt;P3_DESDE,P3A_PVP,P3_PVP)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E49*(P1_PVP-P1_CPROD)+F49*(P2_PVP-P2_CPROD)+G49*(IF($A49&lt;P3_DESDE,P3A_PVP,P3_PVP)-IF($A49&lt;P3_DESDE,P3A_CPROD,P3_CPROD))-IF(ISNUMBER(L49),L49,E49*P1_LOG+F49*P2_LOG+G49*P3_LOG)</f>
        <v>0</v>
      </c>
      <c r="X49" s="33" t="n">
        <f aca="false">W49-(E49*P1_IVAN+F49*P2_IVAN+G49*IF($A49&lt;P3_DESDE,P3A_IVAN,P3_IVAN))-(H49+I49+J49)*(COSTE_DEV-IVA_DEV)-AM49-AO49</f>
        <v>0</v>
      </c>
      <c r="Y49" s="33" t="n">
        <f aca="false">AH49-AI49-AJ49-AK49-AL49-AM49-AO49</f>
        <v>0</v>
      </c>
      <c r="AA49" s="58" t="n">
        <f aca="false">MAX(0,B49-E49-H49)</f>
        <v>0</v>
      </c>
      <c r="AB49" s="58" t="n">
        <f aca="false">MAX(0,C49-F49-I49)</f>
        <v>0</v>
      </c>
      <c r="AC49" s="58" t="n">
        <f aca="false">MAX(0,D49-G49-J49)</f>
        <v>0</v>
      </c>
      <c r="AD49" s="59" t="n">
        <f aca="false">E49+AA49*TASA_USADA</f>
        <v>0</v>
      </c>
      <c r="AE49" s="59" t="n">
        <f aca="false">F49+AB49*TASA_USADA</f>
        <v>0</v>
      </c>
      <c r="AF49" s="59" t="n">
        <f aca="false">G49+AC49*TASA_USADA</f>
        <v>0</v>
      </c>
      <c r="AG49" s="59" t="n">
        <f aca="false">H49+I49+J49+(AA49+AB49+AC49)*(1-TASA_USADA)</f>
        <v>0</v>
      </c>
      <c r="AH49" s="60" t="n">
        <f aca="false">AD49*P1_PVP+AE49*P2_PVP+AF49*IF($A49&lt;P3_DESDE,P3A_PVP,P3_PVP)</f>
        <v>0</v>
      </c>
      <c r="AI49" s="60" t="n">
        <f aca="false">AD49*P1_CPROD+AE49*P2_CPROD+AF49*IF($A49&lt;P3_DESDE,P3A_CPROD,P3_CPROD)</f>
        <v>0</v>
      </c>
      <c r="AJ49" s="60" t="n">
        <f aca="false">IF(ISNUMBER(L49),L49,E49*P1_LOG+F49*P2_LOG+G49*P3_LOG)+IF(ISNUMBER(M49),M49,AA49*P1_LOG+AB49*P2_LOG+AC49*P3_LOG)*TASA_USADA</f>
        <v>0</v>
      </c>
      <c r="AK49" s="60" t="n">
        <f aca="false">AG49*COSTE_DEV</f>
        <v>0</v>
      </c>
      <c r="AL49" s="60" t="n">
        <f aca="false">AD49*P1_IVAN+AE49*P2_IVAN+AF49*IF($A49&lt;P3_DESDE,P3A_IVAN,P3_IVAN)-AG49*IVA_DEV</f>
        <v>0</v>
      </c>
      <c r="AM49" s="60" t="n">
        <f aca="false">N49*(1+RECARGO_ADS)</f>
        <v>0</v>
      </c>
      <c r="AN49" s="58" t="n">
        <f aca="false">IF(ISNUMBER(L49),E49+F49+G49+AA49+AB49+AC49,0)</f>
        <v>0</v>
      </c>
      <c r="AO49" s="60" t="n">
        <f aca="false">P49*COMISION</f>
        <v>0</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B50*P1_PVP+C50*P2_PVP+D50*IF($A50&lt;P3_DESDE,P3A_PVP,P3_PVP)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E50*(P1_PVP-P1_CPROD)+F50*(P2_PVP-P2_CPROD)+G50*(IF($A50&lt;P3_DESDE,P3A_PVP,P3_PVP)-IF($A50&lt;P3_DESDE,P3A_CPROD,P3_CPROD))-IF(ISNUMBER(L50),L50,E50*P1_LOG+F50*P2_LOG+G50*P3_LOG)</f>
        <v>0</v>
      </c>
      <c r="X50" s="33" t="n">
        <f aca="false">W50-(E50*P1_IVAN+F50*P2_IVAN+G50*IF($A50&lt;P3_DESDE,P3A_IVAN,P3_IVAN))-(H50+I50+J50)*(COSTE_DEV-IVA_DEV)-AM50-AO50</f>
        <v>0</v>
      </c>
      <c r="Y50" s="33" t="n">
        <f aca="false">AH50-AI50-AJ50-AK50-AL50-AM50-AO50</f>
        <v>0</v>
      </c>
      <c r="AA50" s="58" t="n">
        <f aca="false">MAX(0,B50-E50-H50)</f>
        <v>0</v>
      </c>
      <c r="AB50" s="58" t="n">
        <f aca="false">MAX(0,C50-F50-I50)</f>
        <v>0</v>
      </c>
      <c r="AC50" s="58" t="n">
        <f aca="false">MAX(0,D50-G50-J50)</f>
        <v>0</v>
      </c>
      <c r="AD50" s="59" t="n">
        <f aca="false">E50+AA50*TASA_USADA</f>
        <v>0</v>
      </c>
      <c r="AE50" s="59" t="n">
        <f aca="false">F50+AB50*TASA_USADA</f>
        <v>0</v>
      </c>
      <c r="AF50" s="59" t="n">
        <f aca="false">G50+AC50*TASA_USADA</f>
        <v>0</v>
      </c>
      <c r="AG50" s="59" t="n">
        <f aca="false">H50+I50+J50+(AA50+AB50+AC50)*(1-TASA_USADA)</f>
        <v>0</v>
      </c>
      <c r="AH50" s="60" t="n">
        <f aca="false">AD50*P1_PVP+AE50*P2_PVP+AF50*IF($A50&lt;P3_DESDE,P3A_PVP,P3_PVP)</f>
        <v>0</v>
      </c>
      <c r="AI50" s="60" t="n">
        <f aca="false">AD50*P1_CPROD+AE50*P2_CPROD+AF50*IF($A50&lt;P3_DESDE,P3A_CPROD,P3_CPROD)</f>
        <v>0</v>
      </c>
      <c r="AJ50" s="60" t="n">
        <f aca="false">IF(ISNUMBER(L50),L50,E50*P1_LOG+F50*P2_LOG+G50*P3_LOG)+IF(ISNUMBER(M50),M50,AA50*P1_LOG+AB50*P2_LOG+AC50*P3_LOG)*TASA_USADA</f>
        <v>0</v>
      </c>
      <c r="AK50" s="60" t="n">
        <f aca="false">AG50*COSTE_DEV</f>
        <v>0</v>
      </c>
      <c r="AL50" s="60" t="n">
        <f aca="false">AD50*P1_IVAN+AE50*P2_IVAN+AF50*IF($A50&lt;P3_DESDE,P3A_IVAN,P3_IVAN)-AG50*IVA_DEV</f>
        <v>0</v>
      </c>
      <c r="AM50" s="60" t="n">
        <f aca="false">N50*(1+RECARGO_ADS)</f>
        <v>0</v>
      </c>
      <c r="AN50" s="58" t="n">
        <f aca="false">IF(ISNUMBER(L50),E50+F50+G50+AA50+AB50+AC50,0)</f>
        <v>0</v>
      </c>
      <c r="AO50" s="60" t="n">
        <f aca="false">P50*COMISION</f>
        <v>0</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B51*P1_PVP+C51*P2_PVP+D51*IF($A51&lt;P3_DESDE,P3A_PVP,P3_PVP)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E51*(P1_PVP-P1_CPROD)+F51*(P2_PVP-P2_CPROD)+G51*(IF($A51&lt;P3_DESDE,P3A_PVP,P3_PVP)-IF($A51&lt;P3_DESDE,P3A_CPROD,P3_CPROD))-IF(ISNUMBER(L51),L51,E51*P1_LOG+F51*P2_LOG+G51*P3_LOG)</f>
        <v>0</v>
      </c>
      <c r="X51" s="33" t="n">
        <f aca="false">W51-(E51*P1_IVAN+F51*P2_IVAN+G51*IF($A51&lt;P3_DESDE,P3A_IVAN,P3_IVAN))-(H51+I51+J51)*(COSTE_DEV-IVA_DEV)-AM51-AO51</f>
        <v>0</v>
      </c>
      <c r="Y51" s="33" t="n">
        <f aca="false">AH51-AI51-AJ51-AK51-AL51-AM51-AO51</f>
        <v>0</v>
      </c>
      <c r="AA51" s="58" t="n">
        <f aca="false">MAX(0,B51-E51-H51)</f>
        <v>0</v>
      </c>
      <c r="AB51" s="58" t="n">
        <f aca="false">MAX(0,C51-F51-I51)</f>
        <v>0</v>
      </c>
      <c r="AC51" s="58" t="n">
        <f aca="false">MAX(0,D51-G51-J51)</f>
        <v>0</v>
      </c>
      <c r="AD51" s="59" t="n">
        <f aca="false">E51+AA51*TASA_USADA</f>
        <v>0</v>
      </c>
      <c r="AE51" s="59" t="n">
        <f aca="false">F51+AB51*TASA_USADA</f>
        <v>0</v>
      </c>
      <c r="AF51" s="59" t="n">
        <f aca="false">G51+AC51*TASA_USADA</f>
        <v>0</v>
      </c>
      <c r="AG51" s="59" t="n">
        <f aca="false">H51+I51+J51+(AA51+AB51+AC51)*(1-TASA_USADA)</f>
        <v>0</v>
      </c>
      <c r="AH51" s="60" t="n">
        <f aca="false">AD51*P1_PVP+AE51*P2_PVP+AF51*IF($A51&lt;P3_DESDE,P3A_PVP,P3_PVP)</f>
        <v>0</v>
      </c>
      <c r="AI51" s="60" t="n">
        <f aca="false">AD51*P1_CPROD+AE51*P2_CPROD+AF51*IF($A51&lt;P3_DESDE,P3A_CPROD,P3_CPROD)</f>
        <v>0</v>
      </c>
      <c r="AJ51" s="60" t="n">
        <f aca="false">IF(ISNUMBER(L51),L51,E51*P1_LOG+F51*P2_LOG+G51*P3_LOG)+IF(ISNUMBER(M51),M51,AA51*P1_LOG+AB51*P2_LOG+AC51*P3_LOG)*TASA_USADA</f>
        <v>0</v>
      </c>
      <c r="AK51" s="60" t="n">
        <f aca="false">AG51*COSTE_DEV</f>
        <v>0</v>
      </c>
      <c r="AL51" s="60" t="n">
        <f aca="false">AD51*P1_IVAN+AE51*P2_IVAN+AF51*IF($A51&lt;P3_DESDE,P3A_IVAN,P3_IVAN)-AG51*IVA_DEV</f>
        <v>0</v>
      </c>
      <c r="AM51" s="60" t="n">
        <f aca="false">N51*(1+RECARGO_ADS)</f>
        <v>0</v>
      </c>
      <c r="AN51" s="58" t="n">
        <f aca="false">IF(ISNUMBER(L51),E51+F51+G51+AA51+AB51+AC51,0)</f>
        <v>0</v>
      </c>
      <c r="AO51" s="60" t="n">
        <f aca="false">P51*COMISION</f>
        <v>0</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B52*P1_PVP+C52*P2_PVP+D52*IF($A52&lt;P3_DESDE,P3A_PVP,P3_PVP)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E52*(P1_PVP-P1_CPROD)+F52*(P2_PVP-P2_CPROD)+G52*(IF($A52&lt;P3_DESDE,P3A_PVP,P3_PVP)-IF($A52&lt;P3_DESDE,P3A_CPROD,P3_CPROD))-IF(ISNUMBER(L52),L52,E52*P1_LOG+F52*P2_LOG+G52*P3_LOG)</f>
        <v>0</v>
      </c>
      <c r="X52" s="33" t="n">
        <f aca="false">W52-(E52*P1_IVAN+F52*P2_IVAN+G52*IF($A52&lt;P3_DESDE,P3A_IVAN,P3_IVAN))-(H52+I52+J52)*(COSTE_DEV-IVA_DEV)-AM52-AO52</f>
        <v>0</v>
      </c>
      <c r="Y52" s="33" t="n">
        <f aca="false">AH52-AI52-AJ52-AK52-AL52-AM52-AO52</f>
        <v>0</v>
      </c>
      <c r="AA52" s="58" t="n">
        <f aca="false">MAX(0,B52-E52-H52)</f>
        <v>0</v>
      </c>
      <c r="AB52" s="58" t="n">
        <f aca="false">MAX(0,C52-F52-I52)</f>
        <v>0</v>
      </c>
      <c r="AC52" s="58" t="n">
        <f aca="false">MAX(0,D52-G52-J52)</f>
        <v>0</v>
      </c>
      <c r="AD52" s="59" t="n">
        <f aca="false">E52+AA52*TASA_USADA</f>
        <v>0</v>
      </c>
      <c r="AE52" s="59" t="n">
        <f aca="false">F52+AB52*TASA_USADA</f>
        <v>0</v>
      </c>
      <c r="AF52" s="59" t="n">
        <f aca="false">G52+AC52*TASA_USADA</f>
        <v>0</v>
      </c>
      <c r="AG52" s="59" t="n">
        <f aca="false">H52+I52+J52+(AA52+AB52+AC52)*(1-TASA_USADA)</f>
        <v>0</v>
      </c>
      <c r="AH52" s="60" t="n">
        <f aca="false">AD52*P1_PVP+AE52*P2_PVP+AF52*IF($A52&lt;P3_DESDE,P3A_PVP,P3_PVP)</f>
        <v>0</v>
      </c>
      <c r="AI52" s="60" t="n">
        <f aca="false">AD52*P1_CPROD+AE52*P2_CPROD+AF52*IF($A52&lt;P3_DESDE,P3A_CPROD,P3_CPROD)</f>
        <v>0</v>
      </c>
      <c r="AJ52" s="60" t="n">
        <f aca="false">IF(ISNUMBER(L52),L52,E52*P1_LOG+F52*P2_LOG+G52*P3_LOG)+IF(ISNUMBER(M52),M52,AA52*P1_LOG+AB52*P2_LOG+AC52*P3_LOG)*TASA_USADA</f>
        <v>0</v>
      </c>
      <c r="AK52" s="60" t="n">
        <f aca="false">AG52*COSTE_DEV</f>
        <v>0</v>
      </c>
      <c r="AL52" s="60" t="n">
        <f aca="false">AD52*P1_IVAN+AE52*P2_IVAN+AF52*IF($A52&lt;P3_DESDE,P3A_IVAN,P3_IVAN)-AG52*IVA_DEV</f>
        <v>0</v>
      </c>
      <c r="AM52" s="60" t="n">
        <f aca="false">N52*(1+RECARGO_ADS)</f>
        <v>0</v>
      </c>
      <c r="AN52" s="58" t="n">
        <f aca="false">IF(ISNUMBER(L52),E52+F52+G52+AA52+AB52+AC52,0)</f>
        <v>0</v>
      </c>
      <c r="AO52" s="60" t="n">
        <f aca="false">P52*COMISION</f>
        <v>0</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B53*P1_PVP+C53*P2_PVP+D53*IF($A53&lt;P3_DESDE,P3A_PVP,P3_PVP)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E53*(P1_PVP-P1_CPROD)+F53*(P2_PVP-P2_CPROD)+G53*(IF($A53&lt;P3_DESDE,P3A_PVP,P3_PVP)-IF($A53&lt;P3_DESDE,P3A_CPROD,P3_CPROD))-IF(ISNUMBER(L53),L53,E53*P1_LOG+F53*P2_LOG+G53*P3_LOG)</f>
        <v>0</v>
      </c>
      <c r="X53" s="33" t="n">
        <f aca="false">W53-(E53*P1_IVAN+F53*P2_IVAN+G53*IF($A53&lt;P3_DESDE,P3A_IVAN,P3_IVAN))-(H53+I53+J53)*(COSTE_DEV-IVA_DEV)-AM53-AO53</f>
        <v>0</v>
      </c>
      <c r="Y53" s="33" t="n">
        <f aca="false">AH53-AI53-AJ53-AK53-AL53-AM53-AO53</f>
        <v>0</v>
      </c>
      <c r="AA53" s="58" t="n">
        <f aca="false">MAX(0,B53-E53-H53)</f>
        <v>0</v>
      </c>
      <c r="AB53" s="58" t="n">
        <f aca="false">MAX(0,C53-F53-I53)</f>
        <v>0</v>
      </c>
      <c r="AC53" s="58" t="n">
        <f aca="false">MAX(0,D53-G53-J53)</f>
        <v>0</v>
      </c>
      <c r="AD53" s="59" t="n">
        <f aca="false">E53+AA53*TASA_USADA</f>
        <v>0</v>
      </c>
      <c r="AE53" s="59" t="n">
        <f aca="false">F53+AB53*TASA_USADA</f>
        <v>0</v>
      </c>
      <c r="AF53" s="59" t="n">
        <f aca="false">G53+AC53*TASA_USADA</f>
        <v>0</v>
      </c>
      <c r="AG53" s="59" t="n">
        <f aca="false">H53+I53+J53+(AA53+AB53+AC53)*(1-TASA_USADA)</f>
        <v>0</v>
      </c>
      <c r="AH53" s="60" t="n">
        <f aca="false">AD53*P1_PVP+AE53*P2_PVP+AF53*IF($A53&lt;P3_DESDE,P3A_PVP,P3_PVP)</f>
        <v>0</v>
      </c>
      <c r="AI53" s="60" t="n">
        <f aca="false">AD53*P1_CPROD+AE53*P2_CPROD+AF53*IF($A53&lt;P3_DESDE,P3A_CPROD,P3_CPROD)</f>
        <v>0</v>
      </c>
      <c r="AJ53" s="60" t="n">
        <f aca="false">IF(ISNUMBER(L53),L53,E53*P1_LOG+F53*P2_LOG+G53*P3_LOG)+IF(ISNUMBER(M53),M53,AA53*P1_LOG+AB53*P2_LOG+AC53*P3_LOG)*TASA_USADA</f>
        <v>0</v>
      </c>
      <c r="AK53" s="60" t="n">
        <f aca="false">AG53*COSTE_DEV</f>
        <v>0</v>
      </c>
      <c r="AL53" s="60" t="n">
        <f aca="false">AD53*P1_IVAN+AE53*P2_IVAN+AF53*IF($A53&lt;P3_DESDE,P3A_IVAN,P3_IVAN)-AG53*IVA_DEV</f>
        <v>0</v>
      </c>
      <c r="AM53" s="60" t="n">
        <f aca="false">N53*(1+RECARGO_ADS)</f>
        <v>0</v>
      </c>
      <c r="AN53" s="58" t="n">
        <f aca="false">IF(ISNUMBER(L53),E53+F53+G53+AA53+AB53+AC53,0)</f>
        <v>0</v>
      </c>
      <c r="AO53" s="60" t="n">
        <f aca="false">P53*COMISION</f>
        <v>0</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B54*P1_PVP+C54*P2_PVP+D54*IF($A54&lt;P3_DESDE,P3A_PVP,P3_PVP)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E54*(P1_PVP-P1_CPROD)+F54*(P2_PVP-P2_CPROD)+G54*(IF($A54&lt;P3_DESDE,P3A_PVP,P3_PVP)-IF($A54&lt;P3_DESDE,P3A_CPROD,P3_CPROD))-IF(ISNUMBER(L54),L54,E54*P1_LOG+F54*P2_LOG+G54*P3_LOG)</f>
        <v>0</v>
      </c>
      <c r="X54" s="33" t="n">
        <f aca="false">W54-(E54*P1_IVAN+F54*P2_IVAN+G54*IF($A54&lt;P3_DESDE,P3A_IVAN,P3_IVAN))-(H54+I54+J54)*(COSTE_DEV-IVA_DEV)-AM54-AO54</f>
        <v>0</v>
      </c>
      <c r="Y54" s="33" t="n">
        <f aca="false">AH54-AI54-AJ54-AK54-AL54-AM54-AO54</f>
        <v>0</v>
      </c>
      <c r="AA54" s="58" t="n">
        <f aca="false">MAX(0,B54-E54-H54)</f>
        <v>0</v>
      </c>
      <c r="AB54" s="58" t="n">
        <f aca="false">MAX(0,C54-F54-I54)</f>
        <v>0</v>
      </c>
      <c r="AC54" s="58" t="n">
        <f aca="false">MAX(0,D54-G54-J54)</f>
        <v>0</v>
      </c>
      <c r="AD54" s="59" t="n">
        <f aca="false">E54+AA54*TASA_USADA</f>
        <v>0</v>
      </c>
      <c r="AE54" s="59" t="n">
        <f aca="false">F54+AB54*TASA_USADA</f>
        <v>0</v>
      </c>
      <c r="AF54" s="59" t="n">
        <f aca="false">G54+AC54*TASA_USADA</f>
        <v>0</v>
      </c>
      <c r="AG54" s="59" t="n">
        <f aca="false">H54+I54+J54+(AA54+AB54+AC54)*(1-TASA_USADA)</f>
        <v>0</v>
      </c>
      <c r="AH54" s="60" t="n">
        <f aca="false">AD54*P1_PVP+AE54*P2_PVP+AF54*IF($A54&lt;P3_DESDE,P3A_PVP,P3_PVP)</f>
        <v>0</v>
      </c>
      <c r="AI54" s="60" t="n">
        <f aca="false">AD54*P1_CPROD+AE54*P2_CPROD+AF54*IF($A54&lt;P3_DESDE,P3A_CPROD,P3_CPROD)</f>
        <v>0</v>
      </c>
      <c r="AJ54" s="60" t="n">
        <f aca="false">IF(ISNUMBER(L54),L54,E54*P1_LOG+F54*P2_LOG+G54*P3_LOG)+IF(ISNUMBER(M54),M54,AA54*P1_LOG+AB54*P2_LOG+AC54*P3_LOG)*TASA_USADA</f>
        <v>0</v>
      </c>
      <c r="AK54" s="60" t="n">
        <f aca="false">AG54*COSTE_DEV</f>
        <v>0</v>
      </c>
      <c r="AL54" s="60" t="n">
        <f aca="false">AD54*P1_IVAN+AE54*P2_IVAN+AF54*IF($A54&lt;P3_DESDE,P3A_IVAN,P3_IVAN)-AG54*IVA_DEV</f>
        <v>0</v>
      </c>
      <c r="AM54" s="60" t="n">
        <f aca="false">N54*(1+RECARGO_ADS)</f>
        <v>0</v>
      </c>
      <c r="AN54" s="58" t="n">
        <f aca="false">IF(ISNUMBER(L54),E54+F54+G54+AA54+AB54+AC54,0)</f>
        <v>0</v>
      </c>
      <c r="AO54" s="60" t="n">
        <f aca="false">P54*COMISION</f>
        <v>0</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B55*P1_PVP+C55*P2_PVP+D55*IF($A55&lt;P3_DESDE,P3A_PVP,P3_PVP)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E55*(P1_PVP-P1_CPROD)+F55*(P2_PVP-P2_CPROD)+G55*(IF($A55&lt;P3_DESDE,P3A_PVP,P3_PVP)-IF($A55&lt;P3_DESDE,P3A_CPROD,P3_CPROD))-IF(ISNUMBER(L55),L55,E55*P1_LOG+F55*P2_LOG+G55*P3_LOG)</f>
        <v>0</v>
      </c>
      <c r="X55" s="33" t="n">
        <f aca="false">W55-(E55*P1_IVAN+F55*P2_IVAN+G55*IF($A55&lt;P3_DESDE,P3A_IVAN,P3_IVAN))-(H55+I55+J55)*(COSTE_DEV-IVA_DEV)-AM55-AO55</f>
        <v>0</v>
      </c>
      <c r="Y55" s="33" t="n">
        <f aca="false">AH55-AI55-AJ55-AK55-AL55-AM55-AO55</f>
        <v>0</v>
      </c>
      <c r="AA55" s="58" t="n">
        <f aca="false">MAX(0,B55-E55-H55)</f>
        <v>0</v>
      </c>
      <c r="AB55" s="58" t="n">
        <f aca="false">MAX(0,C55-F55-I55)</f>
        <v>0</v>
      </c>
      <c r="AC55" s="58" t="n">
        <f aca="false">MAX(0,D55-G55-J55)</f>
        <v>0</v>
      </c>
      <c r="AD55" s="59" t="n">
        <f aca="false">E55+AA55*TASA_USADA</f>
        <v>0</v>
      </c>
      <c r="AE55" s="59" t="n">
        <f aca="false">F55+AB55*TASA_USADA</f>
        <v>0</v>
      </c>
      <c r="AF55" s="59" t="n">
        <f aca="false">G55+AC55*TASA_USADA</f>
        <v>0</v>
      </c>
      <c r="AG55" s="59" t="n">
        <f aca="false">H55+I55+J55+(AA55+AB55+AC55)*(1-TASA_USADA)</f>
        <v>0</v>
      </c>
      <c r="AH55" s="60" t="n">
        <f aca="false">AD55*P1_PVP+AE55*P2_PVP+AF55*IF($A55&lt;P3_DESDE,P3A_PVP,P3_PVP)</f>
        <v>0</v>
      </c>
      <c r="AI55" s="60" t="n">
        <f aca="false">AD55*P1_CPROD+AE55*P2_CPROD+AF55*IF($A55&lt;P3_DESDE,P3A_CPROD,P3_CPROD)</f>
        <v>0</v>
      </c>
      <c r="AJ55" s="60" t="n">
        <f aca="false">IF(ISNUMBER(L55),L55,E55*P1_LOG+F55*P2_LOG+G55*P3_LOG)+IF(ISNUMBER(M55),M55,AA55*P1_LOG+AB55*P2_LOG+AC55*P3_LOG)*TASA_USADA</f>
        <v>0</v>
      </c>
      <c r="AK55" s="60" t="n">
        <f aca="false">AG55*COSTE_DEV</f>
        <v>0</v>
      </c>
      <c r="AL55" s="60" t="n">
        <f aca="false">AD55*P1_IVAN+AE55*P2_IVAN+AF55*IF($A55&lt;P3_DESDE,P3A_IVAN,P3_IVAN)-AG55*IVA_DEV</f>
        <v>0</v>
      </c>
      <c r="AM55" s="60" t="n">
        <f aca="false">N55*(1+RECARGO_ADS)</f>
        <v>0</v>
      </c>
      <c r="AN55" s="58" t="n">
        <f aca="false">IF(ISNUMBER(L55),E55+F55+G55+AA55+AB55+AC55,0)</f>
        <v>0</v>
      </c>
      <c r="AO55" s="60" t="n">
        <f aca="false">P55*COMISION</f>
        <v>0</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B56*P1_PVP+C56*P2_PVP+D56*IF($A56&lt;P3_DESDE,P3A_PVP,P3_PVP)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E56*(P1_PVP-P1_CPROD)+F56*(P2_PVP-P2_CPROD)+G56*(IF($A56&lt;P3_DESDE,P3A_PVP,P3_PVP)-IF($A56&lt;P3_DESDE,P3A_CPROD,P3_CPROD))-IF(ISNUMBER(L56),L56,E56*P1_LOG+F56*P2_LOG+G56*P3_LOG)</f>
        <v>0</v>
      </c>
      <c r="X56" s="33" t="n">
        <f aca="false">W56-(E56*P1_IVAN+F56*P2_IVAN+G56*IF($A56&lt;P3_DESDE,P3A_IVAN,P3_IVAN))-(H56+I56+J56)*(COSTE_DEV-IVA_DEV)-AM56-AO56</f>
        <v>0</v>
      </c>
      <c r="Y56" s="33" t="n">
        <f aca="false">AH56-AI56-AJ56-AK56-AL56-AM56-AO56</f>
        <v>0</v>
      </c>
      <c r="AA56" s="58" t="n">
        <f aca="false">MAX(0,B56-E56-H56)</f>
        <v>0</v>
      </c>
      <c r="AB56" s="58" t="n">
        <f aca="false">MAX(0,C56-F56-I56)</f>
        <v>0</v>
      </c>
      <c r="AC56" s="58" t="n">
        <f aca="false">MAX(0,D56-G56-J56)</f>
        <v>0</v>
      </c>
      <c r="AD56" s="59" t="n">
        <f aca="false">E56+AA56*TASA_USADA</f>
        <v>0</v>
      </c>
      <c r="AE56" s="59" t="n">
        <f aca="false">F56+AB56*TASA_USADA</f>
        <v>0</v>
      </c>
      <c r="AF56" s="59" t="n">
        <f aca="false">G56+AC56*TASA_USADA</f>
        <v>0</v>
      </c>
      <c r="AG56" s="59" t="n">
        <f aca="false">H56+I56+J56+(AA56+AB56+AC56)*(1-TASA_USADA)</f>
        <v>0</v>
      </c>
      <c r="AH56" s="60" t="n">
        <f aca="false">AD56*P1_PVP+AE56*P2_PVP+AF56*IF($A56&lt;P3_DESDE,P3A_PVP,P3_PVP)</f>
        <v>0</v>
      </c>
      <c r="AI56" s="60" t="n">
        <f aca="false">AD56*P1_CPROD+AE56*P2_CPROD+AF56*IF($A56&lt;P3_DESDE,P3A_CPROD,P3_CPROD)</f>
        <v>0</v>
      </c>
      <c r="AJ56" s="60" t="n">
        <f aca="false">IF(ISNUMBER(L56),L56,E56*P1_LOG+F56*P2_LOG+G56*P3_LOG)+IF(ISNUMBER(M56),M56,AA56*P1_LOG+AB56*P2_LOG+AC56*P3_LOG)*TASA_USADA</f>
        <v>0</v>
      </c>
      <c r="AK56" s="60" t="n">
        <f aca="false">AG56*COSTE_DEV</f>
        <v>0</v>
      </c>
      <c r="AL56" s="60" t="n">
        <f aca="false">AD56*P1_IVAN+AE56*P2_IVAN+AF56*IF($A56&lt;P3_DESDE,P3A_IVAN,P3_IVAN)-AG56*IVA_DEV</f>
        <v>0</v>
      </c>
      <c r="AM56" s="60" t="n">
        <f aca="false">N56*(1+RECARGO_ADS)</f>
        <v>0</v>
      </c>
      <c r="AN56" s="58" t="n">
        <f aca="false">IF(ISNUMBER(L56),E56+F56+G56+AA56+AB56+AC56,0)</f>
        <v>0</v>
      </c>
      <c r="AO56" s="60" t="n">
        <f aca="false">P56*COMISION</f>
        <v>0</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B57*P1_PVP+C57*P2_PVP+D57*IF($A57&lt;P3_DESDE,P3A_PVP,P3_PVP)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E57*(P1_PVP-P1_CPROD)+F57*(P2_PVP-P2_CPROD)+G57*(IF($A57&lt;P3_DESDE,P3A_PVP,P3_PVP)-IF($A57&lt;P3_DESDE,P3A_CPROD,P3_CPROD))-IF(ISNUMBER(L57),L57,E57*P1_LOG+F57*P2_LOG+G57*P3_LOG)</f>
        <v>0</v>
      </c>
      <c r="X57" s="33" t="n">
        <f aca="false">W57-(E57*P1_IVAN+F57*P2_IVAN+G57*IF($A57&lt;P3_DESDE,P3A_IVAN,P3_IVAN))-(H57+I57+J57)*(COSTE_DEV-IVA_DEV)-AM57-AO57</f>
        <v>0</v>
      </c>
      <c r="Y57" s="33" t="n">
        <f aca="false">AH57-AI57-AJ57-AK57-AL57-AM57-AO57</f>
        <v>0</v>
      </c>
      <c r="AA57" s="58" t="n">
        <f aca="false">MAX(0,B57-E57-H57)</f>
        <v>0</v>
      </c>
      <c r="AB57" s="58" t="n">
        <f aca="false">MAX(0,C57-F57-I57)</f>
        <v>0</v>
      </c>
      <c r="AC57" s="58" t="n">
        <f aca="false">MAX(0,D57-G57-J57)</f>
        <v>0</v>
      </c>
      <c r="AD57" s="59" t="n">
        <f aca="false">E57+AA57*TASA_USADA</f>
        <v>0</v>
      </c>
      <c r="AE57" s="59" t="n">
        <f aca="false">F57+AB57*TASA_USADA</f>
        <v>0</v>
      </c>
      <c r="AF57" s="59" t="n">
        <f aca="false">G57+AC57*TASA_USADA</f>
        <v>0</v>
      </c>
      <c r="AG57" s="59" t="n">
        <f aca="false">H57+I57+J57+(AA57+AB57+AC57)*(1-TASA_USADA)</f>
        <v>0</v>
      </c>
      <c r="AH57" s="60" t="n">
        <f aca="false">AD57*P1_PVP+AE57*P2_PVP+AF57*IF($A57&lt;P3_DESDE,P3A_PVP,P3_PVP)</f>
        <v>0</v>
      </c>
      <c r="AI57" s="60" t="n">
        <f aca="false">AD57*P1_CPROD+AE57*P2_CPROD+AF57*IF($A57&lt;P3_DESDE,P3A_CPROD,P3_CPROD)</f>
        <v>0</v>
      </c>
      <c r="AJ57" s="60" t="n">
        <f aca="false">IF(ISNUMBER(L57),L57,E57*P1_LOG+F57*P2_LOG+G57*P3_LOG)+IF(ISNUMBER(M57),M57,AA57*P1_LOG+AB57*P2_LOG+AC57*P3_LOG)*TASA_USADA</f>
        <v>0</v>
      </c>
      <c r="AK57" s="60" t="n">
        <f aca="false">AG57*COSTE_DEV</f>
        <v>0</v>
      </c>
      <c r="AL57" s="60" t="n">
        <f aca="false">AD57*P1_IVAN+AE57*P2_IVAN+AF57*IF($A57&lt;P3_DESDE,P3A_IVAN,P3_IVAN)-AG57*IVA_DEV</f>
        <v>0</v>
      </c>
      <c r="AM57" s="60" t="n">
        <f aca="false">N57*(1+RECARGO_ADS)</f>
        <v>0</v>
      </c>
      <c r="AN57" s="58" t="n">
        <f aca="false">IF(ISNUMBER(L57),E57+F57+G57+AA57+AB57+AC57,0)</f>
        <v>0</v>
      </c>
      <c r="AO57" s="60" t="n">
        <f aca="false">P57*COMISION</f>
        <v>0</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B58*P1_PVP+C58*P2_PVP+D58*IF($A58&lt;P3_DESDE,P3A_PVP,P3_PVP)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E58*(P1_PVP-P1_CPROD)+F58*(P2_PVP-P2_CPROD)+G58*(IF($A58&lt;P3_DESDE,P3A_PVP,P3_PVP)-IF($A58&lt;P3_DESDE,P3A_CPROD,P3_CPROD))-IF(ISNUMBER(L58),L58,E58*P1_LOG+F58*P2_LOG+G58*P3_LOG)</f>
        <v>0</v>
      </c>
      <c r="X58" s="33" t="n">
        <f aca="false">W58-(E58*P1_IVAN+F58*P2_IVAN+G58*IF($A58&lt;P3_DESDE,P3A_IVAN,P3_IVAN))-(H58+I58+J58)*(COSTE_DEV-IVA_DEV)-AM58-AO58</f>
        <v>0</v>
      </c>
      <c r="Y58" s="33" t="n">
        <f aca="false">AH58-AI58-AJ58-AK58-AL58-AM58-AO58</f>
        <v>0</v>
      </c>
      <c r="AA58" s="58" t="n">
        <f aca="false">MAX(0,B58-E58-H58)</f>
        <v>0</v>
      </c>
      <c r="AB58" s="58" t="n">
        <f aca="false">MAX(0,C58-F58-I58)</f>
        <v>0</v>
      </c>
      <c r="AC58" s="58" t="n">
        <f aca="false">MAX(0,D58-G58-J58)</f>
        <v>0</v>
      </c>
      <c r="AD58" s="59" t="n">
        <f aca="false">E58+AA58*TASA_USADA</f>
        <v>0</v>
      </c>
      <c r="AE58" s="59" t="n">
        <f aca="false">F58+AB58*TASA_USADA</f>
        <v>0</v>
      </c>
      <c r="AF58" s="59" t="n">
        <f aca="false">G58+AC58*TASA_USADA</f>
        <v>0</v>
      </c>
      <c r="AG58" s="59" t="n">
        <f aca="false">H58+I58+J58+(AA58+AB58+AC58)*(1-TASA_USADA)</f>
        <v>0</v>
      </c>
      <c r="AH58" s="60" t="n">
        <f aca="false">AD58*P1_PVP+AE58*P2_PVP+AF58*IF($A58&lt;P3_DESDE,P3A_PVP,P3_PVP)</f>
        <v>0</v>
      </c>
      <c r="AI58" s="60" t="n">
        <f aca="false">AD58*P1_CPROD+AE58*P2_CPROD+AF58*IF($A58&lt;P3_DESDE,P3A_CPROD,P3_CPROD)</f>
        <v>0</v>
      </c>
      <c r="AJ58" s="60" t="n">
        <f aca="false">IF(ISNUMBER(L58),L58,E58*P1_LOG+F58*P2_LOG+G58*P3_LOG)+IF(ISNUMBER(M58),M58,AA58*P1_LOG+AB58*P2_LOG+AC58*P3_LOG)*TASA_USADA</f>
        <v>0</v>
      </c>
      <c r="AK58" s="60" t="n">
        <f aca="false">AG58*COSTE_DEV</f>
        <v>0</v>
      </c>
      <c r="AL58" s="60" t="n">
        <f aca="false">AD58*P1_IVAN+AE58*P2_IVAN+AF58*IF($A58&lt;P3_DESDE,P3A_IVAN,P3_IVAN)-AG58*IVA_DEV</f>
        <v>0</v>
      </c>
      <c r="AM58" s="60" t="n">
        <f aca="false">N58*(1+RECARGO_ADS)</f>
        <v>0</v>
      </c>
      <c r="AN58" s="58" t="n">
        <f aca="false">IF(ISNUMBER(L58),E58+F58+G58+AA58+AB58+AC58,0)</f>
        <v>0</v>
      </c>
      <c r="AO58" s="60" t="n">
        <f aca="false">P58*COMISION</f>
        <v>0</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B59*P1_PVP+C59*P2_PVP+D59*IF($A59&lt;P3_DESDE,P3A_PVP,P3_PVP)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E59*(P1_PVP-P1_CPROD)+F59*(P2_PVP-P2_CPROD)+G59*(IF($A59&lt;P3_DESDE,P3A_PVP,P3_PVP)-IF($A59&lt;P3_DESDE,P3A_CPROD,P3_CPROD))-IF(ISNUMBER(L59),L59,E59*P1_LOG+F59*P2_LOG+G59*P3_LOG)</f>
        <v>0</v>
      </c>
      <c r="X59" s="33" t="n">
        <f aca="false">W59-(E59*P1_IVAN+F59*P2_IVAN+G59*IF($A59&lt;P3_DESDE,P3A_IVAN,P3_IVAN))-(H59+I59+J59)*(COSTE_DEV-IVA_DEV)-AM59-AO59</f>
        <v>0</v>
      </c>
      <c r="Y59" s="33" t="n">
        <f aca="false">AH59-AI59-AJ59-AK59-AL59-AM59-AO59</f>
        <v>0</v>
      </c>
      <c r="AA59" s="58" t="n">
        <f aca="false">MAX(0,B59-E59-H59)</f>
        <v>0</v>
      </c>
      <c r="AB59" s="58" t="n">
        <f aca="false">MAX(0,C59-F59-I59)</f>
        <v>0</v>
      </c>
      <c r="AC59" s="58" t="n">
        <f aca="false">MAX(0,D59-G59-J59)</f>
        <v>0</v>
      </c>
      <c r="AD59" s="59" t="n">
        <f aca="false">E59+AA59*TASA_USADA</f>
        <v>0</v>
      </c>
      <c r="AE59" s="59" t="n">
        <f aca="false">F59+AB59*TASA_USADA</f>
        <v>0</v>
      </c>
      <c r="AF59" s="59" t="n">
        <f aca="false">G59+AC59*TASA_USADA</f>
        <v>0</v>
      </c>
      <c r="AG59" s="59" t="n">
        <f aca="false">H59+I59+J59+(AA59+AB59+AC59)*(1-TASA_USADA)</f>
        <v>0</v>
      </c>
      <c r="AH59" s="60" t="n">
        <f aca="false">AD59*P1_PVP+AE59*P2_PVP+AF59*IF($A59&lt;P3_DESDE,P3A_PVP,P3_PVP)</f>
        <v>0</v>
      </c>
      <c r="AI59" s="60" t="n">
        <f aca="false">AD59*P1_CPROD+AE59*P2_CPROD+AF59*IF($A59&lt;P3_DESDE,P3A_CPROD,P3_CPROD)</f>
        <v>0</v>
      </c>
      <c r="AJ59" s="60" t="n">
        <f aca="false">IF(ISNUMBER(L59),L59,E59*P1_LOG+F59*P2_LOG+G59*P3_LOG)+IF(ISNUMBER(M59),M59,AA59*P1_LOG+AB59*P2_LOG+AC59*P3_LOG)*TASA_USADA</f>
        <v>0</v>
      </c>
      <c r="AK59" s="60" t="n">
        <f aca="false">AG59*COSTE_DEV</f>
        <v>0</v>
      </c>
      <c r="AL59" s="60" t="n">
        <f aca="false">AD59*P1_IVAN+AE59*P2_IVAN+AF59*IF($A59&lt;P3_DESDE,P3A_IVAN,P3_IVAN)-AG59*IVA_DEV</f>
        <v>0</v>
      </c>
      <c r="AM59" s="60" t="n">
        <f aca="false">N59*(1+RECARGO_ADS)</f>
        <v>0</v>
      </c>
      <c r="AN59" s="58" t="n">
        <f aca="false">IF(ISNUMBER(L59),E59+F59+G59+AA59+AB59+AC59,0)</f>
        <v>0</v>
      </c>
      <c r="AO59" s="60" t="n">
        <f aca="false">P59*COMISION</f>
        <v>0</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B60*P1_PVP+C60*P2_PVP+D60*IF($A60&lt;P3_DESDE,P3A_PVP,P3_PVP)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E60*(P1_PVP-P1_CPROD)+F60*(P2_PVP-P2_CPROD)+G60*(IF($A60&lt;P3_DESDE,P3A_PVP,P3_PVP)-IF($A60&lt;P3_DESDE,P3A_CPROD,P3_CPROD))-IF(ISNUMBER(L60),L60,E60*P1_LOG+F60*P2_LOG+G60*P3_LOG)</f>
        <v>0</v>
      </c>
      <c r="X60" s="33" t="n">
        <f aca="false">W60-(E60*P1_IVAN+F60*P2_IVAN+G60*IF($A60&lt;P3_DESDE,P3A_IVAN,P3_IVAN))-(H60+I60+J60)*(COSTE_DEV-IVA_DEV)-AM60-AO60</f>
        <v>0</v>
      </c>
      <c r="Y60" s="33" t="n">
        <f aca="false">AH60-AI60-AJ60-AK60-AL60-AM60-AO60</f>
        <v>0</v>
      </c>
      <c r="AA60" s="58" t="n">
        <f aca="false">MAX(0,B60-E60-H60)</f>
        <v>0</v>
      </c>
      <c r="AB60" s="58" t="n">
        <f aca="false">MAX(0,C60-F60-I60)</f>
        <v>0</v>
      </c>
      <c r="AC60" s="58" t="n">
        <f aca="false">MAX(0,D60-G60-J60)</f>
        <v>0</v>
      </c>
      <c r="AD60" s="59" t="n">
        <f aca="false">E60+AA60*TASA_USADA</f>
        <v>0</v>
      </c>
      <c r="AE60" s="59" t="n">
        <f aca="false">F60+AB60*TASA_USADA</f>
        <v>0</v>
      </c>
      <c r="AF60" s="59" t="n">
        <f aca="false">G60+AC60*TASA_USADA</f>
        <v>0</v>
      </c>
      <c r="AG60" s="59" t="n">
        <f aca="false">H60+I60+J60+(AA60+AB60+AC60)*(1-TASA_USADA)</f>
        <v>0</v>
      </c>
      <c r="AH60" s="60" t="n">
        <f aca="false">AD60*P1_PVP+AE60*P2_PVP+AF60*IF($A60&lt;P3_DESDE,P3A_PVP,P3_PVP)</f>
        <v>0</v>
      </c>
      <c r="AI60" s="60" t="n">
        <f aca="false">AD60*P1_CPROD+AE60*P2_CPROD+AF60*IF($A60&lt;P3_DESDE,P3A_CPROD,P3_CPROD)</f>
        <v>0</v>
      </c>
      <c r="AJ60" s="60" t="n">
        <f aca="false">IF(ISNUMBER(L60),L60,E60*P1_LOG+F60*P2_LOG+G60*P3_LOG)+IF(ISNUMBER(M60),M60,AA60*P1_LOG+AB60*P2_LOG+AC60*P3_LOG)*TASA_USADA</f>
        <v>0</v>
      </c>
      <c r="AK60" s="60" t="n">
        <f aca="false">AG60*COSTE_DEV</f>
        <v>0</v>
      </c>
      <c r="AL60" s="60" t="n">
        <f aca="false">AD60*P1_IVAN+AE60*P2_IVAN+AF60*IF($A60&lt;P3_DESDE,P3A_IVAN,P3_IVAN)-AG60*IVA_DEV</f>
        <v>0</v>
      </c>
      <c r="AM60" s="60" t="n">
        <f aca="false">N60*(1+RECARGO_ADS)</f>
        <v>0</v>
      </c>
      <c r="AN60" s="58" t="n">
        <f aca="false">IF(ISNUMBER(L60),E60+F60+G60+AA60+AB60+AC60,0)</f>
        <v>0</v>
      </c>
      <c r="AO60" s="60" t="n">
        <f aca="false">P60*COMISION</f>
        <v>0</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B61*P1_PVP+C61*P2_PVP+D61*IF($A61&lt;P3_DESDE,P3A_PVP,P3_PVP)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E61*(P1_PVP-P1_CPROD)+F61*(P2_PVP-P2_CPROD)+G61*(IF($A61&lt;P3_DESDE,P3A_PVP,P3_PVP)-IF($A61&lt;P3_DESDE,P3A_CPROD,P3_CPROD))-IF(ISNUMBER(L61),L61,E61*P1_LOG+F61*P2_LOG+G61*P3_LOG)</f>
        <v>0</v>
      </c>
      <c r="X61" s="33" t="n">
        <f aca="false">W61-(E61*P1_IVAN+F61*P2_IVAN+G61*IF($A61&lt;P3_DESDE,P3A_IVAN,P3_IVAN))-(H61+I61+J61)*(COSTE_DEV-IVA_DEV)-AM61-AO61</f>
        <v>0</v>
      </c>
      <c r="Y61" s="33" t="n">
        <f aca="false">AH61-AI61-AJ61-AK61-AL61-AM61-AO61</f>
        <v>0</v>
      </c>
      <c r="AA61" s="58" t="n">
        <f aca="false">MAX(0,B61-E61-H61)</f>
        <v>0</v>
      </c>
      <c r="AB61" s="58" t="n">
        <f aca="false">MAX(0,C61-F61-I61)</f>
        <v>0</v>
      </c>
      <c r="AC61" s="58" t="n">
        <f aca="false">MAX(0,D61-G61-J61)</f>
        <v>0</v>
      </c>
      <c r="AD61" s="59" t="n">
        <f aca="false">E61+AA61*TASA_USADA</f>
        <v>0</v>
      </c>
      <c r="AE61" s="59" t="n">
        <f aca="false">F61+AB61*TASA_USADA</f>
        <v>0</v>
      </c>
      <c r="AF61" s="59" t="n">
        <f aca="false">G61+AC61*TASA_USADA</f>
        <v>0</v>
      </c>
      <c r="AG61" s="59" t="n">
        <f aca="false">H61+I61+J61+(AA61+AB61+AC61)*(1-TASA_USADA)</f>
        <v>0</v>
      </c>
      <c r="AH61" s="60" t="n">
        <f aca="false">AD61*P1_PVP+AE61*P2_PVP+AF61*IF($A61&lt;P3_DESDE,P3A_PVP,P3_PVP)</f>
        <v>0</v>
      </c>
      <c r="AI61" s="60" t="n">
        <f aca="false">AD61*P1_CPROD+AE61*P2_CPROD+AF61*IF($A61&lt;P3_DESDE,P3A_CPROD,P3_CPROD)</f>
        <v>0</v>
      </c>
      <c r="AJ61" s="60" t="n">
        <f aca="false">IF(ISNUMBER(L61),L61,E61*P1_LOG+F61*P2_LOG+G61*P3_LOG)+IF(ISNUMBER(M61),M61,AA61*P1_LOG+AB61*P2_LOG+AC61*P3_LOG)*TASA_USADA</f>
        <v>0</v>
      </c>
      <c r="AK61" s="60" t="n">
        <f aca="false">AG61*COSTE_DEV</f>
        <v>0</v>
      </c>
      <c r="AL61" s="60" t="n">
        <f aca="false">AD61*P1_IVAN+AE61*P2_IVAN+AF61*IF($A61&lt;P3_DESDE,P3A_IVAN,P3_IVAN)-AG61*IVA_DEV</f>
        <v>0</v>
      </c>
      <c r="AM61" s="60" t="n">
        <f aca="false">N61*(1+RECARGO_ADS)</f>
        <v>0</v>
      </c>
      <c r="AN61" s="58" t="n">
        <f aca="false">IF(ISNUMBER(L61),E61+F61+G61+AA61+AB61+AC61,0)</f>
        <v>0</v>
      </c>
      <c r="AO61" s="60" t="n">
        <f aca="false">P61*COMISION</f>
        <v>0</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B62*P1_PVP+C62*P2_PVP+D62*IF($A62&lt;P3_DESDE,P3A_PVP,P3_PVP)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E62*(P1_PVP-P1_CPROD)+F62*(P2_PVP-P2_CPROD)+G62*(IF($A62&lt;P3_DESDE,P3A_PVP,P3_PVP)-IF($A62&lt;P3_DESDE,P3A_CPROD,P3_CPROD))-IF(ISNUMBER(L62),L62,E62*P1_LOG+F62*P2_LOG+G62*P3_LOG)</f>
        <v>0</v>
      </c>
      <c r="X62" s="33" t="n">
        <f aca="false">W62-(E62*P1_IVAN+F62*P2_IVAN+G62*IF($A62&lt;P3_DESDE,P3A_IVAN,P3_IVAN))-(H62+I62+J62)*(COSTE_DEV-IVA_DEV)-AM62-AO62</f>
        <v>0</v>
      </c>
      <c r="Y62" s="33" t="n">
        <f aca="false">AH62-AI62-AJ62-AK62-AL62-AM62-AO62</f>
        <v>0</v>
      </c>
      <c r="AA62" s="58" t="n">
        <f aca="false">MAX(0,B62-E62-H62)</f>
        <v>0</v>
      </c>
      <c r="AB62" s="58" t="n">
        <f aca="false">MAX(0,C62-F62-I62)</f>
        <v>0</v>
      </c>
      <c r="AC62" s="58" t="n">
        <f aca="false">MAX(0,D62-G62-J62)</f>
        <v>0</v>
      </c>
      <c r="AD62" s="59" t="n">
        <f aca="false">E62+AA62*TASA_USADA</f>
        <v>0</v>
      </c>
      <c r="AE62" s="59" t="n">
        <f aca="false">F62+AB62*TASA_USADA</f>
        <v>0</v>
      </c>
      <c r="AF62" s="59" t="n">
        <f aca="false">G62+AC62*TASA_USADA</f>
        <v>0</v>
      </c>
      <c r="AG62" s="59" t="n">
        <f aca="false">H62+I62+J62+(AA62+AB62+AC62)*(1-TASA_USADA)</f>
        <v>0</v>
      </c>
      <c r="AH62" s="60" t="n">
        <f aca="false">AD62*P1_PVP+AE62*P2_PVP+AF62*IF($A62&lt;P3_DESDE,P3A_PVP,P3_PVP)</f>
        <v>0</v>
      </c>
      <c r="AI62" s="60" t="n">
        <f aca="false">AD62*P1_CPROD+AE62*P2_CPROD+AF62*IF($A62&lt;P3_DESDE,P3A_CPROD,P3_CPROD)</f>
        <v>0</v>
      </c>
      <c r="AJ62" s="60" t="n">
        <f aca="false">IF(ISNUMBER(L62),L62,E62*P1_LOG+F62*P2_LOG+G62*P3_LOG)+IF(ISNUMBER(M62),M62,AA62*P1_LOG+AB62*P2_LOG+AC62*P3_LOG)*TASA_USADA</f>
        <v>0</v>
      </c>
      <c r="AK62" s="60" t="n">
        <f aca="false">AG62*COSTE_DEV</f>
        <v>0</v>
      </c>
      <c r="AL62" s="60" t="n">
        <f aca="false">AD62*P1_IVAN+AE62*P2_IVAN+AF62*IF($A62&lt;P3_DESDE,P3A_IVAN,P3_IVAN)-AG62*IVA_DEV</f>
        <v>0</v>
      </c>
      <c r="AM62" s="60" t="n">
        <f aca="false">N62*(1+RECARGO_ADS)</f>
        <v>0</v>
      </c>
      <c r="AN62" s="58" t="n">
        <f aca="false">IF(ISNUMBER(L62),E62+F62+G62+AA62+AB62+AC62,0)</f>
        <v>0</v>
      </c>
      <c r="AO62" s="60" t="n">
        <f aca="false">P62*COMISION</f>
        <v>0</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B63*P1_PVP+C63*P2_PVP+D63*IF($A63&lt;P3_DESDE,P3A_PVP,P3_PVP)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E63*(P1_PVP-P1_CPROD)+F63*(P2_PVP-P2_CPROD)+G63*(IF($A63&lt;P3_DESDE,P3A_PVP,P3_PVP)-IF($A63&lt;P3_DESDE,P3A_CPROD,P3_CPROD))-IF(ISNUMBER(L63),L63,E63*P1_LOG+F63*P2_LOG+G63*P3_LOG)</f>
        <v>0</v>
      </c>
      <c r="X63" s="33" t="n">
        <f aca="false">W63-(E63*P1_IVAN+F63*P2_IVAN+G63*IF($A63&lt;P3_DESDE,P3A_IVAN,P3_IVAN))-(H63+I63+J63)*(COSTE_DEV-IVA_DEV)-AM63-AO63</f>
        <v>0</v>
      </c>
      <c r="Y63" s="33" t="n">
        <f aca="false">AH63-AI63-AJ63-AK63-AL63-AM63-AO63</f>
        <v>0</v>
      </c>
      <c r="AA63" s="58" t="n">
        <f aca="false">MAX(0,B63-E63-H63)</f>
        <v>0</v>
      </c>
      <c r="AB63" s="58" t="n">
        <f aca="false">MAX(0,C63-F63-I63)</f>
        <v>0</v>
      </c>
      <c r="AC63" s="58" t="n">
        <f aca="false">MAX(0,D63-G63-J63)</f>
        <v>0</v>
      </c>
      <c r="AD63" s="59" t="n">
        <f aca="false">E63+AA63*TASA_USADA</f>
        <v>0</v>
      </c>
      <c r="AE63" s="59" t="n">
        <f aca="false">F63+AB63*TASA_USADA</f>
        <v>0</v>
      </c>
      <c r="AF63" s="59" t="n">
        <f aca="false">G63+AC63*TASA_USADA</f>
        <v>0</v>
      </c>
      <c r="AG63" s="59" t="n">
        <f aca="false">H63+I63+J63+(AA63+AB63+AC63)*(1-TASA_USADA)</f>
        <v>0</v>
      </c>
      <c r="AH63" s="60" t="n">
        <f aca="false">AD63*P1_PVP+AE63*P2_PVP+AF63*IF($A63&lt;P3_DESDE,P3A_PVP,P3_PVP)</f>
        <v>0</v>
      </c>
      <c r="AI63" s="60" t="n">
        <f aca="false">AD63*P1_CPROD+AE63*P2_CPROD+AF63*IF($A63&lt;P3_DESDE,P3A_CPROD,P3_CPROD)</f>
        <v>0</v>
      </c>
      <c r="AJ63" s="60" t="n">
        <f aca="false">IF(ISNUMBER(L63),L63,E63*P1_LOG+F63*P2_LOG+G63*P3_LOG)+IF(ISNUMBER(M63),M63,AA63*P1_LOG+AB63*P2_LOG+AC63*P3_LOG)*TASA_USADA</f>
        <v>0</v>
      </c>
      <c r="AK63" s="60" t="n">
        <f aca="false">AG63*COSTE_DEV</f>
        <v>0</v>
      </c>
      <c r="AL63" s="60" t="n">
        <f aca="false">AD63*P1_IVAN+AE63*P2_IVAN+AF63*IF($A63&lt;P3_DESDE,P3A_IVAN,P3_IVAN)-AG63*IVA_DEV</f>
        <v>0</v>
      </c>
      <c r="AM63" s="60" t="n">
        <f aca="false">N63*(1+RECARGO_ADS)</f>
        <v>0</v>
      </c>
      <c r="AN63" s="58" t="n">
        <f aca="false">IF(ISNUMBER(L63),E63+F63+G63+AA63+AB63+AC63,0)</f>
        <v>0</v>
      </c>
      <c r="AO63" s="60" t="n">
        <f aca="false">P63*COMISION</f>
        <v>0</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B64*P1_PVP+C64*P2_PVP+D64*IF($A64&lt;P3_DESDE,P3A_PVP,P3_PVP)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E64*(P1_PVP-P1_CPROD)+F64*(P2_PVP-P2_CPROD)+G64*(IF($A64&lt;P3_DESDE,P3A_PVP,P3_PVP)-IF($A64&lt;P3_DESDE,P3A_CPROD,P3_CPROD))-IF(ISNUMBER(L64),L64,E64*P1_LOG+F64*P2_LOG+G64*P3_LOG)</f>
        <v>0</v>
      </c>
      <c r="X64" s="33" t="n">
        <f aca="false">W64-(E64*P1_IVAN+F64*P2_IVAN+G64*IF($A64&lt;P3_DESDE,P3A_IVAN,P3_IVAN))-(H64+I64+J64)*(COSTE_DEV-IVA_DEV)-AM64-AO64</f>
        <v>0</v>
      </c>
      <c r="Y64" s="33" t="n">
        <f aca="false">AH64-AI64-AJ64-AK64-AL64-AM64-AO64</f>
        <v>0</v>
      </c>
      <c r="AA64" s="58" t="n">
        <f aca="false">MAX(0,B64-E64-H64)</f>
        <v>0</v>
      </c>
      <c r="AB64" s="58" t="n">
        <f aca="false">MAX(0,C64-F64-I64)</f>
        <v>0</v>
      </c>
      <c r="AC64" s="58" t="n">
        <f aca="false">MAX(0,D64-G64-J64)</f>
        <v>0</v>
      </c>
      <c r="AD64" s="59" t="n">
        <f aca="false">E64+AA64*TASA_USADA</f>
        <v>0</v>
      </c>
      <c r="AE64" s="59" t="n">
        <f aca="false">F64+AB64*TASA_USADA</f>
        <v>0</v>
      </c>
      <c r="AF64" s="59" t="n">
        <f aca="false">G64+AC64*TASA_USADA</f>
        <v>0</v>
      </c>
      <c r="AG64" s="59" t="n">
        <f aca="false">H64+I64+J64+(AA64+AB64+AC64)*(1-TASA_USADA)</f>
        <v>0</v>
      </c>
      <c r="AH64" s="60" t="n">
        <f aca="false">AD64*P1_PVP+AE64*P2_PVP+AF64*IF($A64&lt;P3_DESDE,P3A_PVP,P3_PVP)</f>
        <v>0</v>
      </c>
      <c r="AI64" s="60" t="n">
        <f aca="false">AD64*P1_CPROD+AE64*P2_CPROD+AF64*IF($A64&lt;P3_DESDE,P3A_CPROD,P3_CPROD)</f>
        <v>0</v>
      </c>
      <c r="AJ64" s="60" t="n">
        <f aca="false">IF(ISNUMBER(L64),L64,E64*P1_LOG+F64*P2_LOG+G64*P3_LOG)+IF(ISNUMBER(M64),M64,AA64*P1_LOG+AB64*P2_LOG+AC64*P3_LOG)*TASA_USADA</f>
        <v>0</v>
      </c>
      <c r="AK64" s="60" t="n">
        <f aca="false">AG64*COSTE_DEV</f>
        <v>0</v>
      </c>
      <c r="AL64" s="60" t="n">
        <f aca="false">AD64*P1_IVAN+AE64*P2_IVAN+AF64*IF($A64&lt;P3_DESDE,P3A_IVAN,P3_IVAN)-AG64*IVA_DEV</f>
        <v>0</v>
      </c>
      <c r="AM64" s="60" t="n">
        <f aca="false">N64*(1+RECARGO_ADS)</f>
        <v>0</v>
      </c>
      <c r="AN64" s="58" t="n">
        <f aca="false">IF(ISNUMBER(L64),E64+F64+G64+AA64+AB64+AC64,0)</f>
        <v>0</v>
      </c>
      <c r="AO64" s="60" t="n">
        <f aca="false">P64*COMISION</f>
        <v>0</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B65*P1_PVP+C65*P2_PVP+D65*IF($A65&lt;P3_DESDE,P3A_PVP,P3_PVP)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E65*(P1_PVP-P1_CPROD)+F65*(P2_PVP-P2_CPROD)+G65*(IF($A65&lt;P3_DESDE,P3A_PVP,P3_PVP)-IF($A65&lt;P3_DESDE,P3A_CPROD,P3_CPROD))-IF(ISNUMBER(L65),L65,E65*P1_LOG+F65*P2_LOG+G65*P3_LOG)</f>
        <v>0</v>
      </c>
      <c r="X65" s="33" t="n">
        <f aca="false">W65-(E65*P1_IVAN+F65*P2_IVAN+G65*IF($A65&lt;P3_DESDE,P3A_IVAN,P3_IVAN))-(H65+I65+J65)*(COSTE_DEV-IVA_DEV)-AM65-AO65</f>
        <v>0</v>
      </c>
      <c r="Y65" s="33" t="n">
        <f aca="false">AH65-AI65-AJ65-AK65-AL65-AM65-AO65</f>
        <v>0</v>
      </c>
      <c r="AA65" s="58" t="n">
        <f aca="false">MAX(0,B65-E65-H65)</f>
        <v>0</v>
      </c>
      <c r="AB65" s="58" t="n">
        <f aca="false">MAX(0,C65-F65-I65)</f>
        <v>0</v>
      </c>
      <c r="AC65" s="58" t="n">
        <f aca="false">MAX(0,D65-G65-J65)</f>
        <v>0</v>
      </c>
      <c r="AD65" s="59" t="n">
        <f aca="false">E65+AA65*TASA_USADA</f>
        <v>0</v>
      </c>
      <c r="AE65" s="59" t="n">
        <f aca="false">F65+AB65*TASA_USADA</f>
        <v>0</v>
      </c>
      <c r="AF65" s="59" t="n">
        <f aca="false">G65+AC65*TASA_USADA</f>
        <v>0</v>
      </c>
      <c r="AG65" s="59" t="n">
        <f aca="false">H65+I65+J65+(AA65+AB65+AC65)*(1-TASA_USADA)</f>
        <v>0</v>
      </c>
      <c r="AH65" s="60" t="n">
        <f aca="false">AD65*P1_PVP+AE65*P2_PVP+AF65*IF($A65&lt;P3_DESDE,P3A_PVP,P3_PVP)</f>
        <v>0</v>
      </c>
      <c r="AI65" s="60" t="n">
        <f aca="false">AD65*P1_CPROD+AE65*P2_CPROD+AF65*IF($A65&lt;P3_DESDE,P3A_CPROD,P3_CPROD)</f>
        <v>0</v>
      </c>
      <c r="AJ65" s="60" t="n">
        <f aca="false">IF(ISNUMBER(L65),L65,E65*P1_LOG+F65*P2_LOG+G65*P3_LOG)+IF(ISNUMBER(M65),M65,AA65*P1_LOG+AB65*P2_LOG+AC65*P3_LOG)*TASA_USADA</f>
        <v>0</v>
      </c>
      <c r="AK65" s="60" t="n">
        <f aca="false">AG65*COSTE_DEV</f>
        <v>0</v>
      </c>
      <c r="AL65" s="60" t="n">
        <f aca="false">AD65*P1_IVAN+AE65*P2_IVAN+AF65*IF($A65&lt;P3_DESDE,P3A_IVAN,P3_IVAN)-AG65*IVA_DEV</f>
        <v>0</v>
      </c>
      <c r="AM65" s="60" t="n">
        <f aca="false">N65*(1+RECARGO_ADS)</f>
        <v>0</v>
      </c>
      <c r="AN65" s="58" t="n">
        <f aca="false">IF(ISNUMBER(L65),E65+F65+G65+AA65+AB65+AC65,0)</f>
        <v>0</v>
      </c>
      <c r="AO65" s="60" t="n">
        <f aca="false">P65*COMISION</f>
        <v>0</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B66*P1_PVP+C66*P2_PVP+D66*IF($A66&lt;P3_DESDE,P3A_PVP,P3_PVP)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E66*(P1_PVP-P1_CPROD)+F66*(P2_PVP-P2_CPROD)+G66*(IF($A66&lt;P3_DESDE,P3A_PVP,P3_PVP)-IF($A66&lt;P3_DESDE,P3A_CPROD,P3_CPROD))-IF(ISNUMBER(L66),L66,E66*P1_LOG+F66*P2_LOG+G66*P3_LOG)</f>
        <v>0</v>
      </c>
      <c r="X66" s="33" t="n">
        <f aca="false">W66-(E66*P1_IVAN+F66*P2_IVAN+G66*IF($A66&lt;P3_DESDE,P3A_IVAN,P3_IVAN))-(H66+I66+J66)*(COSTE_DEV-IVA_DEV)-AM66-AO66</f>
        <v>0</v>
      </c>
      <c r="Y66" s="33" t="n">
        <f aca="false">AH66-AI66-AJ66-AK66-AL66-AM66-AO66</f>
        <v>0</v>
      </c>
      <c r="AA66" s="58" t="n">
        <f aca="false">MAX(0,B66-E66-H66)</f>
        <v>0</v>
      </c>
      <c r="AB66" s="58" t="n">
        <f aca="false">MAX(0,C66-F66-I66)</f>
        <v>0</v>
      </c>
      <c r="AC66" s="58" t="n">
        <f aca="false">MAX(0,D66-G66-J66)</f>
        <v>0</v>
      </c>
      <c r="AD66" s="59" t="n">
        <f aca="false">E66+AA66*TASA_USADA</f>
        <v>0</v>
      </c>
      <c r="AE66" s="59" t="n">
        <f aca="false">F66+AB66*TASA_USADA</f>
        <v>0</v>
      </c>
      <c r="AF66" s="59" t="n">
        <f aca="false">G66+AC66*TASA_USADA</f>
        <v>0</v>
      </c>
      <c r="AG66" s="59" t="n">
        <f aca="false">H66+I66+J66+(AA66+AB66+AC66)*(1-TASA_USADA)</f>
        <v>0</v>
      </c>
      <c r="AH66" s="60" t="n">
        <f aca="false">AD66*P1_PVP+AE66*P2_PVP+AF66*IF($A66&lt;P3_DESDE,P3A_PVP,P3_PVP)</f>
        <v>0</v>
      </c>
      <c r="AI66" s="60" t="n">
        <f aca="false">AD66*P1_CPROD+AE66*P2_CPROD+AF66*IF($A66&lt;P3_DESDE,P3A_CPROD,P3_CPROD)</f>
        <v>0</v>
      </c>
      <c r="AJ66" s="60" t="n">
        <f aca="false">IF(ISNUMBER(L66),L66,E66*P1_LOG+F66*P2_LOG+G66*P3_LOG)+IF(ISNUMBER(M66),M66,AA66*P1_LOG+AB66*P2_LOG+AC66*P3_LOG)*TASA_USADA</f>
        <v>0</v>
      </c>
      <c r="AK66" s="60" t="n">
        <f aca="false">AG66*COSTE_DEV</f>
        <v>0</v>
      </c>
      <c r="AL66" s="60" t="n">
        <f aca="false">AD66*P1_IVAN+AE66*P2_IVAN+AF66*IF($A66&lt;P3_DESDE,P3A_IVAN,P3_IVAN)-AG66*IVA_DEV</f>
        <v>0</v>
      </c>
      <c r="AM66" s="60" t="n">
        <f aca="false">N66*(1+RECARGO_ADS)</f>
        <v>0</v>
      </c>
      <c r="AN66" s="58" t="n">
        <f aca="false">IF(ISNUMBER(L66),E66+F66+G66+AA66+AB66+AC66,0)</f>
        <v>0</v>
      </c>
      <c r="AO66" s="60" t="n">
        <f aca="false">P66*COMISION</f>
        <v>0</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B67*P1_PVP+C67*P2_PVP+D67*IF($A67&lt;P3_DESDE,P3A_PVP,P3_PVP)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E67*(P1_PVP-P1_CPROD)+F67*(P2_PVP-P2_CPROD)+G67*(IF($A67&lt;P3_DESDE,P3A_PVP,P3_PVP)-IF($A67&lt;P3_DESDE,P3A_CPROD,P3_CPROD))-IF(ISNUMBER(L67),L67,E67*P1_LOG+F67*P2_LOG+G67*P3_LOG)</f>
        <v>0</v>
      </c>
      <c r="X67" s="33" t="n">
        <f aca="false">W67-(E67*P1_IVAN+F67*P2_IVAN+G67*IF($A67&lt;P3_DESDE,P3A_IVAN,P3_IVAN))-(H67+I67+J67)*(COSTE_DEV-IVA_DEV)-AM67-AO67</f>
        <v>0</v>
      </c>
      <c r="Y67" s="33" t="n">
        <f aca="false">AH67-AI67-AJ67-AK67-AL67-AM67-AO67</f>
        <v>0</v>
      </c>
      <c r="AA67" s="58" t="n">
        <f aca="false">MAX(0,B67-E67-H67)</f>
        <v>0</v>
      </c>
      <c r="AB67" s="58" t="n">
        <f aca="false">MAX(0,C67-F67-I67)</f>
        <v>0</v>
      </c>
      <c r="AC67" s="58" t="n">
        <f aca="false">MAX(0,D67-G67-J67)</f>
        <v>0</v>
      </c>
      <c r="AD67" s="59" t="n">
        <f aca="false">E67+AA67*TASA_USADA</f>
        <v>0</v>
      </c>
      <c r="AE67" s="59" t="n">
        <f aca="false">F67+AB67*TASA_USADA</f>
        <v>0</v>
      </c>
      <c r="AF67" s="59" t="n">
        <f aca="false">G67+AC67*TASA_USADA</f>
        <v>0</v>
      </c>
      <c r="AG67" s="59" t="n">
        <f aca="false">H67+I67+J67+(AA67+AB67+AC67)*(1-TASA_USADA)</f>
        <v>0</v>
      </c>
      <c r="AH67" s="60" t="n">
        <f aca="false">AD67*P1_PVP+AE67*P2_PVP+AF67*IF($A67&lt;P3_DESDE,P3A_PVP,P3_PVP)</f>
        <v>0</v>
      </c>
      <c r="AI67" s="60" t="n">
        <f aca="false">AD67*P1_CPROD+AE67*P2_CPROD+AF67*IF($A67&lt;P3_DESDE,P3A_CPROD,P3_CPROD)</f>
        <v>0</v>
      </c>
      <c r="AJ67" s="60" t="n">
        <f aca="false">IF(ISNUMBER(L67),L67,E67*P1_LOG+F67*P2_LOG+G67*P3_LOG)+IF(ISNUMBER(M67),M67,AA67*P1_LOG+AB67*P2_LOG+AC67*P3_LOG)*TASA_USADA</f>
        <v>0</v>
      </c>
      <c r="AK67" s="60" t="n">
        <f aca="false">AG67*COSTE_DEV</f>
        <v>0</v>
      </c>
      <c r="AL67" s="60" t="n">
        <f aca="false">AD67*P1_IVAN+AE67*P2_IVAN+AF67*IF($A67&lt;P3_DESDE,P3A_IVAN,P3_IVAN)-AG67*IVA_DEV</f>
        <v>0</v>
      </c>
      <c r="AM67" s="60" t="n">
        <f aca="false">N67*(1+RECARGO_ADS)</f>
        <v>0</v>
      </c>
      <c r="AN67" s="58" t="n">
        <f aca="false">IF(ISNUMBER(L67),E67+F67+G67+AA67+AB67+AC67,0)</f>
        <v>0</v>
      </c>
      <c r="AO67" s="60" t="n">
        <f aca="false">P67*COMISION</f>
        <v>0</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B68*P1_PVP+C68*P2_PVP+D68*IF($A68&lt;P3_DESDE,P3A_PVP,P3_PVP)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E68*(P1_PVP-P1_CPROD)+F68*(P2_PVP-P2_CPROD)+G68*(IF($A68&lt;P3_DESDE,P3A_PVP,P3_PVP)-IF($A68&lt;P3_DESDE,P3A_CPROD,P3_CPROD))-IF(ISNUMBER(L68),L68,E68*P1_LOG+F68*P2_LOG+G68*P3_LOG)</f>
        <v>0</v>
      </c>
      <c r="X68" s="33" t="n">
        <f aca="false">W68-(E68*P1_IVAN+F68*P2_IVAN+G68*IF($A68&lt;P3_DESDE,P3A_IVAN,P3_IVAN))-(H68+I68+J68)*(COSTE_DEV-IVA_DEV)-AM68-AO68</f>
        <v>0</v>
      </c>
      <c r="Y68" s="33" t="n">
        <f aca="false">AH68-AI68-AJ68-AK68-AL68-AM68-AO68</f>
        <v>0</v>
      </c>
      <c r="AA68" s="58" t="n">
        <f aca="false">MAX(0,B68-E68-H68)</f>
        <v>0</v>
      </c>
      <c r="AB68" s="58" t="n">
        <f aca="false">MAX(0,C68-F68-I68)</f>
        <v>0</v>
      </c>
      <c r="AC68" s="58" t="n">
        <f aca="false">MAX(0,D68-G68-J68)</f>
        <v>0</v>
      </c>
      <c r="AD68" s="59" t="n">
        <f aca="false">E68+AA68*TASA_USADA</f>
        <v>0</v>
      </c>
      <c r="AE68" s="59" t="n">
        <f aca="false">F68+AB68*TASA_USADA</f>
        <v>0</v>
      </c>
      <c r="AF68" s="59" t="n">
        <f aca="false">G68+AC68*TASA_USADA</f>
        <v>0</v>
      </c>
      <c r="AG68" s="59" t="n">
        <f aca="false">H68+I68+J68+(AA68+AB68+AC68)*(1-TASA_USADA)</f>
        <v>0</v>
      </c>
      <c r="AH68" s="60" t="n">
        <f aca="false">AD68*P1_PVP+AE68*P2_PVP+AF68*IF($A68&lt;P3_DESDE,P3A_PVP,P3_PVP)</f>
        <v>0</v>
      </c>
      <c r="AI68" s="60" t="n">
        <f aca="false">AD68*P1_CPROD+AE68*P2_CPROD+AF68*IF($A68&lt;P3_DESDE,P3A_CPROD,P3_CPROD)</f>
        <v>0</v>
      </c>
      <c r="AJ68" s="60" t="n">
        <f aca="false">IF(ISNUMBER(L68),L68,E68*P1_LOG+F68*P2_LOG+G68*P3_LOG)+IF(ISNUMBER(M68),M68,AA68*P1_LOG+AB68*P2_LOG+AC68*P3_LOG)*TASA_USADA</f>
        <v>0</v>
      </c>
      <c r="AK68" s="60" t="n">
        <f aca="false">AG68*COSTE_DEV</f>
        <v>0</v>
      </c>
      <c r="AL68" s="60" t="n">
        <f aca="false">AD68*P1_IVAN+AE68*P2_IVAN+AF68*IF($A68&lt;P3_DESDE,P3A_IVAN,P3_IVAN)-AG68*IVA_DEV</f>
        <v>0</v>
      </c>
      <c r="AM68" s="60" t="n">
        <f aca="false">N68*(1+RECARGO_ADS)</f>
        <v>0</v>
      </c>
      <c r="AN68" s="58" t="n">
        <f aca="false">IF(ISNUMBER(L68),E68+F68+G68+AA68+AB68+AC68,0)</f>
        <v>0</v>
      </c>
      <c r="AO68" s="60" t="n">
        <f aca="false">P68*COMISION</f>
        <v>0</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B69*P1_PVP+C69*P2_PVP+D69*IF($A69&lt;P3_DESDE,P3A_PVP,P3_PVP)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E69*(P1_PVP-P1_CPROD)+F69*(P2_PVP-P2_CPROD)+G69*(IF($A69&lt;P3_DESDE,P3A_PVP,P3_PVP)-IF($A69&lt;P3_DESDE,P3A_CPROD,P3_CPROD))-IF(ISNUMBER(L69),L69,E69*P1_LOG+F69*P2_LOG+G69*P3_LOG)</f>
        <v>0</v>
      </c>
      <c r="X69" s="33" t="n">
        <f aca="false">W69-(E69*P1_IVAN+F69*P2_IVAN+G69*IF($A69&lt;P3_DESDE,P3A_IVAN,P3_IVAN))-(H69+I69+J69)*(COSTE_DEV-IVA_DEV)-AM69-AO69</f>
        <v>0</v>
      </c>
      <c r="Y69" s="33" t="n">
        <f aca="false">AH69-AI69-AJ69-AK69-AL69-AM69-AO69</f>
        <v>0</v>
      </c>
      <c r="AA69" s="58" t="n">
        <f aca="false">MAX(0,B69-E69-H69)</f>
        <v>0</v>
      </c>
      <c r="AB69" s="58" t="n">
        <f aca="false">MAX(0,C69-F69-I69)</f>
        <v>0</v>
      </c>
      <c r="AC69" s="58" t="n">
        <f aca="false">MAX(0,D69-G69-J69)</f>
        <v>0</v>
      </c>
      <c r="AD69" s="59" t="n">
        <f aca="false">E69+AA69*TASA_USADA</f>
        <v>0</v>
      </c>
      <c r="AE69" s="59" t="n">
        <f aca="false">F69+AB69*TASA_USADA</f>
        <v>0</v>
      </c>
      <c r="AF69" s="59" t="n">
        <f aca="false">G69+AC69*TASA_USADA</f>
        <v>0</v>
      </c>
      <c r="AG69" s="59" t="n">
        <f aca="false">H69+I69+J69+(AA69+AB69+AC69)*(1-TASA_USADA)</f>
        <v>0</v>
      </c>
      <c r="AH69" s="60" t="n">
        <f aca="false">AD69*P1_PVP+AE69*P2_PVP+AF69*IF($A69&lt;P3_DESDE,P3A_PVP,P3_PVP)</f>
        <v>0</v>
      </c>
      <c r="AI69" s="60" t="n">
        <f aca="false">AD69*P1_CPROD+AE69*P2_CPROD+AF69*IF($A69&lt;P3_DESDE,P3A_CPROD,P3_CPROD)</f>
        <v>0</v>
      </c>
      <c r="AJ69" s="60" t="n">
        <f aca="false">IF(ISNUMBER(L69),L69,E69*P1_LOG+F69*P2_LOG+G69*P3_LOG)+IF(ISNUMBER(M69),M69,AA69*P1_LOG+AB69*P2_LOG+AC69*P3_LOG)*TASA_USADA</f>
        <v>0</v>
      </c>
      <c r="AK69" s="60" t="n">
        <f aca="false">AG69*COSTE_DEV</f>
        <v>0</v>
      </c>
      <c r="AL69" s="60" t="n">
        <f aca="false">AD69*P1_IVAN+AE69*P2_IVAN+AF69*IF($A69&lt;P3_DESDE,P3A_IVAN,P3_IVAN)-AG69*IVA_DEV</f>
        <v>0</v>
      </c>
      <c r="AM69" s="60" t="n">
        <f aca="false">N69*(1+RECARGO_ADS)</f>
        <v>0</v>
      </c>
      <c r="AN69" s="58" t="n">
        <f aca="false">IF(ISNUMBER(L69),E69+F69+G69+AA69+AB69+AC69,0)</f>
        <v>0</v>
      </c>
      <c r="AO69" s="60" t="n">
        <f aca="false">P69*COMISION</f>
        <v>0</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B70*P1_PVP+C70*P2_PVP+D70*IF($A70&lt;P3_DESDE,P3A_PVP,P3_PVP)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E70*(P1_PVP-P1_CPROD)+F70*(P2_PVP-P2_CPROD)+G70*(IF($A70&lt;P3_DESDE,P3A_PVP,P3_PVP)-IF($A70&lt;P3_DESDE,P3A_CPROD,P3_CPROD))-IF(ISNUMBER(L70),L70,E70*P1_LOG+F70*P2_LOG+G70*P3_LOG)</f>
        <v>0</v>
      </c>
      <c r="X70" s="33" t="n">
        <f aca="false">W70-(E70*P1_IVAN+F70*P2_IVAN+G70*IF($A70&lt;P3_DESDE,P3A_IVAN,P3_IVAN))-(H70+I70+J70)*(COSTE_DEV-IVA_DEV)-AM70-AO70</f>
        <v>0</v>
      </c>
      <c r="Y70" s="33" t="n">
        <f aca="false">AH70-AI70-AJ70-AK70-AL70-AM70-AO70</f>
        <v>0</v>
      </c>
      <c r="AA70" s="58" t="n">
        <f aca="false">MAX(0,B70-E70-H70)</f>
        <v>0</v>
      </c>
      <c r="AB70" s="58" t="n">
        <f aca="false">MAX(0,C70-F70-I70)</f>
        <v>0</v>
      </c>
      <c r="AC70" s="58" t="n">
        <f aca="false">MAX(0,D70-G70-J70)</f>
        <v>0</v>
      </c>
      <c r="AD70" s="59" t="n">
        <f aca="false">E70+AA70*TASA_USADA</f>
        <v>0</v>
      </c>
      <c r="AE70" s="59" t="n">
        <f aca="false">F70+AB70*TASA_USADA</f>
        <v>0</v>
      </c>
      <c r="AF70" s="59" t="n">
        <f aca="false">G70+AC70*TASA_USADA</f>
        <v>0</v>
      </c>
      <c r="AG70" s="59" t="n">
        <f aca="false">H70+I70+J70+(AA70+AB70+AC70)*(1-TASA_USADA)</f>
        <v>0</v>
      </c>
      <c r="AH70" s="60" t="n">
        <f aca="false">AD70*P1_PVP+AE70*P2_PVP+AF70*IF($A70&lt;P3_DESDE,P3A_PVP,P3_PVP)</f>
        <v>0</v>
      </c>
      <c r="AI70" s="60" t="n">
        <f aca="false">AD70*P1_CPROD+AE70*P2_CPROD+AF70*IF($A70&lt;P3_DESDE,P3A_CPROD,P3_CPROD)</f>
        <v>0</v>
      </c>
      <c r="AJ70" s="60" t="n">
        <f aca="false">IF(ISNUMBER(L70),L70,E70*P1_LOG+F70*P2_LOG+G70*P3_LOG)+IF(ISNUMBER(M70),M70,AA70*P1_LOG+AB70*P2_LOG+AC70*P3_LOG)*TASA_USADA</f>
        <v>0</v>
      </c>
      <c r="AK70" s="60" t="n">
        <f aca="false">AG70*COSTE_DEV</f>
        <v>0</v>
      </c>
      <c r="AL70" s="60" t="n">
        <f aca="false">AD70*P1_IVAN+AE70*P2_IVAN+AF70*IF($A70&lt;P3_DESDE,P3A_IVAN,P3_IVAN)-AG70*IVA_DEV</f>
        <v>0</v>
      </c>
      <c r="AM70" s="60" t="n">
        <f aca="false">N70*(1+RECARGO_ADS)</f>
        <v>0</v>
      </c>
      <c r="AN70" s="58" t="n">
        <f aca="false">IF(ISNUMBER(L70),E70+F70+G70+AA70+AB70+AC70,0)</f>
        <v>0</v>
      </c>
      <c r="AO70" s="60" t="n">
        <f aca="false">P70*COMISION</f>
        <v>0</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B71*P1_PVP+C71*P2_PVP+D71*IF($A71&lt;P3_DESDE,P3A_PVP,P3_PVP)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E71*(P1_PVP-P1_CPROD)+F71*(P2_PVP-P2_CPROD)+G71*(IF($A71&lt;P3_DESDE,P3A_PVP,P3_PVP)-IF($A71&lt;P3_DESDE,P3A_CPROD,P3_CPROD))-IF(ISNUMBER(L71),L71,E71*P1_LOG+F71*P2_LOG+G71*P3_LOG)</f>
        <v>0</v>
      </c>
      <c r="X71" s="33" t="n">
        <f aca="false">W71-(E71*P1_IVAN+F71*P2_IVAN+G71*IF($A71&lt;P3_DESDE,P3A_IVAN,P3_IVAN))-(H71+I71+J71)*(COSTE_DEV-IVA_DEV)-AM71-AO71</f>
        <v>0</v>
      </c>
      <c r="Y71" s="33" t="n">
        <f aca="false">AH71-AI71-AJ71-AK71-AL71-AM71-AO71</f>
        <v>0</v>
      </c>
      <c r="AA71" s="58" t="n">
        <f aca="false">MAX(0,B71-E71-H71)</f>
        <v>0</v>
      </c>
      <c r="AB71" s="58" t="n">
        <f aca="false">MAX(0,C71-F71-I71)</f>
        <v>0</v>
      </c>
      <c r="AC71" s="58" t="n">
        <f aca="false">MAX(0,D71-G71-J71)</f>
        <v>0</v>
      </c>
      <c r="AD71" s="59" t="n">
        <f aca="false">E71+AA71*TASA_USADA</f>
        <v>0</v>
      </c>
      <c r="AE71" s="59" t="n">
        <f aca="false">F71+AB71*TASA_USADA</f>
        <v>0</v>
      </c>
      <c r="AF71" s="59" t="n">
        <f aca="false">G71+AC71*TASA_USADA</f>
        <v>0</v>
      </c>
      <c r="AG71" s="59" t="n">
        <f aca="false">H71+I71+J71+(AA71+AB71+AC71)*(1-TASA_USADA)</f>
        <v>0</v>
      </c>
      <c r="AH71" s="60" t="n">
        <f aca="false">AD71*P1_PVP+AE71*P2_PVP+AF71*IF($A71&lt;P3_DESDE,P3A_PVP,P3_PVP)</f>
        <v>0</v>
      </c>
      <c r="AI71" s="60" t="n">
        <f aca="false">AD71*P1_CPROD+AE71*P2_CPROD+AF71*IF($A71&lt;P3_DESDE,P3A_CPROD,P3_CPROD)</f>
        <v>0</v>
      </c>
      <c r="AJ71" s="60" t="n">
        <f aca="false">IF(ISNUMBER(L71),L71,E71*P1_LOG+F71*P2_LOG+G71*P3_LOG)+IF(ISNUMBER(M71),M71,AA71*P1_LOG+AB71*P2_LOG+AC71*P3_LOG)*TASA_USADA</f>
        <v>0</v>
      </c>
      <c r="AK71" s="60" t="n">
        <f aca="false">AG71*COSTE_DEV</f>
        <v>0</v>
      </c>
      <c r="AL71" s="60" t="n">
        <f aca="false">AD71*P1_IVAN+AE71*P2_IVAN+AF71*IF($A71&lt;P3_DESDE,P3A_IVAN,P3_IVAN)-AG71*IVA_DEV</f>
        <v>0</v>
      </c>
      <c r="AM71" s="60" t="n">
        <f aca="false">N71*(1+RECARGO_ADS)</f>
        <v>0</v>
      </c>
      <c r="AN71" s="58" t="n">
        <f aca="false">IF(ISNUMBER(L71),E71+F71+G71+AA71+AB71+AC71,0)</f>
        <v>0</v>
      </c>
      <c r="AO71" s="60" t="n">
        <f aca="false">P71*COMISION</f>
        <v>0</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B72*P1_PVP+C72*P2_PVP+D72*IF($A72&lt;P3_DESDE,P3A_PVP,P3_PVP)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E72*(P1_PVP-P1_CPROD)+F72*(P2_PVP-P2_CPROD)+G72*(IF($A72&lt;P3_DESDE,P3A_PVP,P3_PVP)-IF($A72&lt;P3_DESDE,P3A_CPROD,P3_CPROD))-IF(ISNUMBER(L72),L72,E72*P1_LOG+F72*P2_LOG+G72*P3_LOG)</f>
        <v>0</v>
      </c>
      <c r="X72" s="33" t="n">
        <f aca="false">W72-(E72*P1_IVAN+F72*P2_IVAN+G72*IF($A72&lt;P3_DESDE,P3A_IVAN,P3_IVAN))-(H72+I72+J72)*(COSTE_DEV-IVA_DEV)-AM72-AO72</f>
        <v>0</v>
      </c>
      <c r="Y72" s="33" t="n">
        <f aca="false">AH72-AI72-AJ72-AK72-AL72-AM72-AO72</f>
        <v>0</v>
      </c>
      <c r="AA72" s="58" t="n">
        <f aca="false">MAX(0,B72-E72-H72)</f>
        <v>0</v>
      </c>
      <c r="AB72" s="58" t="n">
        <f aca="false">MAX(0,C72-F72-I72)</f>
        <v>0</v>
      </c>
      <c r="AC72" s="58" t="n">
        <f aca="false">MAX(0,D72-G72-J72)</f>
        <v>0</v>
      </c>
      <c r="AD72" s="59" t="n">
        <f aca="false">E72+AA72*TASA_USADA</f>
        <v>0</v>
      </c>
      <c r="AE72" s="59" t="n">
        <f aca="false">F72+AB72*TASA_USADA</f>
        <v>0</v>
      </c>
      <c r="AF72" s="59" t="n">
        <f aca="false">G72+AC72*TASA_USADA</f>
        <v>0</v>
      </c>
      <c r="AG72" s="59" t="n">
        <f aca="false">H72+I72+J72+(AA72+AB72+AC72)*(1-TASA_USADA)</f>
        <v>0</v>
      </c>
      <c r="AH72" s="60" t="n">
        <f aca="false">AD72*P1_PVP+AE72*P2_PVP+AF72*IF($A72&lt;P3_DESDE,P3A_PVP,P3_PVP)</f>
        <v>0</v>
      </c>
      <c r="AI72" s="60" t="n">
        <f aca="false">AD72*P1_CPROD+AE72*P2_CPROD+AF72*IF($A72&lt;P3_DESDE,P3A_CPROD,P3_CPROD)</f>
        <v>0</v>
      </c>
      <c r="AJ72" s="60" t="n">
        <f aca="false">IF(ISNUMBER(L72),L72,E72*P1_LOG+F72*P2_LOG+G72*P3_LOG)+IF(ISNUMBER(M72),M72,AA72*P1_LOG+AB72*P2_LOG+AC72*P3_LOG)*TASA_USADA</f>
        <v>0</v>
      </c>
      <c r="AK72" s="60" t="n">
        <f aca="false">AG72*COSTE_DEV</f>
        <v>0</v>
      </c>
      <c r="AL72" s="60" t="n">
        <f aca="false">AD72*P1_IVAN+AE72*P2_IVAN+AF72*IF($A72&lt;P3_DESDE,P3A_IVAN,P3_IVAN)-AG72*IVA_DEV</f>
        <v>0</v>
      </c>
      <c r="AM72" s="60" t="n">
        <f aca="false">N72*(1+RECARGO_ADS)</f>
        <v>0</v>
      </c>
      <c r="AN72" s="58" t="n">
        <f aca="false">IF(ISNUMBER(L72),E72+F72+G72+AA72+AB72+AC72,0)</f>
        <v>0</v>
      </c>
      <c r="AO72" s="60" t="n">
        <f aca="false">P72*COMISION</f>
        <v>0</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B73*P1_PVP+C73*P2_PVP+D73*IF($A73&lt;P3_DESDE,P3A_PVP,P3_PVP)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E73*(P1_PVP-P1_CPROD)+F73*(P2_PVP-P2_CPROD)+G73*(IF($A73&lt;P3_DESDE,P3A_PVP,P3_PVP)-IF($A73&lt;P3_DESDE,P3A_CPROD,P3_CPROD))-IF(ISNUMBER(L73),L73,E73*P1_LOG+F73*P2_LOG+G73*P3_LOG)</f>
        <v>0</v>
      </c>
      <c r="X73" s="33" t="n">
        <f aca="false">W73-(E73*P1_IVAN+F73*P2_IVAN+G73*IF($A73&lt;P3_DESDE,P3A_IVAN,P3_IVAN))-(H73+I73+J73)*(COSTE_DEV-IVA_DEV)-AM73-AO73</f>
        <v>0</v>
      </c>
      <c r="Y73" s="33" t="n">
        <f aca="false">AH73-AI73-AJ73-AK73-AL73-AM73-AO73</f>
        <v>0</v>
      </c>
      <c r="AA73" s="58" t="n">
        <f aca="false">MAX(0,B73-E73-H73)</f>
        <v>0</v>
      </c>
      <c r="AB73" s="58" t="n">
        <f aca="false">MAX(0,C73-F73-I73)</f>
        <v>0</v>
      </c>
      <c r="AC73" s="58" t="n">
        <f aca="false">MAX(0,D73-G73-J73)</f>
        <v>0</v>
      </c>
      <c r="AD73" s="59" t="n">
        <f aca="false">E73+AA73*TASA_USADA</f>
        <v>0</v>
      </c>
      <c r="AE73" s="59" t="n">
        <f aca="false">F73+AB73*TASA_USADA</f>
        <v>0</v>
      </c>
      <c r="AF73" s="59" t="n">
        <f aca="false">G73+AC73*TASA_USADA</f>
        <v>0</v>
      </c>
      <c r="AG73" s="59" t="n">
        <f aca="false">H73+I73+J73+(AA73+AB73+AC73)*(1-TASA_USADA)</f>
        <v>0</v>
      </c>
      <c r="AH73" s="60" t="n">
        <f aca="false">AD73*P1_PVP+AE73*P2_PVP+AF73*IF($A73&lt;P3_DESDE,P3A_PVP,P3_PVP)</f>
        <v>0</v>
      </c>
      <c r="AI73" s="60" t="n">
        <f aca="false">AD73*P1_CPROD+AE73*P2_CPROD+AF73*IF($A73&lt;P3_DESDE,P3A_CPROD,P3_CPROD)</f>
        <v>0</v>
      </c>
      <c r="AJ73" s="60" t="n">
        <f aca="false">IF(ISNUMBER(L73),L73,E73*P1_LOG+F73*P2_LOG+G73*P3_LOG)+IF(ISNUMBER(M73),M73,AA73*P1_LOG+AB73*P2_LOG+AC73*P3_LOG)*TASA_USADA</f>
        <v>0</v>
      </c>
      <c r="AK73" s="60" t="n">
        <f aca="false">AG73*COSTE_DEV</f>
        <v>0</v>
      </c>
      <c r="AL73" s="60" t="n">
        <f aca="false">AD73*P1_IVAN+AE73*P2_IVAN+AF73*IF($A73&lt;P3_DESDE,P3A_IVAN,P3_IVAN)-AG73*IVA_DEV</f>
        <v>0</v>
      </c>
      <c r="AM73" s="60" t="n">
        <f aca="false">N73*(1+RECARGO_ADS)</f>
        <v>0</v>
      </c>
      <c r="AN73" s="58" t="n">
        <f aca="false">IF(ISNUMBER(L73),E73+F73+G73+AA73+AB73+AC73,0)</f>
        <v>0</v>
      </c>
      <c r="AO73" s="60" t="n">
        <f aca="false">P73*COMISION</f>
        <v>0</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B74*P1_PVP+C74*P2_PVP+D74*IF($A74&lt;P3_DESDE,P3A_PVP,P3_PVP)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E74*(P1_PVP-P1_CPROD)+F74*(P2_PVP-P2_CPROD)+G74*(IF($A74&lt;P3_DESDE,P3A_PVP,P3_PVP)-IF($A74&lt;P3_DESDE,P3A_CPROD,P3_CPROD))-IF(ISNUMBER(L74),L74,E74*P1_LOG+F74*P2_LOG+G74*P3_LOG)</f>
        <v>0</v>
      </c>
      <c r="X74" s="33" t="n">
        <f aca="false">W74-(E74*P1_IVAN+F74*P2_IVAN+G74*IF($A74&lt;P3_DESDE,P3A_IVAN,P3_IVAN))-(H74+I74+J74)*(COSTE_DEV-IVA_DEV)-AM74-AO74</f>
        <v>0</v>
      </c>
      <c r="Y74" s="33" t="n">
        <f aca="false">AH74-AI74-AJ74-AK74-AL74-AM74-AO74</f>
        <v>0</v>
      </c>
      <c r="AA74" s="58" t="n">
        <f aca="false">MAX(0,B74-E74-H74)</f>
        <v>0</v>
      </c>
      <c r="AB74" s="58" t="n">
        <f aca="false">MAX(0,C74-F74-I74)</f>
        <v>0</v>
      </c>
      <c r="AC74" s="58" t="n">
        <f aca="false">MAX(0,D74-G74-J74)</f>
        <v>0</v>
      </c>
      <c r="AD74" s="59" t="n">
        <f aca="false">E74+AA74*TASA_USADA</f>
        <v>0</v>
      </c>
      <c r="AE74" s="59" t="n">
        <f aca="false">F74+AB74*TASA_USADA</f>
        <v>0</v>
      </c>
      <c r="AF74" s="59" t="n">
        <f aca="false">G74+AC74*TASA_USADA</f>
        <v>0</v>
      </c>
      <c r="AG74" s="59" t="n">
        <f aca="false">H74+I74+J74+(AA74+AB74+AC74)*(1-TASA_USADA)</f>
        <v>0</v>
      </c>
      <c r="AH74" s="60" t="n">
        <f aca="false">AD74*P1_PVP+AE74*P2_PVP+AF74*IF($A74&lt;P3_DESDE,P3A_PVP,P3_PVP)</f>
        <v>0</v>
      </c>
      <c r="AI74" s="60" t="n">
        <f aca="false">AD74*P1_CPROD+AE74*P2_CPROD+AF74*IF($A74&lt;P3_DESDE,P3A_CPROD,P3_CPROD)</f>
        <v>0</v>
      </c>
      <c r="AJ74" s="60" t="n">
        <f aca="false">IF(ISNUMBER(L74),L74,E74*P1_LOG+F74*P2_LOG+G74*P3_LOG)+IF(ISNUMBER(M74),M74,AA74*P1_LOG+AB74*P2_LOG+AC74*P3_LOG)*TASA_USADA</f>
        <v>0</v>
      </c>
      <c r="AK74" s="60" t="n">
        <f aca="false">AG74*COSTE_DEV</f>
        <v>0</v>
      </c>
      <c r="AL74" s="60" t="n">
        <f aca="false">AD74*P1_IVAN+AE74*P2_IVAN+AF74*IF($A74&lt;P3_DESDE,P3A_IVAN,P3_IVAN)-AG74*IVA_DEV</f>
        <v>0</v>
      </c>
      <c r="AM74" s="60" t="n">
        <f aca="false">N74*(1+RECARGO_ADS)</f>
        <v>0</v>
      </c>
      <c r="AN74" s="58" t="n">
        <f aca="false">IF(ISNUMBER(L74),E74+F74+G74+AA74+AB74+AC74,0)</f>
        <v>0</v>
      </c>
      <c r="AO74" s="60" t="n">
        <f aca="false">P74*COMISION</f>
        <v>0</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B75*P1_PVP+C75*P2_PVP+D75*IF($A75&lt;P3_DESDE,P3A_PVP,P3_PVP)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E75*(P1_PVP-P1_CPROD)+F75*(P2_PVP-P2_CPROD)+G75*(IF($A75&lt;P3_DESDE,P3A_PVP,P3_PVP)-IF($A75&lt;P3_DESDE,P3A_CPROD,P3_CPROD))-IF(ISNUMBER(L75),L75,E75*P1_LOG+F75*P2_LOG+G75*P3_LOG)</f>
        <v>0</v>
      </c>
      <c r="X75" s="33" t="n">
        <f aca="false">W75-(E75*P1_IVAN+F75*P2_IVAN+G75*IF($A75&lt;P3_DESDE,P3A_IVAN,P3_IVAN))-(H75+I75+J75)*(COSTE_DEV-IVA_DEV)-AM75-AO75</f>
        <v>0</v>
      </c>
      <c r="Y75" s="33" t="n">
        <f aca="false">AH75-AI75-AJ75-AK75-AL75-AM75-AO75</f>
        <v>0</v>
      </c>
      <c r="AA75" s="58" t="n">
        <f aca="false">MAX(0,B75-E75-H75)</f>
        <v>0</v>
      </c>
      <c r="AB75" s="58" t="n">
        <f aca="false">MAX(0,C75-F75-I75)</f>
        <v>0</v>
      </c>
      <c r="AC75" s="58" t="n">
        <f aca="false">MAX(0,D75-G75-J75)</f>
        <v>0</v>
      </c>
      <c r="AD75" s="59" t="n">
        <f aca="false">E75+AA75*TASA_USADA</f>
        <v>0</v>
      </c>
      <c r="AE75" s="59" t="n">
        <f aca="false">F75+AB75*TASA_USADA</f>
        <v>0</v>
      </c>
      <c r="AF75" s="59" t="n">
        <f aca="false">G75+AC75*TASA_USADA</f>
        <v>0</v>
      </c>
      <c r="AG75" s="59" t="n">
        <f aca="false">H75+I75+J75+(AA75+AB75+AC75)*(1-TASA_USADA)</f>
        <v>0</v>
      </c>
      <c r="AH75" s="60" t="n">
        <f aca="false">AD75*P1_PVP+AE75*P2_PVP+AF75*IF($A75&lt;P3_DESDE,P3A_PVP,P3_PVP)</f>
        <v>0</v>
      </c>
      <c r="AI75" s="60" t="n">
        <f aca="false">AD75*P1_CPROD+AE75*P2_CPROD+AF75*IF($A75&lt;P3_DESDE,P3A_CPROD,P3_CPROD)</f>
        <v>0</v>
      </c>
      <c r="AJ75" s="60" t="n">
        <f aca="false">IF(ISNUMBER(L75),L75,E75*P1_LOG+F75*P2_LOG+G75*P3_LOG)+IF(ISNUMBER(M75),M75,AA75*P1_LOG+AB75*P2_LOG+AC75*P3_LOG)*TASA_USADA</f>
        <v>0</v>
      </c>
      <c r="AK75" s="60" t="n">
        <f aca="false">AG75*COSTE_DEV</f>
        <v>0</v>
      </c>
      <c r="AL75" s="60" t="n">
        <f aca="false">AD75*P1_IVAN+AE75*P2_IVAN+AF75*IF($A75&lt;P3_DESDE,P3A_IVAN,P3_IVAN)-AG75*IVA_DEV</f>
        <v>0</v>
      </c>
      <c r="AM75" s="60" t="n">
        <f aca="false">N75*(1+RECARGO_ADS)</f>
        <v>0</v>
      </c>
      <c r="AN75" s="58" t="n">
        <f aca="false">IF(ISNUMBER(L75),E75+F75+G75+AA75+AB75+AC75,0)</f>
        <v>0</v>
      </c>
      <c r="AO75" s="60" t="n">
        <f aca="false">P75*COMISION</f>
        <v>0</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B76*P1_PVP+C76*P2_PVP+D76*IF($A76&lt;P3_DESDE,P3A_PVP,P3_PVP)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E76*(P1_PVP-P1_CPROD)+F76*(P2_PVP-P2_CPROD)+G76*(IF($A76&lt;P3_DESDE,P3A_PVP,P3_PVP)-IF($A76&lt;P3_DESDE,P3A_CPROD,P3_CPROD))-IF(ISNUMBER(L76),L76,E76*P1_LOG+F76*P2_LOG+G76*P3_LOG)</f>
        <v>0</v>
      </c>
      <c r="X76" s="33" t="n">
        <f aca="false">W76-(E76*P1_IVAN+F76*P2_IVAN+G76*IF($A76&lt;P3_DESDE,P3A_IVAN,P3_IVAN))-(H76+I76+J76)*(COSTE_DEV-IVA_DEV)-AM76-AO76</f>
        <v>0</v>
      </c>
      <c r="Y76" s="33" t="n">
        <f aca="false">AH76-AI76-AJ76-AK76-AL76-AM76-AO76</f>
        <v>0</v>
      </c>
      <c r="AA76" s="58" t="n">
        <f aca="false">MAX(0,B76-E76-H76)</f>
        <v>0</v>
      </c>
      <c r="AB76" s="58" t="n">
        <f aca="false">MAX(0,C76-F76-I76)</f>
        <v>0</v>
      </c>
      <c r="AC76" s="58" t="n">
        <f aca="false">MAX(0,D76-G76-J76)</f>
        <v>0</v>
      </c>
      <c r="AD76" s="59" t="n">
        <f aca="false">E76+AA76*TASA_USADA</f>
        <v>0</v>
      </c>
      <c r="AE76" s="59" t="n">
        <f aca="false">F76+AB76*TASA_USADA</f>
        <v>0</v>
      </c>
      <c r="AF76" s="59" t="n">
        <f aca="false">G76+AC76*TASA_USADA</f>
        <v>0</v>
      </c>
      <c r="AG76" s="59" t="n">
        <f aca="false">H76+I76+J76+(AA76+AB76+AC76)*(1-TASA_USADA)</f>
        <v>0</v>
      </c>
      <c r="AH76" s="60" t="n">
        <f aca="false">AD76*P1_PVP+AE76*P2_PVP+AF76*IF($A76&lt;P3_DESDE,P3A_PVP,P3_PVP)</f>
        <v>0</v>
      </c>
      <c r="AI76" s="60" t="n">
        <f aca="false">AD76*P1_CPROD+AE76*P2_CPROD+AF76*IF($A76&lt;P3_DESDE,P3A_CPROD,P3_CPROD)</f>
        <v>0</v>
      </c>
      <c r="AJ76" s="60" t="n">
        <f aca="false">IF(ISNUMBER(L76),L76,E76*P1_LOG+F76*P2_LOG+G76*P3_LOG)+IF(ISNUMBER(M76),M76,AA76*P1_LOG+AB76*P2_LOG+AC76*P3_LOG)*TASA_USADA</f>
        <v>0</v>
      </c>
      <c r="AK76" s="60" t="n">
        <f aca="false">AG76*COSTE_DEV</f>
        <v>0</v>
      </c>
      <c r="AL76" s="60" t="n">
        <f aca="false">AD76*P1_IVAN+AE76*P2_IVAN+AF76*IF($A76&lt;P3_DESDE,P3A_IVAN,P3_IVAN)-AG76*IVA_DEV</f>
        <v>0</v>
      </c>
      <c r="AM76" s="60" t="n">
        <f aca="false">N76*(1+RECARGO_ADS)</f>
        <v>0</v>
      </c>
      <c r="AN76" s="58" t="n">
        <f aca="false">IF(ISNUMBER(L76),E76+F76+G76+AA76+AB76+AC76,0)</f>
        <v>0</v>
      </c>
      <c r="AO76" s="60" t="n">
        <f aca="false">P76*COMISION</f>
        <v>0</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B77*P1_PVP+C77*P2_PVP+D77*IF($A77&lt;P3_DESDE,P3A_PVP,P3_PVP)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E77*(P1_PVP-P1_CPROD)+F77*(P2_PVP-P2_CPROD)+G77*(IF($A77&lt;P3_DESDE,P3A_PVP,P3_PVP)-IF($A77&lt;P3_DESDE,P3A_CPROD,P3_CPROD))-IF(ISNUMBER(L77),L77,E77*P1_LOG+F77*P2_LOG+G77*P3_LOG)</f>
        <v>0</v>
      </c>
      <c r="X77" s="33" t="n">
        <f aca="false">W77-(E77*P1_IVAN+F77*P2_IVAN+G77*IF($A77&lt;P3_DESDE,P3A_IVAN,P3_IVAN))-(H77+I77+J77)*(COSTE_DEV-IVA_DEV)-AM77-AO77</f>
        <v>0</v>
      </c>
      <c r="Y77" s="33" t="n">
        <f aca="false">AH77-AI77-AJ77-AK77-AL77-AM77-AO77</f>
        <v>0</v>
      </c>
      <c r="AA77" s="58" t="n">
        <f aca="false">MAX(0,B77-E77-H77)</f>
        <v>0</v>
      </c>
      <c r="AB77" s="58" t="n">
        <f aca="false">MAX(0,C77-F77-I77)</f>
        <v>0</v>
      </c>
      <c r="AC77" s="58" t="n">
        <f aca="false">MAX(0,D77-G77-J77)</f>
        <v>0</v>
      </c>
      <c r="AD77" s="59" t="n">
        <f aca="false">E77+AA77*TASA_USADA</f>
        <v>0</v>
      </c>
      <c r="AE77" s="59" t="n">
        <f aca="false">F77+AB77*TASA_USADA</f>
        <v>0</v>
      </c>
      <c r="AF77" s="59" t="n">
        <f aca="false">G77+AC77*TASA_USADA</f>
        <v>0</v>
      </c>
      <c r="AG77" s="59" t="n">
        <f aca="false">H77+I77+J77+(AA77+AB77+AC77)*(1-TASA_USADA)</f>
        <v>0</v>
      </c>
      <c r="AH77" s="60" t="n">
        <f aca="false">AD77*P1_PVP+AE77*P2_PVP+AF77*IF($A77&lt;P3_DESDE,P3A_PVP,P3_PVP)</f>
        <v>0</v>
      </c>
      <c r="AI77" s="60" t="n">
        <f aca="false">AD77*P1_CPROD+AE77*P2_CPROD+AF77*IF($A77&lt;P3_DESDE,P3A_CPROD,P3_CPROD)</f>
        <v>0</v>
      </c>
      <c r="AJ77" s="60" t="n">
        <f aca="false">IF(ISNUMBER(L77),L77,E77*P1_LOG+F77*P2_LOG+G77*P3_LOG)+IF(ISNUMBER(M77),M77,AA77*P1_LOG+AB77*P2_LOG+AC77*P3_LOG)*TASA_USADA</f>
        <v>0</v>
      </c>
      <c r="AK77" s="60" t="n">
        <f aca="false">AG77*COSTE_DEV</f>
        <v>0</v>
      </c>
      <c r="AL77" s="60" t="n">
        <f aca="false">AD77*P1_IVAN+AE77*P2_IVAN+AF77*IF($A77&lt;P3_DESDE,P3A_IVAN,P3_IVAN)-AG77*IVA_DEV</f>
        <v>0</v>
      </c>
      <c r="AM77" s="60" t="n">
        <f aca="false">N77*(1+RECARGO_ADS)</f>
        <v>0</v>
      </c>
      <c r="AN77" s="58" t="n">
        <f aca="false">IF(ISNUMBER(L77),E77+F77+G77+AA77+AB77+AC77,0)</f>
        <v>0</v>
      </c>
      <c r="AO77" s="60" t="n">
        <f aca="false">P77*COMISION</f>
        <v>0</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B78*P1_PVP+C78*P2_PVP+D78*IF($A78&lt;P3_DESDE,P3A_PVP,P3_PVP)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E78*(P1_PVP-P1_CPROD)+F78*(P2_PVP-P2_CPROD)+G78*(IF($A78&lt;P3_DESDE,P3A_PVP,P3_PVP)-IF($A78&lt;P3_DESDE,P3A_CPROD,P3_CPROD))-IF(ISNUMBER(L78),L78,E78*P1_LOG+F78*P2_LOG+G78*P3_LOG)</f>
        <v>0</v>
      </c>
      <c r="X78" s="33" t="n">
        <f aca="false">W78-(E78*P1_IVAN+F78*P2_IVAN+G78*IF($A78&lt;P3_DESDE,P3A_IVAN,P3_IVAN))-(H78+I78+J78)*(COSTE_DEV-IVA_DEV)-AM78-AO78</f>
        <v>0</v>
      </c>
      <c r="Y78" s="33" t="n">
        <f aca="false">AH78-AI78-AJ78-AK78-AL78-AM78-AO78</f>
        <v>0</v>
      </c>
      <c r="AA78" s="58" t="n">
        <f aca="false">MAX(0,B78-E78-H78)</f>
        <v>0</v>
      </c>
      <c r="AB78" s="58" t="n">
        <f aca="false">MAX(0,C78-F78-I78)</f>
        <v>0</v>
      </c>
      <c r="AC78" s="58" t="n">
        <f aca="false">MAX(0,D78-G78-J78)</f>
        <v>0</v>
      </c>
      <c r="AD78" s="59" t="n">
        <f aca="false">E78+AA78*TASA_USADA</f>
        <v>0</v>
      </c>
      <c r="AE78" s="59" t="n">
        <f aca="false">F78+AB78*TASA_USADA</f>
        <v>0</v>
      </c>
      <c r="AF78" s="59" t="n">
        <f aca="false">G78+AC78*TASA_USADA</f>
        <v>0</v>
      </c>
      <c r="AG78" s="59" t="n">
        <f aca="false">H78+I78+J78+(AA78+AB78+AC78)*(1-TASA_USADA)</f>
        <v>0</v>
      </c>
      <c r="AH78" s="60" t="n">
        <f aca="false">AD78*P1_PVP+AE78*P2_PVP+AF78*IF($A78&lt;P3_DESDE,P3A_PVP,P3_PVP)</f>
        <v>0</v>
      </c>
      <c r="AI78" s="60" t="n">
        <f aca="false">AD78*P1_CPROD+AE78*P2_CPROD+AF78*IF($A78&lt;P3_DESDE,P3A_CPROD,P3_CPROD)</f>
        <v>0</v>
      </c>
      <c r="AJ78" s="60" t="n">
        <f aca="false">IF(ISNUMBER(L78),L78,E78*P1_LOG+F78*P2_LOG+G78*P3_LOG)+IF(ISNUMBER(M78),M78,AA78*P1_LOG+AB78*P2_LOG+AC78*P3_LOG)*TASA_USADA</f>
        <v>0</v>
      </c>
      <c r="AK78" s="60" t="n">
        <f aca="false">AG78*COSTE_DEV</f>
        <v>0</v>
      </c>
      <c r="AL78" s="60" t="n">
        <f aca="false">AD78*P1_IVAN+AE78*P2_IVAN+AF78*IF($A78&lt;P3_DESDE,P3A_IVAN,P3_IVAN)-AG78*IVA_DEV</f>
        <v>0</v>
      </c>
      <c r="AM78" s="60" t="n">
        <f aca="false">N78*(1+RECARGO_ADS)</f>
        <v>0</v>
      </c>
      <c r="AN78" s="58" t="n">
        <f aca="false">IF(ISNUMBER(L78),E78+F78+G78+AA78+AB78+AC78,0)</f>
        <v>0</v>
      </c>
      <c r="AO78" s="60" t="n">
        <f aca="false">P78*COMISION</f>
        <v>0</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B79*P1_PVP+C79*P2_PVP+D79*IF($A79&lt;P3_DESDE,P3A_PVP,P3_PVP)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E79*(P1_PVP-P1_CPROD)+F79*(P2_PVP-P2_CPROD)+G79*(IF($A79&lt;P3_DESDE,P3A_PVP,P3_PVP)-IF($A79&lt;P3_DESDE,P3A_CPROD,P3_CPROD))-IF(ISNUMBER(L79),L79,E79*P1_LOG+F79*P2_LOG+G79*P3_LOG)</f>
        <v>0</v>
      </c>
      <c r="X79" s="33" t="n">
        <f aca="false">W79-(E79*P1_IVAN+F79*P2_IVAN+G79*IF($A79&lt;P3_DESDE,P3A_IVAN,P3_IVAN))-(H79+I79+J79)*(COSTE_DEV-IVA_DEV)-AM79-AO79</f>
        <v>0</v>
      </c>
      <c r="Y79" s="33" t="n">
        <f aca="false">AH79-AI79-AJ79-AK79-AL79-AM79-AO79</f>
        <v>0</v>
      </c>
      <c r="AA79" s="58" t="n">
        <f aca="false">MAX(0,B79-E79-H79)</f>
        <v>0</v>
      </c>
      <c r="AB79" s="58" t="n">
        <f aca="false">MAX(0,C79-F79-I79)</f>
        <v>0</v>
      </c>
      <c r="AC79" s="58" t="n">
        <f aca="false">MAX(0,D79-G79-J79)</f>
        <v>0</v>
      </c>
      <c r="AD79" s="59" t="n">
        <f aca="false">E79+AA79*TASA_USADA</f>
        <v>0</v>
      </c>
      <c r="AE79" s="59" t="n">
        <f aca="false">F79+AB79*TASA_USADA</f>
        <v>0</v>
      </c>
      <c r="AF79" s="59" t="n">
        <f aca="false">G79+AC79*TASA_USADA</f>
        <v>0</v>
      </c>
      <c r="AG79" s="59" t="n">
        <f aca="false">H79+I79+J79+(AA79+AB79+AC79)*(1-TASA_USADA)</f>
        <v>0</v>
      </c>
      <c r="AH79" s="60" t="n">
        <f aca="false">AD79*P1_PVP+AE79*P2_PVP+AF79*IF($A79&lt;P3_DESDE,P3A_PVP,P3_PVP)</f>
        <v>0</v>
      </c>
      <c r="AI79" s="60" t="n">
        <f aca="false">AD79*P1_CPROD+AE79*P2_CPROD+AF79*IF($A79&lt;P3_DESDE,P3A_CPROD,P3_CPROD)</f>
        <v>0</v>
      </c>
      <c r="AJ79" s="60" t="n">
        <f aca="false">IF(ISNUMBER(L79),L79,E79*P1_LOG+F79*P2_LOG+G79*P3_LOG)+IF(ISNUMBER(M79),M79,AA79*P1_LOG+AB79*P2_LOG+AC79*P3_LOG)*TASA_USADA</f>
        <v>0</v>
      </c>
      <c r="AK79" s="60" t="n">
        <f aca="false">AG79*COSTE_DEV</f>
        <v>0</v>
      </c>
      <c r="AL79" s="60" t="n">
        <f aca="false">AD79*P1_IVAN+AE79*P2_IVAN+AF79*IF($A79&lt;P3_DESDE,P3A_IVAN,P3_IVAN)-AG79*IVA_DEV</f>
        <v>0</v>
      </c>
      <c r="AM79" s="60" t="n">
        <f aca="false">N79*(1+RECARGO_ADS)</f>
        <v>0</v>
      </c>
      <c r="AN79" s="58" t="n">
        <f aca="false">IF(ISNUMBER(L79),E79+F79+G79+AA79+AB79+AC79,0)</f>
        <v>0</v>
      </c>
      <c r="AO79" s="60" t="n">
        <f aca="false">P79*COMISION</f>
        <v>0</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B80*P1_PVP+C80*P2_PVP+D80*IF($A80&lt;P3_DESDE,P3A_PVP,P3_PVP)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E80*(P1_PVP-P1_CPROD)+F80*(P2_PVP-P2_CPROD)+G80*(IF($A80&lt;P3_DESDE,P3A_PVP,P3_PVP)-IF($A80&lt;P3_DESDE,P3A_CPROD,P3_CPROD))-IF(ISNUMBER(L80),L80,E80*P1_LOG+F80*P2_LOG+G80*P3_LOG)</f>
        <v>0</v>
      </c>
      <c r="X80" s="33" t="n">
        <f aca="false">W80-(E80*P1_IVAN+F80*P2_IVAN+G80*IF($A80&lt;P3_DESDE,P3A_IVAN,P3_IVAN))-(H80+I80+J80)*(COSTE_DEV-IVA_DEV)-AM80-AO80</f>
        <v>0</v>
      </c>
      <c r="Y80" s="33" t="n">
        <f aca="false">AH80-AI80-AJ80-AK80-AL80-AM80-AO80</f>
        <v>0</v>
      </c>
      <c r="AA80" s="58" t="n">
        <f aca="false">MAX(0,B80-E80-H80)</f>
        <v>0</v>
      </c>
      <c r="AB80" s="58" t="n">
        <f aca="false">MAX(0,C80-F80-I80)</f>
        <v>0</v>
      </c>
      <c r="AC80" s="58" t="n">
        <f aca="false">MAX(0,D80-G80-J80)</f>
        <v>0</v>
      </c>
      <c r="AD80" s="59" t="n">
        <f aca="false">E80+AA80*TASA_USADA</f>
        <v>0</v>
      </c>
      <c r="AE80" s="59" t="n">
        <f aca="false">F80+AB80*TASA_USADA</f>
        <v>0</v>
      </c>
      <c r="AF80" s="59" t="n">
        <f aca="false">G80+AC80*TASA_USADA</f>
        <v>0</v>
      </c>
      <c r="AG80" s="59" t="n">
        <f aca="false">H80+I80+J80+(AA80+AB80+AC80)*(1-TASA_USADA)</f>
        <v>0</v>
      </c>
      <c r="AH80" s="60" t="n">
        <f aca="false">AD80*P1_PVP+AE80*P2_PVP+AF80*IF($A80&lt;P3_DESDE,P3A_PVP,P3_PVP)</f>
        <v>0</v>
      </c>
      <c r="AI80" s="60" t="n">
        <f aca="false">AD80*P1_CPROD+AE80*P2_CPROD+AF80*IF($A80&lt;P3_DESDE,P3A_CPROD,P3_CPROD)</f>
        <v>0</v>
      </c>
      <c r="AJ80" s="60" t="n">
        <f aca="false">IF(ISNUMBER(L80),L80,E80*P1_LOG+F80*P2_LOG+G80*P3_LOG)+IF(ISNUMBER(M80),M80,AA80*P1_LOG+AB80*P2_LOG+AC80*P3_LOG)*TASA_USADA</f>
        <v>0</v>
      </c>
      <c r="AK80" s="60" t="n">
        <f aca="false">AG80*COSTE_DEV</f>
        <v>0</v>
      </c>
      <c r="AL80" s="60" t="n">
        <f aca="false">AD80*P1_IVAN+AE80*P2_IVAN+AF80*IF($A80&lt;P3_DESDE,P3A_IVAN,P3_IVAN)-AG80*IVA_DEV</f>
        <v>0</v>
      </c>
      <c r="AM80" s="60" t="n">
        <f aca="false">N80*(1+RECARGO_ADS)</f>
        <v>0</v>
      </c>
      <c r="AN80" s="58" t="n">
        <f aca="false">IF(ISNUMBER(L80),E80+F80+G80+AA80+AB80+AC80,0)</f>
        <v>0</v>
      </c>
      <c r="AO80" s="60" t="n">
        <f aca="false">P80*COMISION</f>
        <v>0</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B81*P1_PVP+C81*P2_PVP+D81*IF($A81&lt;P3_DESDE,P3A_PVP,P3_PVP)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E81*(P1_PVP-P1_CPROD)+F81*(P2_PVP-P2_CPROD)+G81*(IF($A81&lt;P3_DESDE,P3A_PVP,P3_PVP)-IF($A81&lt;P3_DESDE,P3A_CPROD,P3_CPROD))-IF(ISNUMBER(L81),L81,E81*P1_LOG+F81*P2_LOG+G81*P3_LOG)</f>
        <v>0</v>
      </c>
      <c r="X81" s="33" t="n">
        <f aca="false">W81-(E81*P1_IVAN+F81*P2_IVAN+G81*IF($A81&lt;P3_DESDE,P3A_IVAN,P3_IVAN))-(H81+I81+J81)*(COSTE_DEV-IVA_DEV)-AM81-AO81</f>
        <v>0</v>
      </c>
      <c r="Y81" s="33" t="n">
        <f aca="false">AH81-AI81-AJ81-AK81-AL81-AM81-AO81</f>
        <v>0</v>
      </c>
      <c r="AA81" s="58" t="n">
        <f aca="false">MAX(0,B81-E81-H81)</f>
        <v>0</v>
      </c>
      <c r="AB81" s="58" t="n">
        <f aca="false">MAX(0,C81-F81-I81)</f>
        <v>0</v>
      </c>
      <c r="AC81" s="58" t="n">
        <f aca="false">MAX(0,D81-G81-J81)</f>
        <v>0</v>
      </c>
      <c r="AD81" s="59" t="n">
        <f aca="false">E81+AA81*TASA_USADA</f>
        <v>0</v>
      </c>
      <c r="AE81" s="59" t="n">
        <f aca="false">F81+AB81*TASA_USADA</f>
        <v>0</v>
      </c>
      <c r="AF81" s="59" t="n">
        <f aca="false">G81+AC81*TASA_USADA</f>
        <v>0</v>
      </c>
      <c r="AG81" s="59" t="n">
        <f aca="false">H81+I81+J81+(AA81+AB81+AC81)*(1-TASA_USADA)</f>
        <v>0</v>
      </c>
      <c r="AH81" s="60" t="n">
        <f aca="false">AD81*P1_PVP+AE81*P2_PVP+AF81*IF($A81&lt;P3_DESDE,P3A_PVP,P3_PVP)</f>
        <v>0</v>
      </c>
      <c r="AI81" s="60" t="n">
        <f aca="false">AD81*P1_CPROD+AE81*P2_CPROD+AF81*IF($A81&lt;P3_DESDE,P3A_CPROD,P3_CPROD)</f>
        <v>0</v>
      </c>
      <c r="AJ81" s="60" t="n">
        <f aca="false">IF(ISNUMBER(L81),L81,E81*P1_LOG+F81*P2_LOG+G81*P3_LOG)+IF(ISNUMBER(M81),M81,AA81*P1_LOG+AB81*P2_LOG+AC81*P3_LOG)*TASA_USADA</f>
        <v>0</v>
      </c>
      <c r="AK81" s="60" t="n">
        <f aca="false">AG81*COSTE_DEV</f>
        <v>0</v>
      </c>
      <c r="AL81" s="60" t="n">
        <f aca="false">AD81*P1_IVAN+AE81*P2_IVAN+AF81*IF($A81&lt;P3_DESDE,P3A_IVAN,P3_IVAN)-AG81*IVA_DEV</f>
        <v>0</v>
      </c>
      <c r="AM81" s="60" t="n">
        <f aca="false">N81*(1+RECARGO_ADS)</f>
        <v>0</v>
      </c>
      <c r="AN81" s="58" t="n">
        <f aca="false">IF(ISNUMBER(L81),E81+F81+G81+AA81+AB81+AC81,0)</f>
        <v>0</v>
      </c>
      <c r="AO81" s="60" t="n">
        <f aca="false">P81*COMISION</f>
        <v>0</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B82*P1_PVP+C82*P2_PVP+D82*IF($A82&lt;P3_DESDE,P3A_PVP,P3_PVP)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E82*(P1_PVP-P1_CPROD)+F82*(P2_PVP-P2_CPROD)+G82*(IF($A82&lt;P3_DESDE,P3A_PVP,P3_PVP)-IF($A82&lt;P3_DESDE,P3A_CPROD,P3_CPROD))-IF(ISNUMBER(L82),L82,E82*P1_LOG+F82*P2_LOG+G82*P3_LOG)</f>
        <v>0</v>
      </c>
      <c r="X82" s="33" t="n">
        <f aca="false">W82-(E82*P1_IVAN+F82*P2_IVAN+G82*IF($A82&lt;P3_DESDE,P3A_IVAN,P3_IVAN))-(H82+I82+J82)*(COSTE_DEV-IVA_DEV)-AM82-AO82</f>
        <v>0</v>
      </c>
      <c r="Y82" s="33" t="n">
        <f aca="false">AH82-AI82-AJ82-AK82-AL82-AM82-AO82</f>
        <v>0</v>
      </c>
      <c r="AA82" s="58" t="n">
        <f aca="false">MAX(0,B82-E82-H82)</f>
        <v>0</v>
      </c>
      <c r="AB82" s="58" t="n">
        <f aca="false">MAX(0,C82-F82-I82)</f>
        <v>0</v>
      </c>
      <c r="AC82" s="58" t="n">
        <f aca="false">MAX(0,D82-G82-J82)</f>
        <v>0</v>
      </c>
      <c r="AD82" s="59" t="n">
        <f aca="false">E82+AA82*TASA_USADA</f>
        <v>0</v>
      </c>
      <c r="AE82" s="59" t="n">
        <f aca="false">F82+AB82*TASA_USADA</f>
        <v>0</v>
      </c>
      <c r="AF82" s="59" t="n">
        <f aca="false">G82+AC82*TASA_USADA</f>
        <v>0</v>
      </c>
      <c r="AG82" s="59" t="n">
        <f aca="false">H82+I82+J82+(AA82+AB82+AC82)*(1-TASA_USADA)</f>
        <v>0</v>
      </c>
      <c r="AH82" s="60" t="n">
        <f aca="false">AD82*P1_PVP+AE82*P2_PVP+AF82*IF($A82&lt;P3_DESDE,P3A_PVP,P3_PVP)</f>
        <v>0</v>
      </c>
      <c r="AI82" s="60" t="n">
        <f aca="false">AD82*P1_CPROD+AE82*P2_CPROD+AF82*IF($A82&lt;P3_DESDE,P3A_CPROD,P3_CPROD)</f>
        <v>0</v>
      </c>
      <c r="AJ82" s="60" t="n">
        <f aca="false">IF(ISNUMBER(L82),L82,E82*P1_LOG+F82*P2_LOG+G82*P3_LOG)+IF(ISNUMBER(M82),M82,AA82*P1_LOG+AB82*P2_LOG+AC82*P3_LOG)*TASA_USADA</f>
        <v>0</v>
      </c>
      <c r="AK82" s="60" t="n">
        <f aca="false">AG82*COSTE_DEV</f>
        <v>0</v>
      </c>
      <c r="AL82" s="60" t="n">
        <f aca="false">AD82*P1_IVAN+AE82*P2_IVAN+AF82*IF($A82&lt;P3_DESDE,P3A_IVAN,P3_IVAN)-AG82*IVA_DEV</f>
        <v>0</v>
      </c>
      <c r="AM82" s="60" t="n">
        <f aca="false">N82*(1+RECARGO_ADS)</f>
        <v>0</v>
      </c>
      <c r="AN82" s="58" t="n">
        <f aca="false">IF(ISNUMBER(L82),E82+F82+G82+AA82+AB82+AC82,0)</f>
        <v>0</v>
      </c>
      <c r="AO82" s="60" t="n">
        <f aca="false">P82*COMISION</f>
        <v>0</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B83*P1_PVP+C83*P2_PVP+D83*IF($A83&lt;P3_DESDE,P3A_PVP,P3_PVP)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E83*(P1_PVP-P1_CPROD)+F83*(P2_PVP-P2_CPROD)+G83*(IF($A83&lt;P3_DESDE,P3A_PVP,P3_PVP)-IF($A83&lt;P3_DESDE,P3A_CPROD,P3_CPROD))-IF(ISNUMBER(L83),L83,E83*P1_LOG+F83*P2_LOG+G83*P3_LOG)</f>
        <v>0</v>
      </c>
      <c r="X83" s="33" t="n">
        <f aca="false">W83-(E83*P1_IVAN+F83*P2_IVAN+G83*IF($A83&lt;P3_DESDE,P3A_IVAN,P3_IVAN))-(H83+I83+J83)*(COSTE_DEV-IVA_DEV)-AM83-AO83</f>
        <v>0</v>
      </c>
      <c r="Y83" s="33" t="n">
        <f aca="false">AH83-AI83-AJ83-AK83-AL83-AM83-AO83</f>
        <v>0</v>
      </c>
      <c r="AA83" s="58" t="n">
        <f aca="false">MAX(0,B83-E83-H83)</f>
        <v>0</v>
      </c>
      <c r="AB83" s="58" t="n">
        <f aca="false">MAX(0,C83-F83-I83)</f>
        <v>0</v>
      </c>
      <c r="AC83" s="58" t="n">
        <f aca="false">MAX(0,D83-G83-J83)</f>
        <v>0</v>
      </c>
      <c r="AD83" s="59" t="n">
        <f aca="false">E83+AA83*TASA_USADA</f>
        <v>0</v>
      </c>
      <c r="AE83" s="59" t="n">
        <f aca="false">F83+AB83*TASA_USADA</f>
        <v>0</v>
      </c>
      <c r="AF83" s="59" t="n">
        <f aca="false">G83+AC83*TASA_USADA</f>
        <v>0</v>
      </c>
      <c r="AG83" s="59" t="n">
        <f aca="false">H83+I83+J83+(AA83+AB83+AC83)*(1-TASA_USADA)</f>
        <v>0</v>
      </c>
      <c r="AH83" s="60" t="n">
        <f aca="false">AD83*P1_PVP+AE83*P2_PVP+AF83*IF($A83&lt;P3_DESDE,P3A_PVP,P3_PVP)</f>
        <v>0</v>
      </c>
      <c r="AI83" s="60" t="n">
        <f aca="false">AD83*P1_CPROD+AE83*P2_CPROD+AF83*IF($A83&lt;P3_DESDE,P3A_CPROD,P3_CPROD)</f>
        <v>0</v>
      </c>
      <c r="AJ83" s="60" t="n">
        <f aca="false">IF(ISNUMBER(L83),L83,E83*P1_LOG+F83*P2_LOG+G83*P3_LOG)+IF(ISNUMBER(M83),M83,AA83*P1_LOG+AB83*P2_LOG+AC83*P3_LOG)*TASA_USADA</f>
        <v>0</v>
      </c>
      <c r="AK83" s="60" t="n">
        <f aca="false">AG83*COSTE_DEV</f>
        <v>0</v>
      </c>
      <c r="AL83" s="60" t="n">
        <f aca="false">AD83*P1_IVAN+AE83*P2_IVAN+AF83*IF($A83&lt;P3_DESDE,P3A_IVAN,P3_IVAN)-AG83*IVA_DEV</f>
        <v>0</v>
      </c>
      <c r="AM83" s="60" t="n">
        <f aca="false">N83*(1+RECARGO_ADS)</f>
        <v>0</v>
      </c>
      <c r="AN83" s="58" t="n">
        <f aca="false">IF(ISNUMBER(L83),E83+F83+G83+AA83+AB83+AC83,0)</f>
        <v>0</v>
      </c>
      <c r="AO83" s="60" t="n">
        <f aca="false">P83*COMISION</f>
        <v>0</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B84*P1_PVP+C84*P2_PVP+D84*IF($A84&lt;P3_DESDE,P3A_PVP,P3_PVP)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E84*(P1_PVP-P1_CPROD)+F84*(P2_PVP-P2_CPROD)+G84*(IF($A84&lt;P3_DESDE,P3A_PVP,P3_PVP)-IF($A84&lt;P3_DESDE,P3A_CPROD,P3_CPROD))-IF(ISNUMBER(L84),L84,E84*P1_LOG+F84*P2_LOG+G84*P3_LOG)</f>
        <v>0</v>
      </c>
      <c r="X84" s="33" t="n">
        <f aca="false">W84-(E84*P1_IVAN+F84*P2_IVAN+G84*IF($A84&lt;P3_DESDE,P3A_IVAN,P3_IVAN))-(H84+I84+J84)*(COSTE_DEV-IVA_DEV)-AM84-AO84</f>
        <v>0</v>
      </c>
      <c r="Y84" s="33" t="n">
        <f aca="false">AH84-AI84-AJ84-AK84-AL84-AM84-AO84</f>
        <v>0</v>
      </c>
      <c r="AA84" s="58" t="n">
        <f aca="false">MAX(0,B84-E84-H84)</f>
        <v>0</v>
      </c>
      <c r="AB84" s="58" t="n">
        <f aca="false">MAX(0,C84-F84-I84)</f>
        <v>0</v>
      </c>
      <c r="AC84" s="58" t="n">
        <f aca="false">MAX(0,D84-G84-J84)</f>
        <v>0</v>
      </c>
      <c r="AD84" s="59" t="n">
        <f aca="false">E84+AA84*TASA_USADA</f>
        <v>0</v>
      </c>
      <c r="AE84" s="59" t="n">
        <f aca="false">F84+AB84*TASA_USADA</f>
        <v>0</v>
      </c>
      <c r="AF84" s="59" t="n">
        <f aca="false">G84+AC84*TASA_USADA</f>
        <v>0</v>
      </c>
      <c r="AG84" s="59" t="n">
        <f aca="false">H84+I84+J84+(AA84+AB84+AC84)*(1-TASA_USADA)</f>
        <v>0</v>
      </c>
      <c r="AH84" s="60" t="n">
        <f aca="false">AD84*P1_PVP+AE84*P2_PVP+AF84*IF($A84&lt;P3_DESDE,P3A_PVP,P3_PVP)</f>
        <v>0</v>
      </c>
      <c r="AI84" s="60" t="n">
        <f aca="false">AD84*P1_CPROD+AE84*P2_CPROD+AF84*IF($A84&lt;P3_DESDE,P3A_CPROD,P3_CPROD)</f>
        <v>0</v>
      </c>
      <c r="AJ84" s="60" t="n">
        <f aca="false">IF(ISNUMBER(L84),L84,E84*P1_LOG+F84*P2_LOG+G84*P3_LOG)+IF(ISNUMBER(M84),M84,AA84*P1_LOG+AB84*P2_LOG+AC84*P3_LOG)*TASA_USADA</f>
        <v>0</v>
      </c>
      <c r="AK84" s="60" t="n">
        <f aca="false">AG84*COSTE_DEV</f>
        <v>0</v>
      </c>
      <c r="AL84" s="60" t="n">
        <f aca="false">AD84*P1_IVAN+AE84*P2_IVAN+AF84*IF($A84&lt;P3_DESDE,P3A_IVAN,P3_IVAN)-AG84*IVA_DEV</f>
        <v>0</v>
      </c>
      <c r="AM84" s="60" t="n">
        <f aca="false">N84*(1+RECARGO_ADS)</f>
        <v>0</v>
      </c>
      <c r="AN84" s="58" t="n">
        <f aca="false">IF(ISNUMBER(L84),E84+F84+G84+AA84+AB84+AC84,0)</f>
        <v>0</v>
      </c>
      <c r="AO84" s="60" t="n">
        <f aca="false">P84*COMISION</f>
        <v>0</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B85*P1_PVP+C85*P2_PVP+D85*IF($A85&lt;P3_DESDE,P3A_PVP,P3_PVP)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E85*(P1_PVP-P1_CPROD)+F85*(P2_PVP-P2_CPROD)+G85*(IF($A85&lt;P3_DESDE,P3A_PVP,P3_PVP)-IF($A85&lt;P3_DESDE,P3A_CPROD,P3_CPROD))-IF(ISNUMBER(L85),L85,E85*P1_LOG+F85*P2_LOG+G85*P3_LOG)</f>
        <v>0</v>
      </c>
      <c r="X85" s="33" t="n">
        <f aca="false">W85-(E85*P1_IVAN+F85*P2_IVAN+G85*IF($A85&lt;P3_DESDE,P3A_IVAN,P3_IVAN))-(H85+I85+J85)*(COSTE_DEV-IVA_DEV)-AM85-AO85</f>
        <v>0</v>
      </c>
      <c r="Y85" s="33" t="n">
        <f aca="false">AH85-AI85-AJ85-AK85-AL85-AM85-AO85</f>
        <v>0</v>
      </c>
      <c r="AA85" s="58" t="n">
        <f aca="false">MAX(0,B85-E85-H85)</f>
        <v>0</v>
      </c>
      <c r="AB85" s="58" t="n">
        <f aca="false">MAX(0,C85-F85-I85)</f>
        <v>0</v>
      </c>
      <c r="AC85" s="58" t="n">
        <f aca="false">MAX(0,D85-G85-J85)</f>
        <v>0</v>
      </c>
      <c r="AD85" s="59" t="n">
        <f aca="false">E85+AA85*TASA_USADA</f>
        <v>0</v>
      </c>
      <c r="AE85" s="59" t="n">
        <f aca="false">F85+AB85*TASA_USADA</f>
        <v>0</v>
      </c>
      <c r="AF85" s="59" t="n">
        <f aca="false">G85+AC85*TASA_USADA</f>
        <v>0</v>
      </c>
      <c r="AG85" s="59" t="n">
        <f aca="false">H85+I85+J85+(AA85+AB85+AC85)*(1-TASA_USADA)</f>
        <v>0</v>
      </c>
      <c r="AH85" s="60" t="n">
        <f aca="false">AD85*P1_PVP+AE85*P2_PVP+AF85*IF($A85&lt;P3_DESDE,P3A_PVP,P3_PVP)</f>
        <v>0</v>
      </c>
      <c r="AI85" s="60" t="n">
        <f aca="false">AD85*P1_CPROD+AE85*P2_CPROD+AF85*IF($A85&lt;P3_DESDE,P3A_CPROD,P3_CPROD)</f>
        <v>0</v>
      </c>
      <c r="AJ85" s="60" t="n">
        <f aca="false">IF(ISNUMBER(L85),L85,E85*P1_LOG+F85*P2_LOG+G85*P3_LOG)+IF(ISNUMBER(M85),M85,AA85*P1_LOG+AB85*P2_LOG+AC85*P3_LOG)*TASA_USADA</f>
        <v>0</v>
      </c>
      <c r="AK85" s="60" t="n">
        <f aca="false">AG85*COSTE_DEV</f>
        <v>0</v>
      </c>
      <c r="AL85" s="60" t="n">
        <f aca="false">AD85*P1_IVAN+AE85*P2_IVAN+AF85*IF($A85&lt;P3_DESDE,P3A_IVAN,P3_IVAN)-AG85*IVA_DEV</f>
        <v>0</v>
      </c>
      <c r="AM85" s="60" t="n">
        <f aca="false">N85*(1+RECARGO_ADS)</f>
        <v>0</v>
      </c>
      <c r="AN85" s="58" t="n">
        <f aca="false">IF(ISNUMBER(L85),E85+F85+G85+AA85+AB85+AC85,0)</f>
        <v>0</v>
      </c>
      <c r="AO85" s="60" t="n">
        <f aca="false">P85*COMISION</f>
        <v>0</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B86*P1_PVP+C86*P2_PVP+D86*IF($A86&lt;P3_DESDE,P3A_PVP,P3_PVP)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E86*(P1_PVP-P1_CPROD)+F86*(P2_PVP-P2_CPROD)+G86*(IF($A86&lt;P3_DESDE,P3A_PVP,P3_PVP)-IF($A86&lt;P3_DESDE,P3A_CPROD,P3_CPROD))-IF(ISNUMBER(L86),L86,E86*P1_LOG+F86*P2_LOG+G86*P3_LOG)</f>
        <v>0</v>
      </c>
      <c r="X86" s="33" t="n">
        <f aca="false">W86-(E86*P1_IVAN+F86*P2_IVAN+G86*IF($A86&lt;P3_DESDE,P3A_IVAN,P3_IVAN))-(H86+I86+J86)*(COSTE_DEV-IVA_DEV)-AM86-AO86</f>
        <v>0</v>
      </c>
      <c r="Y86" s="33" t="n">
        <f aca="false">AH86-AI86-AJ86-AK86-AL86-AM86-AO86</f>
        <v>0</v>
      </c>
      <c r="AA86" s="58" t="n">
        <f aca="false">MAX(0,B86-E86-H86)</f>
        <v>0</v>
      </c>
      <c r="AB86" s="58" t="n">
        <f aca="false">MAX(0,C86-F86-I86)</f>
        <v>0</v>
      </c>
      <c r="AC86" s="58" t="n">
        <f aca="false">MAX(0,D86-G86-J86)</f>
        <v>0</v>
      </c>
      <c r="AD86" s="59" t="n">
        <f aca="false">E86+AA86*TASA_USADA</f>
        <v>0</v>
      </c>
      <c r="AE86" s="59" t="n">
        <f aca="false">F86+AB86*TASA_USADA</f>
        <v>0</v>
      </c>
      <c r="AF86" s="59" t="n">
        <f aca="false">G86+AC86*TASA_USADA</f>
        <v>0</v>
      </c>
      <c r="AG86" s="59" t="n">
        <f aca="false">H86+I86+J86+(AA86+AB86+AC86)*(1-TASA_USADA)</f>
        <v>0</v>
      </c>
      <c r="AH86" s="60" t="n">
        <f aca="false">AD86*P1_PVP+AE86*P2_PVP+AF86*IF($A86&lt;P3_DESDE,P3A_PVP,P3_PVP)</f>
        <v>0</v>
      </c>
      <c r="AI86" s="60" t="n">
        <f aca="false">AD86*P1_CPROD+AE86*P2_CPROD+AF86*IF($A86&lt;P3_DESDE,P3A_CPROD,P3_CPROD)</f>
        <v>0</v>
      </c>
      <c r="AJ86" s="60" t="n">
        <f aca="false">IF(ISNUMBER(L86),L86,E86*P1_LOG+F86*P2_LOG+G86*P3_LOG)+IF(ISNUMBER(M86),M86,AA86*P1_LOG+AB86*P2_LOG+AC86*P3_LOG)*TASA_USADA</f>
        <v>0</v>
      </c>
      <c r="AK86" s="60" t="n">
        <f aca="false">AG86*COSTE_DEV</f>
        <v>0</v>
      </c>
      <c r="AL86" s="60" t="n">
        <f aca="false">AD86*P1_IVAN+AE86*P2_IVAN+AF86*IF($A86&lt;P3_DESDE,P3A_IVAN,P3_IVAN)-AG86*IVA_DEV</f>
        <v>0</v>
      </c>
      <c r="AM86" s="60" t="n">
        <f aca="false">N86*(1+RECARGO_ADS)</f>
        <v>0</v>
      </c>
      <c r="AN86" s="58" t="n">
        <f aca="false">IF(ISNUMBER(L86),E86+F86+G86+AA86+AB86+AC86,0)</f>
        <v>0</v>
      </c>
      <c r="AO86" s="60" t="n">
        <f aca="false">P86*COMISION</f>
        <v>0</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B87*P1_PVP+C87*P2_PVP+D87*IF($A87&lt;P3_DESDE,P3A_PVP,P3_PVP)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E87*(P1_PVP-P1_CPROD)+F87*(P2_PVP-P2_CPROD)+G87*(IF($A87&lt;P3_DESDE,P3A_PVP,P3_PVP)-IF($A87&lt;P3_DESDE,P3A_CPROD,P3_CPROD))-IF(ISNUMBER(L87),L87,E87*P1_LOG+F87*P2_LOG+G87*P3_LOG)</f>
        <v>0</v>
      </c>
      <c r="X87" s="33" t="n">
        <f aca="false">W87-(E87*P1_IVAN+F87*P2_IVAN+G87*IF($A87&lt;P3_DESDE,P3A_IVAN,P3_IVAN))-(H87+I87+J87)*(COSTE_DEV-IVA_DEV)-AM87-AO87</f>
        <v>0</v>
      </c>
      <c r="Y87" s="33" t="n">
        <f aca="false">AH87-AI87-AJ87-AK87-AL87-AM87-AO87</f>
        <v>0</v>
      </c>
      <c r="AA87" s="58" t="n">
        <f aca="false">MAX(0,B87-E87-H87)</f>
        <v>0</v>
      </c>
      <c r="AB87" s="58" t="n">
        <f aca="false">MAX(0,C87-F87-I87)</f>
        <v>0</v>
      </c>
      <c r="AC87" s="58" t="n">
        <f aca="false">MAX(0,D87-G87-J87)</f>
        <v>0</v>
      </c>
      <c r="AD87" s="59" t="n">
        <f aca="false">E87+AA87*TASA_USADA</f>
        <v>0</v>
      </c>
      <c r="AE87" s="59" t="n">
        <f aca="false">F87+AB87*TASA_USADA</f>
        <v>0</v>
      </c>
      <c r="AF87" s="59" t="n">
        <f aca="false">G87+AC87*TASA_USADA</f>
        <v>0</v>
      </c>
      <c r="AG87" s="59" t="n">
        <f aca="false">H87+I87+J87+(AA87+AB87+AC87)*(1-TASA_USADA)</f>
        <v>0</v>
      </c>
      <c r="AH87" s="60" t="n">
        <f aca="false">AD87*P1_PVP+AE87*P2_PVP+AF87*IF($A87&lt;P3_DESDE,P3A_PVP,P3_PVP)</f>
        <v>0</v>
      </c>
      <c r="AI87" s="60" t="n">
        <f aca="false">AD87*P1_CPROD+AE87*P2_CPROD+AF87*IF($A87&lt;P3_DESDE,P3A_CPROD,P3_CPROD)</f>
        <v>0</v>
      </c>
      <c r="AJ87" s="60" t="n">
        <f aca="false">IF(ISNUMBER(L87),L87,E87*P1_LOG+F87*P2_LOG+G87*P3_LOG)+IF(ISNUMBER(M87),M87,AA87*P1_LOG+AB87*P2_LOG+AC87*P3_LOG)*TASA_USADA</f>
        <v>0</v>
      </c>
      <c r="AK87" s="60" t="n">
        <f aca="false">AG87*COSTE_DEV</f>
        <v>0</v>
      </c>
      <c r="AL87" s="60" t="n">
        <f aca="false">AD87*P1_IVAN+AE87*P2_IVAN+AF87*IF($A87&lt;P3_DESDE,P3A_IVAN,P3_IVAN)-AG87*IVA_DEV</f>
        <v>0</v>
      </c>
      <c r="AM87" s="60" t="n">
        <f aca="false">N87*(1+RECARGO_ADS)</f>
        <v>0</v>
      </c>
      <c r="AN87" s="58" t="n">
        <f aca="false">IF(ISNUMBER(L87),E87+F87+G87+AA87+AB87+AC87,0)</f>
        <v>0</v>
      </c>
      <c r="AO87" s="60" t="n">
        <f aca="false">P87*COMISION</f>
        <v>0</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B88*P1_PVP+C88*P2_PVP+D88*IF($A88&lt;P3_DESDE,P3A_PVP,P3_PVP)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E88*(P1_PVP-P1_CPROD)+F88*(P2_PVP-P2_CPROD)+G88*(IF($A88&lt;P3_DESDE,P3A_PVP,P3_PVP)-IF($A88&lt;P3_DESDE,P3A_CPROD,P3_CPROD))-IF(ISNUMBER(L88),L88,E88*P1_LOG+F88*P2_LOG+G88*P3_LOG)</f>
        <v>0</v>
      </c>
      <c r="X88" s="33" t="n">
        <f aca="false">W88-(E88*P1_IVAN+F88*P2_IVAN+G88*IF($A88&lt;P3_DESDE,P3A_IVAN,P3_IVAN))-(H88+I88+J88)*(COSTE_DEV-IVA_DEV)-AM88-AO88</f>
        <v>0</v>
      </c>
      <c r="Y88" s="33" t="n">
        <f aca="false">AH88-AI88-AJ88-AK88-AL88-AM88-AO88</f>
        <v>0</v>
      </c>
      <c r="AA88" s="58" t="n">
        <f aca="false">MAX(0,B88-E88-H88)</f>
        <v>0</v>
      </c>
      <c r="AB88" s="58" t="n">
        <f aca="false">MAX(0,C88-F88-I88)</f>
        <v>0</v>
      </c>
      <c r="AC88" s="58" t="n">
        <f aca="false">MAX(0,D88-G88-J88)</f>
        <v>0</v>
      </c>
      <c r="AD88" s="59" t="n">
        <f aca="false">E88+AA88*TASA_USADA</f>
        <v>0</v>
      </c>
      <c r="AE88" s="59" t="n">
        <f aca="false">F88+AB88*TASA_USADA</f>
        <v>0</v>
      </c>
      <c r="AF88" s="59" t="n">
        <f aca="false">G88+AC88*TASA_USADA</f>
        <v>0</v>
      </c>
      <c r="AG88" s="59" t="n">
        <f aca="false">H88+I88+J88+(AA88+AB88+AC88)*(1-TASA_USADA)</f>
        <v>0</v>
      </c>
      <c r="AH88" s="60" t="n">
        <f aca="false">AD88*P1_PVP+AE88*P2_PVP+AF88*IF($A88&lt;P3_DESDE,P3A_PVP,P3_PVP)</f>
        <v>0</v>
      </c>
      <c r="AI88" s="60" t="n">
        <f aca="false">AD88*P1_CPROD+AE88*P2_CPROD+AF88*IF($A88&lt;P3_DESDE,P3A_CPROD,P3_CPROD)</f>
        <v>0</v>
      </c>
      <c r="AJ88" s="60" t="n">
        <f aca="false">IF(ISNUMBER(L88),L88,E88*P1_LOG+F88*P2_LOG+G88*P3_LOG)+IF(ISNUMBER(M88),M88,AA88*P1_LOG+AB88*P2_LOG+AC88*P3_LOG)*TASA_USADA</f>
        <v>0</v>
      </c>
      <c r="AK88" s="60" t="n">
        <f aca="false">AG88*COSTE_DEV</f>
        <v>0</v>
      </c>
      <c r="AL88" s="60" t="n">
        <f aca="false">AD88*P1_IVAN+AE88*P2_IVAN+AF88*IF($A88&lt;P3_DESDE,P3A_IVAN,P3_IVAN)-AG88*IVA_DEV</f>
        <v>0</v>
      </c>
      <c r="AM88" s="60" t="n">
        <f aca="false">N88*(1+RECARGO_ADS)</f>
        <v>0</v>
      </c>
      <c r="AN88" s="58" t="n">
        <f aca="false">IF(ISNUMBER(L88),E88+F88+G88+AA88+AB88+AC88,0)</f>
        <v>0</v>
      </c>
      <c r="AO88" s="60" t="n">
        <f aca="false">P88*COMISION</f>
        <v>0</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B89*P1_PVP+C89*P2_PVP+D89*IF($A89&lt;P3_DESDE,P3A_PVP,P3_PVP)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E89*(P1_PVP-P1_CPROD)+F89*(P2_PVP-P2_CPROD)+G89*(IF($A89&lt;P3_DESDE,P3A_PVP,P3_PVP)-IF($A89&lt;P3_DESDE,P3A_CPROD,P3_CPROD))-IF(ISNUMBER(L89),L89,E89*P1_LOG+F89*P2_LOG+G89*P3_LOG)</f>
        <v>0</v>
      </c>
      <c r="X89" s="33" t="n">
        <f aca="false">W89-(E89*P1_IVAN+F89*P2_IVAN+G89*IF($A89&lt;P3_DESDE,P3A_IVAN,P3_IVAN))-(H89+I89+J89)*(COSTE_DEV-IVA_DEV)-AM89-AO89</f>
        <v>0</v>
      </c>
      <c r="Y89" s="33" t="n">
        <f aca="false">AH89-AI89-AJ89-AK89-AL89-AM89-AO89</f>
        <v>0</v>
      </c>
      <c r="AA89" s="58" t="n">
        <f aca="false">MAX(0,B89-E89-H89)</f>
        <v>0</v>
      </c>
      <c r="AB89" s="58" t="n">
        <f aca="false">MAX(0,C89-F89-I89)</f>
        <v>0</v>
      </c>
      <c r="AC89" s="58" t="n">
        <f aca="false">MAX(0,D89-G89-J89)</f>
        <v>0</v>
      </c>
      <c r="AD89" s="59" t="n">
        <f aca="false">E89+AA89*TASA_USADA</f>
        <v>0</v>
      </c>
      <c r="AE89" s="59" t="n">
        <f aca="false">F89+AB89*TASA_USADA</f>
        <v>0</v>
      </c>
      <c r="AF89" s="59" t="n">
        <f aca="false">G89+AC89*TASA_USADA</f>
        <v>0</v>
      </c>
      <c r="AG89" s="59" t="n">
        <f aca="false">H89+I89+J89+(AA89+AB89+AC89)*(1-TASA_USADA)</f>
        <v>0</v>
      </c>
      <c r="AH89" s="60" t="n">
        <f aca="false">AD89*P1_PVP+AE89*P2_PVP+AF89*IF($A89&lt;P3_DESDE,P3A_PVP,P3_PVP)</f>
        <v>0</v>
      </c>
      <c r="AI89" s="60" t="n">
        <f aca="false">AD89*P1_CPROD+AE89*P2_CPROD+AF89*IF($A89&lt;P3_DESDE,P3A_CPROD,P3_CPROD)</f>
        <v>0</v>
      </c>
      <c r="AJ89" s="60" t="n">
        <f aca="false">IF(ISNUMBER(L89),L89,E89*P1_LOG+F89*P2_LOG+G89*P3_LOG)+IF(ISNUMBER(M89),M89,AA89*P1_LOG+AB89*P2_LOG+AC89*P3_LOG)*TASA_USADA</f>
        <v>0</v>
      </c>
      <c r="AK89" s="60" t="n">
        <f aca="false">AG89*COSTE_DEV</f>
        <v>0</v>
      </c>
      <c r="AL89" s="60" t="n">
        <f aca="false">AD89*P1_IVAN+AE89*P2_IVAN+AF89*IF($A89&lt;P3_DESDE,P3A_IVAN,P3_IVAN)-AG89*IVA_DEV</f>
        <v>0</v>
      </c>
      <c r="AM89" s="60" t="n">
        <f aca="false">N89*(1+RECARGO_ADS)</f>
        <v>0</v>
      </c>
      <c r="AN89" s="58" t="n">
        <f aca="false">IF(ISNUMBER(L89),E89+F89+G89+AA89+AB89+AC89,0)</f>
        <v>0</v>
      </c>
      <c r="AO89" s="60" t="n">
        <f aca="false">P89*COMISION</f>
        <v>0</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B90*P1_PVP+C90*P2_PVP+D90*IF($A90&lt;P3_DESDE,P3A_PVP,P3_PVP)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E90*(P1_PVP-P1_CPROD)+F90*(P2_PVP-P2_CPROD)+G90*(IF($A90&lt;P3_DESDE,P3A_PVP,P3_PVP)-IF($A90&lt;P3_DESDE,P3A_CPROD,P3_CPROD))-IF(ISNUMBER(L90),L90,E90*P1_LOG+F90*P2_LOG+G90*P3_LOG)</f>
        <v>0</v>
      </c>
      <c r="X90" s="33" t="n">
        <f aca="false">W90-(E90*P1_IVAN+F90*P2_IVAN+G90*IF($A90&lt;P3_DESDE,P3A_IVAN,P3_IVAN))-(H90+I90+J90)*(COSTE_DEV-IVA_DEV)-AM90-AO90</f>
        <v>0</v>
      </c>
      <c r="Y90" s="33" t="n">
        <f aca="false">AH90-AI90-AJ90-AK90-AL90-AM90-AO90</f>
        <v>0</v>
      </c>
      <c r="AA90" s="58" t="n">
        <f aca="false">MAX(0,B90-E90-H90)</f>
        <v>0</v>
      </c>
      <c r="AB90" s="58" t="n">
        <f aca="false">MAX(0,C90-F90-I90)</f>
        <v>0</v>
      </c>
      <c r="AC90" s="58" t="n">
        <f aca="false">MAX(0,D90-G90-J90)</f>
        <v>0</v>
      </c>
      <c r="AD90" s="59" t="n">
        <f aca="false">E90+AA90*TASA_USADA</f>
        <v>0</v>
      </c>
      <c r="AE90" s="59" t="n">
        <f aca="false">F90+AB90*TASA_USADA</f>
        <v>0</v>
      </c>
      <c r="AF90" s="59" t="n">
        <f aca="false">G90+AC90*TASA_USADA</f>
        <v>0</v>
      </c>
      <c r="AG90" s="59" t="n">
        <f aca="false">H90+I90+J90+(AA90+AB90+AC90)*(1-TASA_USADA)</f>
        <v>0</v>
      </c>
      <c r="AH90" s="60" t="n">
        <f aca="false">AD90*P1_PVP+AE90*P2_PVP+AF90*IF($A90&lt;P3_DESDE,P3A_PVP,P3_PVP)</f>
        <v>0</v>
      </c>
      <c r="AI90" s="60" t="n">
        <f aca="false">AD90*P1_CPROD+AE90*P2_CPROD+AF90*IF($A90&lt;P3_DESDE,P3A_CPROD,P3_CPROD)</f>
        <v>0</v>
      </c>
      <c r="AJ90" s="60" t="n">
        <f aca="false">IF(ISNUMBER(L90),L90,E90*P1_LOG+F90*P2_LOG+G90*P3_LOG)+IF(ISNUMBER(M90),M90,AA90*P1_LOG+AB90*P2_LOG+AC90*P3_LOG)*TASA_USADA</f>
        <v>0</v>
      </c>
      <c r="AK90" s="60" t="n">
        <f aca="false">AG90*COSTE_DEV</f>
        <v>0</v>
      </c>
      <c r="AL90" s="60" t="n">
        <f aca="false">AD90*P1_IVAN+AE90*P2_IVAN+AF90*IF($A90&lt;P3_DESDE,P3A_IVAN,P3_IVAN)-AG90*IVA_DEV</f>
        <v>0</v>
      </c>
      <c r="AM90" s="60" t="n">
        <f aca="false">N90*(1+RECARGO_ADS)</f>
        <v>0</v>
      </c>
      <c r="AN90" s="58" t="n">
        <f aca="false">IF(ISNUMBER(L90),E90+F90+G90+AA90+AB90+AC90,0)</f>
        <v>0</v>
      </c>
      <c r="AO90" s="60" t="n">
        <f aca="false">P90*COMISION</f>
        <v>0</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B91*P1_PVP+C91*P2_PVP+D91*IF($A91&lt;P3_DESDE,P3A_PVP,P3_PVP)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E91*(P1_PVP-P1_CPROD)+F91*(P2_PVP-P2_CPROD)+G91*(IF($A91&lt;P3_DESDE,P3A_PVP,P3_PVP)-IF($A91&lt;P3_DESDE,P3A_CPROD,P3_CPROD))-IF(ISNUMBER(L91),L91,E91*P1_LOG+F91*P2_LOG+G91*P3_LOG)</f>
        <v>0</v>
      </c>
      <c r="X91" s="33" t="n">
        <f aca="false">W91-(E91*P1_IVAN+F91*P2_IVAN+G91*IF($A91&lt;P3_DESDE,P3A_IVAN,P3_IVAN))-(H91+I91+J91)*(COSTE_DEV-IVA_DEV)-AM91-AO91</f>
        <v>0</v>
      </c>
      <c r="Y91" s="33" t="n">
        <f aca="false">AH91-AI91-AJ91-AK91-AL91-AM91-AO91</f>
        <v>0</v>
      </c>
      <c r="AA91" s="58" t="n">
        <f aca="false">MAX(0,B91-E91-H91)</f>
        <v>0</v>
      </c>
      <c r="AB91" s="58" t="n">
        <f aca="false">MAX(0,C91-F91-I91)</f>
        <v>0</v>
      </c>
      <c r="AC91" s="58" t="n">
        <f aca="false">MAX(0,D91-G91-J91)</f>
        <v>0</v>
      </c>
      <c r="AD91" s="59" t="n">
        <f aca="false">E91+AA91*TASA_USADA</f>
        <v>0</v>
      </c>
      <c r="AE91" s="59" t="n">
        <f aca="false">F91+AB91*TASA_USADA</f>
        <v>0</v>
      </c>
      <c r="AF91" s="59" t="n">
        <f aca="false">G91+AC91*TASA_USADA</f>
        <v>0</v>
      </c>
      <c r="AG91" s="59" t="n">
        <f aca="false">H91+I91+J91+(AA91+AB91+AC91)*(1-TASA_USADA)</f>
        <v>0</v>
      </c>
      <c r="AH91" s="60" t="n">
        <f aca="false">AD91*P1_PVP+AE91*P2_PVP+AF91*IF($A91&lt;P3_DESDE,P3A_PVP,P3_PVP)</f>
        <v>0</v>
      </c>
      <c r="AI91" s="60" t="n">
        <f aca="false">AD91*P1_CPROD+AE91*P2_CPROD+AF91*IF($A91&lt;P3_DESDE,P3A_CPROD,P3_CPROD)</f>
        <v>0</v>
      </c>
      <c r="AJ91" s="60" t="n">
        <f aca="false">IF(ISNUMBER(L91),L91,E91*P1_LOG+F91*P2_LOG+G91*P3_LOG)+IF(ISNUMBER(M91),M91,AA91*P1_LOG+AB91*P2_LOG+AC91*P3_LOG)*TASA_USADA</f>
        <v>0</v>
      </c>
      <c r="AK91" s="60" t="n">
        <f aca="false">AG91*COSTE_DEV</f>
        <v>0</v>
      </c>
      <c r="AL91" s="60" t="n">
        <f aca="false">AD91*P1_IVAN+AE91*P2_IVAN+AF91*IF($A91&lt;P3_DESDE,P3A_IVAN,P3_IVAN)-AG91*IVA_DEV</f>
        <v>0</v>
      </c>
      <c r="AM91" s="60" t="n">
        <f aca="false">N91*(1+RECARGO_ADS)</f>
        <v>0</v>
      </c>
      <c r="AN91" s="58" t="n">
        <f aca="false">IF(ISNUMBER(L91),E91+F91+G91+AA91+AB91+AC91,0)</f>
        <v>0</v>
      </c>
      <c r="AO91" s="60" t="n">
        <f aca="false">P91*COMISION</f>
        <v>0</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B92*P1_PVP+C92*P2_PVP+D92*IF($A92&lt;P3_DESDE,P3A_PVP,P3_PVP)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E92*(P1_PVP-P1_CPROD)+F92*(P2_PVP-P2_CPROD)+G92*(IF($A92&lt;P3_DESDE,P3A_PVP,P3_PVP)-IF($A92&lt;P3_DESDE,P3A_CPROD,P3_CPROD))-IF(ISNUMBER(L92),L92,E92*P1_LOG+F92*P2_LOG+G92*P3_LOG)</f>
        <v>0</v>
      </c>
      <c r="X92" s="33" t="n">
        <f aca="false">W92-(E92*P1_IVAN+F92*P2_IVAN+G92*IF($A92&lt;P3_DESDE,P3A_IVAN,P3_IVAN))-(H92+I92+J92)*(COSTE_DEV-IVA_DEV)-AM92-AO92</f>
        <v>0</v>
      </c>
      <c r="Y92" s="33" t="n">
        <f aca="false">AH92-AI92-AJ92-AK92-AL92-AM92-AO92</f>
        <v>0</v>
      </c>
      <c r="AA92" s="58" t="n">
        <f aca="false">MAX(0,B92-E92-H92)</f>
        <v>0</v>
      </c>
      <c r="AB92" s="58" t="n">
        <f aca="false">MAX(0,C92-F92-I92)</f>
        <v>0</v>
      </c>
      <c r="AC92" s="58" t="n">
        <f aca="false">MAX(0,D92-G92-J92)</f>
        <v>0</v>
      </c>
      <c r="AD92" s="59" t="n">
        <f aca="false">E92+AA92*TASA_USADA</f>
        <v>0</v>
      </c>
      <c r="AE92" s="59" t="n">
        <f aca="false">F92+AB92*TASA_USADA</f>
        <v>0</v>
      </c>
      <c r="AF92" s="59" t="n">
        <f aca="false">G92+AC92*TASA_USADA</f>
        <v>0</v>
      </c>
      <c r="AG92" s="59" t="n">
        <f aca="false">H92+I92+J92+(AA92+AB92+AC92)*(1-TASA_USADA)</f>
        <v>0</v>
      </c>
      <c r="AH92" s="60" t="n">
        <f aca="false">AD92*P1_PVP+AE92*P2_PVP+AF92*IF($A92&lt;P3_DESDE,P3A_PVP,P3_PVP)</f>
        <v>0</v>
      </c>
      <c r="AI92" s="60" t="n">
        <f aca="false">AD92*P1_CPROD+AE92*P2_CPROD+AF92*IF($A92&lt;P3_DESDE,P3A_CPROD,P3_CPROD)</f>
        <v>0</v>
      </c>
      <c r="AJ92" s="60" t="n">
        <f aca="false">IF(ISNUMBER(L92),L92,E92*P1_LOG+F92*P2_LOG+G92*P3_LOG)+IF(ISNUMBER(M92),M92,AA92*P1_LOG+AB92*P2_LOG+AC92*P3_LOG)*TASA_USADA</f>
        <v>0</v>
      </c>
      <c r="AK92" s="60" t="n">
        <f aca="false">AG92*COSTE_DEV</f>
        <v>0</v>
      </c>
      <c r="AL92" s="60" t="n">
        <f aca="false">AD92*P1_IVAN+AE92*P2_IVAN+AF92*IF($A92&lt;P3_DESDE,P3A_IVAN,P3_IVAN)-AG92*IVA_DEV</f>
        <v>0</v>
      </c>
      <c r="AM92" s="60" t="n">
        <f aca="false">N92*(1+RECARGO_ADS)</f>
        <v>0</v>
      </c>
      <c r="AN92" s="58" t="n">
        <f aca="false">IF(ISNUMBER(L92),E92+F92+G92+AA92+AB92+AC92,0)</f>
        <v>0</v>
      </c>
      <c r="AO92" s="60" t="n">
        <f aca="false">P92*COMISION</f>
        <v>0</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B93*P1_PVP+C93*P2_PVP+D93*IF($A93&lt;P3_DESDE,P3A_PVP,P3_PVP)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E93*(P1_PVP-P1_CPROD)+F93*(P2_PVP-P2_CPROD)+G93*(IF($A93&lt;P3_DESDE,P3A_PVP,P3_PVP)-IF($A93&lt;P3_DESDE,P3A_CPROD,P3_CPROD))-IF(ISNUMBER(L93),L93,E93*P1_LOG+F93*P2_LOG+G93*P3_LOG)</f>
        <v>0</v>
      </c>
      <c r="X93" s="33" t="n">
        <f aca="false">W93-(E93*P1_IVAN+F93*P2_IVAN+G93*IF($A93&lt;P3_DESDE,P3A_IVAN,P3_IVAN))-(H93+I93+J93)*(COSTE_DEV-IVA_DEV)-AM93-AO93</f>
        <v>0</v>
      </c>
      <c r="Y93" s="33" t="n">
        <f aca="false">AH93-AI93-AJ93-AK93-AL93-AM93-AO93</f>
        <v>0</v>
      </c>
      <c r="AA93" s="58" t="n">
        <f aca="false">MAX(0,B93-E93-H93)</f>
        <v>0</v>
      </c>
      <c r="AB93" s="58" t="n">
        <f aca="false">MAX(0,C93-F93-I93)</f>
        <v>0</v>
      </c>
      <c r="AC93" s="58" t="n">
        <f aca="false">MAX(0,D93-G93-J93)</f>
        <v>0</v>
      </c>
      <c r="AD93" s="59" t="n">
        <f aca="false">E93+AA93*TASA_USADA</f>
        <v>0</v>
      </c>
      <c r="AE93" s="59" t="n">
        <f aca="false">F93+AB93*TASA_USADA</f>
        <v>0</v>
      </c>
      <c r="AF93" s="59" t="n">
        <f aca="false">G93+AC93*TASA_USADA</f>
        <v>0</v>
      </c>
      <c r="AG93" s="59" t="n">
        <f aca="false">H93+I93+J93+(AA93+AB93+AC93)*(1-TASA_USADA)</f>
        <v>0</v>
      </c>
      <c r="AH93" s="60" t="n">
        <f aca="false">AD93*P1_PVP+AE93*P2_PVP+AF93*IF($A93&lt;P3_DESDE,P3A_PVP,P3_PVP)</f>
        <v>0</v>
      </c>
      <c r="AI93" s="60" t="n">
        <f aca="false">AD93*P1_CPROD+AE93*P2_CPROD+AF93*IF($A93&lt;P3_DESDE,P3A_CPROD,P3_CPROD)</f>
        <v>0</v>
      </c>
      <c r="AJ93" s="60" t="n">
        <f aca="false">IF(ISNUMBER(L93),L93,E93*P1_LOG+F93*P2_LOG+G93*P3_LOG)+IF(ISNUMBER(M93),M93,AA93*P1_LOG+AB93*P2_LOG+AC93*P3_LOG)*TASA_USADA</f>
        <v>0</v>
      </c>
      <c r="AK93" s="60" t="n">
        <f aca="false">AG93*COSTE_DEV</f>
        <v>0</v>
      </c>
      <c r="AL93" s="60" t="n">
        <f aca="false">AD93*P1_IVAN+AE93*P2_IVAN+AF93*IF($A93&lt;P3_DESDE,P3A_IVAN,P3_IVAN)-AG93*IVA_DEV</f>
        <v>0</v>
      </c>
      <c r="AM93" s="60" t="n">
        <f aca="false">N93*(1+RECARGO_ADS)</f>
        <v>0</v>
      </c>
      <c r="AN93" s="58" t="n">
        <f aca="false">IF(ISNUMBER(L93),E93+F93+G93+AA93+AB93+AC93,0)</f>
        <v>0</v>
      </c>
      <c r="AO93" s="60" t="n">
        <f aca="false">P93*COMISION</f>
        <v>0</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B94*P1_PVP+C94*P2_PVP+D94*IF($A94&lt;P3_DESDE,P3A_PVP,P3_PVP)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E94*(P1_PVP-P1_CPROD)+F94*(P2_PVP-P2_CPROD)+G94*(IF($A94&lt;P3_DESDE,P3A_PVP,P3_PVP)-IF($A94&lt;P3_DESDE,P3A_CPROD,P3_CPROD))-IF(ISNUMBER(L94),L94,E94*P1_LOG+F94*P2_LOG+G94*P3_LOG)</f>
        <v>0</v>
      </c>
      <c r="X94" s="33" t="n">
        <f aca="false">W94-(E94*P1_IVAN+F94*P2_IVAN+G94*IF($A94&lt;P3_DESDE,P3A_IVAN,P3_IVAN))-(H94+I94+J94)*(COSTE_DEV-IVA_DEV)-AM94-AO94</f>
        <v>0</v>
      </c>
      <c r="Y94" s="33" t="n">
        <f aca="false">AH94-AI94-AJ94-AK94-AL94-AM94-AO94</f>
        <v>0</v>
      </c>
      <c r="AA94" s="58" t="n">
        <f aca="false">MAX(0,B94-E94-H94)</f>
        <v>0</v>
      </c>
      <c r="AB94" s="58" t="n">
        <f aca="false">MAX(0,C94-F94-I94)</f>
        <v>0</v>
      </c>
      <c r="AC94" s="58" t="n">
        <f aca="false">MAX(0,D94-G94-J94)</f>
        <v>0</v>
      </c>
      <c r="AD94" s="59" t="n">
        <f aca="false">E94+AA94*TASA_USADA</f>
        <v>0</v>
      </c>
      <c r="AE94" s="59" t="n">
        <f aca="false">F94+AB94*TASA_USADA</f>
        <v>0</v>
      </c>
      <c r="AF94" s="59" t="n">
        <f aca="false">G94+AC94*TASA_USADA</f>
        <v>0</v>
      </c>
      <c r="AG94" s="59" t="n">
        <f aca="false">H94+I94+J94+(AA94+AB94+AC94)*(1-TASA_USADA)</f>
        <v>0</v>
      </c>
      <c r="AH94" s="60" t="n">
        <f aca="false">AD94*P1_PVP+AE94*P2_PVP+AF94*IF($A94&lt;P3_DESDE,P3A_PVP,P3_PVP)</f>
        <v>0</v>
      </c>
      <c r="AI94" s="60" t="n">
        <f aca="false">AD94*P1_CPROD+AE94*P2_CPROD+AF94*IF($A94&lt;P3_DESDE,P3A_CPROD,P3_CPROD)</f>
        <v>0</v>
      </c>
      <c r="AJ94" s="60" t="n">
        <f aca="false">IF(ISNUMBER(L94),L94,E94*P1_LOG+F94*P2_LOG+G94*P3_LOG)+IF(ISNUMBER(M94),M94,AA94*P1_LOG+AB94*P2_LOG+AC94*P3_LOG)*TASA_USADA</f>
        <v>0</v>
      </c>
      <c r="AK94" s="60" t="n">
        <f aca="false">AG94*COSTE_DEV</f>
        <v>0</v>
      </c>
      <c r="AL94" s="60" t="n">
        <f aca="false">AD94*P1_IVAN+AE94*P2_IVAN+AF94*IF($A94&lt;P3_DESDE,P3A_IVAN,P3_IVAN)-AG94*IVA_DEV</f>
        <v>0</v>
      </c>
      <c r="AM94" s="60" t="n">
        <f aca="false">N94*(1+RECARGO_ADS)</f>
        <v>0</v>
      </c>
      <c r="AN94" s="58" t="n">
        <f aca="false">IF(ISNUMBER(L94),E94+F94+G94+AA94+AB94+AC94,0)</f>
        <v>0</v>
      </c>
      <c r="AO94" s="60" t="n">
        <f aca="false">P94*COMISION</f>
        <v>0</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B95*P1_PVP+C95*P2_PVP+D95*IF($A95&lt;P3_DESDE,P3A_PVP,P3_PVP)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E95*(P1_PVP-P1_CPROD)+F95*(P2_PVP-P2_CPROD)+G95*(IF($A95&lt;P3_DESDE,P3A_PVP,P3_PVP)-IF($A95&lt;P3_DESDE,P3A_CPROD,P3_CPROD))-IF(ISNUMBER(L95),L95,E95*P1_LOG+F95*P2_LOG+G95*P3_LOG)</f>
        <v>0</v>
      </c>
      <c r="X95" s="33" t="n">
        <f aca="false">W95-(E95*P1_IVAN+F95*P2_IVAN+G95*IF($A95&lt;P3_DESDE,P3A_IVAN,P3_IVAN))-(H95+I95+J95)*(COSTE_DEV-IVA_DEV)-AM95-AO95</f>
        <v>0</v>
      </c>
      <c r="Y95" s="33" t="n">
        <f aca="false">AH95-AI95-AJ95-AK95-AL95-AM95-AO95</f>
        <v>0</v>
      </c>
      <c r="AA95" s="58" t="n">
        <f aca="false">MAX(0,B95-E95-H95)</f>
        <v>0</v>
      </c>
      <c r="AB95" s="58" t="n">
        <f aca="false">MAX(0,C95-F95-I95)</f>
        <v>0</v>
      </c>
      <c r="AC95" s="58" t="n">
        <f aca="false">MAX(0,D95-G95-J95)</f>
        <v>0</v>
      </c>
      <c r="AD95" s="59" t="n">
        <f aca="false">E95+AA95*TASA_USADA</f>
        <v>0</v>
      </c>
      <c r="AE95" s="59" t="n">
        <f aca="false">F95+AB95*TASA_USADA</f>
        <v>0</v>
      </c>
      <c r="AF95" s="59" t="n">
        <f aca="false">G95+AC95*TASA_USADA</f>
        <v>0</v>
      </c>
      <c r="AG95" s="59" t="n">
        <f aca="false">H95+I95+J95+(AA95+AB95+AC95)*(1-TASA_USADA)</f>
        <v>0</v>
      </c>
      <c r="AH95" s="60" t="n">
        <f aca="false">AD95*P1_PVP+AE95*P2_PVP+AF95*IF($A95&lt;P3_DESDE,P3A_PVP,P3_PVP)</f>
        <v>0</v>
      </c>
      <c r="AI95" s="60" t="n">
        <f aca="false">AD95*P1_CPROD+AE95*P2_CPROD+AF95*IF($A95&lt;P3_DESDE,P3A_CPROD,P3_CPROD)</f>
        <v>0</v>
      </c>
      <c r="AJ95" s="60" t="n">
        <f aca="false">IF(ISNUMBER(L95),L95,E95*P1_LOG+F95*P2_LOG+G95*P3_LOG)+IF(ISNUMBER(M95),M95,AA95*P1_LOG+AB95*P2_LOG+AC95*P3_LOG)*TASA_USADA</f>
        <v>0</v>
      </c>
      <c r="AK95" s="60" t="n">
        <f aca="false">AG95*COSTE_DEV</f>
        <v>0</v>
      </c>
      <c r="AL95" s="60" t="n">
        <f aca="false">AD95*P1_IVAN+AE95*P2_IVAN+AF95*IF($A95&lt;P3_DESDE,P3A_IVAN,P3_IVAN)-AG95*IVA_DEV</f>
        <v>0</v>
      </c>
      <c r="AM95" s="60" t="n">
        <f aca="false">N95*(1+RECARGO_ADS)</f>
        <v>0</v>
      </c>
      <c r="AN95" s="58" t="n">
        <f aca="false">IF(ISNUMBER(L95),E95+F95+G95+AA95+AB95+AC95,0)</f>
        <v>0</v>
      </c>
      <c r="AO95" s="60" t="n">
        <f aca="false">P95*COMISION</f>
        <v>0</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B96*P1_PVP+C96*P2_PVP+D96*IF($A96&lt;P3_DESDE,P3A_PVP,P3_PVP)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E96*(P1_PVP-P1_CPROD)+F96*(P2_PVP-P2_CPROD)+G96*(IF($A96&lt;P3_DESDE,P3A_PVP,P3_PVP)-IF($A96&lt;P3_DESDE,P3A_CPROD,P3_CPROD))-IF(ISNUMBER(L96),L96,E96*P1_LOG+F96*P2_LOG+G96*P3_LOG)</f>
        <v>0</v>
      </c>
      <c r="X96" s="33" t="n">
        <f aca="false">W96-(E96*P1_IVAN+F96*P2_IVAN+G96*IF($A96&lt;P3_DESDE,P3A_IVAN,P3_IVAN))-(H96+I96+J96)*(COSTE_DEV-IVA_DEV)-AM96-AO96</f>
        <v>0</v>
      </c>
      <c r="Y96" s="33" t="n">
        <f aca="false">AH96-AI96-AJ96-AK96-AL96-AM96-AO96</f>
        <v>0</v>
      </c>
      <c r="AA96" s="58" t="n">
        <f aca="false">MAX(0,B96-E96-H96)</f>
        <v>0</v>
      </c>
      <c r="AB96" s="58" t="n">
        <f aca="false">MAX(0,C96-F96-I96)</f>
        <v>0</v>
      </c>
      <c r="AC96" s="58" t="n">
        <f aca="false">MAX(0,D96-G96-J96)</f>
        <v>0</v>
      </c>
      <c r="AD96" s="59" t="n">
        <f aca="false">E96+AA96*TASA_USADA</f>
        <v>0</v>
      </c>
      <c r="AE96" s="59" t="n">
        <f aca="false">F96+AB96*TASA_USADA</f>
        <v>0</v>
      </c>
      <c r="AF96" s="59" t="n">
        <f aca="false">G96+AC96*TASA_USADA</f>
        <v>0</v>
      </c>
      <c r="AG96" s="59" t="n">
        <f aca="false">H96+I96+J96+(AA96+AB96+AC96)*(1-TASA_USADA)</f>
        <v>0</v>
      </c>
      <c r="AH96" s="60" t="n">
        <f aca="false">AD96*P1_PVP+AE96*P2_PVP+AF96*IF($A96&lt;P3_DESDE,P3A_PVP,P3_PVP)</f>
        <v>0</v>
      </c>
      <c r="AI96" s="60" t="n">
        <f aca="false">AD96*P1_CPROD+AE96*P2_CPROD+AF96*IF($A96&lt;P3_DESDE,P3A_CPROD,P3_CPROD)</f>
        <v>0</v>
      </c>
      <c r="AJ96" s="60" t="n">
        <f aca="false">IF(ISNUMBER(L96),L96,E96*P1_LOG+F96*P2_LOG+G96*P3_LOG)+IF(ISNUMBER(M96),M96,AA96*P1_LOG+AB96*P2_LOG+AC96*P3_LOG)*TASA_USADA</f>
        <v>0</v>
      </c>
      <c r="AK96" s="60" t="n">
        <f aca="false">AG96*COSTE_DEV</f>
        <v>0</v>
      </c>
      <c r="AL96" s="60" t="n">
        <f aca="false">AD96*P1_IVAN+AE96*P2_IVAN+AF96*IF($A96&lt;P3_DESDE,P3A_IVAN,P3_IVAN)-AG96*IVA_DEV</f>
        <v>0</v>
      </c>
      <c r="AM96" s="60" t="n">
        <f aca="false">N96*(1+RECARGO_ADS)</f>
        <v>0</v>
      </c>
      <c r="AN96" s="58" t="n">
        <f aca="false">IF(ISNUMBER(L96),E96+F96+G96+AA96+AB96+AC96,0)</f>
        <v>0</v>
      </c>
      <c r="AO96" s="60" t="n">
        <f aca="false">P96*COMISION</f>
        <v>0</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B97*P1_PVP+C97*P2_PVP+D97*IF($A97&lt;P3_DESDE,P3A_PVP,P3_PVP)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E97*(P1_PVP-P1_CPROD)+F97*(P2_PVP-P2_CPROD)+G97*(IF($A97&lt;P3_DESDE,P3A_PVP,P3_PVP)-IF($A97&lt;P3_DESDE,P3A_CPROD,P3_CPROD))-IF(ISNUMBER(L97),L97,E97*P1_LOG+F97*P2_LOG+G97*P3_LOG)</f>
        <v>0</v>
      </c>
      <c r="X97" s="33" t="n">
        <f aca="false">W97-(E97*P1_IVAN+F97*P2_IVAN+G97*IF($A97&lt;P3_DESDE,P3A_IVAN,P3_IVAN))-(H97+I97+J97)*(COSTE_DEV-IVA_DEV)-AM97-AO97</f>
        <v>0</v>
      </c>
      <c r="Y97" s="33" t="n">
        <f aca="false">AH97-AI97-AJ97-AK97-AL97-AM97-AO97</f>
        <v>0</v>
      </c>
      <c r="AA97" s="58" t="n">
        <f aca="false">MAX(0,B97-E97-H97)</f>
        <v>0</v>
      </c>
      <c r="AB97" s="58" t="n">
        <f aca="false">MAX(0,C97-F97-I97)</f>
        <v>0</v>
      </c>
      <c r="AC97" s="58" t="n">
        <f aca="false">MAX(0,D97-G97-J97)</f>
        <v>0</v>
      </c>
      <c r="AD97" s="59" t="n">
        <f aca="false">E97+AA97*TASA_USADA</f>
        <v>0</v>
      </c>
      <c r="AE97" s="59" t="n">
        <f aca="false">F97+AB97*TASA_USADA</f>
        <v>0</v>
      </c>
      <c r="AF97" s="59" t="n">
        <f aca="false">G97+AC97*TASA_USADA</f>
        <v>0</v>
      </c>
      <c r="AG97" s="59" t="n">
        <f aca="false">H97+I97+J97+(AA97+AB97+AC97)*(1-TASA_USADA)</f>
        <v>0</v>
      </c>
      <c r="AH97" s="60" t="n">
        <f aca="false">AD97*P1_PVP+AE97*P2_PVP+AF97*IF($A97&lt;P3_DESDE,P3A_PVP,P3_PVP)</f>
        <v>0</v>
      </c>
      <c r="AI97" s="60" t="n">
        <f aca="false">AD97*P1_CPROD+AE97*P2_CPROD+AF97*IF($A97&lt;P3_DESDE,P3A_CPROD,P3_CPROD)</f>
        <v>0</v>
      </c>
      <c r="AJ97" s="60" t="n">
        <f aca="false">IF(ISNUMBER(L97),L97,E97*P1_LOG+F97*P2_LOG+G97*P3_LOG)+IF(ISNUMBER(M97),M97,AA97*P1_LOG+AB97*P2_LOG+AC97*P3_LOG)*TASA_USADA</f>
        <v>0</v>
      </c>
      <c r="AK97" s="60" t="n">
        <f aca="false">AG97*COSTE_DEV</f>
        <v>0</v>
      </c>
      <c r="AL97" s="60" t="n">
        <f aca="false">AD97*P1_IVAN+AE97*P2_IVAN+AF97*IF($A97&lt;P3_DESDE,P3A_IVAN,P3_IVAN)-AG97*IVA_DEV</f>
        <v>0</v>
      </c>
      <c r="AM97" s="60" t="n">
        <f aca="false">N97*(1+RECARGO_ADS)</f>
        <v>0</v>
      </c>
      <c r="AN97" s="58" t="n">
        <f aca="false">IF(ISNUMBER(L97),E97+F97+G97+AA97+AB97+AC97,0)</f>
        <v>0</v>
      </c>
      <c r="AO97" s="60" t="n">
        <f aca="false">P97*COMISION</f>
        <v>0</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B98*P1_PVP+C98*P2_PVP+D98*IF($A98&lt;P3_DESDE,P3A_PVP,P3_PVP)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E98*(P1_PVP-P1_CPROD)+F98*(P2_PVP-P2_CPROD)+G98*(IF($A98&lt;P3_DESDE,P3A_PVP,P3_PVP)-IF($A98&lt;P3_DESDE,P3A_CPROD,P3_CPROD))-IF(ISNUMBER(L98),L98,E98*P1_LOG+F98*P2_LOG+G98*P3_LOG)</f>
        <v>0</v>
      </c>
      <c r="X98" s="33" t="n">
        <f aca="false">W98-(E98*P1_IVAN+F98*P2_IVAN+G98*IF($A98&lt;P3_DESDE,P3A_IVAN,P3_IVAN))-(H98+I98+J98)*(COSTE_DEV-IVA_DEV)-AM98-AO98</f>
        <v>0</v>
      </c>
      <c r="Y98" s="33" t="n">
        <f aca="false">AH98-AI98-AJ98-AK98-AL98-AM98-AO98</f>
        <v>0</v>
      </c>
      <c r="AA98" s="58" t="n">
        <f aca="false">MAX(0,B98-E98-H98)</f>
        <v>0</v>
      </c>
      <c r="AB98" s="58" t="n">
        <f aca="false">MAX(0,C98-F98-I98)</f>
        <v>0</v>
      </c>
      <c r="AC98" s="58" t="n">
        <f aca="false">MAX(0,D98-G98-J98)</f>
        <v>0</v>
      </c>
      <c r="AD98" s="59" t="n">
        <f aca="false">E98+AA98*TASA_USADA</f>
        <v>0</v>
      </c>
      <c r="AE98" s="59" t="n">
        <f aca="false">F98+AB98*TASA_USADA</f>
        <v>0</v>
      </c>
      <c r="AF98" s="59" t="n">
        <f aca="false">G98+AC98*TASA_USADA</f>
        <v>0</v>
      </c>
      <c r="AG98" s="59" t="n">
        <f aca="false">H98+I98+J98+(AA98+AB98+AC98)*(1-TASA_USADA)</f>
        <v>0</v>
      </c>
      <c r="AH98" s="60" t="n">
        <f aca="false">AD98*P1_PVP+AE98*P2_PVP+AF98*IF($A98&lt;P3_DESDE,P3A_PVP,P3_PVP)</f>
        <v>0</v>
      </c>
      <c r="AI98" s="60" t="n">
        <f aca="false">AD98*P1_CPROD+AE98*P2_CPROD+AF98*IF($A98&lt;P3_DESDE,P3A_CPROD,P3_CPROD)</f>
        <v>0</v>
      </c>
      <c r="AJ98" s="60" t="n">
        <f aca="false">IF(ISNUMBER(L98),L98,E98*P1_LOG+F98*P2_LOG+G98*P3_LOG)+IF(ISNUMBER(M98),M98,AA98*P1_LOG+AB98*P2_LOG+AC98*P3_LOG)*TASA_USADA</f>
        <v>0</v>
      </c>
      <c r="AK98" s="60" t="n">
        <f aca="false">AG98*COSTE_DEV</f>
        <v>0</v>
      </c>
      <c r="AL98" s="60" t="n">
        <f aca="false">AD98*P1_IVAN+AE98*P2_IVAN+AF98*IF($A98&lt;P3_DESDE,P3A_IVAN,P3_IVAN)-AG98*IVA_DEV</f>
        <v>0</v>
      </c>
      <c r="AM98" s="60" t="n">
        <f aca="false">N98*(1+RECARGO_ADS)</f>
        <v>0</v>
      </c>
      <c r="AN98" s="58" t="n">
        <f aca="false">IF(ISNUMBER(L98),E98+F98+G98+AA98+AB98+AC98,0)</f>
        <v>0</v>
      </c>
      <c r="AO98" s="60" t="n">
        <f aca="false">P98*COMISION</f>
        <v>0</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B99*P1_PVP+C99*P2_PVP+D99*IF($A99&lt;P3_DESDE,P3A_PVP,P3_PVP)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E99*(P1_PVP-P1_CPROD)+F99*(P2_PVP-P2_CPROD)+G99*(IF($A99&lt;P3_DESDE,P3A_PVP,P3_PVP)-IF($A99&lt;P3_DESDE,P3A_CPROD,P3_CPROD))-IF(ISNUMBER(L99),L99,E99*P1_LOG+F99*P2_LOG+G99*P3_LOG)</f>
        <v>0</v>
      </c>
      <c r="X99" s="33" t="n">
        <f aca="false">W99-(E99*P1_IVAN+F99*P2_IVAN+G99*IF($A99&lt;P3_DESDE,P3A_IVAN,P3_IVAN))-(H99+I99+J99)*(COSTE_DEV-IVA_DEV)-AM99-AO99</f>
        <v>0</v>
      </c>
      <c r="Y99" s="33" t="n">
        <f aca="false">AH99-AI99-AJ99-AK99-AL99-AM99-AO99</f>
        <v>0</v>
      </c>
      <c r="AA99" s="58" t="n">
        <f aca="false">MAX(0,B99-E99-H99)</f>
        <v>0</v>
      </c>
      <c r="AB99" s="58" t="n">
        <f aca="false">MAX(0,C99-F99-I99)</f>
        <v>0</v>
      </c>
      <c r="AC99" s="58" t="n">
        <f aca="false">MAX(0,D99-G99-J99)</f>
        <v>0</v>
      </c>
      <c r="AD99" s="59" t="n">
        <f aca="false">E99+AA99*TASA_USADA</f>
        <v>0</v>
      </c>
      <c r="AE99" s="59" t="n">
        <f aca="false">F99+AB99*TASA_USADA</f>
        <v>0</v>
      </c>
      <c r="AF99" s="59" t="n">
        <f aca="false">G99+AC99*TASA_USADA</f>
        <v>0</v>
      </c>
      <c r="AG99" s="59" t="n">
        <f aca="false">H99+I99+J99+(AA99+AB99+AC99)*(1-TASA_USADA)</f>
        <v>0</v>
      </c>
      <c r="AH99" s="60" t="n">
        <f aca="false">AD99*P1_PVP+AE99*P2_PVP+AF99*IF($A99&lt;P3_DESDE,P3A_PVP,P3_PVP)</f>
        <v>0</v>
      </c>
      <c r="AI99" s="60" t="n">
        <f aca="false">AD99*P1_CPROD+AE99*P2_CPROD+AF99*IF($A99&lt;P3_DESDE,P3A_CPROD,P3_CPROD)</f>
        <v>0</v>
      </c>
      <c r="AJ99" s="60" t="n">
        <f aca="false">IF(ISNUMBER(L99),L99,E99*P1_LOG+F99*P2_LOG+G99*P3_LOG)+IF(ISNUMBER(M99),M99,AA99*P1_LOG+AB99*P2_LOG+AC99*P3_LOG)*TASA_USADA</f>
        <v>0</v>
      </c>
      <c r="AK99" s="60" t="n">
        <f aca="false">AG99*COSTE_DEV</f>
        <v>0</v>
      </c>
      <c r="AL99" s="60" t="n">
        <f aca="false">AD99*P1_IVAN+AE99*P2_IVAN+AF99*IF($A99&lt;P3_DESDE,P3A_IVAN,P3_IVAN)-AG99*IVA_DEV</f>
        <v>0</v>
      </c>
      <c r="AM99" s="60" t="n">
        <f aca="false">N99*(1+RECARGO_ADS)</f>
        <v>0</v>
      </c>
      <c r="AN99" s="58" t="n">
        <f aca="false">IF(ISNUMBER(L99),E99+F99+G99+AA99+AB99+AC99,0)</f>
        <v>0</v>
      </c>
      <c r="AO99" s="60" t="n">
        <f aca="false">P99*COMISION</f>
        <v>0</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B100*P1_PVP+C100*P2_PVP+D100*IF($A100&lt;P3_DESDE,P3A_PVP,P3_PVP)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E100*(P1_PVP-P1_CPROD)+F100*(P2_PVP-P2_CPROD)+G100*(IF($A100&lt;P3_DESDE,P3A_PVP,P3_PVP)-IF($A100&lt;P3_DESDE,P3A_CPROD,P3_CPROD))-IF(ISNUMBER(L100),L100,E100*P1_LOG+F100*P2_LOG+G100*P3_LOG)</f>
        <v>0</v>
      </c>
      <c r="X100" s="33" t="n">
        <f aca="false">W100-(E100*P1_IVAN+F100*P2_IVAN+G100*IF($A100&lt;P3_DESDE,P3A_IVAN,P3_IVAN))-(H100+I100+J100)*(COSTE_DEV-IVA_DEV)-AM100-AO100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E100+AA100*TASA_USADA</f>
        <v>0</v>
      </c>
      <c r="AE100" s="59" t="n">
        <f aca="false">F100+AB100*TASA_USADA</f>
        <v>0</v>
      </c>
      <c r="AF100" s="59" t="n">
        <f aca="false">G100+AC100*TASA_USADA</f>
        <v>0</v>
      </c>
      <c r="AG100" s="59" t="n">
        <f aca="false">H100+I100+J100+(AA100+AB100+AC100)*(1-TASA_USADA)</f>
        <v>0</v>
      </c>
      <c r="AH100" s="60" t="n">
        <f aca="false">AD100*P1_PVP+AE100*P2_PVP+AF100*IF($A100&lt;P3_DESDE,P3A_PVP,P3_PVP)</f>
        <v>0</v>
      </c>
      <c r="AI100" s="60" t="n">
        <f aca="false">AD100*P1_CPROD+AE100*P2_CPROD+AF100*IF($A100&lt;P3_DESDE,P3A_CPROD,P3_CPROD)</f>
        <v>0</v>
      </c>
      <c r="AJ100" s="60" t="n">
        <f aca="false">IF(ISNUMBER(L100),L100,E100*P1_LOG+F100*P2_LOG+G100*P3_LOG)+IF(ISNUMBER(M100),M100,AA100*P1_LOG+AB100*P2_LOG+AC100*P3_LOG)*TASA_USADA</f>
        <v>0</v>
      </c>
      <c r="AK100" s="60" t="n">
        <f aca="false">AG100*COSTE_DEV</f>
        <v>0</v>
      </c>
      <c r="AL100" s="60" t="n">
        <f aca="false">AD100*P1_IVAN+AE100*P2_IVAN+AF100*IF($A100&lt;P3_DESDE,P3A_IVAN,P3_IVAN)-AG100*IVA_DEV</f>
        <v>0</v>
      </c>
      <c r="AM100" s="60" t="n">
        <f aca="false">N100*(1+RECARGO_ADS)</f>
        <v>0</v>
      </c>
      <c r="AN100" s="58" t="n">
        <f aca="false">IF(ISNUMBER(L100),E100+F100+G100+AA100+AB100+AC100,0)</f>
        <v>0</v>
      </c>
      <c r="AO100" s="60" t="n">
        <f aca="false">P100*COMISION</f>
        <v>0</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B101*P1_PVP+C101*P2_PVP+D101*IF($A101&lt;P3_DESDE,P3A_PVP,P3_PVP)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E101*(P1_PVP-P1_CPROD)+F101*(P2_PVP-P2_CPROD)+G101*(IF($A101&lt;P3_DESDE,P3A_PVP,P3_PVP)-IF($A101&lt;P3_DESDE,P3A_CPROD,P3_CPROD))-IF(ISNUMBER(L101),L101,E101*P1_LOG+F101*P2_LOG+G101*P3_LOG)</f>
        <v>0</v>
      </c>
      <c r="X101" s="33" t="n">
        <f aca="false">W101-(E101*P1_IVAN+F101*P2_IVAN+G101*IF($A101&lt;P3_DESDE,P3A_IVAN,P3_IVAN))-(H101+I101+J101)*(COSTE_DEV-IVA_DEV)-AM101-AO101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E101+AA101*TASA_USADA</f>
        <v>0</v>
      </c>
      <c r="AE101" s="59" t="n">
        <f aca="false">F101+AB101*TASA_USADA</f>
        <v>0</v>
      </c>
      <c r="AF101" s="59" t="n">
        <f aca="false">G101+AC101*TASA_USADA</f>
        <v>0</v>
      </c>
      <c r="AG101" s="59" t="n">
        <f aca="false">H101+I101+J101+(AA101+AB101+AC101)*(1-TASA_USADA)</f>
        <v>0</v>
      </c>
      <c r="AH101" s="60" t="n">
        <f aca="false">AD101*P1_PVP+AE101*P2_PVP+AF101*IF($A101&lt;P3_DESDE,P3A_PVP,P3_PVP)</f>
        <v>0</v>
      </c>
      <c r="AI101" s="60" t="n">
        <f aca="false">AD101*P1_CPROD+AE101*P2_CPROD+AF101*IF($A101&lt;P3_DESDE,P3A_CPROD,P3_CPROD)</f>
        <v>0</v>
      </c>
      <c r="AJ101" s="60" t="n">
        <f aca="false">IF(ISNUMBER(L101),L101,E101*P1_LOG+F101*P2_LOG+G101*P3_LOG)+IF(ISNUMBER(M101),M101,AA101*P1_LOG+AB101*P2_LOG+AC101*P3_LOG)*TASA_USADA</f>
        <v>0</v>
      </c>
      <c r="AK101" s="60" t="n">
        <f aca="false">AG101*COSTE_DEV</f>
        <v>0</v>
      </c>
      <c r="AL101" s="60" t="n">
        <f aca="false">AD101*P1_IVAN+AE101*P2_IVAN+AF101*IF($A101&lt;P3_DESDE,P3A_IVAN,P3_IVAN)-AG101*IVA_DEV</f>
        <v>0</v>
      </c>
      <c r="AM101" s="60" t="n">
        <f aca="false">N101*(1+RECARGO_ADS)</f>
        <v>0</v>
      </c>
      <c r="AN101" s="58" t="n">
        <f aca="false">IF(ISNUMBER(L101),E101+F101+G101+AA101+AB101+AC101,0)</f>
        <v>0</v>
      </c>
      <c r="AO101" s="60" t="n">
        <f aca="false">P101*COMISION</f>
        <v>0</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B102*P1_PVP+C102*P2_PVP+D102*IF($A102&lt;P3_DESDE,P3A_PVP,P3_PVP)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E102*(P1_PVP-P1_CPROD)+F102*(P2_PVP-P2_CPROD)+G102*(IF($A102&lt;P3_DESDE,P3A_PVP,P3_PVP)-IF($A102&lt;P3_DESDE,P3A_CPROD,P3_CPROD))-IF(ISNUMBER(L102),L102,E102*P1_LOG+F102*P2_LOG+G102*P3_LOG)</f>
        <v>0</v>
      </c>
      <c r="X102" s="33" t="n">
        <f aca="false">W102-(E102*P1_IVAN+F102*P2_IVAN+G102*IF($A102&lt;P3_DESDE,P3A_IVAN,P3_IVAN))-(H102+I102+J102)*(COSTE_DEV-IVA_DEV)-AM102-AO102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E102+AA102*TASA_USADA</f>
        <v>0</v>
      </c>
      <c r="AE102" s="59" t="n">
        <f aca="false">F102+AB102*TASA_USADA</f>
        <v>0</v>
      </c>
      <c r="AF102" s="59" t="n">
        <f aca="false">G102+AC102*TASA_USADA</f>
        <v>0</v>
      </c>
      <c r="AG102" s="59" t="n">
        <f aca="false">H102+I102+J102+(AA102+AB102+AC102)*(1-TASA_USADA)</f>
        <v>0</v>
      </c>
      <c r="AH102" s="60" t="n">
        <f aca="false">AD102*P1_PVP+AE102*P2_PVP+AF102*IF($A102&lt;P3_DESDE,P3A_PVP,P3_PVP)</f>
        <v>0</v>
      </c>
      <c r="AI102" s="60" t="n">
        <f aca="false">AD102*P1_CPROD+AE102*P2_CPROD+AF102*IF($A102&lt;P3_DESDE,P3A_CPROD,P3_CPROD)</f>
        <v>0</v>
      </c>
      <c r="AJ102" s="60" t="n">
        <f aca="false">IF(ISNUMBER(L102),L102,E102*P1_LOG+F102*P2_LOG+G102*P3_LOG)+IF(ISNUMBER(M102),M102,AA102*P1_LOG+AB102*P2_LOG+AC102*P3_LOG)*TASA_USADA</f>
        <v>0</v>
      </c>
      <c r="AK102" s="60" t="n">
        <f aca="false">AG102*COSTE_DEV</f>
        <v>0</v>
      </c>
      <c r="AL102" s="60" t="n">
        <f aca="false">AD102*P1_IVAN+AE102*P2_IVAN+AF102*IF($A102&lt;P3_DESDE,P3A_IVAN,P3_IVAN)-AG102*IVA_DEV</f>
        <v>0</v>
      </c>
      <c r="AM102" s="60" t="n">
        <f aca="false">N102*(1+RECARGO_ADS)</f>
        <v>0</v>
      </c>
      <c r="AN102" s="58" t="n">
        <f aca="false">IF(ISNUMBER(L102),E102+F102+G102+AA102+AB102+AC102,0)</f>
        <v>0</v>
      </c>
      <c r="AO102" s="60" t="n">
        <f aca="false">P102*COMISION</f>
        <v>0</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B103*P1_PVP+C103*P2_PVP+D103*IF($A103&lt;P3_DESDE,P3A_PVP,P3_PVP)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E103*(P1_PVP-P1_CPROD)+F103*(P2_PVP-P2_CPROD)+G103*(IF($A103&lt;P3_DESDE,P3A_PVP,P3_PVP)-IF($A103&lt;P3_DESDE,P3A_CPROD,P3_CPROD))-IF(ISNUMBER(L103),L103,E103*P1_LOG+F103*P2_LOG+G103*P3_LOG)</f>
        <v>0</v>
      </c>
      <c r="X103" s="33" t="n">
        <f aca="false">W103-(E103*P1_IVAN+F103*P2_IVAN+G103*IF($A103&lt;P3_DESDE,P3A_IVAN,P3_IVAN))-(H103+I103+J103)*(COSTE_DEV-IVA_DEV)-AM103-AO103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E103+AA103*TASA_USADA</f>
        <v>0</v>
      </c>
      <c r="AE103" s="59" t="n">
        <f aca="false">F103+AB103*TASA_USADA</f>
        <v>0</v>
      </c>
      <c r="AF103" s="59" t="n">
        <f aca="false">G103+AC103*TASA_USADA</f>
        <v>0</v>
      </c>
      <c r="AG103" s="59" t="n">
        <f aca="false">H103+I103+J103+(AA103+AB103+AC103)*(1-TASA_USADA)</f>
        <v>0</v>
      </c>
      <c r="AH103" s="60" t="n">
        <f aca="false">AD103*P1_PVP+AE103*P2_PVP+AF103*IF($A103&lt;P3_DESDE,P3A_PVP,P3_PVP)</f>
        <v>0</v>
      </c>
      <c r="AI103" s="60" t="n">
        <f aca="false">AD103*P1_CPROD+AE103*P2_CPROD+AF103*IF($A103&lt;P3_DESDE,P3A_CPROD,P3_CPROD)</f>
        <v>0</v>
      </c>
      <c r="AJ103" s="60" t="n">
        <f aca="false">IF(ISNUMBER(L103),L103,E103*P1_LOG+F103*P2_LOG+G103*P3_LOG)+IF(ISNUMBER(M103),M103,AA103*P1_LOG+AB103*P2_LOG+AC103*P3_LOG)*TASA_USADA</f>
        <v>0</v>
      </c>
      <c r="AK103" s="60" t="n">
        <f aca="false">AG103*COSTE_DEV</f>
        <v>0</v>
      </c>
      <c r="AL103" s="60" t="n">
        <f aca="false">AD103*P1_IVAN+AE103*P2_IVAN+AF103*IF($A103&lt;P3_DESDE,P3A_IVAN,P3_IVAN)-AG103*IVA_DEV</f>
        <v>0</v>
      </c>
      <c r="AM103" s="60" t="n">
        <f aca="false">N103*(1+RECARGO_ADS)</f>
        <v>0</v>
      </c>
      <c r="AN103" s="58" t="n">
        <f aca="false">IF(ISNUMBER(L103),E103+F103+G103+AA103+AB103+AC103,0)</f>
        <v>0</v>
      </c>
      <c r="AO103" s="60" t="n">
        <f aca="false">P103*COMISION</f>
        <v>0</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B104*P1_PVP+C104*P2_PVP+D104*IF($A104&lt;P3_DESDE,P3A_PVP,P3_PVP)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E104*(P1_PVP-P1_CPROD)+F104*(P2_PVP-P2_CPROD)+G104*(IF($A104&lt;P3_DESDE,P3A_PVP,P3_PVP)-IF($A104&lt;P3_DESDE,P3A_CPROD,P3_CPROD))-IF(ISNUMBER(L104),L104,E104*P1_LOG+F104*P2_LOG+G104*P3_LOG)</f>
        <v>0</v>
      </c>
      <c r="X104" s="33" t="n">
        <f aca="false">W104-(E104*P1_IVAN+F104*P2_IVAN+G104*IF($A104&lt;P3_DESDE,P3A_IVAN,P3_IVAN))-(H104+I104+J104)*(COSTE_DEV-IVA_DEV)-AM104-AO104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E104+AA104*TASA_USADA</f>
        <v>0</v>
      </c>
      <c r="AE104" s="59" t="n">
        <f aca="false">F104+AB104*TASA_USADA</f>
        <v>0</v>
      </c>
      <c r="AF104" s="59" t="n">
        <f aca="false">G104+AC104*TASA_USADA</f>
        <v>0</v>
      </c>
      <c r="AG104" s="59" t="n">
        <f aca="false">H104+I104+J104+(AA104+AB104+AC104)*(1-TASA_USADA)</f>
        <v>0</v>
      </c>
      <c r="AH104" s="60" t="n">
        <f aca="false">AD104*P1_PVP+AE104*P2_PVP+AF104*IF($A104&lt;P3_DESDE,P3A_PVP,P3_PVP)</f>
        <v>0</v>
      </c>
      <c r="AI104" s="60" t="n">
        <f aca="false">AD104*P1_CPROD+AE104*P2_CPROD+AF104*IF($A104&lt;P3_DESDE,P3A_CPROD,P3_CPROD)</f>
        <v>0</v>
      </c>
      <c r="AJ104" s="60" t="n">
        <f aca="false">IF(ISNUMBER(L104),L104,E104*P1_LOG+F104*P2_LOG+G104*P3_LOG)+IF(ISNUMBER(M104),M104,AA104*P1_LOG+AB104*P2_LOG+AC104*P3_LOG)*TASA_USADA</f>
        <v>0</v>
      </c>
      <c r="AK104" s="60" t="n">
        <f aca="false">AG104*COSTE_DEV</f>
        <v>0</v>
      </c>
      <c r="AL104" s="60" t="n">
        <f aca="false">AD104*P1_IVAN+AE104*P2_IVAN+AF104*IF($A104&lt;P3_DESDE,P3A_IVAN,P3_IVAN)-AG104*IVA_DEV</f>
        <v>0</v>
      </c>
      <c r="AM104" s="60" t="n">
        <f aca="false">N104*(1+RECARGO_ADS)</f>
        <v>0</v>
      </c>
      <c r="AN104" s="58" t="n">
        <f aca="false">IF(ISNUMBER(L104),E104+F104+G104+AA104+AB104+AC104,0)</f>
        <v>0</v>
      </c>
      <c r="AO104" s="60" t="n">
        <f aca="false">P104*COMISION</f>
        <v>0</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B105*P1_PVP+C105*P2_PVP+D105*IF($A105&lt;P3_DESDE,P3A_PVP,P3_PVP)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E105*(P1_PVP-P1_CPROD)+F105*(P2_PVP-P2_CPROD)+G105*(IF($A105&lt;P3_DESDE,P3A_PVP,P3_PVP)-IF($A105&lt;P3_DESDE,P3A_CPROD,P3_CPROD))-IF(ISNUMBER(L105),L105,E105*P1_LOG+F105*P2_LOG+G105*P3_LOG)</f>
        <v>0</v>
      </c>
      <c r="X105" s="33" t="n">
        <f aca="false">W105-(E105*P1_IVAN+F105*P2_IVAN+G105*IF($A105&lt;P3_DESDE,P3A_IVAN,P3_IVAN))-(H105+I105+J105)*(COSTE_DEV-IVA_DEV)-AM105-AO105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E105+AA105*TASA_USADA</f>
        <v>0</v>
      </c>
      <c r="AE105" s="59" t="n">
        <f aca="false">F105+AB105*TASA_USADA</f>
        <v>0</v>
      </c>
      <c r="AF105" s="59" t="n">
        <f aca="false">G105+AC105*TASA_USADA</f>
        <v>0</v>
      </c>
      <c r="AG105" s="59" t="n">
        <f aca="false">H105+I105+J105+(AA105+AB105+AC105)*(1-TASA_USADA)</f>
        <v>0</v>
      </c>
      <c r="AH105" s="60" t="n">
        <f aca="false">AD105*P1_PVP+AE105*P2_PVP+AF105*IF($A105&lt;P3_DESDE,P3A_PVP,P3_PVP)</f>
        <v>0</v>
      </c>
      <c r="AI105" s="60" t="n">
        <f aca="false">AD105*P1_CPROD+AE105*P2_CPROD+AF105*IF($A105&lt;P3_DESDE,P3A_CPROD,P3_CPROD)</f>
        <v>0</v>
      </c>
      <c r="AJ105" s="60" t="n">
        <f aca="false">IF(ISNUMBER(L105),L105,E105*P1_LOG+F105*P2_LOG+G105*P3_LOG)+IF(ISNUMBER(M105),M105,AA105*P1_LOG+AB105*P2_LOG+AC105*P3_LOG)*TASA_USADA</f>
        <v>0</v>
      </c>
      <c r="AK105" s="60" t="n">
        <f aca="false">AG105*COSTE_DEV</f>
        <v>0</v>
      </c>
      <c r="AL105" s="60" t="n">
        <f aca="false">AD105*P1_IVAN+AE105*P2_IVAN+AF105*IF($A105&lt;P3_DESDE,P3A_IVAN,P3_IVAN)-AG105*IVA_DEV</f>
        <v>0</v>
      </c>
      <c r="AM105" s="60" t="n">
        <f aca="false">N105*(1+RECARGO_ADS)</f>
        <v>0</v>
      </c>
      <c r="AN105" s="58" t="n">
        <f aca="false">IF(ISNUMBER(L105),E105+F105+G105+AA105+AB105+AC105,0)</f>
        <v>0</v>
      </c>
      <c r="AO105" s="60" t="n">
        <f aca="false">P105*COMISION</f>
        <v>0</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B106*P1_PVP+C106*P2_PVP+D106*IF($A106&lt;P3_DESDE,P3A_PVP,P3_PVP)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E106*(P1_PVP-P1_CPROD)+F106*(P2_PVP-P2_CPROD)+G106*(IF($A106&lt;P3_DESDE,P3A_PVP,P3_PVP)-IF($A106&lt;P3_DESDE,P3A_CPROD,P3_CPROD))-IF(ISNUMBER(L106),L106,E106*P1_LOG+F106*P2_LOG+G106*P3_LOG)</f>
        <v>0</v>
      </c>
      <c r="X106" s="33" t="n">
        <f aca="false">W106-(E106*P1_IVAN+F106*P2_IVAN+G106*IF($A106&lt;P3_DESDE,P3A_IVAN,P3_IVAN))-(H106+I106+J106)*(COSTE_DEV-IVA_DEV)-AM106-AO106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E106+AA106*TASA_USADA</f>
        <v>0</v>
      </c>
      <c r="AE106" s="59" t="n">
        <f aca="false">F106+AB106*TASA_USADA</f>
        <v>0</v>
      </c>
      <c r="AF106" s="59" t="n">
        <f aca="false">G106+AC106*TASA_USADA</f>
        <v>0</v>
      </c>
      <c r="AG106" s="59" t="n">
        <f aca="false">H106+I106+J106+(AA106+AB106+AC106)*(1-TASA_USADA)</f>
        <v>0</v>
      </c>
      <c r="AH106" s="60" t="n">
        <f aca="false">AD106*P1_PVP+AE106*P2_PVP+AF106*IF($A106&lt;P3_DESDE,P3A_PVP,P3_PVP)</f>
        <v>0</v>
      </c>
      <c r="AI106" s="60" t="n">
        <f aca="false">AD106*P1_CPROD+AE106*P2_CPROD+AF106*IF($A106&lt;P3_DESDE,P3A_CPROD,P3_CPROD)</f>
        <v>0</v>
      </c>
      <c r="AJ106" s="60" t="n">
        <f aca="false">IF(ISNUMBER(L106),L106,E106*P1_LOG+F106*P2_LOG+G106*P3_LOG)+IF(ISNUMBER(M106),M106,AA106*P1_LOG+AB106*P2_LOG+AC106*P3_LOG)*TASA_USADA</f>
        <v>0</v>
      </c>
      <c r="AK106" s="60" t="n">
        <f aca="false">AG106*COSTE_DEV</f>
        <v>0</v>
      </c>
      <c r="AL106" s="60" t="n">
        <f aca="false">AD106*P1_IVAN+AE106*P2_IVAN+AF106*IF($A106&lt;P3_DESDE,P3A_IVAN,P3_IVAN)-AG106*IVA_DEV</f>
        <v>0</v>
      </c>
      <c r="AM106" s="60" t="n">
        <f aca="false">N106*(1+RECARGO_ADS)</f>
        <v>0</v>
      </c>
      <c r="AN106" s="58" t="n">
        <f aca="false">IF(ISNUMBER(L106),E106+F106+G106+AA106+AB106+AC106,0)</f>
        <v>0</v>
      </c>
      <c r="AO106" s="60" t="n">
        <f aca="false">P106*COMISION</f>
        <v>0</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B107*P1_PVP+C107*P2_PVP+D107*IF($A107&lt;P3_DESDE,P3A_PVP,P3_PVP)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E107*(P1_PVP-P1_CPROD)+F107*(P2_PVP-P2_CPROD)+G107*(IF($A107&lt;P3_DESDE,P3A_PVP,P3_PVP)-IF($A107&lt;P3_DESDE,P3A_CPROD,P3_CPROD))-IF(ISNUMBER(L107),L107,E107*P1_LOG+F107*P2_LOG+G107*P3_LOG)</f>
        <v>0</v>
      </c>
      <c r="X107" s="33" t="n">
        <f aca="false">W107-(E107*P1_IVAN+F107*P2_IVAN+G107*IF($A107&lt;P3_DESDE,P3A_IVAN,P3_IVAN))-(H107+I107+J107)*(COSTE_DEV-IVA_DEV)-AM107-AO107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E107+AA107*TASA_USADA</f>
        <v>0</v>
      </c>
      <c r="AE107" s="59" t="n">
        <f aca="false">F107+AB107*TASA_USADA</f>
        <v>0</v>
      </c>
      <c r="AF107" s="59" t="n">
        <f aca="false">G107+AC107*TASA_USADA</f>
        <v>0</v>
      </c>
      <c r="AG107" s="59" t="n">
        <f aca="false">H107+I107+J107+(AA107+AB107+AC107)*(1-TASA_USADA)</f>
        <v>0</v>
      </c>
      <c r="AH107" s="60" t="n">
        <f aca="false">AD107*P1_PVP+AE107*P2_PVP+AF107*IF($A107&lt;P3_DESDE,P3A_PVP,P3_PVP)</f>
        <v>0</v>
      </c>
      <c r="AI107" s="60" t="n">
        <f aca="false">AD107*P1_CPROD+AE107*P2_CPROD+AF107*IF($A107&lt;P3_DESDE,P3A_CPROD,P3_CPROD)</f>
        <v>0</v>
      </c>
      <c r="AJ107" s="60" t="n">
        <f aca="false">IF(ISNUMBER(L107),L107,E107*P1_LOG+F107*P2_LOG+G107*P3_LOG)+IF(ISNUMBER(M107),M107,AA107*P1_LOG+AB107*P2_LOG+AC107*P3_LOG)*TASA_USADA</f>
        <v>0</v>
      </c>
      <c r="AK107" s="60" t="n">
        <f aca="false">AG107*COSTE_DEV</f>
        <v>0</v>
      </c>
      <c r="AL107" s="60" t="n">
        <f aca="false">AD107*P1_IVAN+AE107*P2_IVAN+AF107*IF($A107&lt;P3_DESDE,P3A_IVAN,P3_IVAN)-AG107*IVA_DEV</f>
        <v>0</v>
      </c>
      <c r="AM107" s="60" t="n">
        <f aca="false">N107*(1+RECARGO_ADS)</f>
        <v>0</v>
      </c>
      <c r="AN107" s="58" t="n">
        <f aca="false">IF(ISNUMBER(L107),E107+F107+G107+AA107+AB107+AC107,0)</f>
        <v>0</v>
      </c>
      <c r="AO107" s="60" t="n">
        <f aca="false">P107*COMISION</f>
        <v>0</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B108*P1_PVP+C108*P2_PVP+D108*IF($A108&lt;P3_DESDE,P3A_PVP,P3_PVP)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E108*(P1_PVP-P1_CPROD)+F108*(P2_PVP-P2_CPROD)+G108*(IF($A108&lt;P3_DESDE,P3A_PVP,P3_PVP)-IF($A108&lt;P3_DESDE,P3A_CPROD,P3_CPROD))-IF(ISNUMBER(L108),L108,E108*P1_LOG+F108*P2_LOG+G108*P3_LOG)</f>
        <v>0</v>
      </c>
      <c r="X108" s="33" t="n">
        <f aca="false">W108-(E108*P1_IVAN+F108*P2_IVAN+G108*IF($A108&lt;P3_DESDE,P3A_IVAN,P3_IVAN))-(H108+I108+J108)*(COSTE_DEV-IVA_DEV)-AM108-AO108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E108+AA108*TASA_USADA</f>
        <v>0</v>
      </c>
      <c r="AE108" s="59" t="n">
        <f aca="false">F108+AB108*TASA_USADA</f>
        <v>0</v>
      </c>
      <c r="AF108" s="59" t="n">
        <f aca="false">G108+AC108*TASA_USADA</f>
        <v>0</v>
      </c>
      <c r="AG108" s="59" t="n">
        <f aca="false">H108+I108+J108+(AA108+AB108+AC108)*(1-TASA_USADA)</f>
        <v>0</v>
      </c>
      <c r="AH108" s="60" t="n">
        <f aca="false">AD108*P1_PVP+AE108*P2_PVP+AF108*IF($A108&lt;P3_DESDE,P3A_PVP,P3_PVP)</f>
        <v>0</v>
      </c>
      <c r="AI108" s="60" t="n">
        <f aca="false">AD108*P1_CPROD+AE108*P2_CPROD+AF108*IF($A108&lt;P3_DESDE,P3A_CPROD,P3_CPROD)</f>
        <v>0</v>
      </c>
      <c r="AJ108" s="60" t="n">
        <f aca="false">IF(ISNUMBER(L108),L108,E108*P1_LOG+F108*P2_LOG+G108*P3_LOG)+IF(ISNUMBER(M108),M108,AA108*P1_LOG+AB108*P2_LOG+AC108*P3_LOG)*TASA_USADA</f>
        <v>0</v>
      </c>
      <c r="AK108" s="60" t="n">
        <f aca="false">AG108*COSTE_DEV</f>
        <v>0</v>
      </c>
      <c r="AL108" s="60" t="n">
        <f aca="false">AD108*P1_IVAN+AE108*P2_IVAN+AF108*IF($A108&lt;P3_DESDE,P3A_IVAN,P3_IVAN)-AG108*IVA_DEV</f>
        <v>0</v>
      </c>
      <c r="AM108" s="60" t="n">
        <f aca="false">N108*(1+RECARGO_ADS)</f>
        <v>0</v>
      </c>
      <c r="AN108" s="58" t="n">
        <f aca="false">IF(ISNUMBER(L108),E108+F108+G108+AA108+AB108+AC108,0)</f>
        <v>0</v>
      </c>
      <c r="AO108" s="60" t="n">
        <f aca="false">P108*COMISION</f>
        <v>0</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B109*P1_PVP+C109*P2_PVP+D109*IF($A109&lt;P3_DESDE,P3A_PVP,P3_PVP)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E109*(P1_PVP-P1_CPROD)+F109*(P2_PVP-P2_CPROD)+G109*(IF($A109&lt;P3_DESDE,P3A_PVP,P3_PVP)-IF($A109&lt;P3_DESDE,P3A_CPROD,P3_CPROD))-IF(ISNUMBER(L109),L109,E109*P1_LOG+F109*P2_LOG+G109*P3_LOG)</f>
        <v>0</v>
      </c>
      <c r="X109" s="33" t="n">
        <f aca="false">W109-(E109*P1_IVAN+F109*P2_IVAN+G109*IF($A109&lt;P3_DESDE,P3A_IVAN,P3_IVAN))-(H109+I109+J109)*(COSTE_DEV-IVA_DEV)-AM109-AO109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E109+AA109*TASA_USADA</f>
        <v>0</v>
      </c>
      <c r="AE109" s="59" t="n">
        <f aca="false">F109+AB109*TASA_USADA</f>
        <v>0</v>
      </c>
      <c r="AF109" s="59" t="n">
        <f aca="false">G109+AC109*TASA_USADA</f>
        <v>0</v>
      </c>
      <c r="AG109" s="59" t="n">
        <f aca="false">H109+I109+J109+(AA109+AB109+AC109)*(1-TASA_USADA)</f>
        <v>0</v>
      </c>
      <c r="AH109" s="60" t="n">
        <f aca="false">AD109*P1_PVP+AE109*P2_PVP+AF109*IF($A109&lt;P3_DESDE,P3A_PVP,P3_PVP)</f>
        <v>0</v>
      </c>
      <c r="AI109" s="60" t="n">
        <f aca="false">AD109*P1_CPROD+AE109*P2_CPROD+AF109*IF($A109&lt;P3_DESDE,P3A_CPROD,P3_CPROD)</f>
        <v>0</v>
      </c>
      <c r="AJ109" s="60" t="n">
        <f aca="false">IF(ISNUMBER(L109),L109,E109*P1_LOG+F109*P2_LOG+G109*P3_LOG)+IF(ISNUMBER(M109),M109,AA109*P1_LOG+AB109*P2_LOG+AC109*P3_LOG)*TASA_USADA</f>
        <v>0</v>
      </c>
      <c r="AK109" s="60" t="n">
        <f aca="false">AG109*COSTE_DEV</f>
        <v>0</v>
      </c>
      <c r="AL109" s="60" t="n">
        <f aca="false">AD109*P1_IVAN+AE109*P2_IVAN+AF109*IF($A109&lt;P3_DESDE,P3A_IVAN,P3_IVAN)-AG109*IVA_DEV</f>
        <v>0</v>
      </c>
      <c r="AM109" s="60" t="n">
        <f aca="false">N109*(1+RECARGO_ADS)</f>
        <v>0</v>
      </c>
      <c r="AN109" s="58" t="n">
        <f aca="false">IF(ISNUMBER(L109),E109+F109+G109+AA109+AB109+AC109,0)</f>
        <v>0</v>
      </c>
      <c r="AO109" s="60" t="n">
        <f aca="false">P109*COMISION</f>
        <v>0</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B110*P1_PVP+C110*P2_PVP+D110*IF($A110&lt;P3_DESDE,P3A_PVP,P3_PVP)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E110*(P1_PVP-P1_CPROD)+F110*(P2_PVP-P2_CPROD)+G110*(IF($A110&lt;P3_DESDE,P3A_PVP,P3_PVP)-IF($A110&lt;P3_DESDE,P3A_CPROD,P3_CPROD))-IF(ISNUMBER(L110),L110,E110*P1_LOG+F110*P2_LOG+G110*P3_LOG)</f>
        <v>0</v>
      </c>
      <c r="X110" s="33" t="n">
        <f aca="false">W110-(E110*P1_IVAN+F110*P2_IVAN+G110*IF($A110&lt;P3_DESDE,P3A_IVAN,P3_IVAN))-(H110+I110+J110)*(COSTE_DEV-IVA_DEV)-AM110-AO110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E110+AA110*TASA_USADA</f>
        <v>0</v>
      </c>
      <c r="AE110" s="59" t="n">
        <f aca="false">F110+AB110*TASA_USADA</f>
        <v>0</v>
      </c>
      <c r="AF110" s="59" t="n">
        <f aca="false">G110+AC110*TASA_USADA</f>
        <v>0</v>
      </c>
      <c r="AG110" s="59" t="n">
        <f aca="false">H110+I110+J110+(AA110+AB110+AC110)*(1-TASA_USADA)</f>
        <v>0</v>
      </c>
      <c r="AH110" s="60" t="n">
        <f aca="false">AD110*P1_PVP+AE110*P2_PVP+AF110*IF($A110&lt;P3_DESDE,P3A_PVP,P3_PVP)</f>
        <v>0</v>
      </c>
      <c r="AI110" s="60" t="n">
        <f aca="false">AD110*P1_CPROD+AE110*P2_CPROD+AF110*IF($A110&lt;P3_DESDE,P3A_CPROD,P3_CPROD)</f>
        <v>0</v>
      </c>
      <c r="AJ110" s="60" t="n">
        <f aca="false">IF(ISNUMBER(L110),L110,E110*P1_LOG+F110*P2_LOG+G110*P3_LOG)+IF(ISNUMBER(M110),M110,AA110*P1_LOG+AB110*P2_LOG+AC110*P3_LOG)*TASA_USADA</f>
        <v>0</v>
      </c>
      <c r="AK110" s="60" t="n">
        <f aca="false">AG110*COSTE_DEV</f>
        <v>0</v>
      </c>
      <c r="AL110" s="60" t="n">
        <f aca="false">AD110*P1_IVAN+AE110*P2_IVAN+AF110*IF($A110&lt;P3_DESDE,P3A_IVAN,P3_IVAN)-AG110*IVA_DEV</f>
        <v>0</v>
      </c>
      <c r="AM110" s="60" t="n">
        <f aca="false">N110*(1+RECARGO_ADS)</f>
        <v>0</v>
      </c>
      <c r="AN110" s="58" t="n">
        <f aca="false">IF(ISNUMBER(L110),E110+F110+G110+AA110+AB110+AC110,0)</f>
        <v>0</v>
      </c>
      <c r="AO110" s="60" t="n">
        <f aca="false">P110*COMISION</f>
        <v>0</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B111*P1_PVP+C111*P2_PVP+D111*IF($A111&lt;P3_DESDE,P3A_PVP,P3_PVP)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E111*(P1_PVP-P1_CPROD)+F111*(P2_PVP-P2_CPROD)+G111*(IF($A111&lt;P3_DESDE,P3A_PVP,P3_PVP)-IF($A111&lt;P3_DESDE,P3A_CPROD,P3_CPROD))-IF(ISNUMBER(L111),L111,E111*P1_LOG+F111*P2_LOG+G111*P3_LOG)</f>
        <v>0</v>
      </c>
      <c r="X111" s="33" t="n">
        <f aca="false">W111-(E111*P1_IVAN+F111*P2_IVAN+G111*IF($A111&lt;P3_DESDE,P3A_IVAN,P3_IVAN))-(H111+I111+J111)*(COSTE_DEV-IVA_DEV)-AM111-AO111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E111+AA111*TASA_USADA</f>
        <v>0</v>
      </c>
      <c r="AE111" s="59" t="n">
        <f aca="false">F111+AB111*TASA_USADA</f>
        <v>0</v>
      </c>
      <c r="AF111" s="59" t="n">
        <f aca="false">G111+AC111*TASA_USADA</f>
        <v>0</v>
      </c>
      <c r="AG111" s="59" t="n">
        <f aca="false">H111+I111+J111+(AA111+AB111+AC111)*(1-TASA_USADA)</f>
        <v>0</v>
      </c>
      <c r="AH111" s="60" t="n">
        <f aca="false">AD111*P1_PVP+AE111*P2_PVP+AF111*IF($A111&lt;P3_DESDE,P3A_PVP,P3_PVP)</f>
        <v>0</v>
      </c>
      <c r="AI111" s="60" t="n">
        <f aca="false">AD111*P1_CPROD+AE111*P2_CPROD+AF111*IF($A111&lt;P3_DESDE,P3A_CPROD,P3_CPROD)</f>
        <v>0</v>
      </c>
      <c r="AJ111" s="60" t="n">
        <f aca="false">IF(ISNUMBER(L111),L111,E111*P1_LOG+F111*P2_LOG+G111*P3_LOG)+IF(ISNUMBER(M111),M111,AA111*P1_LOG+AB111*P2_LOG+AC111*P3_LOG)*TASA_USADA</f>
        <v>0</v>
      </c>
      <c r="AK111" s="60" t="n">
        <f aca="false">AG111*COSTE_DEV</f>
        <v>0</v>
      </c>
      <c r="AL111" s="60" t="n">
        <f aca="false">AD111*P1_IVAN+AE111*P2_IVAN+AF111*IF($A111&lt;P3_DESDE,P3A_IVAN,P3_IVAN)-AG111*IVA_DEV</f>
        <v>0</v>
      </c>
      <c r="AM111" s="60" t="n">
        <f aca="false">N111*(1+RECARGO_ADS)</f>
        <v>0</v>
      </c>
      <c r="AN111" s="58" t="n">
        <f aca="false">IF(ISNUMBER(L111),E111+F111+G111+AA111+AB111+AC111,0)</f>
        <v>0</v>
      </c>
      <c r="AO111" s="60" t="n">
        <f aca="false">P111*COMISION</f>
        <v>0</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B112*P1_PVP+C112*P2_PVP+D112*IF($A112&lt;P3_DESDE,P3A_PVP,P3_PVP)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E112*(P1_PVP-P1_CPROD)+F112*(P2_PVP-P2_CPROD)+G112*(IF($A112&lt;P3_DESDE,P3A_PVP,P3_PVP)-IF($A112&lt;P3_DESDE,P3A_CPROD,P3_CPROD))-IF(ISNUMBER(L112),L112,E112*P1_LOG+F112*P2_LOG+G112*P3_LOG)</f>
        <v>0</v>
      </c>
      <c r="X112" s="33" t="n">
        <f aca="false">W112-(E112*P1_IVAN+F112*P2_IVAN+G112*IF($A112&lt;P3_DESDE,P3A_IVAN,P3_IVAN))-(H112+I112+J112)*(COSTE_DEV-IVA_DEV)-AM112-AO112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E112+AA112*TASA_USADA</f>
        <v>0</v>
      </c>
      <c r="AE112" s="59" t="n">
        <f aca="false">F112+AB112*TASA_USADA</f>
        <v>0</v>
      </c>
      <c r="AF112" s="59" t="n">
        <f aca="false">G112+AC112*TASA_USADA</f>
        <v>0</v>
      </c>
      <c r="AG112" s="59" t="n">
        <f aca="false">H112+I112+J112+(AA112+AB112+AC112)*(1-TASA_USADA)</f>
        <v>0</v>
      </c>
      <c r="AH112" s="60" t="n">
        <f aca="false">AD112*P1_PVP+AE112*P2_PVP+AF112*IF($A112&lt;P3_DESDE,P3A_PVP,P3_PVP)</f>
        <v>0</v>
      </c>
      <c r="AI112" s="60" t="n">
        <f aca="false">AD112*P1_CPROD+AE112*P2_CPROD+AF112*IF($A112&lt;P3_DESDE,P3A_CPROD,P3_CPROD)</f>
        <v>0</v>
      </c>
      <c r="AJ112" s="60" t="n">
        <f aca="false">IF(ISNUMBER(L112),L112,E112*P1_LOG+F112*P2_LOG+G112*P3_LOG)+IF(ISNUMBER(M112),M112,AA112*P1_LOG+AB112*P2_LOG+AC112*P3_LOG)*TASA_USADA</f>
        <v>0</v>
      </c>
      <c r="AK112" s="60" t="n">
        <f aca="false">AG112*COSTE_DEV</f>
        <v>0</v>
      </c>
      <c r="AL112" s="60" t="n">
        <f aca="false">AD112*P1_IVAN+AE112*P2_IVAN+AF112*IF($A112&lt;P3_DESDE,P3A_IVAN,P3_IVAN)-AG112*IVA_DEV</f>
        <v>0</v>
      </c>
      <c r="AM112" s="60" t="n">
        <f aca="false">N112*(1+RECARGO_ADS)</f>
        <v>0</v>
      </c>
      <c r="AN112" s="58" t="n">
        <f aca="false">IF(ISNUMBER(L112),E112+F112+G112+AA112+AB112+AC112,0)</f>
        <v>0</v>
      </c>
      <c r="AO112" s="60" t="n">
        <f aca="false">P112*COMISION</f>
        <v>0</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B113*P1_PVP+C113*P2_PVP+D113*IF($A113&lt;P3_DESDE,P3A_PVP,P3_PVP)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E113*(P1_PVP-P1_CPROD)+F113*(P2_PVP-P2_CPROD)+G113*(IF($A113&lt;P3_DESDE,P3A_PVP,P3_PVP)-IF($A113&lt;P3_DESDE,P3A_CPROD,P3_CPROD))-IF(ISNUMBER(L113),L113,E113*P1_LOG+F113*P2_LOG+G113*P3_LOG)</f>
        <v>0</v>
      </c>
      <c r="X113" s="33" t="n">
        <f aca="false">W113-(E113*P1_IVAN+F113*P2_IVAN+G113*IF($A113&lt;P3_DESDE,P3A_IVAN,P3_IVAN))-(H113+I113+J113)*(COSTE_DEV-IVA_DEV)-AM113-AO113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E113+AA113*TASA_USADA</f>
        <v>0</v>
      </c>
      <c r="AE113" s="59" t="n">
        <f aca="false">F113+AB113*TASA_USADA</f>
        <v>0</v>
      </c>
      <c r="AF113" s="59" t="n">
        <f aca="false">G113+AC113*TASA_USADA</f>
        <v>0</v>
      </c>
      <c r="AG113" s="59" t="n">
        <f aca="false">H113+I113+J113+(AA113+AB113+AC113)*(1-TASA_USADA)</f>
        <v>0</v>
      </c>
      <c r="AH113" s="60" t="n">
        <f aca="false">AD113*P1_PVP+AE113*P2_PVP+AF113*IF($A113&lt;P3_DESDE,P3A_PVP,P3_PVP)</f>
        <v>0</v>
      </c>
      <c r="AI113" s="60" t="n">
        <f aca="false">AD113*P1_CPROD+AE113*P2_CPROD+AF113*IF($A113&lt;P3_DESDE,P3A_CPROD,P3_CPROD)</f>
        <v>0</v>
      </c>
      <c r="AJ113" s="60" t="n">
        <f aca="false">IF(ISNUMBER(L113),L113,E113*P1_LOG+F113*P2_LOG+G113*P3_LOG)+IF(ISNUMBER(M113),M113,AA113*P1_LOG+AB113*P2_LOG+AC113*P3_LOG)*TASA_USADA</f>
        <v>0</v>
      </c>
      <c r="AK113" s="60" t="n">
        <f aca="false">AG113*COSTE_DEV</f>
        <v>0</v>
      </c>
      <c r="AL113" s="60" t="n">
        <f aca="false">AD113*P1_IVAN+AE113*P2_IVAN+AF113*IF($A113&lt;P3_DESDE,P3A_IVAN,P3_IVAN)-AG113*IVA_DEV</f>
        <v>0</v>
      </c>
      <c r="AM113" s="60" t="n">
        <f aca="false">N113*(1+RECARGO_ADS)</f>
        <v>0</v>
      </c>
      <c r="AN113" s="58" t="n">
        <f aca="false">IF(ISNUMBER(L113),E113+F113+G113+AA113+AB113+AC113,0)</f>
        <v>0</v>
      </c>
      <c r="AO113" s="60" t="n">
        <f aca="false">P113*COMISION</f>
        <v>0</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B114*P1_PVP+C114*P2_PVP+D114*IF($A114&lt;P3_DESDE,P3A_PVP,P3_PVP)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E114*(P1_PVP-P1_CPROD)+F114*(P2_PVP-P2_CPROD)+G114*(IF($A114&lt;P3_DESDE,P3A_PVP,P3_PVP)-IF($A114&lt;P3_DESDE,P3A_CPROD,P3_CPROD))-IF(ISNUMBER(L114),L114,E114*P1_LOG+F114*P2_LOG+G114*P3_LOG)</f>
        <v>0</v>
      </c>
      <c r="X114" s="33" t="n">
        <f aca="false">W114-(E114*P1_IVAN+F114*P2_IVAN+G114*IF($A114&lt;P3_DESDE,P3A_IVAN,P3_IVAN))-(H114+I114+J114)*(COSTE_DEV-IVA_DEV)-AM114-AO114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E114+AA114*TASA_USADA</f>
        <v>0</v>
      </c>
      <c r="AE114" s="59" t="n">
        <f aca="false">F114+AB114*TASA_USADA</f>
        <v>0</v>
      </c>
      <c r="AF114" s="59" t="n">
        <f aca="false">G114+AC114*TASA_USADA</f>
        <v>0</v>
      </c>
      <c r="AG114" s="59" t="n">
        <f aca="false">H114+I114+J114+(AA114+AB114+AC114)*(1-TASA_USADA)</f>
        <v>0</v>
      </c>
      <c r="AH114" s="60" t="n">
        <f aca="false">AD114*P1_PVP+AE114*P2_PVP+AF114*IF($A114&lt;P3_DESDE,P3A_PVP,P3_PVP)</f>
        <v>0</v>
      </c>
      <c r="AI114" s="60" t="n">
        <f aca="false">AD114*P1_CPROD+AE114*P2_CPROD+AF114*IF($A114&lt;P3_DESDE,P3A_CPROD,P3_CPROD)</f>
        <v>0</v>
      </c>
      <c r="AJ114" s="60" t="n">
        <f aca="false">IF(ISNUMBER(L114),L114,E114*P1_LOG+F114*P2_LOG+G114*P3_LOG)+IF(ISNUMBER(M114),M114,AA114*P1_LOG+AB114*P2_LOG+AC114*P3_LOG)*TASA_USADA</f>
        <v>0</v>
      </c>
      <c r="AK114" s="60" t="n">
        <f aca="false">AG114*COSTE_DEV</f>
        <v>0</v>
      </c>
      <c r="AL114" s="60" t="n">
        <f aca="false">AD114*P1_IVAN+AE114*P2_IVAN+AF114*IF($A114&lt;P3_DESDE,P3A_IVAN,P3_IVAN)-AG114*IVA_DEV</f>
        <v>0</v>
      </c>
      <c r="AM114" s="60" t="n">
        <f aca="false">N114*(1+RECARGO_ADS)</f>
        <v>0</v>
      </c>
      <c r="AN114" s="58" t="n">
        <f aca="false">IF(ISNUMBER(L114),E114+F114+G114+AA114+AB114+AC114,0)</f>
        <v>0</v>
      </c>
      <c r="AO114" s="60" t="n">
        <f aca="false">P114*COMISION</f>
        <v>0</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B115*P1_PVP+C115*P2_PVP+D115*IF($A115&lt;P3_DESDE,P3A_PVP,P3_PVP)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E115*(P1_PVP-P1_CPROD)+F115*(P2_PVP-P2_CPROD)+G115*(IF($A115&lt;P3_DESDE,P3A_PVP,P3_PVP)-IF($A115&lt;P3_DESDE,P3A_CPROD,P3_CPROD))-IF(ISNUMBER(L115),L115,E115*P1_LOG+F115*P2_LOG+G115*P3_LOG)</f>
        <v>0</v>
      </c>
      <c r="X115" s="33" t="n">
        <f aca="false">W115-(E115*P1_IVAN+F115*P2_IVAN+G115*IF($A115&lt;P3_DESDE,P3A_IVAN,P3_IVAN))-(H115+I115+J115)*(COSTE_DEV-IVA_DEV)-AM115-AO115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E115+AA115*TASA_USADA</f>
        <v>0</v>
      </c>
      <c r="AE115" s="59" t="n">
        <f aca="false">F115+AB115*TASA_USADA</f>
        <v>0</v>
      </c>
      <c r="AF115" s="59" t="n">
        <f aca="false">G115+AC115*TASA_USADA</f>
        <v>0</v>
      </c>
      <c r="AG115" s="59" t="n">
        <f aca="false">H115+I115+J115+(AA115+AB115+AC115)*(1-TASA_USADA)</f>
        <v>0</v>
      </c>
      <c r="AH115" s="60" t="n">
        <f aca="false">AD115*P1_PVP+AE115*P2_PVP+AF115*IF($A115&lt;P3_DESDE,P3A_PVP,P3_PVP)</f>
        <v>0</v>
      </c>
      <c r="AI115" s="60" t="n">
        <f aca="false">AD115*P1_CPROD+AE115*P2_CPROD+AF115*IF($A115&lt;P3_DESDE,P3A_CPROD,P3_CPROD)</f>
        <v>0</v>
      </c>
      <c r="AJ115" s="60" t="n">
        <f aca="false">IF(ISNUMBER(L115),L115,E115*P1_LOG+F115*P2_LOG+G115*P3_LOG)+IF(ISNUMBER(M115),M115,AA115*P1_LOG+AB115*P2_LOG+AC115*P3_LOG)*TASA_USADA</f>
        <v>0</v>
      </c>
      <c r="AK115" s="60" t="n">
        <f aca="false">AG115*COSTE_DEV</f>
        <v>0</v>
      </c>
      <c r="AL115" s="60" t="n">
        <f aca="false">AD115*P1_IVAN+AE115*P2_IVAN+AF115*IF($A115&lt;P3_DESDE,P3A_IVAN,P3_IVAN)-AG115*IVA_DEV</f>
        <v>0</v>
      </c>
      <c r="AM115" s="60" t="n">
        <f aca="false">N115*(1+RECARGO_ADS)</f>
        <v>0</v>
      </c>
      <c r="AN115" s="58" t="n">
        <f aca="false">IF(ISNUMBER(L115),E115+F115+G115+AA115+AB115+AC115,0)</f>
        <v>0</v>
      </c>
      <c r="AO115" s="60" t="n">
        <f aca="false">P115*COMISION</f>
        <v>0</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B116*P1_PVP+C116*P2_PVP+D116*IF($A116&lt;P3_DESDE,P3A_PVP,P3_PVP)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E116*(P1_PVP-P1_CPROD)+F116*(P2_PVP-P2_CPROD)+G116*(IF($A116&lt;P3_DESDE,P3A_PVP,P3_PVP)-IF($A116&lt;P3_DESDE,P3A_CPROD,P3_CPROD))-IF(ISNUMBER(L116),L116,E116*P1_LOG+F116*P2_LOG+G116*P3_LOG)</f>
        <v>0</v>
      </c>
      <c r="X116" s="33" t="n">
        <f aca="false">W116-(E116*P1_IVAN+F116*P2_IVAN+G116*IF($A116&lt;P3_DESDE,P3A_IVAN,P3_IVAN))-(H116+I116+J116)*(COSTE_DEV-IVA_DEV)-AM116-AO116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E116+AA116*TASA_USADA</f>
        <v>0</v>
      </c>
      <c r="AE116" s="59" t="n">
        <f aca="false">F116+AB116*TASA_USADA</f>
        <v>0</v>
      </c>
      <c r="AF116" s="59" t="n">
        <f aca="false">G116+AC116*TASA_USADA</f>
        <v>0</v>
      </c>
      <c r="AG116" s="59" t="n">
        <f aca="false">H116+I116+J116+(AA116+AB116+AC116)*(1-TASA_USADA)</f>
        <v>0</v>
      </c>
      <c r="AH116" s="60" t="n">
        <f aca="false">AD116*P1_PVP+AE116*P2_PVP+AF116*IF($A116&lt;P3_DESDE,P3A_PVP,P3_PVP)</f>
        <v>0</v>
      </c>
      <c r="AI116" s="60" t="n">
        <f aca="false">AD116*P1_CPROD+AE116*P2_CPROD+AF116*IF($A116&lt;P3_DESDE,P3A_CPROD,P3_CPROD)</f>
        <v>0</v>
      </c>
      <c r="AJ116" s="60" t="n">
        <f aca="false">IF(ISNUMBER(L116),L116,E116*P1_LOG+F116*P2_LOG+G116*P3_LOG)+IF(ISNUMBER(M116),M116,AA116*P1_LOG+AB116*P2_LOG+AC116*P3_LOG)*TASA_USADA</f>
        <v>0</v>
      </c>
      <c r="AK116" s="60" t="n">
        <f aca="false">AG116*COSTE_DEV</f>
        <v>0</v>
      </c>
      <c r="AL116" s="60" t="n">
        <f aca="false">AD116*P1_IVAN+AE116*P2_IVAN+AF116*IF($A116&lt;P3_DESDE,P3A_IVAN,P3_IVAN)-AG116*IVA_DEV</f>
        <v>0</v>
      </c>
      <c r="AM116" s="60" t="n">
        <f aca="false">N116*(1+RECARGO_ADS)</f>
        <v>0</v>
      </c>
      <c r="AN116" s="58" t="n">
        <f aca="false">IF(ISNUMBER(L116),E116+F116+G116+AA116+AB116+AC116,0)</f>
        <v>0</v>
      </c>
      <c r="AO116" s="60" t="n">
        <f aca="false">P116*COMISION</f>
        <v>0</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B117*P1_PVP+C117*P2_PVP+D117*IF($A117&lt;P3_DESDE,P3A_PVP,P3_PVP)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E117*(P1_PVP-P1_CPROD)+F117*(P2_PVP-P2_CPROD)+G117*(IF($A117&lt;P3_DESDE,P3A_PVP,P3_PVP)-IF($A117&lt;P3_DESDE,P3A_CPROD,P3_CPROD))-IF(ISNUMBER(L117),L117,E117*P1_LOG+F117*P2_LOG+G117*P3_LOG)</f>
        <v>0</v>
      </c>
      <c r="X117" s="33" t="n">
        <f aca="false">W117-(E117*P1_IVAN+F117*P2_IVAN+G117*IF($A117&lt;P3_DESDE,P3A_IVAN,P3_IVAN))-(H117+I117+J117)*(COSTE_DEV-IVA_DEV)-AM117-AO117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E117+AA117*TASA_USADA</f>
        <v>0</v>
      </c>
      <c r="AE117" s="59" t="n">
        <f aca="false">F117+AB117*TASA_USADA</f>
        <v>0</v>
      </c>
      <c r="AF117" s="59" t="n">
        <f aca="false">G117+AC117*TASA_USADA</f>
        <v>0</v>
      </c>
      <c r="AG117" s="59" t="n">
        <f aca="false">H117+I117+J117+(AA117+AB117+AC117)*(1-TASA_USADA)</f>
        <v>0</v>
      </c>
      <c r="AH117" s="60" t="n">
        <f aca="false">AD117*P1_PVP+AE117*P2_PVP+AF117*IF($A117&lt;P3_DESDE,P3A_PVP,P3_PVP)</f>
        <v>0</v>
      </c>
      <c r="AI117" s="60" t="n">
        <f aca="false">AD117*P1_CPROD+AE117*P2_CPROD+AF117*IF($A117&lt;P3_DESDE,P3A_CPROD,P3_CPROD)</f>
        <v>0</v>
      </c>
      <c r="AJ117" s="60" t="n">
        <f aca="false">IF(ISNUMBER(L117),L117,E117*P1_LOG+F117*P2_LOG+G117*P3_LOG)+IF(ISNUMBER(M117),M117,AA117*P1_LOG+AB117*P2_LOG+AC117*P3_LOG)*TASA_USADA</f>
        <v>0</v>
      </c>
      <c r="AK117" s="60" t="n">
        <f aca="false">AG117*COSTE_DEV</f>
        <v>0</v>
      </c>
      <c r="AL117" s="60" t="n">
        <f aca="false">AD117*P1_IVAN+AE117*P2_IVAN+AF117*IF($A117&lt;P3_DESDE,P3A_IVAN,P3_IVAN)-AG117*IVA_DEV</f>
        <v>0</v>
      </c>
      <c r="AM117" s="60" t="n">
        <f aca="false">N117*(1+RECARGO_ADS)</f>
        <v>0</v>
      </c>
      <c r="AN117" s="58" t="n">
        <f aca="false">IF(ISNUMBER(L117),E117+F117+G117+AA117+AB117+AC117,0)</f>
        <v>0</v>
      </c>
      <c r="AO117" s="60" t="n">
        <f aca="false">P117*COMISION</f>
        <v>0</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B118*P1_PVP+C118*P2_PVP+D118*IF($A118&lt;P3_DESDE,P3A_PVP,P3_PVP)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E118*(P1_PVP-P1_CPROD)+F118*(P2_PVP-P2_CPROD)+G118*(IF($A118&lt;P3_DESDE,P3A_PVP,P3_PVP)-IF($A118&lt;P3_DESDE,P3A_CPROD,P3_CPROD))-IF(ISNUMBER(L118),L118,E118*P1_LOG+F118*P2_LOG+G118*P3_LOG)</f>
        <v>0</v>
      </c>
      <c r="X118" s="33" t="n">
        <f aca="false">W118-(E118*P1_IVAN+F118*P2_IVAN+G118*IF($A118&lt;P3_DESDE,P3A_IVAN,P3_IVAN))-(H118+I118+J118)*(COSTE_DEV-IVA_DEV)-AM118-AO118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E118+AA118*TASA_USADA</f>
        <v>0</v>
      </c>
      <c r="AE118" s="59" t="n">
        <f aca="false">F118+AB118*TASA_USADA</f>
        <v>0</v>
      </c>
      <c r="AF118" s="59" t="n">
        <f aca="false">G118+AC118*TASA_USADA</f>
        <v>0</v>
      </c>
      <c r="AG118" s="59" t="n">
        <f aca="false">H118+I118+J118+(AA118+AB118+AC118)*(1-TASA_USADA)</f>
        <v>0</v>
      </c>
      <c r="AH118" s="60" t="n">
        <f aca="false">AD118*P1_PVP+AE118*P2_PVP+AF118*IF($A118&lt;P3_DESDE,P3A_PVP,P3_PVP)</f>
        <v>0</v>
      </c>
      <c r="AI118" s="60" t="n">
        <f aca="false">AD118*P1_CPROD+AE118*P2_CPROD+AF118*IF($A118&lt;P3_DESDE,P3A_CPROD,P3_CPROD)</f>
        <v>0</v>
      </c>
      <c r="AJ118" s="60" t="n">
        <f aca="false">IF(ISNUMBER(L118),L118,E118*P1_LOG+F118*P2_LOG+G118*P3_LOG)+IF(ISNUMBER(M118),M118,AA118*P1_LOG+AB118*P2_LOG+AC118*P3_LOG)*TASA_USADA</f>
        <v>0</v>
      </c>
      <c r="AK118" s="60" t="n">
        <f aca="false">AG118*COSTE_DEV</f>
        <v>0</v>
      </c>
      <c r="AL118" s="60" t="n">
        <f aca="false">AD118*P1_IVAN+AE118*P2_IVAN+AF118*IF($A118&lt;P3_DESDE,P3A_IVAN,P3_IVAN)-AG118*IVA_DEV</f>
        <v>0</v>
      </c>
      <c r="AM118" s="60" t="n">
        <f aca="false">N118*(1+RECARGO_ADS)</f>
        <v>0</v>
      </c>
      <c r="AN118" s="58" t="n">
        <f aca="false">IF(ISNUMBER(L118),E118+F118+G118+AA118+AB118+AC118,0)</f>
        <v>0</v>
      </c>
      <c r="AO118" s="60" t="n">
        <f aca="false">P118*COMISION</f>
        <v>0</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B119*P1_PVP+C119*P2_PVP+D119*IF($A119&lt;P3_DESDE,P3A_PVP,P3_PVP)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E119*(P1_PVP-P1_CPROD)+F119*(P2_PVP-P2_CPROD)+G119*(IF($A119&lt;P3_DESDE,P3A_PVP,P3_PVP)-IF($A119&lt;P3_DESDE,P3A_CPROD,P3_CPROD))-IF(ISNUMBER(L119),L119,E119*P1_LOG+F119*P2_LOG+G119*P3_LOG)</f>
        <v>0</v>
      </c>
      <c r="X119" s="33" t="n">
        <f aca="false">W119-(E119*P1_IVAN+F119*P2_IVAN+G119*IF($A119&lt;P3_DESDE,P3A_IVAN,P3_IVAN))-(H119+I119+J119)*(COSTE_DEV-IVA_DEV)-AM119-AO119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E119+AA119*TASA_USADA</f>
        <v>0</v>
      </c>
      <c r="AE119" s="59" t="n">
        <f aca="false">F119+AB119*TASA_USADA</f>
        <v>0</v>
      </c>
      <c r="AF119" s="59" t="n">
        <f aca="false">G119+AC119*TASA_USADA</f>
        <v>0</v>
      </c>
      <c r="AG119" s="59" t="n">
        <f aca="false">H119+I119+J119+(AA119+AB119+AC119)*(1-TASA_USADA)</f>
        <v>0</v>
      </c>
      <c r="AH119" s="60" t="n">
        <f aca="false">AD119*P1_PVP+AE119*P2_PVP+AF119*IF($A119&lt;P3_DESDE,P3A_PVP,P3_PVP)</f>
        <v>0</v>
      </c>
      <c r="AI119" s="60" t="n">
        <f aca="false">AD119*P1_CPROD+AE119*P2_CPROD+AF119*IF($A119&lt;P3_DESDE,P3A_CPROD,P3_CPROD)</f>
        <v>0</v>
      </c>
      <c r="AJ119" s="60" t="n">
        <f aca="false">IF(ISNUMBER(L119),L119,E119*P1_LOG+F119*P2_LOG+G119*P3_LOG)+IF(ISNUMBER(M119),M119,AA119*P1_LOG+AB119*P2_LOG+AC119*P3_LOG)*TASA_USADA</f>
        <v>0</v>
      </c>
      <c r="AK119" s="60" t="n">
        <f aca="false">AG119*COSTE_DEV</f>
        <v>0</v>
      </c>
      <c r="AL119" s="60" t="n">
        <f aca="false">AD119*P1_IVAN+AE119*P2_IVAN+AF119*IF($A119&lt;P3_DESDE,P3A_IVAN,P3_IVAN)-AG119*IVA_DEV</f>
        <v>0</v>
      </c>
      <c r="AM119" s="60" t="n">
        <f aca="false">N119*(1+RECARGO_ADS)</f>
        <v>0</v>
      </c>
      <c r="AN119" s="58" t="n">
        <f aca="false">IF(ISNUMBER(L119),E119+F119+G119+AA119+AB119+AC119,0)</f>
        <v>0</v>
      </c>
      <c r="AO119" s="60" t="n">
        <f aca="false">P119*COMISION</f>
        <v>0</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B120*P1_PVP+C120*P2_PVP+D120*IF($A120&lt;P3_DESDE,P3A_PVP,P3_PVP)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E120*(P1_PVP-P1_CPROD)+F120*(P2_PVP-P2_CPROD)+G120*(IF($A120&lt;P3_DESDE,P3A_PVP,P3_PVP)-IF($A120&lt;P3_DESDE,P3A_CPROD,P3_CPROD))-IF(ISNUMBER(L120),L120,E120*P1_LOG+F120*P2_LOG+G120*P3_LOG)</f>
        <v>0</v>
      </c>
      <c r="X120" s="33" t="n">
        <f aca="false">W120-(E120*P1_IVAN+F120*P2_IVAN+G120*IF($A120&lt;P3_DESDE,P3A_IVAN,P3_IVAN))-(H120+I120+J120)*(COSTE_DEV-IVA_DEV)-AM120-AO120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E120+AA120*TASA_USADA</f>
        <v>0</v>
      </c>
      <c r="AE120" s="59" t="n">
        <f aca="false">F120+AB120*TASA_USADA</f>
        <v>0</v>
      </c>
      <c r="AF120" s="59" t="n">
        <f aca="false">G120+AC120*TASA_USADA</f>
        <v>0</v>
      </c>
      <c r="AG120" s="59" t="n">
        <f aca="false">H120+I120+J120+(AA120+AB120+AC120)*(1-TASA_USADA)</f>
        <v>0</v>
      </c>
      <c r="AH120" s="60" t="n">
        <f aca="false">AD120*P1_PVP+AE120*P2_PVP+AF120*IF($A120&lt;P3_DESDE,P3A_PVP,P3_PVP)</f>
        <v>0</v>
      </c>
      <c r="AI120" s="60" t="n">
        <f aca="false">AD120*P1_CPROD+AE120*P2_CPROD+AF120*IF($A120&lt;P3_DESDE,P3A_CPROD,P3_CPROD)</f>
        <v>0</v>
      </c>
      <c r="AJ120" s="60" t="n">
        <f aca="false">IF(ISNUMBER(L120),L120,E120*P1_LOG+F120*P2_LOG+G120*P3_LOG)+IF(ISNUMBER(M120),M120,AA120*P1_LOG+AB120*P2_LOG+AC120*P3_LOG)*TASA_USADA</f>
        <v>0</v>
      </c>
      <c r="AK120" s="60" t="n">
        <f aca="false">AG120*COSTE_DEV</f>
        <v>0</v>
      </c>
      <c r="AL120" s="60" t="n">
        <f aca="false">AD120*P1_IVAN+AE120*P2_IVAN+AF120*IF($A120&lt;P3_DESDE,P3A_IVAN,P3_IVAN)-AG120*IVA_DEV</f>
        <v>0</v>
      </c>
      <c r="AM120" s="60" t="n">
        <f aca="false">N120*(1+RECARGO_ADS)</f>
        <v>0</v>
      </c>
      <c r="AN120" s="58" t="n">
        <f aca="false">IF(ISNUMBER(L120),E120+F120+G120+AA120+AB120+AC120,0)</f>
        <v>0</v>
      </c>
      <c r="AO120" s="60" t="n">
        <f aca="false">P120*COMISION</f>
        <v>0</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B121*P1_PVP+C121*P2_PVP+D121*IF($A121&lt;P3_DESDE,P3A_PVP,P3_PVP)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E121*(P1_PVP-P1_CPROD)+F121*(P2_PVP-P2_CPROD)+G121*(IF($A121&lt;P3_DESDE,P3A_PVP,P3_PVP)-IF($A121&lt;P3_DESDE,P3A_CPROD,P3_CPROD))-IF(ISNUMBER(L121),L121,E121*P1_LOG+F121*P2_LOG+G121*P3_LOG)</f>
        <v>0</v>
      </c>
      <c r="X121" s="33" t="n">
        <f aca="false">W121-(E121*P1_IVAN+F121*P2_IVAN+G121*IF($A121&lt;P3_DESDE,P3A_IVAN,P3_IVAN))-(H121+I121+J121)*(COSTE_DEV-IVA_DEV)-AM121-AO121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E121+AA121*TASA_USADA</f>
        <v>0</v>
      </c>
      <c r="AE121" s="59" t="n">
        <f aca="false">F121+AB121*TASA_USADA</f>
        <v>0</v>
      </c>
      <c r="AF121" s="59" t="n">
        <f aca="false">G121+AC121*TASA_USADA</f>
        <v>0</v>
      </c>
      <c r="AG121" s="59" t="n">
        <f aca="false">H121+I121+J121+(AA121+AB121+AC121)*(1-TASA_USADA)</f>
        <v>0</v>
      </c>
      <c r="AH121" s="60" t="n">
        <f aca="false">AD121*P1_PVP+AE121*P2_PVP+AF121*IF($A121&lt;P3_DESDE,P3A_PVP,P3_PVP)</f>
        <v>0</v>
      </c>
      <c r="AI121" s="60" t="n">
        <f aca="false">AD121*P1_CPROD+AE121*P2_CPROD+AF121*IF($A121&lt;P3_DESDE,P3A_CPROD,P3_CPROD)</f>
        <v>0</v>
      </c>
      <c r="AJ121" s="60" t="n">
        <f aca="false">IF(ISNUMBER(L121),L121,E121*P1_LOG+F121*P2_LOG+G121*P3_LOG)+IF(ISNUMBER(M121),M121,AA121*P1_LOG+AB121*P2_LOG+AC121*P3_LOG)*TASA_USADA</f>
        <v>0</v>
      </c>
      <c r="AK121" s="60" t="n">
        <f aca="false">AG121*COSTE_DEV</f>
        <v>0</v>
      </c>
      <c r="AL121" s="60" t="n">
        <f aca="false">AD121*P1_IVAN+AE121*P2_IVAN+AF121*IF($A121&lt;P3_DESDE,P3A_IVAN,P3_IVAN)-AG121*IVA_DEV</f>
        <v>0</v>
      </c>
      <c r="AM121" s="60" t="n">
        <f aca="false">N121*(1+RECARGO_ADS)</f>
        <v>0</v>
      </c>
      <c r="AN121" s="58" t="n">
        <f aca="false">IF(ISNUMBER(L121),E121+F121+G121+AA121+AB121+AC121,0)</f>
        <v>0</v>
      </c>
      <c r="AO121" s="60" t="n">
        <f aca="false">P121*COMISION</f>
        <v>0</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B122*P1_PVP+C122*P2_PVP+D122*IF($A122&lt;P3_DESDE,P3A_PVP,P3_PVP)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E122*(P1_PVP-P1_CPROD)+F122*(P2_PVP-P2_CPROD)+G122*(IF($A122&lt;P3_DESDE,P3A_PVP,P3_PVP)-IF($A122&lt;P3_DESDE,P3A_CPROD,P3_CPROD))-IF(ISNUMBER(L122),L122,E122*P1_LOG+F122*P2_LOG+G122*P3_LOG)</f>
        <v>0</v>
      </c>
      <c r="X122" s="33" t="n">
        <f aca="false">W122-(E122*P1_IVAN+F122*P2_IVAN+G122*IF($A122&lt;P3_DESDE,P3A_IVAN,P3_IVAN))-(H122+I122+J122)*(COSTE_DEV-IVA_DEV)-AM122-AO122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E122+AA122*TASA_USADA</f>
        <v>0</v>
      </c>
      <c r="AE122" s="59" t="n">
        <f aca="false">F122+AB122*TASA_USADA</f>
        <v>0</v>
      </c>
      <c r="AF122" s="59" t="n">
        <f aca="false">G122+AC122*TASA_USADA</f>
        <v>0</v>
      </c>
      <c r="AG122" s="59" t="n">
        <f aca="false">H122+I122+J122+(AA122+AB122+AC122)*(1-TASA_USADA)</f>
        <v>0</v>
      </c>
      <c r="AH122" s="60" t="n">
        <f aca="false">AD122*P1_PVP+AE122*P2_PVP+AF122*IF($A122&lt;P3_DESDE,P3A_PVP,P3_PVP)</f>
        <v>0</v>
      </c>
      <c r="AI122" s="60" t="n">
        <f aca="false">AD122*P1_CPROD+AE122*P2_CPROD+AF122*IF($A122&lt;P3_DESDE,P3A_CPROD,P3_CPROD)</f>
        <v>0</v>
      </c>
      <c r="AJ122" s="60" t="n">
        <f aca="false">IF(ISNUMBER(L122),L122,E122*P1_LOG+F122*P2_LOG+G122*P3_LOG)+IF(ISNUMBER(M122),M122,AA122*P1_LOG+AB122*P2_LOG+AC122*P3_LOG)*TASA_USADA</f>
        <v>0</v>
      </c>
      <c r="AK122" s="60" t="n">
        <f aca="false">AG122*COSTE_DEV</f>
        <v>0</v>
      </c>
      <c r="AL122" s="60" t="n">
        <f aca="false">AD122*P1_IVAN+AE122*P2_IVAN+AF122*IF($A122&lt;P3_DESDE,P3A_IVAN,P3_IVAN)-AG122*IVA_DEV</f>
        <v>0</v>
      </c>
      <c r="AM122" s="60" t="n">
        <f aca="false">N122*(1+RECARGO_ADS)</f>
        <v>0</v>
      </c>
      <c r="AN122" s="58" t="n">
        <f aca="false">IF(ISNUMBER(L122),E122+F122+G122+AA122+AB122+AC122,0)</f>
        <v>0</v>
      </c>
      <c r="AO122" s="60" t="n">
        <f aca="false">P122*COMISION</f>
        <v>0</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B123*P1_PVP+C123*P2_PVP+D123*IF($A123&lt;P3_DESDE,P3A_PVP,P3_PVP)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E123*(P1_PVP-P1_CPROD)+F123*(P2_PVP-P2_CPROD)+G123*(IF($A123&lt;P3_DESDE,P3A_PVP,P3_PVP)-IF($A123&lt;P3_DESDE,P3A_CPROD,P3_CPROD))-IF(ISNUMBER(L123),L123,E123*P1_LOG+F123*P2_LOG+G123*P3_LOG)</f>
        <v>0</v>
      </c>
      <c r="X123" s="33" t="n">
        <f aca="false">W123-(E123*P1_IVAN+F123*P2_IVAN+G123*IF($A123&lt;P3_DESDE,P3A_IVAN,P3_IVAN))-(H123+I123+J123)*(COSTE_DEV-IVA_DEV)-AM123-AO123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E123+AA123*TASA_USADA</f>
        <v>0</v>
      </c>
      <c r="AE123" s="59" t="n">
        <f aca="false">F123+AB123*TASA_USADA</f>
        <v>0</v>
      </c>
      <c r="AF123" s="59" t="n">
        <f aca="false">G123+AC123*TASA_USADA</f>
        <v>0</v>
      </c>
      <c r="AG123" s="59" t="n">
        <f aca="false">H123+I123+J123+(AA123+AB123+AC123)*(1-TASA_USADA)</f>
        <v>0</v>
      </c>
      <c r="AH123" s="60" t="n">
        <f aca="false">AD123*P1_PVP+AE123*P2_PVP+AF123*IF($A123&lt;P3_DESDE,P3A_PVP,P3_PVP)</f>
        <v>0</v>
      </c>
      <c r="AI123" s="60" t="n">
        <f aca="false">AD123*P1_CPROD+AE123*P2_CPROD+AF123*IF($A123&lt;P3_DESDE,P3A_CPROD,P3_CPROD)</f>
        <v>0</v>
      </c>
      <c r="AJ123" s="60" t="n">
        <f aca="false">IF(ISNUMBER(L123),L123,E123*P1_LOG+F123*P2_LOG+G123*P3_LOG)+IF(ISNUMBER(M123),M123,AA123*P1_LOG+AB123*P2_LOG+AC123*P3_LOG)*TASA_USADA</f>
        <v>0</v>
      </c>
      <c r="AK123" s="60" t="n">
        <f aca="false">AG123*COSTE_DEV</f>
        <v>0</v>
      </c>
      <c r="AL123" s="60" t="n">
        <f aca="false">AD123*P1_IVAN+AE123*P2_IVAN+AF123*IF($A123&lt;P3_DESDE,P3A_IVAN,P3_IVAN)-AG123*IVA_DEV</f>
        <v>0</v>
      </c>
      <c r="AM123" s="60" t="n">
        <f aca="false">N123*(1+RECARGO_ADS)</f>
        <v>0</v>
      </c>
      <c r="AN123" s="58" t="n">
        <f aca="false">IF(ISNUMBER(L123),E123+F123+G123+AA123+AB123+AC123,0)</f>
        <v>0</v>
      </c>
      <c r="AO123" s="60" t="n">
        <f aca="false">P123*COMISION</f>
        <v>0</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B124*P1_PVP+C124*P2_PVP+D124*IF($A124&lt;P3_DESDE,P3A_PVP,P3_PVP)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E124*(P1_PVP-P1_CPROD)+F124*(P2_PVP-P2_CPROD)+G124*(IF($A124&lt;P3_DESDE,P3A_PVP,P3_PVP)-IF($A124&lt;P3_DESDE,P3A_CPROD,P3_CPROD))-IF(ISNUMBER(L124),L124,E124*P1_LOG+F124*P2_LOG+G124*P3_LOG)</f>
        <v>0</v>
      </c>
      <c r="X124" s="33" t="n">
        <f aca="false">W124-(E124*P1_IVAN+F124*P2_IVAN+G124*IF($A124&lt;P3_DESDE,P3A_IVAN,P3_IVAN))-(H124+I124+J124)*(COSTE_DEV-IVA_DEV)-AM124-AO124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E124+AA124*TASA_USADA</f>
        <v>0</v>
      </c>
      <c r="AE124" s="59" t="n">
        <f aca="false">F124+AB124*TASA_USADA</f>
        <v>0</v>
      </c>
      <c r="AF124" s="59" t="n">
        <f aca="false">G124+AC124*TASA_USADA</f>
        <v>0</v>
      </c>
      <c r="AG124" s="59" t="n">
        <f aca="false">H124+I124+J124+(AA124+AB124+AC124)*(1-TASA_USADA)</f>
        <v>0</v>
      </c>
      <c r="AH124" s="60" t="n">
        <f aca="false">AD124*P1_PVP+AE124*P2_PVP+AF124*IF($A124&lt;P3_DESDE,P3A_PVP,P3_PVP)</f>
        <v>0</v>
      </c>
      <c r="AI124" s="60" t="n">
        <f aca="false">AD124*P1_CPROD+AE124*P2_CPROD+AF124*IF($A124&lt;P3_DESDE,P3A_CPROD,P3_CPROD)</f>
        <v>0</v>
      </c>
      <c r="AJ124" s="60" t="n">
        <f aca="false">IF(ISNUMBER(L124),L124,E124*P1_LOG+F124*P2_LOG+G124*P3_LOG)+IF(ISNUMBER(M124),M124,AA124*P1_LOG+AB124*P2_LOG+AC124*P3_LOG)*TASA_USADA</f>
        <v>0</v>
      </c>
      <c r="AK124" s="60" t="n">
        <f aca="false">AG124*COSTE_DEV</f>
        <v>0</v>
      </c>
      <c r="AL124" s="60" t="n">
        <f aca="false">AD124*P1_IVAN+AE124*P2_IVAN+AF124*IF($A124&lt;P3_DESDE,P3A_IVAN,P3_IVAN)-AG124*IVA_DEV</f>
        <v>0</v>
      </c>
      <c r="AM124" s="60" t="n">
        <f aca="false">N124*(1+RECARGO_ADS)</f>
        <v>0</v>
      </c>
      <c r="AN124" s="58" t="n">
        <f aca="false">IF(ISNUMBER(L124),E124+F124+G124+AA124+AB124+AC124,0)</f>
        <v>0</v>
      </c>
      <c r="AO124" s="60" t="n">
        <f aca="false">P124*COMISION</f>
        <v>0</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B125*P1_PVP+C125*P2_PVP+D125*IF($A125&lt;P3_DESDE,P3A_PVP,P3_PVP)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E125*(P1_PVP-P1_CPROD)+F125*(P2_PVP-P2_CPROD)+G125*(IF($A125&lt;P3_DESDE,P3A_PVP,P3_PVP)-IF($A125&lt;P3_DESDE,P3A_CPROD,P3_CPROD))-IF(ISNUMBER(L125),L125,E125*P1_LOG+F125*P2_LOG+G125*P3_LOG)</f>
        <v>0</v>
      </c>
      <c r="X125" s="33" t="n">
        <f aca="false">W125-(E125*P1_IVAN+F125*P2_IVAN+G125*IF($A125&lt;P3_DESDE,P3A_IVAN,P3_IVAN))-(H125+I125+J125)*(COSTE_DEV-IVA_DEV)-AM125-AO125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E125+AA125*TASA_USADA</f>
        <v>0</v>
      </c>
      <c r="AE125" s="59" t="n">
        <f aca="false">F125+AB125*TASA_USADA</f>
        <v>0</v>
      </c>
      <c r="AF125" s="59" t="n">
        <f aca="false">G125+AC125*TASA_USADA</f>
        <v>0</v>
      </c>
      <c r="AG125" s="59" t="n">
        <f aca="false">H125+I125+J125+(AA125+AB125+AC125)*(1-TASA_USADA)</f>
        <v>0</v>
      </c>
      <c r="AH125" s="60" t="n">
        <f aca="false">AD125*P1_PVP+AE125*P2_PVP+AF125*IF($A125&lt;P3_DESDE,P3A_PVP,P3_PVP)</f>
        <v>0</v>
      </c>
      <c r="AI125" s="60" t="n">
        <f aca="false">AD125*P1_CPROD+AE125*P2_CPROD+AF125*IF($A125&lt;P3_DESDE,P3A_CPROD,P3_CPROD)</f>
        <v>0</v>
      </c>
      <c r="AJ125" s="60" t="n">
        <f aca="false">IF(ISNUMBER(L125),L125,E125*P1_LOG+F125*P2_LOG+G125*P3_LOG)+IF(ISNUMBER(M125),M125,AA125*P1_LOG+AB125*P2_LOG+AC125*P3_LOG)*TASA_USADA</f>
        <v>0</v>
      </c>
      <c r="AK125" s="60" t="n">
        <f aca="false">AG125*COSTE_DEV</f>
        <v>0</v>
      </c>
      <c r="AL125" s="60" t="n">
        <f aca="false">AD125*P1_IVAN+AE125*P2_IVAN+AF125*IF($A125&lt;P3_DESDE,P3A_IVAN,P3_IVAN)-AG125*IVA_DEV</f>
        <v>0</v>
      </c>
      <c r="AM125" s="60" t="n">
        <f aca="false">N125*(1+RECARGO_ADS)</f>
        <v>0</v>
      </c>
      <c r="AN125" s="58" t="n">
        <f aca="false">IF(ISNUMBER(L125),E125+F125+G125+AA125+AB125+AC125,0)</f>
        <v>0</v>
      </c>
      <c r="AO125" s="60" t="n">
        <f aca="false">P125*COMISION</f>
        <v>0</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B126*P1_PVP+C126*P2_PVP+D126*IF($A126&lt;P3_DESDE,P3A_PVP,P3_PVP)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E126*(P1_PVP-P1_CPROD)+F126*(P2_PVP-P2_CPROD)+G126*(IF($A126&lt;P3_DESDE,P3A_PVP,P3_PVP)-IF($A126&lt;P3_DESDE,P3A_CPROD,P3_CPROD))-IF(ISNUMBER(L126),L126,E126*P1_LOG+F126*P2_LOG+G126*P3_LOG)</f>
        <v>0</v>
      </c>
      <c r="X126" s="33" t="n">
        <f aca="false">W126-(E126*P1_IVAN+F126*P2_IVAN+G126*IF($A126&lt;P3_DESDE,P3A_IVAN,P3_IVAN))-(H126+I126+J126)*(COSTE_DEV-IVA_DEV)-AM126-AO126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E126+AA126*TASA_USADA</f>
        <v>0</v>
      </c>
      <c r="AE126" s="59" t="n">
        <f aca="false">F126+AB126*TASA_USADA</f>
        <v>0</v>
      </c>
      <c r="AF126" s="59" t="n">
        <f aca="false">G126+AC126*TASA_USADA</f>
        <v>0</v>
      </c>
      <c r="AG126" s="59" t="n">
        <f aca="false">H126+I126+J126+(AA126+AB126+AC126)*(1-TASA_USADA)</f>
        <v>0</v>
      </c>
      <c r="AH126" s="60" t="n">
        <f aca="false">AD126*P1_PVP+AE126*P2_PVP+AF126*IF($A126&lt;P3_DESDE,P3A_PVP,P3_PVP)</f>
        <v>0</v>
      </c>
      <c r="AI126" s="60" t="n">
        <f aca="false">AD126*P1_CPROD+AE126*P2_CPROD+AF126*IF($A126&lt;P3_DESDE,P3A_CPROD,P3_CPROD)</f>
        <v>0</v>
      </c>
      <c r="AJ126" s="60" t="n">
        <f aca="false">IF(ISNUMBER(L126),L126,E126*P1_LOG+F126*P2_LOG+G126*P3_LOG)+IF(ISNUMBER(M126),M126,AA126*P1_LOG+AB126*P2_LOG+AC126*P3_LOG)*TASA_USADA</f>
        <v>0</v>
      </c>
      <c r="AK126" s="60" t="n">
        <f aca="false">AG126*COSTE_DEV</f>
        <v>0</v>
      </c>
      <c r="AL126" s="60" t="n">
        <f aca="false">AD126*P1_IVAN+AE126*P2_IVAN+AF126*IF($A126&lt;P3_DESDE,P3A_IVAN,P3_IVAN)-AG126*IVA_DEV</f>
        <v>0</v>
      </c>
      <c r="AM126" s="60" t="n">
        <f aca="false">N126*(1+RECARGO_ADS)</f>
        <v>0</v>
      </c>
      <c r="AN126" s="58" t="n">
        <f aca="false">IF(ISNUMBER(L126),E126+F126+G126+AA126+AB126+AC126,0)</f>
        <v>0</v>
      </c>
      <c r="AO126" s="60" t="n">
        <f aca="false">P126*COMISION</f>
        <v>0</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B127*P1_PVP+C127*P2_PVP+D127*IF($A127&lt;P3_DESDE,P3A_PVP,P3_PVP)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E127*(P1_PVP-P1_CPROD)+F127*(P2_PVP-P2_CPROD)+G127*(IF($A127&lt;P3_DESDE,P3A_PVP,P3_PVP)-IF($A127&lt;P3_DESDE,P3A_CPROD,P3_CPROD))-IF(ISNUMBER(L127),L127,E127*P1_LOG+F127*P2_LOG+G127*P3_LOG)</f>
        <v>0</v>
      </c>
      <c r="X127" s="33" t="n">
        <f aca="false">W127-(E127*P1_IVAN+F127*P2_IVAN+G127*IF($A127&lt;P3_DESDE,P3A_IVAN,P3_IVAN))-(H127+I127+J127)*(COSTE_DEV-IVA_DEV)-AM127-AO127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E127+AA127*TASA_USADA</f>
        <v>0</v>
      </c>
      <c r="AE127" s="59" t="n">
        <f aca="false">F127+AB127*TASA_USADA</f>
        <v>0</v>
      </c>
      <c r="AF127" s="59" t="n">
        <f aca="false">G127+AC127*TASA_USADA</f>
        <v>0</v>
      </c>
      <c r="AG127" s="59" t="n">
        <f aca="false">H127+I127+J127+(AA127+AB127+AC127)*(1-TASA_USADA)</f>
        <v>0</v>
      </c>
      <c r="AH127" s="60" t="n">
        <f aca="false">AD127*P1_PVP+AE127*P2_PVP+AF127*IF($A127&lt;P3_DESDE,P3A_PVP,P3_PVP)</f>
        <v>0</v>
      </c>
      <c r="AI127" s="60" t="n">
        <f aca="false">AD127*P1_CPROD+AE127*P2_CPROD+AF127*IF($A127&lt;P3_DESDE,P3A_CPROD,P3_CPROD)</f>
        <v>0</v>
      </c>
      <c r="AJ127" s="60" t="n">
        <f aca="false">IF(ISNUMBER(L127),L127,E127*P1_LOG+F127*P2_LOG+G127*P3_LOG)+IF(ISNUMBER(M127),M127,AA127*P1_LOG+AB127*P2_LOG+AC127*P3_LOG)*TASA_USADA</f>
        <v>0</v>
      </c>
      <c r="AK127" s="60" t="n">
        <f aca="false">AG127*COSTE_DEV</f>
        <v>0</v>
      </c>
      <c r="AL127" s="60" t="n">
        <f aca="false">AD127*P1_IVAN+AE127*P2_IVAN+AF127*IF($A127&lt;P3_DESDE,P3A_IVAN,P3_IVAN)-AG127*IVA_DEV</f>
        <v>0</v>
      </c>
      <c r="AM127" s="60" t="n">
        <f aca="false">N127*(1+RECARGO_ADS)</f>
        <v>0</v>
      </c>
      <c r="AN127" s="58" t="n">
        <f aca="false">IF(ISNUMBER(L127),E127+F127+G127+AA127+AB127+AC127,0)</f>
        <v>0</v>
      </c>
      <c r="AO127" s="60" t="n">
        <f aca="false">P127*COMISION</f>
        <v>0</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B128*P1_PVP+C128*P2_PVP+D128*IF($A128&lt;P3_DESDE,P3A_PVP,P3_PVP)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E128*(P1_PVP-P1_CPROD)+F128*(P2_PVP-P2_CPROD)+G128*(IF($A128&lt;P3_DESDE,P3A_PVP,P3_PVP)-IF($A128&lt;P3_DESDE,P3A_CPROD,P3_CPROD))-IF(ISNUMBER(L128),L128,E128*P1_LOG+F128*P2_LOG+G128*P3_LOG)</f>
        <v>0</v>
      </c>
      <c r="X128" s="33" t="n">
        <f aca="false">W128-(E128*P1_IVAN+F128*P2_IVAN+G128*IF($A128&lt;P3_DESDE,P3A_IVAN,P3_IVAN))-(H128+I128+J128)*(COSTE_DEV-IVA_DEV)-AM128-AO128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E128+AA128*TASA_USADA</f>
        <v>0</v>
      </c>
      <c r="AE128" s="59" t="n">
        <f aca="false">F128+AB128*TASA_USADA</f>
        <v>0</v>
      </c>
      <c r="AF128" s="59" t="n">
        <f aca="false">G128+AC128*TASA_USADA</f>
        <v>0</v>
      </c>
      <c r="AG128" s="59" t="n">
        <f aca="false">H128+I128+J128+(AA128+AB128+AC128)*(1-TASA_USADA)</f>
        <v>0</v>
      </c>
      <c r="AH128" s="60" t="n">
        <f aca="false">AD128*P1_PVP+AE128*P2_PVP+AF128*IF($A128&lt;P3_DESDE,P3A_PVP,P3_PVP)</f>
        <v>0</v>
      </c>
      <c r="AI128" s="60" t="n">
        <f aca="false">AD128*P1_CPROD+AE128*P2_CPROD+AF128*IF($A128&lt;P3_DESDE,P3A_CPROD,P3_CPROD)</f>
        <v>0</v>
      </c>
      <c r="AJ128" s="60" t="n">
        <f aca="false">IF(ISNUMBER(L128),L128,E128*P1_LOG+F128*P2_LOG+G128*P3_LOG)+IF(ISNUMBER(M128),M128,AA128*P1_LOG+AB128*P2_LOG+AC128*P3_LOG)*TASA_USADA</f>
        <v>0</v>
      </c>
      <c r="AK128" s="60" t="n">
        <f aca="false">AG128*COSTE_DEV</f>
        <v>0</v>
      </c>
      <c r="AL128" s="60" t="n">
        <f aca="false">AD128*P1_IVAN+AE128*P2_IVAN+AF128*IF($A128&lt;P3_DESDE,P3A_IVAN,P3_IVAN)-AG128*IVA_DEV</f>
        <v>0</v>
      </c>
      <c r="AM128" s="60" t="n">
        <f aca="false">N128*(1+RECARGO_ADS)</f>
        <v>0</v>
      </c>
      <c r="AN128" s="58" t="n">
        <f aca="false">IF(ISNUMBER(L128),E128+F128+G128+AA128+AB128+AC128,0)</f>
        <v>0</v>
      </c>
      <c r="AO128" s="60" t="n">
        <f aca="false">P128*COMISION</f>
        <v>0</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B129*P1_PVP+C129*P2_PVP+D129*IF($A129&lt;P3_DESDE,P3A_PVP,P3_PVP)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E129*(P1_PVP-P1_CPROD)+F129*(P2_PVP-P2_CPROD)+G129*(IF($A129&lt;P3_DESDE,P3A_PVP,P3_PVP)-IF($A129&lt;P3_DESDE,P3A_CPROD,P3_CPROD))-IF(ISNUMBER(L129),L129,E129*P1_LOG+F129*P2_LOG+G129*P3_LOG)</f>
        <v>0</v>
      </c>
      <c r="X129" s="33" t="n">
        <f aca="false">W129-(E129*P1_IVAN+F129*P2_IVAN+G129*IF($A129&lt;P3_DESDE,P3A_IVAN,P3_IVAN))-(H129+I129+J129)*(COSTE_DEV-IVA_DEV)-AM129-AO129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E129+AA129*TASA_USADA</f>
        <v>0</v>
      </c>
      <c r="AE129" s="59" t="n">
        <f aca="false">F129+AB129*TASA_USADA</f>
        <v>0</v>
      </c>
      <c r="AF129" s="59" t="n">
        <f aca="false">G129+AC129*TASA_USADA</f>
        <v>0</v>
      </c>
      <c r="AG129" s="59" t="n">
        <f aca="false">H129+I129+J129+(AA129+AB129+AC129)*(1-TASA_USADA)</f>
        <v>0</v>
      </c>
      <c r="AH129" s="60" t="n">
        <f aca="false">AD129*P1_PVP+AE129*P2_PVP+AF129*IF($A129&lt;P3_DESDE,P3A_PVP,P3_PVP)</f>
        <v>0</v>
      </c>
      <c r="AI129" s="60" t="n">
        <f aca="false">AD129*P1_CPROD+AE129*P2_CPROD+AF129*IF($A129&lt;P3_DESDE,P3A_CPROD,P3_CPROD)</f>
        <v>0</v>
      </c>
      <c r="AJ129" s="60" t="n">
        <f aca="false">IF(ISNUMBER(L129),L129,E129*P1_LOG+F129*P2_LOG+G129*P3_LOG)+IF(ISNUMBER(M129),M129,AA129*P1_LOG+AB129*P2_LOG+AC129*P3_LOG)*TASA_USADA</f>
        <v>0</v>
      </c>
      <c r="AK129" s="60" t="n">
        <f aca="false">AG129*COSTE_DEV</f>
        <v>0</v>
      </c>
      <c r="AL129" s="60" t="n">
        <f aca="false">AD129*P1_IVAN+AE129*P2_IVAN+AF129*IF($A129&lt;P3_DESDE,P3A_IVAN,P3_IVAN)-AG129*IVA_DEV</f>
        <v>0</v>
      </c>
      <c r="AM129" s="60" t="n">
        <f aca="false">N129*(1+RECARGO_ADS)</f>
        <v>0</v>
      </c>
      <c r="AN129" s="58" t="n">
        <f aca="false">IF(ISNUMBER(L129),E129+F129+G129+AA129+AB129+AC129,0)</f>
        <v>0</v>
      </c>
      <c r="AO129" s="60" t="n">
        <f aca="false">P129*COMISION</f>
        <v>0</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B130*P1_PVP+C130*P2_PVP+D130*IF($A130&lt;P3_DESDE,P3A_PVP,P3_PVP)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E130*(P1_PVP-P1_CPROD)+F130*(P2_PVP-P2_CPROD)+G130*(IF($A130&lt;P3_DESDE,P3A_PVP,P3_PVP)-IF($A130&lt;P3_DESDE,P3A_CPROD,P3_CPROD))-IF(ISNUMBER(L130),L130,E130*P1_LOG+F130*P2_LOG+G130*P3_LOG)</f>
        <v>0</v>
      </c>
      <c r="X130" s="33" t="n">
        <f aca="false">W130-(E130*P1_IVAN+F130*P2_IVAN+G130*IF($A130&lt;P3_DESDE,P3A_IVAN,P3_IVAN))-(H130+I130+J130)*(COSTE_DEV-IVA_DEV)-AM130-AO130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E130+AA130*TASA_USADA</f>
        <v>0</v>
      </c>
      <c r="AE130" s="59" t="n">
        <f aca="false">F130+AB130*TASA_USADA</f>
        <v>0</v>
      </c>
      <c r="AF130" s="59" t="n">
        <f aca="false">G130+AC130*TASA_USADA</f>
        <v>0</v>
      </c>
      <c r="AG130" s="59" t="n">
        <f aca="false">H130+I130+J130+(AA130+AB130+AC130)*(1-TASA_USADA)</f>
        <v>0</v>
      </c>
      <c r="AH130" s="60" t="n">
        <f aca="false">AD130*P1_PVP+AE130*P2_PVP+AF130*IF($A130&lt;P3_DESDE,P3A_PVP,P3_PVP)</f>
        <v>0</v>
      </c>
      <c r="AI130" s="60" t="n">
        <f aca="false">AD130*P1_CPROD+AE130*P2_CPROD+AF130*IF($A130&lt;P3_DESDE,P3A_CPROD,P3_CPROD)</f>
        <v>0</v>
      </c>
      <c r="AJ130" s="60" t="n">
        <f aca="false">IF(ISNUMBER(L130),L130,E130*P1_LOG+F130*P2_LOG+G130*P3_LOG)+IF(ISNUMBER(M130),M130,AA130*P1_LOG+AB130*P2_LOG+AC130*P3_LOG)*TASA_USADA</f>
        <v>0</v>
      </c>
      <c r="AK130" s="60" t="n">
        <f aca="false">AG130*COSTE_DEV</f>
        <v>0</v>
      </c>
      <c r="AL130" s="60" t="n">
        <f aca="false">AD130*P1_IVAN+AE130*P2_IVAN+AF130*IF($A130&lt;P3_DESDE,P3A_IVAN,P3_IVAN)-AG130*IVA_DEV</f>
        <v>0</v>
      </c>
      <c r="AM130" s="60" t="n">
        <f aca="false">N130*(1+RECARGO_ADS)</f>
        <v>0</v>
      </c>
      <c r="AN130" s="58" t="n">
        <f aca="false">IF(ISNUMBER(L130),E130+F130+G130+AA130+AB130+AC130,0)</f>
        <v>0</v>
      </c>
      <c r="AO130" s="60" t="n">
        <f aca="false">P130*COMISION</f>
        <v>0</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B131*P1_PVP+C131*P2_PVP+D131*IF($A131&lt;P3_DESDE,P3A_PVP,P3_PVP)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E131*(P1_PVP-P1_CPROD)+F131*(P2_PVP-P2_CPROD)+G131*(IF($A131&lt;P3_DESDE,P3A_PVP,P3_PVP)-IF($A131&lt;P3_DESDE,P3A_CPROD,P3_CPROD))-IF(ISNUMBER(L131),L131,E131*P1_LOG+F131*P2_LOG+G131*P3_LOG)</f>
        <v>0</v>
      </c>
      <c r="X131" s="33" t="n">
        <f aca="false">W131-(E131*P1_IVAN+F131*P2_IVAN+G131*IF($A131&lt;P3_DESDE,P3A_IVAN,P3_IVAN))-(H131+I131+J131)*(COSTE_DEV-IVA_DEV)-AM131-AO131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E131+AA131*TASA_USADA</f>
        <v>0</v>
      </c>
      <c r="AE131" s="59" t="n">
        <f aca="false">F131+AB131*TASA_USADA</f>
        <v>0</v>
      </c>
      <c r="AF131" s="59" t="n">
        <f aca="false">G131+AC131*TASA_USADA</f>
        <v>0</v>
      </c>
      <c r="AG131" s="59" t="n">
        <f aca="false">H131+I131+J131+(AA131+AB131+AC131)*(1-TASA_USADA)</f>
        <v>0</v>
      </c>
      <c r="AH131" s="60" t="n">
        <f aca="false">AD131*P1_PVP+AE131*P2_PVP+AF131*IF($A131&lt;P3_DESDE,P3A_PVP,P3_PVP)</f>
        <v>0</v>
      </c>
      <c r="AI131" s="60" t="n">
        <f aca="false">AD131*P1_CPROD+AE131*P2_CPROD+AF131*IF($A131&lt;P3_DESDE,P3A_CPROD,P3_CPROD)</f>
        <v>0</v>
      </c>
      <c r="AJ131" s="60" t="n">
        <f aca="false">IF(ISNUMBER(L131),L131,E131*P1_LOG+F131*P2_LOG+G131*P3_LOG)+IF(ISNUMBER(M131),M131,AA131*P1_LOG+AB131*P2_LOG+AC131*P3_LOG)*TASA_USADA</f>
        <v>0</v>
      </c>
      <c r="AK131" s="60" t="n">
        <f aca="false">AG131*COSTE_DEV</f>
        <v>0</v>
      </c>
      <c r="AL131" s="60" t="n">
        <f aca="false">AD131*P1_IVAN+AE131*P2_IVAN+AF131*IF($A131&lt;P3_DESDE,P3A_IVAN,P3_IVAN)-AG131*IVA_DEV</f>
        <v>0</v>
      </c>
      <c r="AM131" s="60" t="n">
        <f aca="false">N131*(1+RECARGO_ADS)</f>
        <v>0</v>
      </c>
      <c r="AN131" s="58" t="n">
        <f aca="false">IF(ISNUMBER(L131),E131+F131+G131+AA131+AB131+AC131,0)</f>
        <v>0</v>
      </c>
      <c r="AO131" s="60" t="n">
        <f aca="false">P131*COMISION</f>
        <v>0</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B132*P1_PVP+C132*P2_PVP+D132*IF($A132&lt;P3_DESDE,P3A_PVP,P3_PVP)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E132*(P1_PVP-P1_CPROD)+F132*(P2_PVP-P2_CPROD)+G132*(IF($A132&lt;P3_DESDE,P3A_PVP,P3_PVP)-IF($A132&lt;P3_DESDE,P3A_CPROD,P3_CPROD))-IF(ISNUMBER(L132),L132,E132*P1_LOG+F132*P2_LOG+G132*P3_LOG)</f>
        <v>0</v>
      </c>
      <c r="X132" s="33" t="n">
        <f aca="false">W132-(E132*P1_IVAN+F132*P2_IVAN+G132*IF($A132&lt;P3_DESDE,P3A_IVAN,P3_IVAN))-(H132+I132+J132)*(COSTE_DEV-IVA_DEV)-AM132-AO132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E132+AA132*TASA_USADA</f>
        <v>0</v>
      </c>
      <c r="AE132" s="59" t="n">
        <f aca="false">F132+AB132*TASA_USADA</f>
        <v>0</v>
      </c>
      <c r="AF132" s="59" t="n">
        <f aca="false">G132+AC132*TASA_USADA</f>
        <v>0</v>
      </c>
      <c r="AG132" s="59" t="n">
        <f aca="false">H132+I132+J132+(AA132+AB132+AC132)*(1-TASA_USADA)</f>
        <v>0</v>
      </c>
      <c r="AH132" s="60" t="n">
        <f aca="false">AD132*P1_PVP+AE132*P2_PVP+AF132*IF($A132&lt;P3_DESDE,P3A_PVP,P3_PVP)</f>
        <v>0</v>
      </c>
      <c r="AI132" s="60" t="n">
        <f aca="false">AD132*P1_CPROD+AE132*P2_CPROD+AF132*IF($A132&lt;P3_DESDE,P3A_CPROD,P3_CPROD)</f>
        <v>0</v>
      </c>
      <c r="AJ132" s="60" t="n">
        <f aca="false">IF(ISNUMBER(L132),L132,E132*P1_LOG+F132*P2_LOG+G132*P3_LOG)+IF(ISNUMBER(M132),M132,AA132*P1_LOG+AB132*P2_LOG+AC132*P3_LOG)*TASA_USADA</f>
        <v>0</v>
      </c>
      <c r="AK132" s="60" t="n">
        <f aca="false">AG132*COSTE_DEV</f>
        <v>0</v>
      </c>
      <c r="AL132" s="60" t="n">
        <f aca="false">AD132*P1_IVAN+AE132*P2_IVAN+AF132*IF($A132&lt;P3_DESDE,P3A_IVAN,P3_IVAN)-AG132*IVA_DEV</f>
        <v>0</v>
      </c>
      <c r="AM132" s="60" t="n">
        <f aca="false">N132*(1+RECARGO_ADS)</f>
        <v>0</v>
      </c>
      <c r="AN132" s="58" t="n">
        <f aca="false">IF(ISNUMBER(L132),E132+F132+G132+AA132+AB132+AC132,0)</f>
        <v>0</v>
      </c>
      <c r="AO132" s="60" t="n">
        <f aca="false">P132*COMISION</f>
        <v>0</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B133*P1_PVP+C133*P2_PVP+D133*IF($A133&lt;P3_DESDE,P3A_PVP,P3_PVP)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E133*(P1_PVP-P1_CPROD)+F133*(P2_PVP-P2_CPROD)+G133*(IF($A133&lt;P3_DESDE,P3A_PVP,P3_PVP)-IF($A133&lt;P3_DESDE,P3A_CPROD,P3_CPROD))-IF(ISNUMBER(L133),L133,E133*P1_LOG+F133*P2_LOG+G133*P3_LOG)</f>
        <v>0</v>
      </c>
      <c r="X133" s="33" t="n">
        <f aca="false">W133-(E133*P1_IVAN+F133*P2_IVAN+G133*IF($A133&lt;P3_DESDE,P3A_IVAN,P3_IVAN))-(H133+I133+J133)*(COSTE_DEV-IVA_DEV)-AM133-AO133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E133+AA133*TASA_USADA</f>
        <v>0</v>
      </c>
      <c r="AE133" s="59" t="n">
        <f aca="false">F133+AB133*TASA_USADA</f>
        <v>0</v>
      </c>
      <c r="AF133" s="59" t="n">
        <f aca="false">G133+AC133*TASA_USADA</f>
        <v>0</v>
      </c>
      <c r="AG133" s="59" t="n">
        <f aca="false">H133+I133+J133+(AA133+AB133+AC133)*(1-TASA_USADA)</f>
        <v>0</v>
      </c>
      <c r="AH133" s="60" t="n">
        <f aca="false">AD133*P1_PVP+AE133*P2_PVP+AF133*IF($A133&lt;P3_DESDE,P3A_PVP,P3_PVP)</f>
        <v>0</v>
      </c>
      <c r="AI133" s="60" t="n">
        <f aca="false">AD133*P1_CPROD+AE133*P2_CPROD+AF133*IF($A133&lt;P3_DESDE,P3A_CPROD,P3_CPROD)</f>
        <v>0</v>
      </c>
      <c r="AJ133" s="60" t="n">
        <f aca="false">IF(ISNUMBER(L133),L133,E133*P1_LOG+F133*P2_LOG+G133*P3_LOG)+IF(ISNUMBER(M133),M133,AA133*P1_LOG+AB133*P2_LOG+AC133*P3_LOG)*TASA_USADA</f>
        <v>0</v>
      </c>
      <c r="AK133" s="60" t="n">
        <f aca="false">AG133*COSTE_DEV</f>
        <v>0</v>
      </c>
      <c r="AL133" s="60" t="n">
        <f aca="false">AD133*P1_IVAN+AE133*P2_IVAN+AF133*IF($A133&lt;P3_DESDE,P3A_IVAN,P3_IVAN)-AG133*IVA_DEV</f>
        <v>0</v>
      </c>
      <c r="AM133" s="60" t="n">
        <f aca="false">N133*(1+RECARGO_ADS)</f>
        <v>0</v>
      </c>
      <c r="AN133" s="58" t="n">
        <f aca="false">IF(ISNUMBER(L133),E133+F133+G133+AA133+AB133+AC133,0)</f>
        <v>0</v>
      </c>
      <c r="AO133" s="60" t="n">
        <f aca="false">P133*COMISION</f>
        <v>0</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B134*P1_PVP+C134*P2_PVP+D134*IF($A134&lt;P3_DESDE,P3A_PVP,P3_PVP)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E134*(P1_PVP-P1_CPROD)+F134*(P2_PVP-P2_CPROD)+G134*(IF($A134&lt;P3_DESDE,P3A_PVP,P3_PVP)-IF($A134&lt;P3_DESDE,P3A_CPROD,P3_CPROD))-IF(ISNUMBER(L134),L134,E134*P1_LOG+F134*P2_LOG+G134*P3_LOG)</f>
        <v>0</v>
      </c>
      <c r="X134" s="33" t="n">
        <f aca="false">W134-(E134*P1_IVAN+F134*P2_IVAN+G134*IF($A134&lt;P3_DESDE,P3A_IVAN,P3_IVAN))-(H134+I134+J134)*(COSTE_DEV-IVA_DEV)-AM134-AO134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E134+AA134*TASA_USADA</f>
        <v>0</v>
      </c>
      <c r="AE134" s="59" t="n">
        <f aca="false">F134+AB134*TASA_USADA</f>
        <v>0</v>
      </c>
      <c r="AF134" s="59" t="n">
        <f aca="false">G134+AC134*TASA_USADA</f>
        <v>0</v>
      </c>
      <c r="AG134" s="59" t="n">
        <f aca="false">H134+I134+J134+(AA134+AB134+AC134)*(1-TASA_USADA)</f>
        <v>0</v>
      </c>
      <c r="AH134" s="60" t="n">
        <f aca="false">AD134*P1_PVP+AE134*P2_PVP+AF134*IF($A134&lt;P3_DESDE,P3A_PVP,P3_PVP)</f>
        <v>0</v>
      </c>
      <c r="AI134" s="60" t="n">
        <f aca="false">AD134*P1_CPROD+AE134*P2_CPROD+AF134*IF($A134&lt;P3_DESDE,P3A_CPROD,P3_CPROD)</f>
        <v>0</v>
      </c>
      <c r="AJ134" s="60" t="n">
        <f aca="false">IF(ISNUMBER(L134),L134,E134*P1_LOG+F134*P2_LOG+G134*P3_LOG)+IF(ISNUMBER(M134),M134,AA134*P1_LOG+AB134*P2_LOG+AC134*P3_LOG)*TASA_USADA</f>
        <v>0</v>
      </c>
      <c r="AK134" s="60" t="n">
        <f aca="false">AG134*COSTE_DEV</f>
        <v>0</v>
      </c>
      <c r="AL134" s="60" t="n">
        <f aca="false">AD134*P1_IVAN+AE134*P2_IVAN+AF134*IF($A134&lt;P3_DESDE,P3A_IVAN,P3_IVAN)-AG134*IVA_DEV</f>
        <v>0</v>
      </c>
      <c r="AM134" s="60" t="n">
        <f aca="false">N134*(1+RECARGO_ADS)</f>
        <v>0</v>
      </c>
      <c r="AN134" s="58" t="n">
        <f aca="false">IF(ISNUMBER(L134),E134+F134+G134+AA134+AB134+AC134,0)</f>
        <v>0</v>
      </c>
      <c r="AO134" s="60" t="n">
        <f aca="false">P134*COMISION</f>
        <v>0</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B135*P1_PVP+C135*P2_PVP+D135*IF($A135&lt;P3_DESDE,P3A_PVP,P3_PVP)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E135*(P1_PVP-P1_CPROD)+F135*(P2_PVP-P2_CPROD)+G135*(IF($A135&lt;P3_DESDE,P3A_PVP,P3_PVP)-IF($A135&lt;P3_DESDE,P3A_CPROD,P3_CPROD))-IF(ISNUMBER(L135),L135,E135*P1_LOG+F135*P2_LOG+G135*P3_LOG)</f>
        <v>0</v>
      </c>
      <c r="X135" s="33" t="n">
        <f aca="false">W135-(E135*P1_IVAN+F135*P2_IVAN+G135*IF($A135&lt;P3_DESDE,P3A_IVAN,P3_IVAN))-(H135+I135+J135)*(COSTE_DEV-IVA_DEV)-AM135-AO135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E135+AA135*TASA_USADA</f>
        <v>0</v>
      </c>
      <c r="AE135" s="59" t="n">
        <f aca="false">F135+AB135*TASA_USADA</f>
        <v>0</v>
      </c>
      <c r="AF135" s="59" t="n">
        <f aca="false">G135+AC135*TASA_USADA</f>
        <v>0</v>
      </c>
      <c r="AG135" s="59" t="n">
        <f aca="false">H135+I135+J135+(AA135+AB135+AC135)*(1-TASA_USADA)</f>
        <v>0</v>
      </c>
      <c r="AH135" s="60" t="n">
        <f aca="false">AD135*P1_PVP+AE135*P2_PVP+AF135*IF($A135&lt;P3_DESDE,P3A_PVP,P3_PVP)</f>
        <v>0</v>
      </c>
      <c r="AI135" s="60" t="n">
        <f aca="false">AD135*P1_CPROD+AE135*P2_CPROD+AF135*IF($A135&lt;P3_DESDE,P3A_CPROD,P3_CPROD)</f>
        <v>0</v>
      </c>
      <c r="AJ135" s="60" t="n">
        <f aca="false">IF(ISNUMBER(L135),L135,E135*P1_LOG+F135*P2_LOG+G135*P3_LOG)+IF(ISNUMBER(M135),M135,AA135*P1_LOG+AB135*P2_LOG+AC135*P3_LOG)*TASA_USADA</f>
        <v>0</v>
      </c>
      <c r="AK135" s="60" t="n">
        <f aca="false">AG135*COSTE_DEV</f>
        <v>0</v>
      </c>
      <c r="AL135" s="60" t="n">
        <f aca="false">AD135*P1_IVAN+AE135*P2_IVAN+AF135*IF($A135&lt;P3_DESDE,P3A_IVAN,P3_IVAN)-AG135*IVA_DEV</f>
        <v>0</v>
      </c>
      <c r="AM135" s="60" t="n">
        <f aca="false">N135*(1+RECARGO_ADS)</f>
        <v>0</v>
      </c>
      <c r="AN135" s="58" t="n">
        <f aca="false">IF(ISNUMBER(L135),E135+F135+G135+AA135+AB135+AC135,0)</f>
        <v>0</v>
      </c>
      <c r="AO135" s="60" t="n">
        <f aca="false">P135*COMISION</f>
        <v>0</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B136*P1_PVP+C136*P2_PVP+D136*IF($A136&lt;P3_DESDE,P3A_PVP,P3_PVP)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E136*(P1_PVP-P1_CPROD)+F136*(P2_PVP-P2_CPROD)+G136*(IF($A136&lt;P3_DESDE,P3A_PVP,P3_PVP)-IF($A136&lt;P3_DESDE,P3A_CPROD,P3_CPROD))-IF(ISNUMBER(L136),L136,E136*P1_LOG+F136*P2_LOG+G136*P3_LOG)</f>
        <v>0</v>
      </c>
      <c r="X136" s="33" t="n">
        <f aca="false">W136-(E136*P1_IVAN+F136*P2_IVAN+G136*IF($A136&lt;P3_DESDE,P3A_IVAN,P3_IVAN))-(H136+I136+J136)*(COSTE_DEV-IVA_DEV)-AM136-AO136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E136+AA136*TASA_USADA</f>
        <v>0</v>
      </c>
      <c r="AE136" s="59" t="n">
        <f aca="false">F136+AB136*TASA_USADA</f>
        <v>0</v>
      </c>
      <c r="AF136" s="59" t="n">
        <f aca="false">G136+AC136*TASA_USADA</f>
        <v>0</v>
      </c>
      <c r="AG136" s="59" t="n">
        <f aca="false">H136+I136+J136+(AA136+AB136+AC136)*(1-TASA_USADA)</f>
        <v>0</v>
      </c>
      <c r="AH136" s="60" t="n">
        <f aca="false">AD136*P1_PVP+AE136*P2_PVP+AF136*IF($A136&lt;P3_DESDE,P3A_PVP,P3_PVP)</f>
        <v>0</v>
      </c>
      <c r="AI136" s="60" t="n">
        <f aca="false">AD136*P1_CPROD+AE136*P2_CPROD+AF136*IF($A136&lt;P3_DESDE,P3A_CPROD,P3_CPROD)</f>
        <v>0</v>
      </c>
      <c r="AJ136" s="60" t="n">
        <f aca="false">IF(ISNUMBER(L136),L136,E136*P1_LOG+F136*P2_LOG+G136*P3_LOG)+IF(ISNUMBER(M136),M136,AA136*P1_LOG+AB136*P2_LOG+AC136*P3_LOG)*TASA_USADA</f>
        <v>0</v>
      </c>
      <c r="AK136" s="60" t="n">
        <f aca="false">AG136*COSTE_DEV</f>
        <v>0</v>
      </c>
      <c r="AL136" s="60" t="n">
        <f aca="false">AD136*P1_IVAN+AE136*P2_IVAN+AF136*IF($A136&lt;P3_DESDE,P3A_IVAN,P3_IVAN)-AG136*IVA_DEV</f>
        <v>0</v>
      </c>
      <c r="AM136" s="60" t="n">
        <f aca="false">N136*(1+RECARGO_ADS)</f>
        <v>0</v>
      </c>
      <c r="AN136" s="58" t="n">
        <f aca="false">IF(ISNUMBER(L136),E136+F136+G136+AA136+AB136+AC136,0)</f>
        <v>0</v>
      </c>
      <c r="AO136" s="60" t="n">
        <f aca="false">P136*COMISION</f>
        <v>0</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B137*P1_PVP+C137*P2_PVP+D137*IF($A137&lt;P3_DESDE,P3A_PVP,P3_PVP)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E137*(P1_PVP-P1_CPROD)+F137*(P2_PVP-P2_CPROD)+G137*(IF($A137&lt;P3_DESDE,P3A_PVP,P3_PVP)-IF($A137&lt;P3_DESDE,P3A_CPROD,P3_CPROD))-IF(ISNUMBER(L137),L137,E137*P1_LOG+F137*P2_LOG+G137*P3_LOG)</f>
        <v>0</v>
      </c>
      <c r="X137" s="33" t="n">
        <f aca="false">W137-(E137*P1_IVAN+F137*P2_IVAN+G137*IF($A137&lt;P3_DESDE,P3A_IVAN,P3_IVAN))-(H137+I137+J137)*(COSTE_DEV-IVA_DEV)-AM137-AO137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E137+AA137*TASA_USADA</f>
        <v>0</v>
      </c>
      <c r="AE137" s="59" t="n">
        <f aca="false">F137+AB137*TASA_USADA</f>
        <v>0</v>
      </c>
      <c r="AF137" s="59" t="n">
        <f aca="false">G137+AC137*TASA_USADA</f>
        <v>0</v>
      </c>
      <c r="AG137" s="59" t="n">
        <f aca="false">H137+I137+J137+(AA137+AB137+AC137)*(1-TASA_USADA)</f>
        <v>0</v>
      </c>
      <c r="AH137" s="60" t="n">
        <f aca="false">AD137*P1_PVP+AE137*P2_PVP+AF137*IF($A137&lt;P3_DESDE,P3A_PVP,P3_PVP)</f>
        <v>0</v>
      </c>
      <c r="AI137" s="60" t="n">
        <f aca="false">AD137*P1_CPROD+AE137*P2_CPROD+AF137*IF($A137&lt;P3_DESDE,P3A_CPROD,P3_CPROD)</f>
        <v>0</v>
      </c>
      <c r="AJ137" s="60" t="n">
        <f aca="false">IF(ISNUMBER(L137),L137,E137*P1_LOG+F137*P2_LOG+G137*P3_LOG)+IF(ISNUMBER(M137),M137,AA137*P1_LOG+AB137*P2_LOG+AC137*P3_LOG)*TASA_USADA</f>
        <v>0</v>
      </c>
      <c r="AK137" s="60" t="n">
        <f aca="false">AG137*COSTE_DEV</f>
        <v>0</v>
      </c>
      <c r="AL137" s="60" t="n">
        <f aca="false">AD137*P1_IVAN+AE137*P2_IVAN+AF137*IF($A137&lt;P3_DESDE,P3A_IVAN,P3_IVAN)-AG137*IVA_DEV</f>
        <v>0</v>
      </c>
      <c r="AM137" s="60" t="n">
        <f aca="false">N137*(1+RECARGO_ADS)</f>
        <v>0</v>
      </c>
      <c r="AN137" s="58" t="n">
        <f aca="false">IF(ISNUMBER(L137),E137+F137+G137+AA137+AB137+AC137,0)</f>
        <v>0</v>
      </c>
      <c r="AO137" s="60" t="n">
        <f aca="false">P137*COMISION</f>
        <v>0</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B138*P1_PVP+C138*P2_PVP+D138*IF($A138&lt;P3_DESDE,P3A_PVP,P3_PVP)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E138*(P1_PVP-P1_CPROD)+F138*(P2_PVP-P2_CPROD)+G138*(IF($A138&lt;P3_DESDE,P3A_PVP,P3_PVP)-IF($A138&lt;P3_DESDE,P3A_CPROD,P3_CPROD))-IF(ISNUMBER(L138),L138,E138*P1_LOG+F138*P2_LOG+G138*P3_LOG)</f>
        <v>0</v>
      </c>
      <c r="X138" s="33" t="n">
        <f aca="false">W138-(E138*P1_IVAN+F138*P2_IVAN+G138*IF($A138&lt;P3_DESDE,P3A_IVAN,P3_IVAN))-(H138+I138+J138)*(COSTE_DEV-IVA_DEV)-AM138-AO138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E138+AA138*TASA_USADA</f>
        <v>0</v>
      </c>
      <c r="AE138" s="59" t="n">
        <f aca="false">F138+AB138*TASA_USADA</f>
        <v>0</v>
      </c>
      <c r="AF138" s="59" t="n">
        <f aca="false">G138+AC138*TASA_USADA</f>
        <v>0</v>
      </c>
      <c r="AG138" s="59" t="n">
        <f aca="false">H138+I138+J138+(AA138+AB138+AC138)*(1-TASA_USADA)</f>
        <v>0</v>
      </c>
      <c r="AH138" s="60" t="n">
        <f aca="false">AD138*P1_PVP+AE138*P2_PVP+AF138*IF($A138&lt;P3_DESDE,P3A_PVP,P3_PVP)</f>
        <v>0</v>
      </c>
      <c r="AI138" s="60" t="n">
        <f aca="false">AD138*P1_CPROD+AE138*P2_CPROD+AF138*IF($A138&lt;P3_DESDE,P3A_CPROD,P3_CPROD)</f>
        <v>0</v>
      </c>
      <c r="AJ138" s="60" t="n">
        <f aca="false">IF(ISNUMBER(L138),L138,E138*P1_LOG+F138*P2_LOG+G138*P3_LOG)+IF(ISNUMBER(M138),M138,AA138*P1_LOG+AB138*P2_LOG+AC138*P3_LOG)*TASA_USADA</f>
        <v>0</v>
      </c>
      <c r="AK138" s="60" t="n">
        <f aca="false">AG138*COSTE_DEV</f>
        <v>0</v>
      </c>
      <c r="AL138" s="60" t="n">
        <f aca="false">AD138*P1_IVAN+AE138*P2_IVAN+AF138*IF($A138&lt;P3_DESDE,P3A_IVAN,P3_IVAN)-AG138*IVA_DEV</f>
        <v>0</v>
      </c>
      <c r="AM138" s="60" t="n">
        <f aca="false">N138*(1+RECARGO_ADS)</f>
        <v>0</v>
      </c>
      <c r="AN138" s="58" t="n">
        <f aca="false">IF(ISNUMBER(L138),E138+F138+G138+AA138+AB138+AC138,0)</f>
        <v>0</v>
      </c>
      <c r="AO138" s="60" t="n">
        <f aca="false">P138*COMISION</f>
        <v>0</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B139*P1_PVP+C139*P2_PVP+D139*IF($A139&lt;P3_DESDE,P3A_PVP,P3_PVP)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E139*(P1_PVP-P1_CPROD)+F139*(P2_PVP-P2_CPROD)+G139*(IF($A139&lt;P3_DESDE,P3A_PVP,P3_PVP)-IF($A139&lt;P3_DESDE,P3A_CPROD,P3_CPROD))-IF(ISNUMBER(L139),L139,E139*P1_LOG+F139*P2_LOG+G139*P3_LOG)</f>
        <v>0</v>
      </c>
      <c r="X139" s="33" t="n">
        <f aca="false">W139-(E139*P1_IVAN+F139*P2_IVAN+G139*IF($A139&lt;P3_DESDE,P3A_IVAN,P3_IVAN))-(H139+I139+J139)*(COSTE_DEV-IVA_DEV)-AM139-AO139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E139+AA139*TASA_USADA</f>
        <v>0</v>
      </c>
      <c r="AE139" s="59" t="n">
        <f aca="false">F139+AB139*TASA_USADA</f>
        <v>0</v>
      </c>
      <c r="AF139" s="59" t="n">
        <f aca="false">G139+AC139*TASA_USADA</f>
        <v>0</v>
      </c>
      <c r="AG139" s="59" t="n">
        <f aca="false">H139+I139+J139+(AA139+AB139+AC139)*(1-TASA_USADA)</f>
        <v>0</v>
      </c>
      <c r="AH139" s="60" t="n">
        <f aca="false">AD139*P1_PVP+AE139*P2_PVP+AF139*IF($A139&lt;P3_DESDE,P3A_PVP,P3_PVP)</f>
        <v>0</v>
      </c>
      <c r="AI139" s="60" t="n">
        <f aca="false">AD139*P1_CPROD+AE139*P2_CPROD+AF139*IF($A139&lt;P3_DESDE,P3A_CPROD,P3_CPROD)</f>
        <v>0</v>
      </c>
      <c r="AJ139" s="60" t="n">
        <f aca="false">IF(ISNUMBER(L139),L139,E139*P1_LOG+F139*P2_LOG+G139*P3_LOG)+IF(ISNUMBER(M139),M139,AA139*P1_LOG+AB139*P2_LOG+AC139*P3_LOG)*TASA_USADA</f>
        <v>0</v>
      </c>
      <c r="AK139" s="60" t="n">
        <f aca="false">AG139*COSTE_DEV</f>
        <v>0</v>
      </c>
      <c r="AL139" s="60" t="n">
        <f aca="false">AD139*P1_IVAN+AE139*P2_IVAN+AF139*IF($A139&lt;P3_DESDE,P3A_IVAN,P3_IVAN)-AG139*IVA_DEV</f>
        <v>0</v>
      </c>
      <c r="AM139" s="60" t="n">
        <f aca="false">N139*(1+RECARGO_ADS)</f>
        <v>0</v>
      </c>
      <c r="AN139" s="58" t="n">
        <f aca="false">IF(ISNUMBER(L139),E139+F139+G139+AA139+AB139+AC139,0)</f>
        <v>0</v>
      </c>
      <c r="AO139" s="60" t="n">
        <f aca="false">P139*COMISION</f>
        <v>0</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B140*P1_PVP+C140*P2_PVP+D140*IF($A140&lt;P3_DESDE,P3A_PVP,P3_PVP)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E140*(P1_PVP-P1_CPROD)+F140*(P2_PVP-P2_CPROD)+G140*(IF($A140&lt;P3_DESDE,P3A_PVP,P3_PVP)-IF($A140&lt;P3_DESDE,P3A_CPROD,P3_CPROD))-IF(ISNUMBER(L140),L140,E140*P1_LOG+F140*P2_LOG+G140*P3_LOG)</f>
        <v>0</v>
      </c>
      <c r="X140" s="33" t="n">
        <f aca="false">W140-(E140*P1_IVAN+F140*P2_IVAN+G140*IF($A140&lt;P3_DESDE,P3A_IVAN,P3_IVAN))-(H140+I140+J140)*(COSTE_DEV-IVA_DEV)-AM140-AO140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E140+AA140*TASA_USADA</f>
        <v>0</v>
      </c>
      <c r="AE140" s="59" t="n">
        <f aca="false">F140+AB140*TASA_USADA</f>
        <v>0</v>
      </c>
      <c r="AF140" s="59" t="n">
        <f aca="false">G140+AC140*TASA_USADA</f>
        <v>0</v>
      </c>
      <c r="AG140" s="59" t="n">
        <f aca="false">H140+I140+J140+(AA140+AB140+AC140)*(1-TASA_USADA)</f>
        <v>0</v>
      </c>
      <c r="AH140" s="60" t="n">
        <f aca="false">AD140*P1_PVP+AE140*P2_PVP+AF140*IF($A140&lt;P3_DESDE,P3A_PVP,P3_PVP)</f>
        <v>0</v>
      </c>
      <c r="AI140" s="60" t="n">
        <f aca="false">AD140*P1_CPROD+AE140*P2_CPROD+AF140*IF($A140&lt;P3_DESDE,P3A_CPROD,P3_CPROD)</f>
        <v>0</v>
      </c>
      <c r="AJ140" s="60" t="n">
        <f aca="false">IF(ISNUMBER(L140),L140,E140*P1_LOG+F140*P2_LOG+G140*P3_LOG)+IF(ISNUMBER(M140),M140,AA140*P1_LOG+AB140*P2_LOG+AC140*P3_LOG)*TASA_USADA</f>
        <v>0</v>
      </c>
      <c r="AK140" s="60" t="n">
        <f aca="false">AG140*COSTE_DEV</f>
        <v>0</v>
      </c>
      <c r="AL140" s="60" t="n">
        <f aca="false">AD140*P1_IVAN+AE140*P2_IVAN+AF140*IF($A140&lt;P3_DESDE,P3A_IVAN,P3_IVAN)-AG140*IVA_DEV</f>
        <v>0</v>
      </c>
      <c r="AM140" s="60" t="n">
        <f aca="false">N140*(1+RECARGO_ADS)</f>
        <v>0</v>
      </c>
      <c r="AN140" s="58" t="n">
        <f aca="false">IF(ISNUMBER(L140),E140+F140+G140+AA140+AB140+AC140,0)</f>
        <v>0</v>
      </c>
      <c r="AO140" s="60" t="n">
        <f aca="false">P140*COMISION</f>
        <v>0</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B141*P1_PVP+C141*P2_PVP+D141*IF($A141&lt;P3_DESDE,P3A_PVP,P3_PVP)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E141*(P1_PVP-P1_CPROD)+F141*(P2_PVP-P2_CPROD)+G141*(IF($A141&lt;P3_DESDE,P3A_PVP,P3_PVP)-IF($A141&lt;P3_DESDE,P3A_CPROD,P3_CPROD))-IF(ISNUMBER(L141),L141,E141*P1_LOG+F141*P2_LOG+G141*P3_LOG)</f>
        <v>0</v>
      </c>
      <c r="X141" s="33" t="n">
        <f aca="false">W141-(E141*P1_IVAN+F141*P2_IVAN+G141*IF($A141&lt;P3_DESDE,P3A_IVAN,P3_IVAN))-(H141+I141+J141)*(COSTE_DEV-IVA_DEV)-AM141-AO141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E141+AA141*TASA_USADA</f>
        <v>0</v>
      </c>
      <c r="AE141" s="59" t="n">
        <f aca="false">F141+AB141*TASA_USADA</f>
        <v>0</v>
      </c>
      <c r="AF141" s="59" t="n">
        <f aca="false">G141+AC141*TASA_USADA</f>
        <v>0</v>
      </c>
      <c r="AG141" s="59" t="n">
        <f aca="false">H141+I141+J141+(AA141+AB141+AC141)*(1-TASA_USADA)</f>
        <v>0</v>
      </c>
      <c r="AH141" s="60" t="n">
        <f aca="false">AD141*P1_PVP+AE141*P2_PVP+AF141*IF($A141&lt;P3_DESDE,P3A_PVP,P3_PVP)</f>
        <v>0</v>
      </c>
      <c r="AI141" s="60" t="n">
        <f aca="false">AD141*P1_CPROD+AE141*P2_CPROD+AF141*IF($A141&lt;P3_DESDE,P3A_CPROD,P3_CPROD)</f>
        <v>0</v>
      </c>
      <c r="AJ141" s="60" t="n">
        <f aca="false">IF(ISNUMBER(L141),L141,E141*P1_LOG+F141*P2_LOG+G141*P3_LOG)+IF(ISNUMBER(M141),M141,AA141*P1_LOG+AB141*P2_LOG+AC141*P3_LOG)*TASA_USADA</f>
        <v>0</v>
      </c>
      <c r="AK141" s="60" t="n">
        <f aca="false">AG141*COSTE_DEV</f>
        <v>0</v>
      </c>
      <c r="AL141" s="60" t="n">
        <f aca="false">AD141*P1_IVAN+AE141*P2_IVAN+AF141*IF($A141&lt;P3_DESDE,P3A_IVAN,P3_IVAN)-AG141*IVA_DEV</f>
        <v>0</v>
      </c>
      <c r="AM141" s="60" t="n">
        <f aca="false">N141*(1+RECARGO_ADS)</f>
        <v>0</v>
      </c>
      <c r="AN141" s="58" t="n">
        <f aca="false">IF(ISNUMBER(L141),E141+F141+G141+AA141+AB141+AC141,0)</f>
        <v>0</v>
      </c>
      <c r="AO141" s="60" t="n">
        <f aca="false">P141*COMISION</f>
        <v>0</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B142*P1_PVP+C142*P2_PVP+D142*IF($A142&lt;P3_DESDE,P3A_PVP,P3_PVP)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E142*(P1_PVP-P1_CPROD)+F142*(P2_PVP-P2_CPROD)+G142*(IF($A142&lt;P3_DESDE,P3A_PVP,P3_PVP)-IF($A142&lt;P3_DESDE,P3A_CPROD,P3_CPROD))-IF(ISNUMBER(L142),L142,E142*P1_LOG+F142*P2_LOG+G142*P3_LOG)</f>
        <v>0</v>
      </c>
      <c r="X142" s="33" t="n">
        <f aca="false">W142-(E142*P1_IVAN+F142*P2_IVAN+G142*IF($A142&lt;P3_DESDE,P3A_IVAN,P3_IVAN))-(H142+I142+J142)*(COSTE_DEV-IVA_DEV)-AM142-AO142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E142+AA142*TASA_USADA</f>
        <v>0</v>
      </c>
      <c r="AE142" s="59" t="n">
        <f aca="false">F142+AB142*TASA_USADA</f>
        <v>0</v>
      </c>
      <c r="AF142" s="59" t="n">
        <f aca="false">G142+AC142*TASA_USADA</f>
        <v>0</v>
      </c>
      <c r="AG142" s="59" t="n">
        <f aca="false">H142+I142+J142+(AA142+AB142+AC142)*(1-TASA_USADA)</f>
        <v>0</v>
      </c>
      <c r="AH142" s="60" t="n">
        <f aca="false">AD142*P1_PVP+AE142*P2_PVP+AF142*IF($A142&lt;P3_DESDE,P3A_PVP,P3_PVP)</f>
        <v>0</v>
      </c>
      <c r="AI142" s="60" t="n">
        <f aca="false">AD142*P1_CPROD+AE142*P2_CPROD+AF142*IF($A142&lt;P3_DESDE,P3A_CPROD,P3_CPROD)</f>
        <v>0</v>
      </c>
      <c r="AJ142" s="60" t="n">
        <f aca="false">IF(ISNUMBER(L142),L142,E142*P1_LOG+F142*P2_LOG+G142*P3_LOG)+IF(ISNUMBER(M142),M142,AA142*P1_LOG+AB142*P2_LOG+AC142*P3_LOG)*TASA_USADA</f>
        <v>0</v>
      </c>
      <c r="AK142" s="60" t="n">
        <f aca="false">AG142*COSTE_DEV</f>
        <v>0</v>
      </c>
      <c r="AL142" s="60" t="n">
        <f aca="false">AD142*P1_IVAN+AE142*P2_IVAN+AF142*IF($A142&lt;P3_DESDE,P3A_IVAN,P3_IVAN)-AG142*IVA_DEV</f>
        <v>0</v>
      </c>
      <c r="AM142" s="60" t="n">
        <f aca="false">N142*(1+RECARGO_ADS)</f>
        <v>0</v>
      </c>
      <c r="AN142" s="58" t="n">
        <f aca="false">IF(ISNUMBER(L142),E142+F142+G142+AA142+AB142+AC142,0)</f>
        <v>0</v>
      </c>
      <c r="AO142" s="60" t="n">
        <f aca="false">P142*COMISION</f>
        <v>0</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B143*P1_PVP+C143*P2_PVP+D143*IF($A143&lt;P3_DESDE,P3A_PVP,P3_PVP)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E143*(P1_PVP-P1_CPROD)+F143*(P2_PVP-P2_CPROD)+G143*(IF($A143&lt;P3_DESDE,P3A_PVP,P3_PVP)-IF($A143&lt;P3_DESDE,P3A_CPROD,P3_CPROD))-IF(ISNUMBER(L143),L143,E143*P1_LOG+F143*P2_LOG+G143*P3_LOG)</f>
        <v>0</v>
      </c>
      <c r="X143" s="33" t="n">
        <f aca="false">W143-(E143*P1_IVAN+F143*P2_IVAN+G143*IF($A143&lt;P3_DESDE,P3A_IVAN,P3_IVAN))-(H143+I143+J143)*(COSTE_DEV-IVA_DEV)-AM143-AO143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E143+AA143*TASA_USADA</f>
        <v>0</v>
      </c>
      <c r="AE143" s="59" t="n">
        <f aca="false">F143+AB143*TASA_USADA</f>
        <v>0</v>
      </c>
      <c r="AF143" s="59" t="n">
        <f aca="false">G143+AC143*TASA_USADA</f>
        <v>0</v>
      </c>
      <c r="AG143" s="59" t="n">
        <f aca="false">H143+I143+J143+(AA143+AB143+AC143)*(1-TASA_USADA)</f>
        <v>0</v>
      </c>
      <c r="AH143" s="60" t="n">
        <f aca="false">AD143*P1_PVP+AE143*P2_PVP+AF143*IF($A143&lt;P3_DESDE,P3A_PVP,P3_PVP)</f>
        <v>0</v>
      </c>
      <c r="AI143" s="60" t="n">
        <f aca="false">AD143*P1_CPROD+AE143*P2_CPROD+AF143*IF($A143&lt;P3_DESDE,P3A_CPROD,P3_CPROD)</f>
        <v>0</v>
      </c>
      <c r="AJ143" s="60" t="n">
        <f aca="false">IF(ISNUMBER(L143),L143,E143*P1_LOG+F143*P2_LOG+G143*P3_LOG)+IF(ISNUMBER(M143),M143,AA143*P1_LOG+AB143*P2_LOG+AC143*P3_LOG)*TASA_USADA</f>
        <v>0</v>
      </c>
      <c r="AK143" s="60" t="n">
        <f aca="false">AG143*COSTE_DEV</f>
        <v>0</v>
      </c>
      <c r="AL143" s="60" t="n">
        <f aca="false">AD143*P1_IVAN+AE143*P2_IVAN+AF143*IF($A143&lt;P3_DESDE,P3A_IVAN,P3_IVAN)-AG143*IVA_DEV</f>
        <v>0</v>
      </c>
      <c r="AM143" s="60" t="n">
        <f aca="false">N143*(1+RECARGO_ADS)</f>
        <v>0</v>
      </c>
      <c r="AN143" s="58" t="n">
        <f aca="false">IF(ISNUMBER(L143),E143+F143+G143+AA143+AB143+AC143,0)</f>
        <v>0</v>
      </c>
      <c r="AO143" s="60" t="n">
        <f aca="false">P143*COMISION</f>
        <v>0</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B144*P1_PVP+C144*P2_PVP+D144*IF($A144&lt;P3_DESDE,P3A_PVP,P3_PVP)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E144*(P1_PVP-P1_CPROD)+F144*(P2_PVP-P2_CPROD)+G144*(IF($A144&lt;P3_DESDE,P3A_PVP,P3_PVP)-IF($A144&lt;P3_DESDE,P3A_CPROD,P3_CPROD))-IF(ISNUMBER(L144),L144,E144*P1_LOG+F144*P2_LOG+G144*P3_LOG)</f>
        <v>0</v>
      </c>
      <c r="X144" s="33" t="n">
        <f aca="false">W144-(E144*P1_IVAN+F144*P2_IVAN+G144*IF($A144&lt;P3_DESDE,P3A_IVAN,P3_IVAN))-(H144+I144+J144)*(COSTE_DEV-IVA_DEV)-AM144-AO144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E144+AA144*TASA_USADA</f>
        <v>0</v>
      </c>
      <c r="AE144" s="59" t="n">
        <f aca="false">F144+AB144*TASA_USADA</f>
        <v>0</v>
      </c>
      <c r="AF144" s="59" t="n">
        <f aca="false">G144+AC144*TASA_USADA</f>
        <v>0</v>
      </c>
      <c r="AG144" s="59" t="n">
        <f aca="false">H144+I144+J144+(AA144+AB144+AC144)*(1-TASA_USADA)</f>
        <v>0</v>
      </c>
      <c r="AH144" s="60" t="n">
        <f aca="false">AD144*P1_PVP+AE144*P2_PVP+AF144*IF($A144&lt;P3_DESDE,P3A_PVP,P3_PVP)</f>
        <v>0</v>
      </c>
      <c r="AI144" s="60" t="n">
        <f aca="false">AD144*P1_CPROD+AE144*P2_CPROD+AF144*IF($A144&lt;P3_DESDE,P3A_CPROD,P3_CPROD)</f>
        <v>0</v>
      </c>
      <c r="AJ144" s="60" t="n">
        <f aca="false">IF(ISNUMBER(L144),L144,E144*P1_LOG+F144*P2_LOG+G144*P3_LOG)+IF(ISNUMBER(M144),M144,AA144*P1_LOG+AB144*P2_LOG+AC144*P3_LOG)*TASA_USADA</f>
        <v>0</v>
      </c>
      <c r="AK144" s="60" t="n">
        <f aca="false">AG144*COSTE_DEV</f>
        <v>0</v>
      </c>
      <c r="AL144" s="60" t="n">
        <f aca="false">AD144*P1_IVAN+AE144*P2_IVAN+AF144*IF($A144&lt;P3_DESDE,P3A_IVAN,P3_IVAN)-AG144*IVA_DEV</f>
        <v>0</v>
      </c>
      <c r="AM144" s="60" t="n">
        <f aca="false">N144*(1+RECARGO_ADS)</f>
        <v>0</v>
      </c>
      <c r="AN144" s="58" t="n">
        <f aca="false">IF(ISNUMBER(L144),E144+F144+G144+AA144+AB144+AC144,0)</f>
        <v>0</v>
      </c>
      <c r="AO144" s="60" t="n">
        <f aca="false">P144*COMISION</f>
        <v>0</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B145*P1_PVP+C145*P2_PVP+D145*IF($A145&lt;P3_DESDE,P3A_PVP,P3_PVP)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E145*(P1_PVP-P1_CPROD)+F145*(P2_PVP-P2_CPROD)+G145*(IF($A145&lt;P3_DESDE,P3A_PVP,P3_PVP)-IF($A145&lt;P3_DESDE,P3A_CPROD,P3_CPROD))-IF(ISNUMBER(L145),L145,E145*P1_LOG+F145*P2_LOG+G145*P3_LOG)</f>
        <v>0</v>
      </c>
      <c r="X145" s="33" t="n">
        <f aca="false">W145-(E145*P1_IVAN+F145*P2_IVAN+G145*IF($A145&lt;P3_DESDE,P3A_IVAN,P3_IVAN))-(H145+I145+J145)*(COSTE_DEV-IVA_DEV)-AM145-AO145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E145+AA145*TASA_USADA</f>
        <v>0</v>
      </c>
      <c r="AE145" s="59" t="n">
        <f aca="false">F145+AB145*TASA_USADA</f>
        <v>0</v>
      </c>
      <c r="AF145" s="59" t="n">
        <f aca="false">G145+AC145*TASA_USADA</f>
        <v>0</v>
      </c>
      <c r="AG145" s="59" t="n">
        <f aca="false">H145+I145+J145+(AA145+AB145+AC145)*(1-TASA_USADA)</f>
        <v>0</v>
      </c>
      <c r="AH145" s="60" t="n">
        <f aca="false">AD145*P1_PVP+AE145*P2_PVP+AF145*IF($A145&lt;P3_DESDE,P3A_PVP,P3_PVP)</f>
        <v>0</v>
      </c>
      <c r="AI145" s="60" t="n">
        <f aca="false">AD145*P1_CPROD+AE145*P2_CPROD+AF145*IF($A145&lt;P3_DESDE,P3A_CPROD,P3_CPROD)</f>
        <v>0</v>
      </c>
      <c r="AJ145" s="60" t="n">
        <f aca="false">IF(ISNUMBER(L145),L145,E145*P1_LOG+F145*P2_LOG+G145*P3_LOG)+IF(ISNUMBER(M145),M145,AA145*P1_LOG+AB145*P2_LOG+AC145*P3_LOG)*TASA_USADA</f>
        <v>0</v>
      </c>
      <c r="AK145" s="60" t="n">
        <f aca="false">AG145*COSTE_DEV</f>
        <v>0</v>
      </c>
      <c r="AL145" s="60" t="n">
        <f aca="false">AD145*P1_IVAN+AE145*P2_IVAN+AF145*IF($A145&lt;P3_DESDE,P3A_IVAN,P3_IVAN)-AG145*IVA_DEV</f>
        <v>0</v>
      </c>
      <c r="AM145" s="60" t="n">
        <f aca="false">N145*(1+RECARGO_ADS)</f>
        <v>0</v>
      </c>
      <c r="AN145" s="58" t="n">
        <f aca="false">IF(ISNUMBER(L145),E145+F145+G145+AA145+AB145+AC145,0)</f>
        <v>0</v>
      </c>
      <c r="AO145" s="60" t="n">
        <f aca="false">P145*COMISION</f>
        <v>0</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B146*P1_PVP+C146*P2_PVP+D146*IF($A146&lt;P3_DESDE,P3A_PVP,P3_PVP)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E146*(P1_PVP-P1_CPROD)+F146*(P2_PVP-P2_CPROD)+G146*(IF($A146&lt;P3_DESDE,P3A_PVP,P3_PVP)-IF($A146&lt;P3_DESDE,P3A_CPROD,P3_CPROD))-IF(ISNUMBER(L146),L146,E146*P1_LOG+F146*P2_LOG+G146*P3_LOG)</f>
        <v>0</v>
      </c>
      <c r="X146" s="33" t="n">
        <f aca="false">W146-(E146*P1_IVAN+F146*P2_IVAN+G146*IF($A146&lt;P3_DESDE,P3A_IVAN,P3_IVAN))-(H146+I146+J146)*(COSTE_DEV-IVA_DEV)-AM146-AO146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E146+AA146*TASA_USADA</f>
        <v>0</v>
      </c>
      <c r="AE146" s="59" t="n">
        <f aca="false">F146+AB146*TASA_USADA</f>
        <v>0</v>
      </c>
      <c r="AF146" s="59" t="n">
        <f aca="false">G146+AC146*TASA_USADA</f>
        <v>0</v>
      </c>
      <c r="AG146" s="59" t="n">
        <f aca="false">H146+I146+J146+(AA146+AB146+AC146)*(1-TASA_USADA)</f>
        <v>0</v>
      </c>
      <c r="AH146" s="60" t="n">
        <f aca="false">AD146*P1_PVP+AE146*P2_PVP+AF146*IF($A146&lt;P3_DESDE,P3A_PVP,P3_PVP)</f>
        <v>0</v>
      </c>
      <c r="AI146" s="60" t="n">
        <f aca="false">AD146*P1_CPROD+AE146*P2_CPROD+AF146*IF($A146&lt;P3_DESDE,P3A_CPROD,P3_CPROD)</f>
        <v>0</v>
      </c>
      <c r="AJ146" s="60" t="n">
        <f aca="false">IF(ISNUMBER(L146),L146,E146*P1_LOG+F146*P2_LOG+G146*P3_LOG)+IF(ISNUMBER(M146),M146,AA146*P1_LOG+AB146*P2_LOG+AC146*P3_LOG)*TASA_USADA</f>
        <v>0</v>
      </c>
      <c r="AK146" s="60" t="n">
        <f aca="false">AG146*COSTE_DEV</f>
        <v>0</v>
      </c>
      <c r="AL146" s="60" t="n">
        <f aca="false">AD146*P1_IVAN+AE146*P2_IVAN+AF146*IF($A146&lt;P3_DESDE,P3A_IVAN,P3_IVAN)-AG146*IVA_DEV</f>
        <v>0</v>
      </c>
      <c r="AM146" s="60" t="n">
        <f aca="false">N146*(1+RECARGO_ADS)</f>
        <v>0</v>
      </c>
      <c r="AN146" s="58" t="n">
        <f aca="false">IF(ISNUMBER(L146),E146+F146+G146+AA146+AB146+AC146,0)</f>
        <v>0</v>
      </c>
      <c r="AO146" s="60" t="n">
        <f aca="false">P146*COMISION</f>
        <v>0</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B147*P1_PVP+C147*P2_PVP+D147*IF($A147&lt;P3_DESDE,P3A_PVP,P3_PVP)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E147*(P1_PVP-P1_CPROD)+F147*(P2_PVP-P2_CPROD)+G147*(IF($A147&lt;P3_DESDE,P3A_PVP,P3_PVP)-IF($A147&lt;P3_DESDE,P3A_CPROD,P3_CPROD))-IF(ISNUMBER(L147),L147,E147*P1_LOG+F147*P2_LOG+G147*P3_LOG)</f>
        <v>0</v>
      </c>
      <c r="X147" s="33" t="n">
        <f aca="false">W147-(E147*P1_IVAN+F147*P2_IVAN+G147*IF($A147&lt;P3_DESDE,P3A_IVAN,P3_IVAN))-(H147+I147+J147)*(COSTE_DEV-IVA_DEV)-AM147-AO147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E147+AA147*TASA_USADA</f>
        <v>0</v>
      </c>
      <c r="AE147" s="59" t="n">
        <f aca="false">F147+AB147*TASA_USADA</f>
        <v>0</v>
      </c>
      <c r="AF147" s="59" t="n">
        <f aca="false">G147+AC147*TASA_USADA</f>
        <v>0</v>
      </c>
      <c r="AG147" s="59" t="n">
        <f aca="false">H147+I147+J147+(AA147+AB147+AC147)*(1-TASA_USADA)</f>
        <v>0</v>
      </c>
      <c r="AH147" s="60" t="n">
        <f aca="false">AD147*P1_PVP+AE147*P2_PVP+AF147*IF($A147&lt;P3_DESDE,P3A_PVP,P3_PVP)</f>
        <v>0</v>
      </c>
      <c r="AI147" s="60" t="n">
        <f aca="false">AD147*P1_CPROD+AE147*P2_CPROD+AF147*IF($A147&lt;P3_DESDE,P3A_CPROD,P3_CPROD)</f>
        <v>0</v>
      </c>
      <c r="AJ147" s="60" t="n">
        <f aca="false">IF(ISNUMBER(L147),L147,E147*P1_LOG+F147*P2_LOG+G147*P3_LOG)+IF(ISNUMBER(M147),M147,AA147*P1_LOG+AB147*P2_LOG+AC147*P3_LOG)*TASA_USADA</f>
        <v>0</v>
      </c>
      <c r="AK147" s="60" t="n">
        <f aca="false">AG147*COSTE_DEV</f>
        <v>0</v>
      </c>
      <c r="AL147" s="60" t="n">
        <f aca="false">AD147*P1_IVAN+AE147*P2_IVAN+AF147*IF($A147&lt;P3_DESDE,P3A_IVAN,P3_IVAN)-AG147*IVA_DEV</f>
        <v>0</v>
      </c>
      <c r="AM147" s="60" t="n">
        <f aca="false">N147*(1+RECARGO_ADS)</f>
        <v>0</v>
      </c>
      <c r="AN147" s="58" t="n">
        <f aca="false">IF(ISNUMBER(L147),E147+F147+G147+AA147+AB147+AC147,0)</f>
        <v>0</v>
      </c>
      <c r="AO147" s="60" t="n">
        <f aca="false">P147*COMISION</f>
        <v>0</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B148*P1_PVP+C148*P2_PVP+D148*IF($A148&lt;P3_DESDE,P3A_PVP,P3_PVP)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E148*(P1_PVP-P1_CPROD)+F148*(P2_PVP-P2_CPROD)+G148*(IF($A148&lt;P3_DESDE,P3A_PVP,P3_PVP)-IF($A148&lt;P3_DESDE,P3A_CPROD,P3_CPROD))-IF(ISNUMBER(L148),L148,E148*P1_LOG+F148*P2_LOG+G148*P3_LOG)</f>
        <v>0</v>
      </c>
      <c r="X148" s="33" t="n">
        <f aca="false">W148-(E148*P1_IVAN+F148*P2_IVAN+G148*IF($A148&lt;P3_DESDE,P3A_IVAN,P3_IVAN))-(H148+I148+J148)*(COSTE_DEV-IVA_DEV)-AM148-AO148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E148+AA148*TASA_USADA</f>
        <v>0</v>
      </c>
      <c r="AE148" s="59" t="n">
        <f aca="false">F148+AB148*TASA_USADA</f>
        <v>0</v>
      </c>
      <c r="AF148" s="59" t="n">
        <f aca="false">G148+AC148*TASA_USADA</f>
        <v>0</v>
      </c>
      <c r="AG148" s="59" t="n">
        <f aca="false">H148+I148+J148+(AA148+AB148+AC148)*(1-TASA_USADA)</f>
        <v>0</v>
      </c>
      <c r="AH148" s="60" t="n">
        <f aca="false">AD148*P1_PVP+AE148*P2_PVP+AF148*IF($A148&lt;P3_DESDE,P3A_PVP,P3_PVP)</f>
        <v>0</v>
      </c>
      <c r="AI148" s="60" t="n">
        <f aca="false">AD148*P1_CPROD+AE148*P2_CPROD+AF148*IF($A148&lt;P3_DESDE,P3A_CPROD,P3_CPROD)</f>
        <v>0</v>
      </c>
      <c r="AJ148" s="60" t="n">
        <f aca="false">IF(ISNUMBER(L148),L148,E148*P1_LOG+F148*P2_LOG+G148*P3_LOG)+IF(ISNUMBER(M148),M148,AA148*P1_LOG+AB148*P2_LOG+AC148*P3_LOG)*TASA_USADA</f>
        <v>0</v>
      </c>
      <c r="AK148" s="60" t="n">
        <f aca="false">AG148*COSTE_DEV</f>
        <v>0</v>
      </c>
      <c r="AL148" s="60" t="n">
        <f aca="false">AD148*P1_IVAN+AE148*P2_IVAN+AF148*IF($A148&lt;P3_DESDE,P3A_IVAN,P3_IVAN)-AG148*IVA_DEV</f>
        <v>0</v>
      </c>
      <c r="AM148" s="60" t="n">
        <f aca="false">N148*(1+RECARGO_ADS)</f>
        <v>0</v>
      </c>
      <c r="AN148" s="58" t="n">
        <f aca="false">IF(ISNUMBER(L148),E148+F148+G148+AA148+AB148+AC148,0)</f>
        <v>0</v>
      </c>
      <c r="AO148" s="60" t="n">
        <f aca="false">P148*COMISION</f>
        <v>0</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B149*P1_PVP+C149*P2_PVP+D149*IF($A149&lt;P3_DESDE,P3A_PVP,P3_PVP)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E149*(P1_PVP-P1_CPROD)+F149*(P2_PVP-P2_CPROD)+G149*(IF($A149&lt;P3_DESDE,P3A_PVP,P3_PVP)-IF($A149&lt;P3_DESDE,P3A_CPROD,P3_CPROD))-IF(ISNUMBER(L149),L149,E149*P1_LOG+F149*P2_LOG+G149*P3_LOG)</f>
        <v>0</v>
      </c>
      <c r="X149" s="33" t="n">
        <f aca="false">W149-(E149*P1_IVAN+F149*P2_IVAN+G149*IF($A149&lt;P3_DESDE,P3A_IVAN,P3_IVAN))-(H149+I149+J149)*(COSTE_DEV-IVA_DEV)-AM149-AO149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E149+AA149*TASA_USADA</f>
        <v>0</v>
      </c>
      <c r="AE149" s="59" t="n">
        <f aca="false">F149+AB149*TASA_USADA</f>
        <v>0</v>
      </c>
      <c r="AF149" s="59" t="n">
        <f aca="false">G149+AC149*TASA_USADA</f>
        <v>0</v>
      </c>
      <c r="AG149" s="59" t="n">
        <f aca="false">H149+I149+J149+(AA149+AB149+AC149)*(1-TASA_USADA)</f>
        <v>0</v>
      </c>
      <c r="AH149" s="60" t="n">
        <f aca="false">AD149*P1_PVP+AE149*P2_PVP+AF149*IF($A149&lt;P3_DESDE,P3A_PVP,P3_PVP)</f>
        <v>0</v>
      </c>
      <c r="AI149" s="60" t="n">
        <f aca="false">AD149*P1_CPROD+AE149*P2_CPROD+AF149*IF($A149&lt;P3_DESDE,P3A_CPROD,P3_CPROD)</f>
        <v>0</v>
      </c>
      <c r="AJ149" s="60" t="n">
        <f aca="false">IF(ISNUMBER(L149),L149,E149*P1_LOG+F149*P2_LOG+G149*P3_LOG)+IF(ISNUMBER(M149),M149,AA149*P1_LOG+AB149*P2_LOG+AC149*P3_LOG)*TASA_USADA</f>
        <v>0</v>
      </c>
      <c r="AK149" s="60" t="n">
        <f aca="false">AG149*COSTE_DEV</f>
        <v>0</v>
      </c>
      <c r="AL149" s="60" t="n">
        <f aca="false">AD149*P1_IVAN+AE149*P2_IVAN+AF149*IF($A149&lt;P3_DESDE,P3A_IVAN,P3_IVAN)-AG149*IVA_DEV</f>
        <v>0</v>
      </c>
      <c r="AM149" s="60" t="n">
        <f aca="false">N149*(1+RECARGO_ADS)</f>
        <v>0</v>
      </c>
      <c r="AN149" s="58" t="n">
        <f aca="false">IF(ISNUMBER(L149),E149+F149+G149+AA149+AB149+AC149,0)</f>
        <v>0</v>
      </c>
      <c r="AO149" s="60" t="n">
        <f aca="false">P149*COMISION</f>
        <v>0</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B150*P1_PVP+C150*P2_PVP+D150*IF($A150&lt;P3_DESDE,P3A_PVP,P3_PVP)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E150*(P1_PVP-P1_CPROD)+F150*(P2_PVP-P2_CPROD)+G150*(IF($A150&lt;P3_DESDE,P3A_PVP,P3_PVP)-IF($A150&lt;P3_DESDE,P3A_CPROD,P3_CPROD))-IF(ISNUMBER(L150),L150,E150*P1_LOG+F150*P2_LOG+G150*P3_LOG)</f>
        <v>0</v>
      </c>
      <c r="X150" s="33" t="n">
        <f aca="false">W150-(E150*P1_IVAN+F150*P2_IVAN+G150*IF($A150&lt;P3_DESDE,P3A_IVAN,P3_IVAN))-(H150+I150+J150)*(COSTE_DEV-IVA_DEV)-AM150-AO150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E150+AA150*TASA_USADA</f>
        <v>0</v>
      </c>
      <c r="AE150" s="59" t="n">
        <f aca="false">F150+AB150*TASA_USADA</f>
        <v>0</v>
      </c>
      <c r="AF150" s="59" t="n">
        <f aca="false">G150+AC150*TASA_USADA</f>
        <v>0</v>
      </c>
      <c r="AG150" s="59" t="n">
        <f aca="false">H150+I150+J150+(AA150+AB150+AC150)*(1-TASA_USADA)</f>
        <v>0</v>
      </c>
      <c r="AH150" s="60" t="n">
        <f aca="false">AD150*P1_PVP+AE150*P2_PVP+AF150*IF($A150&lt;P3_DESDE,P3A_PVP,P3_PVP)</f>
        <v>0</v>
      </c>
      <c r="AI150" s="60" t="n">
        <f aca="false">AD150*P1_CPROD+AE150*P2_CPROD+AF150*IF($A150&lt;P3_DESDE,P3A_CPROD,P3_CPROD)</f>
        <v>0</v>
      </c>
      <c r="AJ150" s="60" t="n">
        <f aca="false">IF(ISNUMBER(L150),L150,E150*P1_LOG+F150*P2_LOG+G150*P3_LOG)+IF(ISNUMBER(M150),M150,AA150*P1_LOG+AB150*P2_LOG+AC150*P3_LOG)*TASA_USADA</f>
        <v>0</v>
      </c>
      <c r="AK150" s="60" t="n">
        <f aca="false">AG150*COSTE_DEV</f>
        <v>0</v>
      </c>
      <c r="AL150" s="60" t="n">
        <f aca="false">AD150*P1_IVAN+AE150*P2_IVAN+AF150*IF($A150&lt;P3_DESDE,P3A_IVAN,P3_IVAN)-AG150*IVA_DEV</f>
        <v>0</v>
      </c>
      <c r="AM150" s="60" t="n">
        <f aca="false">N150*(1+RECARGO_ADS)</f>
        <v>0</v>
      </c>
      <c r="AN150" s="58" t="n">
        <f aca="false">IF(ISNUMBER(L150),E150+F150+G150+AA150+AB150+AC150,0)</f>
        <v>0</v>
      </c>
      <c r="AO150" s="60" t="n">
        <f aca="false">P150*COMISION</f>
        <v>0</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B151*P1_PVP+C151*P2_PVP+D151*IF($A151&lt;P3_DESDE,P3A_PVP,P3_PVP)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E151*(P1_PVP-P1_CPROD)+F151*(P2_PVP-P2_CPROD)+G151*(IF($A151&lt;P3_DESDE,P3A_PVP,P3_PVP)-IF($A151&lt;P3_DESDE,P3A_CPROD,P3_CPROD))-IF(ISNUMBER(L151),L151,E151*P1_LOG+F151*P2_LOG+G151*P3_LOG)</f>
        <v>0</v>
      </c>
      <c r="X151" s="33" t="n">
        <f aca="false">W151-(E151*P1_IVAN+F151*P2_IVAN+G151*IF($A151&lt;P3_DESDE,P3A_IVAN,P3_IVAN))-(H151+I151+J151)*(COSTE_DEV-IVA_DEV)-AM151-AO151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E151+AA151*TASA_USADA</f>
        <v>0</v>
      </c>
      <c r="AE151" s="59" t="n">
        <f aca="false">F151+AB151*TASA_USADA</f>
        <v>0</v>
      </c>
      <c r="AF151" s="59" t="n">
        <f aca="false">G151+AC151*TASA_USADA</f>
        <v>0</v>
      </c>
      <c r="AG151" s="59" t="n">
        <f aca="false">H151+I151+J151+(AA151+AB151+AC151)*(1-TASA_USADA)</f>
        <v>0</v>
      </c>
      <c r="AH151" s="60" t="n">
        <f aca="false">AD151*P1_PVP+AE151*P2_PVP+AF151*IF($A151&lt;P3_DESDE,P3A_PVP,P3_PVP)</f>
        <v>0</v>
      </c>
      <c r="AI151" s="60" t="n">
        <f aca="false">AD151*P1_CPROD+AE151*P2_CPROD+AF151*IF($A151&lt;P3_DESDE,P3A_CPROD,P3_CPROD)</f>
        <v>0</v>
      </c>
      <c r="AJ151" s="60" t="n">
        <f aca="false">IF(ISNUMBER(L151),L151,E151*P1_LOG+F151*P2_LOG+G151*P3_LOG)+IF(ISNUMBER(M151),M151,AA151*P1_LOG+AB151*P2_LOG+AC151*P3_LOG)*TASA_USADA</f>
        <v>0</v>
      </c>
      <c r="AK151" s="60" t="n">
        <f aca="false">AG151*COSTE_DEV</f>
        <v>0</v>
      </c>
      <c r="AL151" s="60" t="n">
        <f aca="false">AD151*P1_IVAN+AE151*P2_IVAN+AF151*IF($A151&lt;P3_DESDE,P3A_IVAN,P3_IVAN)-AG151*IVA_DEV</f>
        <v>0</v>
      </c>
      <c r="AM151" s="60" t="n">
        <f aca="false">N151*(1+RECARGO_ADS)</f>
        <v>0</v>
      </c>
      <c r="AN151" s="58" t="n">
        <f aca="false">IF(ISNUMBER(L151),E151+F151+G151+AA151+AB151+AC151,0)</f>
        <v>0</v>
      </c>
      <c r="AO151" s="60" t="n">
        <f aca="false">P151*COMISION</f>
        <v>0</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B152*P1_PVP+C152*P2_PVP+D152*IF($A152&lt;P3_DESDE,P3A_PVP,P3_PVP)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E152*(P1_PVP-P1_CPROD)+F152*(P2_PVP-P2_CPROD)+G152*(IF($A152&lt;P3_DESDE,P3A_PVP,P3_PVP)-IF($A152&lt;P3_DESDE,P3A_CPROD,P3_CPROD))-IF(ISNUMBER(L152),L152,E152*P1_LOG+F152*P2_LOG+G152*P3_LOG)</f>
        <v>0</v>
      </c>
      <c r="X152" s="33" t="n">
        <f aca="false">W152-(E152*P1_IVAN+F152*P2_IVAN+G152*IF($A152&lt;P3_DESDE,P3A_IVAN,P3_IVAN))-(H152+I152+J152)*(COSTE_DEV-IVA_DEV)-AM152-AO152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E152+AA152*TASA_USADA</f>
        <v>0</v>
      </c>
      <c r="AE152" s="59" t="n">
        <f aca="false">F152+AB152*TASA_USADA</f>
        <v>0</v>
      </c>
      <c r="AF152" s="59" t="n">
        <f aca="false">G152+AC152*TASA_USADA</f>
        <v>0</v>
      </c>
      <c r="AG152" s="59" t="n">
        <f aca="false">H152+I152+J152+(AA152+AB152+AC152)*(1-TASA_USADA)</f>
        <v>0</v>
      </c>
      <c r="AH152" s="60" t="n">
        <f aca="false">AD152*P1_PVP+AE152*P2_PVP+AF152*IF($A152&lt;P3_DESDE,P3A_PVP,P3_PVP)</f>
        <v>0</v>
      </c>
      <c r="AI152" s="60" t="n">
        <f aca="false">AD152*P1_CPROD+AE152*P2_CPROD+AF152*IF($A152&lt;P3_DESDE,P3A_CPROD,P3_CPROD)</f>
        <v>0</v>
      </c>
      <c r="AJ152" s="60" t="n">
        <f aca="false">IF(ISNUMBER(L152),L152,E152*P1_LOG+F152*P2_LOG+G152*P3_LOG)+IF(ISNUMBER(M152),M152,AA152*P1_LOG+AB152*P2_LOG+AC152*P3_LOG)*TASA_USADA</f>
        <v>0</v>
      </c>
      <c r="AK152" s="60" t="n">
        <f aca="false">AG152*COSTE_DEV</f>
        <v>0</v>
      </c>
      <c r="AL152" s="60" t="n">
        <f aca="false">AD152*P1_IVAN+AE152*P2_IVAN+AF152*IF($A152&lt;P3_DESDE,P3A_IVAN,P3_IVAN)-AG152*IVA_DEV</f>
        <v>0</v>
      </c>
      <c r="AM152" s="60" t="n">
        <f aca="false">N152*(1+RECARGO_ADS)</f>
        <v>0</v>
      </c>
      <c r="AN152" s="58" t="n">
        <f aca="false">IF(ISNUMBER(L152),E152+F152+G152+AA152+AB152+AC152,0)</f>
        <v>0</v>
      </c>
      <c r="AO152" s="60" t="n">
        <f aca="false">P152*COMISION</f>
        <v>0</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B153*P1_PVP+C153*P2_PVP+D153*IF($A153&lt;P3_DESDE,P3A_PVP,P3_PVP)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E153*(P1_PVP-P1_CPROD)+F153*(P2_PVP-P2_CPROD)+G153*(IF($A153&lt;P3_DESDE,P3A_PVP,P3_PVP)-IF($A153&lt;P3_DESDE,P3A_CPROD,P3_CPROD))-IF(ISNUMBER(L153),L153,E153*P1_LOG+F153*P2_LOG+G153*P3_LOG)</f>
        <v>0</v>
      </c>
      <c r="X153" s="33" t="n">
        <f aca="false">W153-(E153*P1_IVAN+F153*P2_IVAN+G153*IF($A153&lt;P3_DESDE,P3A_IVAN,P3_IVAN))-(H153+I153+J153)*(COSTE_DEV-IVA_DEV)-AM153-AO153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E153+AA153*TASA_USADA</f>
        <v>0</v>
      </c>
      <c r="AE153" s="59" t="n">
        <f aca="false">F153+AB153*TASA_USADA</f>
        <v>0</v>
      </c>
      <c r="AF153" s="59" t="n">
        <f aca="false">G153+AC153*TASA_USADA</f>
        <v>0</v>
      </c>
      <c r="AG153" s="59" t="n">
        <f aca="false">H153+I153+J153+(AA153+AB153+AC153)*(1-TASA_USADA)</f>
        <v>0</v>
      </c>
      <c r="AH153" s="60" t="n">
        <f aca="false">AD153*P1_PVP+AE153*P2_PVP+AF153*IF($A153&lt;P3_DESDE,P3A_PVP,P3_PVP)</f>
        <v>0</v>
      </c>
      <c r="AI153" s="60" t="n">
        <f aca="false">AD153*P1_CPROD+AE153*P2_CPROD+AF153*IF($A153&lt;P3_DESDE,P3A_CPROD,P3_CPROD)</f>
        <v>0</v>
      </c>
      <c r="AJ153" s="60" t="n">
        <f aca="false">IF(ISNUMBER(L153),L153,E153*P1_LOG+F153*P2_LOG+G153*P3_LOG)+IF(ISNUMBER(M153),M153,AA153*P1_LOG+AB153*P2_LOG+AC153*P3_LOG)*TASA_USADA</f>
        <v>0</v>
      </c>
      <c r="AK153" s="60" t="n">
        <f aca="false">AG153*COSTE_DEV</f>
        <v>0</v>
      </c>
      <c r="AL153" s="60" t="n">
        <f aca="false">AD153*P1_IVAN+AE153*P2_IVAN+AF153*IF($A153&lt;P3_DESDE,P3A_IVAN,P3_IVAN)-AG153*IVA_DEV</f>
        <v>0</v>
      </c>
      <c r="AM153" s="60" t="n">
        <f aca="false">N153*(1+RECARGO_ADS)</f>
        <v>0</v>
      </c>
      <c r="AN153" s="58" t="n">
        <f aca="false">IF(ISNUMBER(L153),E153+F153+G153+AA153+AB153+AC153,0)</f>
        <v>0</v>
      </c>
      <c r="AO153" s="60" t="n">
        <f aca="false">P153*COMISION</f>
        <v>0</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B154*P1_PVP+C154*P2_PVP+D154*IF($A154&lt;P3_DESDE,P3A_PVP,P3_PVP)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E154*(P1_PVP-P1_CPROD)+F154*(P2_PVP-P2_CPROD)+G154*(IF($A154&lt;P3_DESDE,P3A_PVP,P3_PVP)-IF($A154&lt;P3_DESDE,P3A_CPROD,P3_CPROD))-IF(ISNUMBER(L154),L154,E154*P1_LOG+F154*P2_LOG+G154*P3_LOG)</f>
        <v>0</v>
      </c>
      <c r="X154" s="33" t="n">
        <f aca="false">W154-(E154*P1_IVAN+F154*P2_IVAN+G154*IF($A154&lt;P3_DESDE,P3A_IVAN,P3_IVAN))-(H154+I154+J154)*(COSTE_DEV-IVA_DEV)-AM154-AO154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E154+AA154*TASA_USADA</f>
        <v>0</v>
      </c>
      <c r="AE154" s="59" t="n">
        <f aca="false">F154+AB154*TASA_USADA</f>
        <v>0</v>
      </c>
      <c r="AF154" s="59" t="n">
        <f aca="false">G154+AC154*TASA_USADA</f>
        <v>0</v>
      </c>
      <c r="AG154" s="59" t="n">
        <f aca="false">H154+I154+J154+(AA154+AB154+AC154)*(1-TASA_USADA)</f>
        <v>0</v>
      </c>
      <c r="AH154" s="60" t="n">
        <f aca="false">AD154*P1_PVP+AE154*P2_PVP+AF154*IF($A154&lt;P3_DESDE,P3A_PVP,P3_PVP)</f>
        <v>0</v>
      </c>
      <c r="AI154" s="60" t="n">
        <f aca="false">AD154*P1_CPROD+AE154*P2_CPROD+AF154*IF($A154&lt;P3_DESDE,P3A_CPROD,P3_CPROD)</f>
        <v>0</v>
      </c>
      <c r="AJ154" s="60" t="n">
        <f aca="false">IF(ISNUMBER(L154),L154,E154*P1_LOG+F154*P2_LOG+G154*P3_LOG)+IF(ISNUMBER(M154),M154,AA154*P1_LOG+AB154*P2_LOG+AC154*P3_LOG)*TASA_USADA</f>
        <v>0</v>
      </c>
      <c r="AK154" s="60" t="n">
        <f aca="false">AG154*COSTE_DEV</f>
        <v>0</v>
      </c>
      <c r="AL154" s="60" t="n">
        <f aca="false">AD154*P1_IVAN+AE154*P2_IVAN+AF154*IF($A154&lt;P3_DESDE,P3A_IVAN,P3_IVAN)-AG154*IVA_DEV</f>
        <v>0</v>
      </c>
      <c r="AM154" s="60" t="n">
        <f aca="false">N154*(1+RECARGO_ADS)</f>
        <v>0</v>
      </c>
      <c r="AN154" s="58" t="n">
        <f aca="false">IF(ISNUMBER(L154),E154+F154+G154+AA154+AB154+AC154,0)</f>
        <v>0</v>
      </c>
      <c r="AO154" s="60" t="n">
        <f aca="false">P154*COMISION</f>
        <v>0</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B155*P1_PVP+C155*P2_PVP+D155*IF($A155&lt;P3_DESDE,P3A_PVP,P3_PVP)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E155*(P1_PVP-P1_CPROD)+F155*(P2_PVP-P2_CPROD)+G155*(IF($A155&lt;P3_DESDE,P3A_PVP,P3_PVP)-IF($A155&lt;P3_DESDE,P3A_CPROD,P3_CPROD))-IF(ISNUMBER(L155),L155,E155*P1_LOG+F155*P2_LOG+G155*P3_LOG)</f>
        <v>0</v>
      </c>
      <c r="X155" s="33" t="n">
        <f aca="false">W155-(E155*P1_IVAN+F155*P2_IVAN+G155*IF($A155&lt;P3_DESDE,P3A_IVAN,P3_IVAN))-(H155+I155+J155)*(COSTE_DEV-IVA_DEV)-AM155-AO155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E155+AA155*TASA_USADA</f>
        <v>0</v>
      </c>
      <c r="AE155" s="59" t="n">
        <f aca="false">F155+AB155*TASA_USADA</f>
        <v>0</v>
      </c>
      <c r="AF155" s="59" t="n">
        <f aca="false">G155+AC155*TASA_USADA</f>
        <v>0</v>
      </c>
      <c r="AG155" s="59" t="n">
        <f aca="false">H155+I155+J155+(AA155+AB155+AC155)*(1-TASA_USADA)</f>
        <v>0</v>
      </c>
      <c r="AH155" s="60" t="n">
        <f aca="false">AD155*P1_PVP+AE155*P2_PVP+AF155*IF($A155&lt;P3_DESDE,P3A_PVP,P3_PVP)</f>
        <v>0</v>
      </c>
      <c r="AI155" s="60" t="n">
        <f aca="false">AD155*P1_CPROD+AE155*P2_CPROD+AF155*IF($A155&lt;P3_DESDE,P3A_CPROD,P3_CPROD)</f>
        <v>0</v>
      </c>
      <c r="AJ155" s="60" t="n">
        <f aca="false">IF(ISNUMBER(L155),L155,E155*P1_LOG+F155*P2_LOG+G155*P3_LOG)+IF(ISNUMBER(M155),M155,AA155*P1_LOG+AB155*P2_LOG+AC155*P3_LOG)*TASA_USADA</f>
        <v>0</v>
      </c>
      <c r="AK155" s="60" t="n">
        <f aca="false">AG155*COSTE_DEV</f>
        <v>0</v>
      </c>
      <c r="AL155" s="60" t="n">
        <f aca="false">AD155*P1_IVAN+AE155*P2_IVAN+AF155*IF($A155&lt;P3_DESDE,P3A_IVAN,P3_IVAN)-AG155*IVA_DEV</f>
        <v>0</v>
      </c>
      <c r="AM155" s="60" t="n">
        <f aca="false">N155*(1+RECARGO_ADS)</f>
        <v>0</v>
      </c>
      <c r="AN155" s="58" t="n">
        <f aca="false">IF(ISNUMBER(L155),E155+F155+G155+AA155+AB155+AC155,0)</f>
        <v>0</v>
      </c>
      <c r="AO155" s="60" t="n">
        <f aca="false">P155*COMISION</f>
        <v>0</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B156*P1_PVP+C156*P2_PVP+D156*IF($A156&lt;P3_DESDE,P3A_PVP,P3_PVP)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E156*(P1_PVP-P1_CPROD)+F156*(P2_PVP-P2_CPROD)+G156*(IF($A156&lt;P3_DESDE,P3A_PVP,P3_PVP)-IF($A156&lt;P3_DESDE,P3A_CPROD,P3_CPROD))-IF(ISNUMBER(L156),L156,E156*P1_LOG+F156*P2_LOG+G156*P3_LOG)</f>
        <v>0</v>
      </c>
      <c r="X156" s="33" t="n">
        <f aca="false">W156-(E156*P1_IVAN+F156*P2_IVAN+G156*IF($A156&lt;P3_DESDE,P3A_IVAN,P3_IVAN))-(H156+I156+J156)*(COSTE_DEV-IVA_DEV)-AM156-AO156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E156+AA156*TASA_USADA</f>
        <v>0</v>
      </c>
      <c r="AE156" s="59" t="n">
        <f aca="false">F156+AB156*TASA_USADA</f>
        <v>0</v>
      </c>
      <c r="AF156" s="59" t="n">
        <f aca="false">G156+AC156*TASA_USADA</f>
        <v>0</v>
      </c>
      <c r="AG156" s="59" t="n">
        <f aca="false">H156+I156+J156+(AA156+AB156+AC156)*(1-TASA_USADA)</f>
        <v>0</v>
      </c>
      <c r="AH156" s="60" t="n">
        <f aca="false">AD156*P1_PVP+AE156*P2_PVP+AF156*IF($A156&lt;P3_DESDE,P3A_PVP,P3_PVP)</f>
        <v>0</v>
      </c>
      <c r="AI156" s="60" t="n">
        <f aca="false">AD156*P1_CPROD+AE156*P2_CPROD+AF156*IF($A156&lt;P3_DESDE,P3A_CPROD,P3_CPROD)</f>
        <v>0</v>
      </c>
      <c r="AJ156" s="60" t="n">
        <f aca="false">IF(ISNUMBER(L156),L156,E156*P1_LOG+F156*P2_LOG+G156*P3_LOG)+IF(ISNUMBER(M156),M156,AA156*P1_LOG+AB156*P2_LOG+AC156*P3_LOG)*TASA_USADA</f>
        <v>0</v>
      </c>
      <c r="AK156" s="60" t="n">
        <f aca="false">AG156*COSTE_DEV</f>
        <v>0</v>
      </c>
      <c r="AL156" s="60" t="n">
        <f aca="false">AD156*P1_IVAN+AE156*P2_IVAN+AF156*IF($A156&lt;P3_DESDE,P3A_IVAN,P3_IVAN)-AG156*IVA_DEV</f>
        <v>0</v>
      </c>
      <c r="AM156" s="60" t="n">
        <f aca="false">N156*(1+RECARGO_ADS)</f>
        <v>0</v>
      </c>
      <c r="AN156" s="58" t="n">
        <f aca="false">IF(ISNUMBER(L156),E156+F156+G156+AA156+AB156+AC156,0)</f>
        <v>0</v>
      </c>
      <c r="AO156" s="60" t="n">
        <f aca="false">P156*COMISION</f>
        <v>0</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B157*P1_PVP+C157*P2_PVP+D157*IF($A157&lt;P3_DESDE,P3A_PVP,P3_PVP)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E157*(P1_PVP-P1_CPROD)+F157*(P2_PVP-P2_CPROD)+G157*(IF($A157&lt;P3_DESDE,P3A_PVP,P3_PVP)-IF($A157&lt;P3_DESDE,P3A_CPROD,P3_CPROD))-IF(ISNUMBER(L157),L157,E157*P1_LOG+F157*P2_LOG+G157*P3_LOG)</f>
        <v>0</v>
      </c>
      <c r="X157" s="33" t="n">
        <f aca="false">W157-(E157*P1_IVAN+F157*P2_IVAN+G157*IF($A157&lt;P3_DESDE,P3A_IVAN,P3_IVAN))-(H157+I157+J157)*(COSTE_DEV-IVA_DEV)-AM157-AO157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E157+AA157*TASA_USADA</f>
        <v>0</v>
      </c>
      <c r="AE157" s="59" t="n">
        <f aca="false">F157+AB157*TASA_USADA</f>
        <v>0</v>
      </c>
      <c r="AF157" s="59" t="n">
        <f aca="false">G157+AC157*TASA_USADA</f>
        <v>0</v>
      </c>
      <c r="AG157" s="59" t="n">
        <f aca="false">H157+I157+J157+(AA157+AB157+AC157)*(1-TASA_USADA)</f>
        <v>0</v>
      </c>
      <c r="AH157" s="60" t="n">
        <f aca="false">AD157*P1_PVP+AE157*P2_PVP+AF157*IF($A157&lt;P3_DESDE,P3A_PVP,P3_PVP)</f>
        <v>0</v>
      </c>
      <c r="AI157" s="60" t="n">
        <f aca="false">AD157*P1_CPROD+AE157*P2_CPROD+AF157*IF($A157&lt;P3_DESDE,P3A_CPROD,P3_CPROD)</f>
        <v>0</v>
      </c>
      <c r="AJ157" s="60" t="n">
        <f aca="false">IF(ISNUMBER(L157),L157,E157*P1_LOG+F157*P2_LOG+G157*P3_LOG)+IF(ISNUMBER(M157),M157,AA157*P1_LOG+AB157*P2_LOG+AC157*P3_LOG)*TASA_USADA</f>
        <v>0</v>
      </c>
      <c r="AK157" s="60" t="n">
        <f aca="false">AG157*COSTE_DEV</f>
        <v>0</v>
      </c>
      <c r="AL157" s="60" t="n">
        <f aca="false">AD157*P1_IVAN+AE157*P2_IVAN+AF157*IF($A157&lt;P3_DESDE,P3A_IVAN,P3_IVAN)-AG157*IVA_DEV</f>
        <v>0</v>
      </c>
      <c r="AM157" s="60" t="n">
        <f aca="false">N157*(1+RECARGO_ADS)</f>
        <v>0</v>
      </c>
      <c r="AN157" s="58" t="n">
        <f aca="false">IF(ISNUMBER(L157),E157+F157+G157+AA157+AB157+AC157,0)</f>
        <v>0</v>
      </c>
      <c r="AO157" s="60" t="n">
        <f aca="false">P157*COMISION</f>
        <v>0</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B158*P1_PVP+C158*P2_PVP+D158*IF($A158&lt;P3_DESDE,P3A_PVP,P3_PVP)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E158*(P1_PVP-P1_CPROD)+F158*(P2_PVP-P2_CPROD)+G158*(IF($A158&lt;P3_DESDE,P3A_PVP,P3_PVP)-IF($A158&lt;P3_DESDE,P3A_CPROD,P3_CPROD))-IF(ISNUMBER(L158),L158,E158*P1_LOG+F158*P2_LOG+G158*P3_LOG)</f>
        <v>0</v>
      </c>
      <c r="X158" s="33" t="n">
        <f aca="false">W158-(E158*P1_IVAN+F158*P2_IVAN+G158*IF($A158&lt;P3_DESDE,P3A_IVAN,P3_IVAN))-(H158+I158+J158)*(COSTE_DEV-IVA_DEV)-AM158-AO158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E158+AA158*TASA_USADA</f>
        <v>0</v>
      </c>
      <c r="AE158" s="59" t="n">
        <f aca="false">F158+AB158*TASA_USADA</f>
        <v>0</v>
      </c>
      <c r="AF158" s="59" t="n">
        <f aca="false">G158+AC158*TASA_USADA</f>
        <v>0</v>
      </c>
      <c r="AG158" s="59" t="n">
        <f aca="false">H158+I158+J158+(AA158+AB158+AC158)*(1-TASA_USADA)</f>
        <v>0</v>
      </c>
      <c r="AH158" s="60" t="n">
        <f aca="false">AD158*P1_PVP+AE158*P2_PVP+AF158*IF($A158&lt;P3_DESDE,P3A_PVP,P3_PVP)</f>
        <v>0</v>
      </c>
      <c r="AI158" s="60" t="n">
        <f aca="false">AD158*P1_CPROD+AE158*P2_CPROD+AF158*IF($A158&lt;P3_DESDE,P3A_CPROD,P3_CPROD)</f>
        <v>0</v>
      </c>
      <c r="AJ158" s="60" t="n">
        <f aca="false">IF(ISNUMBER(L158),L158,E158*P1_LOG+F158*P2_LOG+G158*P3_LOG)+IF(ISNUMBER(M158),M158,AA158*P1_LOG+AB158*P2_LOG+AC158*P3_LOG)*TASA_USADA</f>
        <v>0</v>
      </c>
      <c r="AK158" s="60" t="n">
        <f aca="false">AG158*COSTE_DEV</f>
        <v>0</v>
      </c>
      <c r="AL158" s="60" t="n">
        <f aca="false">AD158*P1_IVAN+AE158*P2_IVAN+AF158*IF($A158&lt;P3_DESDE,P3A_IVAN,P3_IVAN)-AG158*IVA_DEV</f>
        <v>0</v>
      </c>
      <c r="AM158" s="60" t="n">
        <f aca="false">N158*(1+RECARGO_ADS)</f>
        <v>0</v>
      </c>
      <c r="AN158" s="58" t="n">
        <f aca="false">IF(ISNUMBER(L158),E158+F158+G158+AA158+AB158+AC158,0)</f>
        <v>0</v>
      </c>
      <c r="AO158" s="60" t="n">
        <f aca="false">P158*COMISION</f>
        <v>0</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B159*P1_PVP+C159*P2_PVP+D159*IF($A159&lt;P3_DESDE,P3A_PVP,P3_PVP)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E159*(P1_PVP-P1_CPROD)+F159*(P2_PVP-P2_CPROD)+G159*(IF($A159&lt;P3_DESDE,P3A_PVP,P3_PVP)-IF($A159&lt;P3_DESDE,P3A_CPROD,P3_CPROD))-IF(ISNUMBER(L159),L159,E159*P1_LOG+F159*P2_LOG+G159*P3_LOG)</f>
        <v>0</v>
      </c>
      <c r="X159" s="33" t="n">
        <f aca="false">W159-(E159*P1_IVAN+F159*P2_IVAN+G159*IF($A159&lt;P3_DESDE,P3A_IVAN,P3_IVAN))-(H159+I159+J159)*(COSTE_DEV-IVA_DEV)-AM159-AO159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E159+AA159*TASA_USADA</f>
        <v>0</v>
      </c>
      <c r="AE159" s="59" t="n">
        <f aca="false">F159+AB159*TASA_USADA</f>
        <v>0</v>
      </c>
      <c r="AF159" s="59" t="n">
        <f aca="false">G159+AC159*TASA_USADA</f>
        <v>0</v>
      </c>
      <c r="AG159" s="59" t="n">
        <f aca="false">H159+I159+J159+(AA159+AB159+AC159)*(1-TASA_USADA)</f>
        <v>0</v>
      </c>
      <c r="AH159" s="60" t="n">
        <f aca="false">AD159*P1_PVP+AE159*P2_PVP+AF159*IF($A159&lt;P3_DESDE,P3A_PVP,P3_PVP)</f>
        <v>0</v>
      </c>
      <c r="AI159" s="60" t="n">
        <f aca="false">AD159*P1_CPROD+AE159*P2_CPROD+AF159*IF($A159&lt;P3_DESDE,P3A_CPROD,P3_CPROD)</f>
        <v>0</v>
      </c>
      <c r="AJ159" s="60" t="n">
        <f aca="false">IF(ISNUMBER(L159),L159,E159*P1_LOG+F159*P2_LOG+G159*P3_LOG)+IF(ISNUMBER(M159),M159,AA159*P1_LOG+AB159*P2_LOG+AC159*P3_LOG)*TASA_USADA</f>
        <v>0</v>
      </c>
      <c r="AK159" s="60" t="n">
        <f aca="false">AG159*COSTE_DEV</f>
        <v>0</v>
      </c>
      <c r="AL159" s="60" t="n">
        <f aca="false">AD159*P1_IVAN+AE159*P2_IVAN+AF159*IF($A159&lt;P3_DESDE,P3A_IVAN,P3_IVAN)-AG159*IVA_DEV</f>
        <v>0</v>
      </c>
      <c r="AM159" s="60" t="n">
        <f aca="false">N159*(1+RECARGO_ADS)</f>
        <v>0</v>
      </c>
      <c r="AN159" s="58" t="n">
        <f aca="false">IF(ISNUMBER(L159),E159+F159+G159+AA159+AB159+AC159,0)</f>
        <v>0</v>
      </c>
      <c r="AO159" s="60" t="n">
        <f aca="false">P159*COMISION</f>
        <v>0</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B160*P1_PVP+C160*P2_PVP+D160*IF($A160&lt;P3_DESDE,P3A_PVP,P3_PVP)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E160*(P1_PVP-P1_CPROD)+F160*(P2_PVP-P2_CPROD)+G160*(IF($A160&lt;P3_DESDE,P3A_PVP,P3_PVP)-IF($A160&lt;P3_DESDE,P3A_CPROD,P3_CPROD))-IF(ISNUMBER(L160),L160,E160*P1_LOG+F160*P2_LOG+G160*P3_LOG)</f>
        <v>0</v>
      </c>
      <c r="X160" s="33" t="n">
        <f aca="false">W160-(E160*P1_IVAN+F160*P2_IVAN+G160*IF($A160&lt;P3_DESDE,P3A_IVAN,P3_IVAN))-(H160+I160+J160)*(COSTE_DEV-IVA_DEV)-AM160-AO160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E160+AA160*TASA_USADA</f>
        <v>0</v>
      </c>
      <c r="AE160" s="59" t="n">
        <f aca="false">F160+AB160*TASA_USADA</f>
        <v>0</v>
      </c>
      <c r="AF160" s="59" t="n">
        <f aca="false">G160+AC160*TASA_USADA</f>
        <v>0</v>
      </c>
      <c r="AG160" s="59" t="n">
        <f aca="false">H160+I160+J160+(AA160+AB160+AC160)*(1-TASA_USADA)</f>
        <v>0</v>
      </c>
      <c r="AH160" s="60" t="n">
        <f aca="false">AD160*P1_PVP+AE160*P2_PVP+AF160*IF($A160&lt;P3_DESDE,P3A_PVP,P3_PVP)</f>
        <v>0</v>
      </c>
      <c r="AI160" s="60" t="n">
        <f aca="false">AD160*P1_CPROD+AE160*P2_CPROD+AF160*IF($A160&lt;P3_DESDE,P3A_CPROD,P3_CPROD)</f>
        <v>0</v>
      </c>
      <c r="AJ160" s="60" t="n">
        <f aca="false">IF(ISNUMBER(L160),L160,E160*P1_LOG+F160*P2_LOG+G160*P3_LOG)+IF(ISNUMBER(M160),M160,AA160*P1_LOG+AB160*P2_LOG+AC160*P3_LOG)*TASA_USADA</f>
        <v>0</v>
      </c>
      <c r="AK160" s="60" t="n">
        <f aca="false">AG160*COSTE_DEV</f>
        <v>0</v>
      </c>
      <c r="AL160" s="60" t="n">
        <f aca="false">AD160*P1_IVAN+AE160*P2_IVAN+AF160*IF($A160&lt;P3_DESDE,P3A_IVAN,P3_IVAN)-AG160*IVA_DEV</f>
        <v>0</v>
      </c>
      <c r="AM160" s="60" t="n">
        <f aca="false">N160*(1+RECARGO_ADS)</f>
        <v>0</v>
      </c>
      <c r="AN160" s="58" t="n">
        <f aca="false">IF(ISNUMBER(L160),E160+F160+G160+AA160+AB160+AC160,0)</f>
        <v>0</v>
      </c>
      <c r="AO160" s="60" t="n">
        <f aca="false">P160*COMISION</f>
        <v>0</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B161*P1_PVP+C161*P2_PVP+D161*IF($A161&lt;P3_DESDE,P3A_PVP,P3_PVP)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E161*(P1_PVP-P1_CPROD)+F161*(P2_PVP-P2_CPROD)+G161*(IF($A161&lt;P3_DESDE,P3A_PVP,P3_PVP)-IF($A161&lt;P3_DESDE,P3A_CPROD,P3_CPROD))-IF(ISNUMBER(L161),L161,E161*P1_LOG+F161*P2_LOG+G161*P3_LOG)</f>
        <v>0</v>
      </c>
      <c r="X161" s="33" t="n">
        <f aca="false">W161-(E161*P1_IVAN+F161*P2_IVAN+G161*IF($A161&lt;P3_DESDE,P3A_IVAN,P3_IVAN))-(H161+I161+J161)*(COSTE_DEV-IVA_DEV)-AM161-AO161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E161+AA161*TASA_USADA</f>
        <v>0</v>
      </c>
      <c r="AE161" s="59" t="n">
        <f aca="false">F161+AB161*TASA_USADA</f>
        <v>0</v>
      </c>
      <c r="AF161" s="59" t="n">
        <f aca="false">G161+AC161*TASA_USADA</f>
        <v>0</v>
      </c>
      <c r="AG161" s="59" t="n">
        <f aca="false">H161+I161+J161+(AA161+AB161+AC161)*(1-TASA_USADA)</f>
        <v>0</v>
      </c>
      <c r="AH161" s="60" t="n">
        <f aca="false">AD161*P1_PVP+AE161*P2_PVP+AF161*IF($A161&lt;P3_DESDE,P3A_PVP,P3_PVP)</f>
        <v>0</v>
      </c>
      <c r="AI161" s="60" t="n">
        <f aca="false">AD161*P1_CPROD+AE161*P2_CPROD+AF161*IF($A161&lt;P3_DESDE,P3A_CPROD,P3_CPROD)</f>
        <v>0</v>
      </c>
      <c r="AJ161" s="60" t="n">
        <f aca="false">IF(ISNUMBER(L161),L161,E161*P1_LOG+F161*P2_LOG+G161*P3_LOG)+IF(ISNUMBER(M161),M161,AA161*P1_LOG+AB161*P2_LOG+AC161*P3_LOG)*TASA_USADA</f>
        <v>0</v>
      </c>
      <c r="AK161" s="60" t="n">
        <f aca="false">AG161*COSTE_DEV</f>
        <v>0</v>
      </c>
      <c r="AL161" s="60" t="n">
        <f aca="false">AD161*P1_IVAN+AE161*P2_IVAN+AF161*IF($A161&lt;P3_DESDE,P3A_IVAN,P3_IVAN)-AG161*IVA_DEV</f>
        <v>0</v>
      </c>
      <c r="AM161" s="60" t="n">
        <f aca="false">N161*(1+RECARGO_ADS)</f>
        <v>0</v>
      </c>
      <c r="AN161" s="58" t="n">
        <f aca="false">IF(ISNUMBER(L161),E161+F161+G161+AA161+AB161+AC161,0)</f>
        <v>0</v>
      </c>
      <c r="AO161" s="60" t="n">
        <f aca="false">P161*COMISION</f>
        <v>0</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B162*P1_PVP+C162*P2_PVP+D162*IF($A162&lt;P3_DESDE,P3A_PVP,P3_PVP)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E162*(P1_PVP-P1_CPROD)+F162*(P2_PVP-P2_CPROD)+G162*(IF($A162&lt;P3_DESDE,P3A_PVP,P3_PVP)-IF($A162&lt;P3_DESDE,P3A_CPROD,P3_CPROD))-IF(ISNUMBER(L162),L162,E162*P1_LOG+F162*P2_LOG+G162*P3_LOG)</f>
        <v>0</v>
      </c>
      <c r="X162" s="33" t="n">
        <f aca="false">W162-(E162*P1_IVAN+F162*P2_IVAN+G162*IF($A162&lt;P3_DESDE,P3A_IVAN,P3_IVAN))-(H162+I162+J162)*(COSTE_DEV-IVA_DEV)-AM162-AO162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E162+AA162*TASA_USADA</f>
        <v>0</v>
      </c>
      <c r="AE162" s="59" t="n">
        <f aca="false">F162+AB162*TASA_USADA</f>
        <v>0</v>
      </c>
      <c r="AF162" s="59" t="n">
        <f aca="false">G162+AC162*TASA_USADA</f>
        <v>0</v>
      </c>
      <c r="AG162" s="59" t="n">
        <f aca="false">H162+I162+J162+(AA162+AB162+AC162)*(1-TASA_USADA)</f>
        <v>0</v>
      </c>
      <c r="AH162" s="60" t="n">
        <f aca="false">AD162*P1_PVP+AE162*P2_PVP+AF162*IF($A162&lt;P3_DESDE,P3A_PVP,P3_PVP)</f>
        <v>0</v>
      </c>
      <c r="AI162" s="60" t="n">
        <f aca="false">AD162*P1_CPROD+AE162*P2_CPROD+AF162*IF($A162&lt;P3_DESDE,P3A_CPROD,P3_CPROD)</f>
        <v>0</v>
      </c>
      <c r="AJ162" s="60" t="n">
        <f aca="false">IF(ISNUMBER(L162),L162,E162*P1_LOG+F162*P2_LOG+G162*P3_LOG)+IF(ISNUMBER(M162),M162,AA162*P1_LOG+AB162*P2_LOG+AC162*P3_LOG)*TASA_USADA</f>
        <v>0</v>
      </c>
      <c r="AK162" s="60" t="n">
        <f aca="false">AG162*COSTE_DEV</f>
        <v>0</v>
      </c>
      <c r="AL162" s="60" t="n">
        <f aca="false">AD162*P1_IVAN+AE162*P2_IVAN+AF162*IF($A162&lt;P3_DESDE,P3A_IVAN,P3_IVAN)-AG162*IVA_DEV</f>
        <v>0</v>
      </c>
      <c r="AM162" s="60" t="n">
        <f aca="false">N162*(1+RECARGO_ADS)</f>
        <v>0</v>
      </c>
      <c r="AN162" s="58" t="n">
        <f aca="false">IF(ISNUMBER(L162),E162+F162+G162+AA162+AB162+AC162,0)</f>
        <v>0</v>
      </c>
      <c r="AO162" s="60" t="n">
        <f aca="false">P162*COMISION</f>
        <v>0</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B163*P1_PVP+C163*P2_PVP+D163*IF($A163&lt;P3_DESDE,P3A_PVP,P3_PVP)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E163*(P1_PVP-P1_CPROD)+F163*(P2_PVP-P2_CPROD)+G163*(IF($A163&lt;P3_DESDE,P3A_PVP,P3_PVP)-IF($A163&lt;P3_DESDE,P3A_CPROD,P3_CPROD))-IF(ISNUMBER(L163),L163,E163*P1_LOG+F163*P2_LOG+G163*P3_LOG)</f>
        <v>0</v>
      </c>
      <c r="X163" s="33" t="n">
        <f aca="false">W163-(E163*P1_IVAN+F163*P2_IVAN+G163*IF($A163&lt;P3_DESDE,P3A_IVAN,P3_IVAN))-(H163+I163+J163)*(COSTE_DEV-IVA_DEV)-AM163-AO163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E163+AA163*TASA_USADA</f>
        <v>0</v>
      </c>
      <c r="AE163" s="59" t="n">
        <f aca="false">F163+AB163*TASA_USADA</f>
        <v>0</v>
      </c>
      <c r="AF163" s="59" t="n">
        <f aca="false">G163+AC163*TASA_USADA</f>
        <v>0</v>
      </c>
      <c r="AG163" s="59" t="n">
        <f aca="false">H163+I163+J163+(AA163+AB163+AC163)*(1-TASA_USADA)</f>
        <v>0</v>
      </c>
      <c r="AH163" s="60" t="n">
        <f aca="false">AD163*P1_PVP+AE163*P2_PVP+AF163*IF($A163&lt;P3_DESDE,P3A_PVP,P3_PVP)</f>
        <v>0</v>
      </c>
      <c r="AI163" s="60" t="n">
        <f aca="false">AD163*P1_CPROD+AE163*P2_CPROD+AF163*IF($A163&lt;P3_DESDE,P3A_CPROD,P3_CPROD)</f>
        <v>0</v>
      </c>
      <c r="AJ163" s="60" t="n">
        <f aca="false">IF(ISNUMBER(L163),L163,E163*P1_LOG+F163*P2_LOG+G163*P3_LOG)+IF(ISNUMBER(M163),M163,AA163*P1_LOG+AB163*P2_LOG+AC163*P3_LOG)*TASA_USADA</f>
        <v>0</v>
      </c>
      <c r="AK163" s="60" t="n">
        <f aca="false">AG163*COSTE_DEV</f>
        <v>0</v>
      </c>
      <c r="AL163" s="60" t="n">
        <f aca="false">AD163*P1_IVAN+AE163*P2_IVAN+AF163*IF($A163&lt;P3_DESDE,P3A_IVAN,P3_IVAN)-AG163*IVA_DEV</f>
        <v>0</v>
      </c>
      <c r="AM163" s="60" t="n">
        <f aca="false">N163*(1+RECARGO_ADS)</f>
        <v>0</v>
      </c>
      <c r="AN163" s="58" t="n">
        <f aca="false">IF(ISNUMBER(L163),E163+F163+G163+AA163+AB163+AC163,0)</f>
        <v>0</v>
      </c>
      <c r="AO163" s="60" t="n">
        <f aca="false">P163*COMISION</f>
        <v>0</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B164*P1_PVP+C164*P2_PVP+D164*IF($A164&lt;P3_DESDE,P3A_PVP,P3_PVP)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E164*(P1_PVP-P1_CPROD)+F164*(P2_PVP-P2_CPROD)+G164*(IF($A164&lt;P3_DESDE,P3A_PVP,P3_PVP)-IF($A164&lt;P3_DESDE,P3A_CPROD,P3_CPROD))-IF(ISNUMBER(L164),L164,E164*P1_LOG+F164*P2_LOG+G164*P3_LOG)</f>
        <v>0</v>
      </c>
      <c r="X164" s="33" t="n">
        <f aca="false">W164-(E164*P1_IVAN+F164*P2_IVAN+G164*IF($A164&lt;P3_DESDE,P3A_IVAN,P3_IVAN))-(H164+I164+J164)*(COSTE_DEV-IVA_DEV)-AM164-AO164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E164+AA164*TASA_USADA</f>
        <v>0</v>
      </c>
      <c r="AE164" s="59" t="n">
        <f aca="false">F164+AB164*TASA_USADA</f>
        <v>0</v>
      </c>
      <c r="AF164" s="59" t="n">
        <f aca="false">G164+AC164*TASA_USADA</f>
        <v>0</v>
      </c>
      <c r="AG164" s="59" t="n">
        <f aca="false">H164+I164+J164+(AA164+AB164+AC164)*(1-TASA_USADA)</f>
        <v>0</v>
      </c>
      <c r="AH164" s="60" t="n">
        <f aca="false">AD164*P1_PVP+AE164*P2_PVP+AF164*IF($A164&lt;P3_DESDE,P3A_PVP,P3_PVP)</f>
        <v>0</v>
      </c>
      <c r="AI164" s="60" t="n">
        <f aca="false">AD164*P1_CPROD+AE164*P2_CPROD+AF164*IF($A164&lt;P3_DESDE,P3A_CPROD,P3_CPROD)</f>
        <v>0</v>
      </c>
      <c r="AJ164" s="60" t="n">
        <f aca="false">IF(ISNUMBER(L164),L164,E164*P1_LOG+F164*P2_LOG+G164*P3_LOG)+IF(ISNUMBER(M164),M164,AA164*P1_LOG+AB164*P2_LOG+AC164*P3_LOG)*TASA_USADA</f>
        <v>0</v>
      </c>
      <c r="AK164" s="60" t="n">
        <f aca="false">AG164*COSTE_DEV</f>
        <v>0</v>
      </c>
      <c r="AL164" s="60" t="n">
        <f aca="false">AD164*P1_IVAN+AE164*P2_IVAN+AF164*IF($A164&lt;P3_DESDE,P3A_IVAN,P3_IVAN)-AG164*IVA_DEV</f>
        <v>0</v>
      </c>
      <c r="AM164" s="60" t="n">
        <f aca="false">N164*(1+RECARGO_ADS)</f>
        <v>0</v>
      </c>
      <c r="AN164" s="58" t="n">
        <f aca="false">IF(ISNUMBER(L164),E164+F164+G164+AA164+AB164+AC164,0)</f>
        <v>0</v>
      </c>
      <c r="AO164" s="60" t="n">
        <f aca="false">P164*COMISION</f>
        <v>0</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B165*P1_PVP+C165*P2_PVP+D165*IF($A165&lt;P3_DESDE,P3A_PVP,P3_PVP)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E165*(P1_PVP-P1_CPROD)+F165*(P2_PVP-P2_CPROD)+G165*(IF($A165&lt;P3_DESDE,P3A_PVP,P3_PVP)-IF($A165&lt;P3_DESDE,P3A_CPROD,P3_CPROD))-IF(ISNUMBER(L165),L165,E165*P1_LOG+F165*P2_LOG+G165*P3_LOG)</f>
        <v>0</v>
      </c>
      <c r="X165" s="33" t="n">
        <f aca="false">W165-(E165*P1_IVAN+F165*P2_IVAN+G165*IF($A165&lt;P3_DESDE,P3A_IVAN,P3_IVAN))-(H165+I165+J165)*(COSTE_DEV-IVA_DEV)-AM165-AO165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E165+AA165*TASA_USADA</f>
        <v>0</v>
      </c>
      <c r="AE165" s="59" t="n">
        <f aca="false">F165+AB165*TASA_USADA</f>
        <v>0</v>
      </c>
      <c r="AF165" s="59" t="n">
        <f aca="false">G165+AC165*TASA_USADA</f>
        <v>0</v>
      </c>
      <c r="AG165" s="59" t="n">
        <f aca="false">H165+I165+J165+(AA165+AB165+AC165)*(1-TASA_USADA)</f>
        <v>0</v>
      </c>
      <c r="AH165" s="60" t="n">
        <f aca="false">AD165*P1_PVP+AE165*P2_PVP+AF165*IF($A165&lt;P3_DESDE,P3A_PVP,P3_PVP)</f>
        <v>0</v>
      </c>
      <c r="AI165" s="60" t="n">
        <f aca="false">AD165*P1_CPROD+AE165*P2_CPROD+AF165*IF($A165&lt;P3_DESDE,P3A_CPROD,P3_CPROD)</f>
        <v>0</v>
      </c>
      <c r="AJ165" s="60" t="n">
        <f aca="false">IF(ISNUMBER(L165),L165,E165*P1_LOG+F165*P2_LOG+G165*P3_LOG)+IF(ISNUMBER(M165),M165,AA165*P1_LOG+AB165*P2_LOG+AC165*P3_LOG)*TASA_USADA</f>
        <v>0</v>
      </c>
      <c r="AK165" s="60" t="n">
        <f aca="false">AG165*COSTE_DEV</f>
        <v>0</v>
      </c>
      <c r="AL165" s="60" t="n">
        <f aca="false">AD165*P1_IVAN+AE165*P2_IVAN+AF165*IF($A165&lt;P3_DESDE,P3A_IVAN,P3_IVAN)-AG165*IVA_DEV</f>
        <v>0</v>
      </c>
      <c r="AM165" s="60" t="n">
        <f aca="false">N165*(1+RECARGO_ADS)</f>
        <v>0</v>
      </c>
      <c r="AN165" s="58" t="n">
        <f aca="false">IF(ISNUMBER(L165),E165+F165+G165+AA165+AB165+AC165,0)</f>
        <v>0</v>
      </c>
      <c r="AO165" s="60" t="n">
        <f aca="false">P165*COMISION</f>
        <v>0</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B166*P1_PVP+C166*P2_PVP+D166*IF($A166&lt;P3_DESDE,P3A_PVP,P3_PVP)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E166*(P1_PVP-P1_CPROD)+F166*(P2_PVP-P2_CPROD)+G166*(IF($A166&lt;P3_DESDE,P3A_PVP,P3_PVP)-IF($A166&lt;P3_DESDE,P3A_CPROD,P3_CPROD))-IF(ISNUMBER(L166),L166,E166*P1_LOG+F166*P2_LOG+G166*P3_LOG)</f>
        <v>0</v>
      </c>
      <c r="X166" s="33" t="n">
        <f aca="false">W166-(E166*P1_IVAN+F166*P2_IVAN+G166*IF($A166&lt;P3_DESDE,P3A_IVAN,P3_IVAN))-(H166+I166+J166)*(COSTE_DEV-IVA_DEV)-AM166-AO166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E166+AA166*TASA_USADA</f>
        <v>0</v>
      </c>
      <c r="AE166" s="59" t="n">
        <f aca="false">F166+AB166*TASA_USADA</f>
        <v>0</v>
      </c>
      <c r="AF166" s="59" t="n">
        <f aca="false">G166+AC166*TASA_USADA</f>
        <v>0</v>
      </c>
      <c r="AG166" s="59" t="n">
        <f aca="false">H166+I166+J166+(AA166+AB166+AC166)*(1-TASA_USADA)</f>
        <v>0</v>
      </c>
      <c r="AH166" s="60" t="n">
        <f aca="false">AD166*P1_PVP+AE166*P2_PVP+AF166*IF($A166&lt;P3_DESDE,P3A_PVP,P3_PVP)</f>
        <v>0</v>
      </c>
      <c r="AI166" s="60" t="n">
        <f aca="false">AD166*P1_CPROD+AE166*P2_CPROD+AF166*IF($A166&lt;P3_DESDE,P3A_CPROD,P3_CPROD)</f>
        <v>0</v>
      </c>
      <c r="AJ166" s="60" t="n">
        <f aca="false">IF(ISNUMBER(L166),L166,E166*P1_LOG+F166*P2_LOG+G166*P3_LOG)+IF(ISNUMBER(M166),M166,AA166*P1_LOG+AB166*P2_LOG+AC166*P3_LOG)*TASA_USADA</f>
        <v>0</v>
      </c>
      <c r="AK166" s="60" t="n">
        <f aca="false">AG166*COSTE_DEV</f>
        <v>0</v>
      </c>
      <c r="AL166" s="60" t="n">
        <f aca="false">AD166*P1_IVAN+AE166*P2_IVAN+AF166*IF($A166&lt;P3_DESDE,P3A_IVAN,P3_IVAN)-AG166*IVA_DEV</f>
        <v>0</v>
      </c>
      <c r="AM166" s="60" t="n">
        <f aca="false">N166*(1+RECARGO_ADS)</f>
        <v>0</v>
      </c>
      <c r="AN166" s="58" t="n">
        <f aca="false">IF(ISNUMBER(L166),E166+F166+G166+AA166+AB166+AC166,0)</f>
        <v>0</v>
      </c>
      <c r="AO166" s="60" t="n">
        <f aca="false">P166*COMISION</f>
        <v>0</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B167*P1_PVP+C167*P2_PVP+D167*IF($A167&lt;P3_DESDE,P3A_PVP,P3_PVP)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E167*(P1_PVP-P1_CPROD)+F167*(P2_PVP-P2_CPROD)+G167*(IF($A167&lt;P3_DESDE,P3A_PVP,P3_PVP)-IF($A167&lt;P3_DESDE,P3A_CPROD,P3_CPROD))-IF(ISNUMBER(L167),L167,E167*P1_LOG+F167*P2_LOG+G167*P3_LOG)</f>
        <v>0</v>
      </c>
      <c r="X167" s="33" t="n">
        <f aca="false">W167-(E167*P1_IVAN+F167*P2_IVAN+G167*IF($A167&lt;P3_DESDE,P3A_IVAN,P3_IVAN))-(H167+I167+J167)*(COSTE_DEV-IVA_DEV)-AM167-AO167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E167+AA167*TASA_USADA</f>
        <v>0</v>
      </c>
      <c r="AE167" s="59" t="n">
        <f aca="false">F167+AB167*TASA_USADA</f>
        <v>0</v>
      </c>
      <c r="AF167" s="59" t="n">
        <f aca="false">G167+AC167*TASA_USADA</f>
        <v>0</v>
      </c>
      <c r="AG167" s="59" t="n">
        <f aca="false">H167+I167+J167+(AA167+AB167+AC167)*(1-TASA_USADA)</f>
        <v>0</v>
      </c>
      <c r="AH167" s="60" t="n">
        <f aca="false">AD167*P1_PVP+AE167*P2_PVP+AF167*IF($A167&lt;P3_DESDE,P3A_PVP,P3_PVP)</f>
        <v>0</v>
      </c>
      <c r="AI167" s="60" t="n">
        <f aca="false">AD167*P1_CPROD+AE167*P2_CPROD+AF167*IF($A167&lt;P3_DESDE,P3A_CPROD,P3_CPROD)</f>
        <v>0</v>
      </c>
      <c r="AJ167" s="60" t="n">
        <f aca="false">IF(ISNUMBER(L167),L167,E167*P1_LOG+F167*P2_LOG+G167*P3_LOG)+IF(ISNUMBER(M167),M167,AA167*P1_LOG+AB167*P2_LOG+AC167*P3_LOG)*TASA_USADA</f>
        <v>0</v>
      </c>
      <c r="AK167" s="60" t="n">
        <f aca="false">AG167*COSTE_DEV</f>
        <v>0</v>
      </c>
      <c r="AL167" s="60" t="n">
        <f aca="false">AD167*P1_IVAN+AE167*P2_IVAN+AF167*IF($A167&lt;P3_DESDE,P3A_IVAN,P3_IVAN)-AG167*IVA_DEV</f>
        <v>0</v>
      </c>
      <c r="AM167" s="60" t="n">
        <f aca="false">N167*(1+RECARGO_ADS)</f>
        <v>0</v>
      </c>
      <c r="AN167" s="58" t="n">
        <f aca="false">IF(ISNUMBER(L167),E167+F167+G167+AA167+AB167+AC167,0)</f>
        <v>0</v>
      </c>
      <c r="AO167" s="60" t="n">
        <f aca="false">P167*COMISION</f>
        <v>0</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B168*P1_PVP+C168*P2_PVP+D168*IF($A168&lt;P3_DESDE,P3A_PVP,P3_PVP)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E168*(P1_PVP-P1_CPROD)+F168*(P2_PVP-P2_CPROD)+G168*(IF($A168&lt;P3_DESDE,P3A_PVP,P3_PVP)-IF($A168&lt;P3_DESDE,P3A_CPROD,P3_CPROD))-IF(ISNUMBER(L168),L168,E168*P1_LOG+F168*P2_LOG+G168*P3_LOG)</f>
        <v>0</v>
      </c>
      <c r="X168" s="33" t="n">
        <f aca="false">W168-(E168*P1_IVAN+F168*P2_IVAN+G168*IF($A168&lt;P3_DESDE,P3A_IVAN,P3_IVAN))-(H168+I168+J168)*(COSTE_DEV-IVA_DEV)-AM168-AO168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E168+AA168*TASA_USADA</f>
        <v>0</v>
      </c>
      <c r="AE168" s="59" t="n">
        <f aca="false">F168+AB168*TASA_USADA</f>
        <v>0</v>
      </c>
      <c r="AF168" s="59" t="n">
        <f aca="false">G168+AC168*TASA_USADA</f>
        <v>0</v>
      </c>
      <c r="AG168" s="59" t="n">
        <f aca="false">H168+I168+J168+(AA168+AB168+AC168)*(1-TASA_USADA)</f>
        <v>0</v>
      </c>
      <c r="AH168" s="60" t="n">
        <f aca="false">AD168*P1_PVP+AE168*P2_PVP+AF168*IF($A168&lt;P3_DESDE,P3A_PVP,P3_PVP)</f>
        <v>0</v>
      </c>
      <c r="AI168" s="60" t="n">
        <f aca="false">AD168*P1_CPROD+AE168*P2_CPROD+AF168*IF($A168&lt;P3_DESDE,P3A_CPROD,P3_CPROD)</f>
        <v>0</v>
      </c>
      <c r="AJ168" s="60" t="n">
        <f aca="false">IF(ISNUMBER(L168),L168,E168*P1_LOG+F168*P2_LOG+G168*P3_LOG)+IF(ISNUMBER(M168),M168,AA168*P1_LOG+AB168*P2_LOG+AC168*P3_LOG)*TASA_USADA</f>
        <v>0</v>
      </c>
      <c r="AK168" s="60" t="n">
        <f aca="false">AG168*COSTE_DEV</f>
        <v>0</v>
      </c>
      <c r="AL168" s="60" t="n">
        <f aca="false">AD168*P1_IVAN+AE168*P2_IVAN+AF168*IF($A168&lt;P3_DESDE,P3A_IVAN,P3_IVAN)-AG168*IVA_DEV</f>
        <v>0</v>
      </c>
      <c r="AM168" s="60" t="n">
        <f aca="false">N168*(1+RECARGO_ADS)</f>
        <v>0</v>
      </c>
      <c r="AN168" s="58" t="n">
        <f aca="false">IF(ISNUMBER(L168),E168+F168+G168+AA168+AB168+AC168,0)</f>
        <v>0</v>
      </c>
      <c r="AO168" s="60" t="n">
        <f aca="false">P168*COMISION</f>
        <v>0</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B169*P1_PVP+C169*P2_PVP+D169*IF($A169&lt;P3_DESDE,P3A_PVP,P3_PVP)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E169*(P1_PVP-P1_CPROD)+F169*(P2_PVP-P2_CPROD)+G169*(IF($A169&lt;P3_DESDE,P3A_PVP,P3_PVP)-IF($A169&lt;P3_DESDE,P3A_CPROD,P3_CPROD))-IF(ISNUMBER(L169),L169,E169*P1_LOG+F169*P2_LOG+G169*P3_LOG)</f>
        <v>0</v>
      </c>
      <c r="X169" s="33" t="n">
        <f aca="false">W169-(E169*P1_IVAN+F169*P2_IVAN+G169*IF($A169&lt;P3_DESDE,P3A_IVAN,P3_IVAN))-(H169+I169+J169)*(COSTE_DEV-IVA_DEV)-AM169-AO169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E169+AA169*TASA_USADA</f>
        <v>0</v>
      </c>
      <c r="AE169" s="59" t="n">
        <f aca="false">F169+AB169*TASA_USADA</f>
        <v>0</v>
      </c>
      <c r="AF169" s="59" t="n">
        <f aca="false">G169+AC169*TASA_USADA</f>
        <v>0</v>
      </c>
      <c r="AG169" s="59" t="n">
        <f aca="false">H169+I169+J169+(AA169+AB169+AC169)*(1-TASA_USADA)</f>
        <v>0</v>
      </c>
      <c r="AH169" s="60" t="n">
        <f aca="false">AD169*P1_PVP+AE169*P2_PVP+AF169*IF($A169&lt;P3_DESDE,P3A_PVP,P3_PVP)</f>
        <v>0</v>
      </c>
      <c r="AI169" s="60" t="n">
        <f aca="false">AD169*P1_CPROD+AE169*P2_CPROD+AF169*IF($A169&lt;P3_DESDE,P3A_CPROD,P3_CPROD)</f>
        <v>0</v>
      </c>
      <c r="AJ169" s="60" t="n">
        <f aca="false">IF(ISNUMBER(L169),L169,E169*P1_LOG+F169*P2_LOG+G169*P3_LOG)+IF(ISNUMBER(M169),M169,AA169*P1_LOG+AB169*P2_LOG+AC169*P3_LOG)*TASA_USADA</f>
        <v>0</v>
      </c>
      <c r="AK169" s="60" t="n">
        <f aca="false">AG169*COSTE_DEV</f>
        <v>0</v>
      </c>
      <c r="AL169" s="60" t="n">
        <f aca="false">AD169*P1_IVAN+AE169*P2_IVAN+AF169*IF($A169&lt;P3_DESDE,P3A_IVAN,P3_IVAN)-AG169*IVA_DEV</f>
        <v>0</v>
      </c>
      <c r="AM169" s="60" t="n">
        <f aca="false">N169*(1+RECARGO_ADS)</f>
        <v>0</v>
      </c>
      <c r="AN169" s="58" t="n">
        <f aca="false">IF(ISNUMBER(L169),E169+F169+G169+AA169+AB169+AC169,0)</f>
        <v>0</v>
      </c>
      <c r="AO169" s="60" t="n">
        <f aca="false">P169*COMISION</f>
        <v>0</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B170*P1_PVP+C170*P2_PVP+D170*IF($A170&lt;P3_DESDE,P3A_PVP,P3_PVP)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E170*(P1_PVP-P1_CPROD)+F170*(P2_PVP-P2_CPROD)+G170*(IF($A170&lt;P3_DESDE,P3A_PVP,P3_PVP)-IF($A170&lt;P3_DESDE,P3A_CPROD,P3_CPROD))-IF(ISNUMBER(L170),L170,E170*P1_LOG+F170*P2_LOG+G170*P3_LOG)</f>
        <v>0</v>
      </c>
      <c r="X170" s="33" t="n">
        <f aca="false">W170-(E170*P1_IVAN+F170*P2_IVAN+G170*IF($A170&lt;P3_DESDE,P3A_IVAN,P3_IVAN))-(H170+I170+J170)*(COSTE_DEV-IVA_DEV)-AM170-AO170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E170+AA170*TASA_USADA</f>
        <v>0</v>
      </c>
      <c r="AE170" s="59" t="n">
        <f aca="false">F170+AB170*TASA_USADA</f>
        <v>0</v>
      </c>
      <c r="AF170" s="59" t="n">
        <f aca="false">G170+AC170*TASA_USADA</f>
        <v>0</v>
      </c>
      <c r="AG170" s="59" t="n">
        <f aca="false">H170+I170+J170+(AA170+AB170+AC170)*(1-TASA_USADA)</f>
        <v>0</v>
      </c>
      <c r="AH170" s="60" t="n">
        <f aca="false">AD170*P1_PVP+AE170*P2_PVP+AF170*IF($A170&lt;P3_DESDE,P3A_PVP,P3_PVP)</f>
        <v>0</v>
      </c>
      <c r="AI170" s="60" t="n">
        <f aca="false">AD170*P1_CPROD+AE170*P2_CPROD+AF170*IF($A170&lt;P3_DESDE,P3A_CPROD,P3_CPROD)</f>
        <v>0</v>
      </c>
      <c r="AJ170" s="60" t="n">
        <f aca="false">IF(ISNUMBER(L170),L170,E170*P1_LOG+F170*P2_LOG+G170*P3_LOG)+IF(ISNUMBER(M170),M170,AA170*P1_LOG+AB170*P2_LOG+AC170*P3_LOG)*TASA_USADA</f>
        <v>0</v>
      </c>
      <c r="AK170" s="60" t="n">
        <f aca="false">AG170*COSTE_DEV</f>
        <v>0</v>
      </c>
      <c r="AL170" s="60" t="n">
        <f aca="false">AD170*P1_IVAN+AE170*P2_IVAN+AF170*IF($A170&lt;P3_DESDE,P3A_IVAN,P3_IVAN)-AG170*IVA_DEV</f>
        <v>0</v>
      </c>
      <c r="AM170" s="60" t="n">
        <f aca="false">N170*(1+RECARGO_ADS)</f>
        <v>0</v>
      </c>
      <c r="AN170" s="58" t="n">
        <f aca="false">IF(ISNUMBER(L170),E170+F170+G170+AA170+AB170+AC170,0)</f>
        <v>0</v>
      </c>
      <c r="AO170" s="60" t="n">
        <f aca="false">P170*COMISION</f>
        <v>0</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B171*P1_PVP+C171*P2_PVP+D171*IF($A171&lt;P3_DESDE,P3A_PVP,P3_PVP)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E171*(P1_PVP-P1_CPROD)+F171*(P2_PVP-P2_CPROD)+G171*(IF($A171&lt;P3_DESDE,P3A_PVP,P3_PVP)-IF($A171&lt;P3_DESDE,P3A_CPROD,P3_CPROD))-IF(ISNUMBER(L171),L171,E171*P1_LOG+F171*P2_LOG+G171*P3_LOG)</f>
        <v>0</v>
      </c>
      <c r="X171" s="33" t="n">
        <f aca="false">W171-(E171*P1_IVAN+F171*P2_IVAN+G171*IF($A171&lt;P3_DESDE,P3A_IVAN,P3_IVAN))-(H171+I171+J171)*(COSTE_DEV-IVA_DEV)-AM171-AO171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E171+AA171*TASA_USADA</f>
        <v>0</v>
      </c>
      <c r="AE171" s="59" t="n">
        <f aca="false">F171+AB171*TASA_USADA</f>
        <v>0</v>
      </c>
      <c r="AF171" s="59" t="n">
        <f aca="false">G171+AC171*TASA_USADA</f>
        <v>0</v>
      </c>
      <c r="AG171" s="59" t="n">
        <f aca="false">H171+I171+J171+(AA171+AB171+AC171)*(1-TASA_USADA)</f>
        <v>0</v>
      </c>
      <c r="AH171" s="60" t="n">
        <f aca="false">AD171*P1_PVP+AE171*P2_PVP+AF171*IF($A171&lt;P3_DESDE,P3A_PVP,P3_PVP)</f>
        <v>0</v>
      </c>
      <c r="AI171" s="60" t="n">
        <f aca="false">AD171*P1_CPROD+AE171*P2_CPROD+AF171*IF($A171&lt;P3_DESDE,P3A_CPROD,P3_CPROD)</f>
        <v>0</v>
      </c>
      <c r="AJ171" s="60" t="n">
        <f aca="false">IF(ISNUMBER(L171),L171,E171*P1_LOG+F171*P2_LOG+G171*P3_LOG)+IF(ISNUMBER(M171),M171,AA171*P1_LOG+AB171*P2_LOG+AC171*P3_LOG)*TASA_USADA</f>
        <v>0</v>
      </c>
      <c r="AK171" s="60" t="n">
        <f aca="false">AG171*COSTE_DEV</f>
        <v>0</v>
      </c>
      <c r="AL171" s="60" t="n">
        <f aca="false">AD171*P1_IVAN+AE171*P2_IVAN+AF171*IF($A171&lt;P3_DESDE,P3A_IVAN,P3_IVAN)-AG171*IVA_DEV</f>
        <v>0</v>
      </c>
      <c r="AM171" s="60" t="n">
        <f aca="false">N171*(1+RECARGO_ADS)</f>
        <v>0</v>
      </c>
      <c r="AN171" s="58" t="n">
        <f aca="false">IF(ISNUMBER(L171),E171+F171+G171+AA171+AB171+AC171,0)</f>
        <v>0</v>
      </c>
      <c r="AO171" s="60" t="n">
        <f aca="false">P171*COMISION</f>
        <v>0</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B172*P1_PVP+C172*P2_PVP+D172*IF($A172&lt;P3_DESDE,P3A_PVP,P3_PVP)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E172*(P1_PVP-P1_CPROD)+F172*(P2_PVP-P2_CPROD)+G172*(IF($A172&lt;P3_DESDE,P3A_PVP,P3_PVP)-IF($A172&lt;P3_DESDE,P3A_CPROD,P3_CPROD))-IF(ISNUMBER(L172),L172,E172*P1_LOG+F172*P2_LOG+G172*P3_LOG)</f>
        <v>0</v>
      </c>
      <c r="X172" s="33" t="n">
        <f aca="false">W172-(E172*P1_IVAN+F172*P2_IVAN+G172*IF($A172&lt;P3_DESDE,P3A_IVAN,P3_IVAN))-(H172+I172+J172)*(COSTE_DEV-IVA_DEV)-AM172-AO172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E172+AA172*TASA_USADA</f>
        <v>0</v>
      </c>
      <c r="AE172" s="59" t="n">
        <f aca="false">F172+AB172*TASA_USADA</f>
        <v>0</v>
      </c>
      <c r="AF172" s="59" t="n">
        <f aca="false">G172+AC172*TASA_USADA</f>
        <v>0</v>
      </c>
      <c r="AG172" s="59" t="n">
        <f aca="false">H172+I172+J172+(AA172+AB172+AC172)*(1-TASA_USADA)</f>
        <v>0</v>
      </c>
      <c r="AH172" s="60" t="n">
        <f aca="false">AD172*P1_PVP+AE172*P2_PVP+AF172*IF($A172&lt;P3_DESDE,P3A_PVP,P3_PVP)</f>
        <v>0</v>
      </c>
      <c r="AI172" s="60" t="n">
        <f aca="false">AD172*P1_CPROD+AE172*P2_CPROD+AF172*IF($A172&lt;P3_DESDE,P3A_CPROD,P3_CPROD)</f>
        <v>0</v>
      </c>
      <c r="AJ172" s="60" t="n">
        <f aca="false">IF(ISNUMBER(L172),L172,E172*P1_LOG+F172*P2_LOG+G172*P3_LOG)+IF(ISNUMBER(M172),M172,AA172*P1_LOG+AB172*P2_LOG+AC172*P3_LOG)*TASA_USADA</f>
        <v>0</v>
      </c>
      <c r="AK172" s="60" t="n">
        <f aca="false">AG172*COSTE_DEV</f>
        <v>0</v>
      </c>
      <c r="AL172" s="60" t="n">
        <f aca="false">AD172*P1_IVAN+AE172*P2_IVAN+AF172*IF($A172&lt;P3_DESDE,P3A_IVAN,P3_IVAN)-AG172*IVA_DEV</f>
        <v>0</v>
      </c>
      <c r="AM172" s="60" t="n">
        <f aca="false">N172*(1+RECARGO_ADS)</f>
        <v>0</v>
      </c>
      <c r="AN172" s="58" t="n">
        <f aca="false">IF(ISNUMBER(L172),E172+F172+G172+AA172+AB172+AC172,0)</f>
        <v>0</v>
      </c>
      <c r="AO172" s="60" t="n">
        <f aca="false">P172*COMISION</f>
        <v>0</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B173*P1_PVP+C173*P2_PVP+D173*IF($A173&lt;P3_DESDE,P3A_PVP,P3_PVP)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E173*(P1_PVP-P1_CPROD)+F173*(P2_PVP-P2_CPROD)+G173*(IF($A173&lt;P3_DESDE,P3A_PVP,P3_PVP)-IF($A173&lt;P3_DESDE,P3A_CPROD,P3_CPROD))-IF(ISNUMBER(L173),L173,E173*P1_LOG+F173*P2_LOG+G173*P3_LOG)</f>
        <v>0</v>
      </c>
      <c r="X173" s="33" t="n">
        <f aca="false">W173-(E173*P1_IVAN+F173*P2_IVAN+G173*IF($A173&lt;P3_DESDE,P3A_IVAN,P3_IVAN))-(H173+I173+J173)*(COSTE_DEV-IVA_DEV)-AM173-AO173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E173+AA173*TASA_USADA</f>
        <v>0</v>
      </c>
      <c r="AE173" s="59" t="n">
        <f aca="false">F173+AB173*TASA_USADA</f>
        <v>0</v>
      </c>
      <c r="AF173" s="59" t="n">
        <f aca="false">G173+AC173*TASA_USADA</f>
        <v>0</v>
      </c>
      <c r="AG173" s="59" t="n">
        <f aca="false">H173+I173+J173+(AA173+AB173+AC173)*(1-TASA_USADA)</f>
        <v>0</v>
      </c>
      <c r="AH173" s="60" t="n">
        <f aca="false">AD173*P1_PVP+AE173*P2_PVP+AF173*IF($A173&lt;P3_DESDE,P3A_PVP,P3_PVP)</f>
        <v>0</v>
      </c>
      <c r="AI173" s="60" t="n">
        <f aca="false">AD173*P1_CPROD+AE173*P2_CPROD+AF173*IF($A173&lt;P3_DESDE,P3A_CPROD,P3_CPROD)</f>
        <v>0</v>
      </c>
      <c r="AJ173" s="60" t="n">
        <f aca="false">IF(ISNUMBER(L173),L173,E173*P1_LOG+F173*P2_LOG+G173*P3_LOG)+IF(ISNUMBER(M173),M173,AA173*P1_LOG+AB173*P2_LOG+AC173*P3_LOG)*TASA_USADA</f>
        <v>0</v>
      </c>
      <c r="AK173" s="60" t="n">
        <f aca="false">AG173*COSTE_DEV</f>
        <v>0</v>
      </c>
      <c r="AL173" s="60" t="n">
        <f aca="false">AD173*P1_IVAN+AE173*P2_IVAN+AF173*IF($A173&lt;P3_DESDE,P3A_IVAN,P3_IVAN)-AG173*IVA_DEV</f>
        <v>0</v>
      </c>
      <c r="AM173" s="60" t="n">
        <f aca="false">N173*(1+RECARGO_ADS)</f>
        <v>0</v>
      </c>
      <c r="AN173" s="58" t="n">
        <f aca="false">IF(ISNUMBER(L173),E173+F173+G173+AA173+AB173+AC173,0)</f>
        <v>0</v>
      </c>
      <c r="AO173" s="60" t="n">
        <f aca="false">P173*COMISION</f>
        <v>0</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B174*P1_PVP+C174*P2_PVP+D174*IF($A174&lt;P3_DESDE,P3A_PVP,P3_PVP)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E174*(P1_PVP-P1_CPROD)+F174*(P2_PVP-P2_CPROD)+G174*(IF($A174&lt;P3_DESDE,P3A_PVP,P3_PVP)-IF($A174&lt;P3_DESDE,P3A_CPROD,P3_CPROD))-IF(ISNUMBER(L174),L174,E174*P1_LOG+F174*P2_LOG+G174*P3_LOG)</f>
        <v>0</v>
      </c>
      <c r="X174" s="33" t="n">
        <f aca="false">W174-(E174*P1_IVAN+F174*P2_IVAN+G174*IF($A174&lt;P3_DESDE,P3A_IVAN,P3_IVAN))-(H174+I174+J174)*(COSTE_DEV-IVA_DEV)-AM174-AO174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E174+AA174*TASA_USADA</f>
        <v>0</v>
      </c>
      <c r="AE174" s="59" t="n">
        <f aca="false">F174+AB174*TASA_USADA</f>
        <v>0</v>
      </c>
      <c r="AF174" s="59" t="n">
        <f aca="false">G174+AC174*TASA_USADA</f>
        <v>0</v>
      </c>
      <c r="AG174" s="59" t="n">
        <f aca="false">H174+I174+J174+(AA174+AB174+AC174)*(1-TASA_USADA)</f>
        <v>0</v>
      </c>
      <c r="AH174" s="60" t="n">
        <f aca="false">AD174*P1_PVP+AE174*P2_PVP+AF174*IF($A174&lt;P3_DESDE,P3A_PVP,P3_PVP)</f>
        <v>0</v>
      </c>
      <c r="AI174" s="60" t="n">
        <f aca="false">AD174*P1_CPROD+AE174*P2_CPROD+AF174*IF($A174&lt;P3_DESDE,P3A_CPROD,P3_CPROD)</f>
        <v>0</v>
      </c>
      <c r="AJ174" s="60" t="n">
        <f aca="false">IF(ISNUMBER(L174),L174,E174*P1_LOG+F174*P2_LOG+G174*P3_LOG)+IF(ISNUMBER(M174),M174,AA174*P1_LOG+AB174*P2_LOG+AC174*P3_LOG)*TASA_USADA</f>
        <v>0</v>
      </c>
      <c r="AK174" s="60" t="n">
        <f aca="false">AG174*COSTE_DEV</f>
        <v>0</v>
      </c>
      <c r="AL174" s="60" t="n">
        <f aca="false">AD174*P1_IVAN+AE174*P2_IVAN+AF174*IF($A174&lt;P3_DESDE,P3A_IVAN,P3_IVAN)-AG174*IVA_DEV</f>
        <v>0</v>
      </c>
      <c r="AM174" s="60" t="n">
        <f aca="false">N174*(1+RECARGO_ADS)</f>
        <v>0</v>
      </c>
      <c r="AN174" s="58" t="n">
        <f aca="false">IF(ISNUMBER(L174),E174+F174+G174+AA174+AB174+AC174,0)</f>
        <v>0</v>
      </c>
      <c r="AO174" s="60" t="n">
        <f aca="false">P174*COMISION</f>
        <v>0</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B175*P1_PVP+C175*P2_PVP+D175*IF($A175&lt;P3_DESDE,P3A_PVP,P3_PVP)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E175*(P1_PVP-P1_CPROD)+F175*(P2_PVP-P2_CPROD)+G175*(IF($A175&lt;P3_DESDE,P3A_PVP,P3_PVP)-IF($A175&lt;P3_DESDE,P3A_CPROD,P3_CPROD))-IF(ISNUMBER(L175),L175,E175*P1_LOG+F175*P2_LOG+G175*P3_LOG)</f>
        <v>0</v>
      </c>
      <c r="X175" s="33" t="n">
        <f aca="false">W175-(E175*P1_IVAN+F175*P2_IVAN+G175*IF($A175&lt;P3_DESDE,P3A_IVAN,P3_IVAN))-(H175+I175+J175)*(COSTE_DEV-IVA_DEV)-AM175-AO175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E175+AA175*TASA_USADA</f>
        <v>0</v>
      </c>
      <c r="AE175" s="59" t="n">
        <f aca="false">F175+AB175*TASA_USADA</f>
        <v>0</v>
      </c>
      <c r="AF175" s="59" t="n">
        <f aca="false">G175+AC175*TASA_USADA</f>
        <v>0</v>
      </c>
      <c r="AG175" s="59" t="n">
        <f aca="false">H175+I175+J175+(AA175+AB175+AC175)*(1-TASA_USADA)</f>
        <v>0</v>
      </c>
      <c r="AH175" s="60" t="n">
        <f aca="false">AD175*P1_PVP+AE175*P2_PVP+AF175*IF($A175&lt;P3_DESDE,P3A_PVP,P3_PVP)</f>
        <v>0</v>
      </c>
      <c r="AI175" s="60" t="n">
        <f aca="false">AD175*P1_CPROD+AE175*P2_CPROD+AF175*IF($A175&lt;P3_DESDE,P3A_CPROD,P3_CPROD)</f>
        <v>0</v>
      </c>
      <c r="AJ175" s="60" t="n">
        <f aca="false">IF(ISNUMBER(L175),L175,E175*P1_LOG+F175*P2_LOG+G175*P3_LOG)+IF(ISNUMBER(M175),M175,AA175*P1_LOG+AB175*P2_LOG+AC175*P3_LOG)*TASA_USADA</f>
        <v>0</v>
      </c>
      <c r="AK175" s="60" t="n">
        <f aca="false">AG175*COSTE_DEV</f>
        <v>0</v>
      </c>
      <c r="AL175" s="60" t="n">
        <f aca="false">AD175*P1_IVAN+AE175*P2_IVAN+AF175*IF($A175&lt;P3_DESDE,P3A_IVAN,P3_IVAN)-AG175*IVA_DEV</f>
        <v>0</v>
      </c>
      <c r="AM175" s="60" t="n">
        <f aca="false">N175*(1+RECARGO_ADS)</f>
        <v>0</v>
      </c>
      <c r="AN175" s="58" t="n">
        <f aca="false">IF(ISNUMBER(L175),E175+F175+G175+AA175+AB175+AC175,0)</f>
        <v>0</v>
      </c>
      <c r="AO175" s="60" t="n">
        <f aca="false">P175*COMISION</f>
        <v>0</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B176*P1_PVP+C176*P2_PVP+D176*IF($A176&lt;P3_DESDE,P3A_PVP,P3_PVP)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E176*(P1_PVP-P1_CPROD)+F176*(P2_PVP-P2_CPROD)+G176*(IF($A176&lt;P3_DESDE,P3A_PVP,P3_PVP)-IF($A176&lt;P3_DESDE,P3A_CPROD,P3_CPROD))-IF(ISNUMBER(L176),L176,E176*P1_LOG+F176*P2_LOG+G176*P3_LOG)</f>
        <v>0</v>
      </c>
      <c r="X176" s="33" t="n">
        <f aca="false">W176-(E176*P1_IVAN+F176*P2_IVAN+G176*IF($A176&lt;P3_DESDE,P3A_IVAN,P3_IVAN))-(H176+I176+J176)*(COSTE_DEV-IVA_DEV)-AM176-AO176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E176+AA176*TASA_USADA</f>
        <v>0</v>
      </c>
      <c r="AE176" s="59" t="n">
        <f aca="false">F176+AB176*TASA_USADA</f>
        <v>0</v>
      </c>
      <c r="AF176" s="59" t="n">
        <f aca="false">G176+AC176*TASA_USADA</f>
        <v>0</v>
      </c>
      <c r="AG176" s="59" t="n">
        <f aca="false">H176+I176+J176+(AA176+AB176+AC176)*(1-TASA_USADA)</f>
        <v>0</v>
      </c>
      <c r="AH176" s="60" t="n">
        <f aca="false">AD176*P1_PVP+AE176*P2_PVP+AF176*IF($A176&lt;P3_DESDE,P3A_PVP,P3_PVP)</f>
        <v>0</v>
      </c>
      <c r="AI176" s="60" t="n">
        <f aca="false">AD176*P1_CPROD+AE176*P2_CPROD+AF176*IF($A176&lt;P3_DESDE,P3A_CPROD,P3_CPROD)</f>
        <v>0</v>
      </c>
      <c r="AJ176" s="60" t="n">
        <f aca="false">IF(ISNUMBER(L176),L176,E176*P1_LOG+F176*P2_LOG+G176*P3_LOG)+IF(ISNUMBER(M176),M176,AA176*P1_LOG+AB176*P2_LOG+AC176*P3_LOG)*TASA_USADA</f>
        <v>0</v>
      </c>
      <c r="AK176" s="60" t="n">
        <f aca="false">AG176*COSTE_DEV</f>
        <v>0</v>
      </c>
      <c r="AL176" s="60" t="n">
        <f aca="false">AD176*P1_IVAN+AE176*P2_IVAN+AF176*IF($A176&lt;P3_DESDE,P3A_IVAN,P3_IVAN)-AG176*IVA_DEV</f>
        <v>0</v>
      </c>
      <c r="AM176" s="60" t="n">
        <f aca="false">N176*(1+RECARGO_ADS)</f>
        <v>0</v>
      </c>
      <c r="AN176" s="58" t="n">
        <f aca="false">IF(ISNUMBER(L176),E176+F176+G176+AA176+AB176+AC176,0)</f>
        <v>0</v>
      </c>
      <c r="AO176" s="60" t="n">
        <f aca="false">P176*COMISION</f>
        <v>0</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B177*P1_PVP+C177*P2_PVP+D177*IF($A177&lt;P3_DESDE,P3A_PVP,P3_PVP)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E177*(P1_PVP-P1_CPROD)+F177*(P2_PVP-P2_CPROD)+G177*(IF($A177&lt;P3_DESDE,P3A_PVP,P3_PVP)-IF($A177&lt;P3_DESDE,P3A_CPROD,P3_CPROD))-IF(ISNUMBER(L177),L177,E177*P1_LOG+F177*P2_LOG+G177*P3_LOG)</f>
        <v>0</v>
      </c>
      <c r="X177" s="33" t="n">
        <f aca="false">W177-(E177*P1_IVAN+F177*P2_IVAN+G177*IF($A177&lt;P3_DESDE,P3A_IVAN,P3_IVAN))-(H177+I177+J177)*(COSTE_DEV-IVA_DEV)-AM177-AO177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E177+AA177*TASA_USADA</f>
        <v>0</v>
      </c>
      <c r="AE177" s="59" t="n">
        <f aca="false">F177+AB177*TASA_USADA</f>
        <v>0</v>
      </c>
      <c r="AF177" s="59" t="n">
        <f aca="false">G177+AC177*TASA_USADA</f>
        <v>0</v>
      </c>
      <c r="AG177" s="59" t="n">
        <f aca="false">H177+I177+J177+(AA177+AB177+AC177)*(1-TASA_USADA)</f>
        <v>0</v>
      </c>
      <c r="AH177" s="60" t="n">
        <f aca="false">AD177*P1_PVP+AE177*P2_PVP+AF177*IF($A177&lt;P3_DESDE,P3A_PVP,P3_PVP)</f>
        <v>0</v>
      </c>
      <c r="AI177" s="60" t="n">
        <f aca="false">AD177*P1_CPROD+AE177*P2_CPROD+AF177*IF($A177&lt;P3_DESDE,P3A_CPROD,P3_CPROD)</f>
        <v>0</v>
      </c>
      <c r="AJ177" s="60" t="n">
        <f aca="false">IF(ISNUMBER(L177),L177,E177*P1_LOG+F177*P2_LOG+G177*P3_LOG)+IF(ISNUMBER(M177),M177,AA177*P1_LOG+AB177*P2_LOG+AC177*P3_LOG)*TASA_USADA</f>
        <v>0</v>
      </c>
      <c r="AK177" s="60" t="n">
        <f aca="false">AG177*COSTE_DEV</f>
        <v>0</v>
      </c>
      <c r="AL177" s="60" t="n">
        <f aca="false">AD177*P1_IVAN+AE177*P2_IVAN+AF177*IF($A177&lt;P3_DESDE,P3A_IVAN,P3_IVAN)-AG177*IVA_DEV</f>
        <v>0</v>
      </c>
      <c r="AM177" s="60" t="n">
        <f aca="false">N177*(1+RECARGO_ADS)</f>
        <v>0</v>
      </c>
      <c r="AN177" s="58" t="n">
        <f aca="false">IF(ISNUMBER(L177),E177+F177+G177+AA177+AB177+AC177,0)</f>
        <v>0</v>
      </c>
      <c r="AO177" s="60" t="n">
        <f aca="false">P177*COMISION</f>
        <v>0</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B178*P1_PVP+C178*P2_PVP+D178*IF($A178&lt;P3_DESDE,P3A_PVP,P3_PVP)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E178*(P1_PVP-P1_CPROD)+F178*(P2_PVP-P2_CPROD)+G178*(IF($A178&lt;P3_DESDE,P3A_PVP,P3_PVP)-IF($A178&lt;P3_DESDE,P3A_CPROD,P3_CPROD))-IF(ISNUMBER(L178),L178,E178*P1_LOG+F178*P2_LOG+G178*P3_LOG)</f>
        <v>0</v>
      </c>
      <c r="X178" s="33" t="n">
        <f aca="false">W178-(E178*P1_IVAN+F178*P2_IVAN+G178*IF($A178&lt;P3_DESDE,P3A_IVAN,P3_IVAN))-(H178+I178+J178)*(COSTE_DEV-IVA_DEV)-AM178-AO178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E178+AA178*TASA_USADA</f>
        <v>0</v>
      </c>
      <c r="AE178" s="59" t="n">
        <f aca="false">F178+AB178*TASA_USADA</f>
        <v>0</v>
      </c>
      <c r="AF178" s="59" t="n">
        <f aca="false">G178+AC178*TASA_USADA</f>
        <v>0</v>
      </c>
      <c r="AG178" s="59" t="n">
        <f aca="false">H178+I178+J178+(AA178+AB178+AC178)*(1-TASA_USADA)</f>
        <v>0</v>
      </c>
      <c r="AH178" s="60" t="n">
        <f aca="false">AD178*P1_PVP+AE178*P2_PVP+AF178*IF($A178&lt;P3_DESDE,P3A_PVP,P3_PVP)</f>
        <v>0</v>
      </c>
      <c r="AI178" s="60" t="n">
        <f aca="false">AD178*P1_CPROD+AE178*P2_CPROD+AF178*IF($A178&lt;P3_DESDE,P3A_CPROD,P3_CPROD)</f>
        <v>0</v>
      </c>
      <c r="AJ178" s="60" t="n">
        <f aca="false">IF(ISNUMBER(L178),L178,E178*P1_LOG+F178*P2_LOG+G178*P3_LOG)+IF(ISNUMBER(M178),M178,AA178*P1_LOG+AB178*P2_LOG+AC178*P3_LOG)*TASA_USADA</f>
        <v>0</v>
      </c>
      <c r="AK178" s="60" t="n">
        <f aca="false">AG178*COSTE_DEV</f>
        <v>0</v>
      </c>
      <c r="AL178" s="60" t="n">
        <f aca="false">AD178*P1_IVAN+AE178*P2_IVAN+AF178*IF($A178&lt;P3_DESDE,P3A_IVAN,P3_IVAN)-AG178*IVA_DEV</f>
        <v>0</v>
      </c>
      <c r="AM178" s="60" t="n">
        <f aca="false">N178*(1+RECARGO_ADS)</f>
        <v>0</v>
      </c>
      <c r="AN178" s="58" t="n">
        <f aca="false">IF(ISNUMBER(L178),E178+F178+G178+AA178+AB178+AC178,0)</f>
        <v>0</v>
      </c>
      <c r="AO178" s="60" t="n">
        <f aca="false">P178*COMISION</f>
        <v>0</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B179*P1_PVP+C179*P2_PVP+D179*IF($A179&lt;P3_DESDE,P3A_PVP,P3_PVP)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E179*(P1_PVP-P1_CPROD)+F179*(P2_PVP-P2_CPROD)+G179*(IF($A179&lt;P3_DESDE,P3A_PVP,P3_PVP)-IF($A179&lt;P3_DESDE,P3A_CPROD,P3_CPROD))-IF(ISNUMBER(L179),L179,E179*P1_LOG+F179*P2_LOG+G179*P3_LOG)</f>
        <v>0</v>
      </c>
      <c r="X179" s="33" t="n">
        <f aca="false">W179-(E179*P1_IVAN+F179*P2_IVAN+G179*IF($A179&lt;P3_DESDE,P3A_IVAN,P3_IVAN))-(H179+I179+J179)*(COSTE_DEV-IVA_DEV)-AM179-AO179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E179+AA179*TASA_USADA</f>
        <v>0</v>
      </c>
      <c r="AE179" s="59" t="n">
        <f aca="false">F179+AB179*TASA_USADA</f>
        <v>0</v>
      </c>
      <c r="AF179" s="59" t="n">
        <f aca="false">G179+AC179*TASA_USADA</f>
        <v>0</v>
      </c>
      <c r="AG179" s="59" t="n">
        <f aca="false">H179+I179+J179+(AA179+AB179+AC179)*(1-TASA_USADA)</f>
        <v>0</v>
      </c>
      <c r="AH179" s="60" t="n">
        <f aca="false">AD179*P1_PVP+AE179*P2_PVP+AF179*IF($A179&lt;P3_DESDE,P3A_PVP,P3_PVP)</f>
        <v>0</v>
      </c>
      <c r="AI179" s="60" t="n">
        <f aca="false">AD179*P1_CPROD+AE179*P2_CPROD+AF179*IF($A179&lt;P3_DESDE,P3A_CPROD,P3_CPROD)</f>
        <v>0</v>
      </c>
      <c r="AJ179" s="60" t="n">
        <f aca="false">IF(ISNUMBER(L179),L179,E179*P1_LOG+F179*P2_LOG+G179*P3_LOG)+IF(ISNUMBER(M179),M179,AA179*P1_LOG+AB179*P2_LOG+AC179*P3_LOG)*TASA_USADA</f>
        <v>0</v>
      </c>
      <c r="AK179" s="60" t="n">
        <f aca="false">AG179*COSTE_DEV</f>
        <v>0</v>
      </c>
      <c r="AL179" s="60" t="n">
        <f aca="false">AD179*P1_IVAN+AE179*P2_IVAN+AF179*IF($A179&lt;P3_DESDE,P3A_IVAN,P3_IVAN)-AG179*IVA_DEV</f>
        <v>0</v>
      </c>
      <c r="AM179" s="60" t="n">
        <f aca="false">N179*(1+RECARGO_ADS)</f>
        <v>0</v>
      </c>
      <c r="AN179" s="58" t="n">
        <f aca="false">IF(ISNUMBER(L179),E179+F179+G179+AA179+AB179+AC179,0)</f>
        <v>0</v>
      </c>
      <c r="AO179" s="60" t="n">
        <f aca="false">P179*COMISION</f>
        <v>0</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B180*P1_PVP+C180*P2_PVP+D180*IF($A180&lt;P3_DESDE,P3A_PVP,P3_PVP)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E180*(P1_PVP-P1_CPROD)+F180*(P2_PVP-P2_CPROD)+G180*(IF($A180&lt;P3_DESDE,P3A_PVP,P3_PVP)-IF($A180&lt;P3_DESDE,P3A_CPROD,P3_CPROD))-IF(ISNUMBER(L180),L180,E180*P1_LOG+F180*P2_LOG+G180*P3_LOG)</f>
        <v>0</v>
      </c>
      <c r="X180" s="33" t="n">
        <f aca="false">W180-(E180*P1_IVAN+F180*P2_IVAN+G180*IF($A180&lt;P3_DESDE,P3A_IVAN,P3_IVAN))-(H180+I180+J180)*(COSTE_DEV-IVA_DEV)-AM180-AO180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E180+AA180*TASA_USADA</f>
        <v>0</v>
      </c>
      <c r="AE180" s="59" t="n">
        <f aca="false">F180+AB180*TASA_USADA</f>
        <v>0</v>
      </c>
      <c r="AF180" s="59" t="n">
        <f aca="false">G180+AC180*TASA_USADA</f>
        <v>0</v>
      </c>
      <c r="AG180" s="59" t="n">
        <f aca="false">H180+I180+J180+(AA180+AB180+AC180)*(1-TASA_USADA)</f>
        <v>0</v>
      </c>
      <c r="AH180" s="60" t="n">
        <f aca="false">AD180*P1_PVP+AE180*P2_PVP+AF180*IF($A180&lt;P3_DESDE,P3A_PVP,P3_PVP)</f>
        <v>0</v>
      </c>
      <c r="AI180" s="60" t="n">
        <f aca="false">AD180*P1_CPROD+AE180*P2_CPROD+AF180*IF($A180&lt;P3_DESDE,P3A_CPROD,P3_CPROD)</f>
        <v>0</v>
      </c>
      <c r="AJ180" s="60" t="n">
        <f aca="false">IF(ISNUMBER(L180),L180,E180*P1_LOG+F180*P2_LOG+G180*P3_LOG)+IF(ISNUMBER(M180),M180,AA180*P1_LOG+AB180*P2_LOG+AC180*P3_LOG)*TASA_USADA</f>
        <v>0</v>
      </c>
      <c r="AK180" s="60" t="n">
        <f aca="false">AG180*COSTE_DEV</f>
        <v>0</v>
      </c>
      <c r="AL180" s="60" t="n">
        <f aca="false">AD180*P1_IVAN+AE180*P2_IVAN+AF180*IF($A180&lt;P3_DESDE,P3A_IVAN,P3_IVAN)-AG180*IVA_DEV</f>
        <v>0</v>
      </c>
      <c r="AM180" s="60" t="n">
        <f aca="false">N180*(1+RECARGO_ADS)</f>
        <v>0</v>
      </c>
      <c r="AN180" s="58" t="n">
        <f aca="false">IF(ISNUMBER(L180),E180+F180+G180+AA180+AB180+AC180,0)</f>
        <v>0</v>
      </c>
      <c r="AO180" s="60" t="n">
        <f aca="false">P180*COMISION</f>
        <v>0</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B181*P1_PVP+C181*P2_PVP+D181*IF($A181&lt;P3_DESDE,P3A_PVP,P3_PVP)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E181*(P1_PVP-P1_CPROD)+F181*(P2_PVP-P2_CPROD)+G181*(IF($A181&lt;P3_DESDE,P3A_PVP,P3_PVP)-IF($A181&lt;P3_DESDE,P3A_CPROD,P3_CPROD))-IF(ISNUMBER(L181),L181,E181*P1_LOG+F181*P2_LOG+G181*P3_LOG)</f>
        <v>0</v>
      </c>
      <c r="X181" s="33" t="n">
        <f aca="false">W181-(E181*P1_IVAN+F181*P2_IVAN+G181*IF($A181&lt;P3_DESDE,P3A_IVAN,P3_IVAN))-(H181+I181+J181)*(COSTE_DEV-IVA_DEV)-AM181-AO181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E181+AA181*TASA_USADA</f>
        <v>0</v>
      </c>
      <c r="AE181" s="59" t="n">
        <f aca="false">F181+AB181*TASA_USADA</f>
        <v>0</v>
      </c>
      <c r="AF181" s="59" t="n">
        <f aca="false">G181+AC181*TASA_USADA</f>
        <v>0</v>
      </c>
      <c r="AG181" s="59" t="n">
        <f aca="false">H181+I181+J181+(AA181+AB181+AC181)*(1-TASA_USADA)</f>
        <v>0</v>
      </c>
      <c r="AH181" s="60" t="n">
        <f aca="false">AD181*P1_PVP+AE181*P2_PVP+AF181*IF($A181&lt;P3_DESDE,P3A_PVP,P3_PVP)</f>
        <v>0</v>
      </c>
      <c r="AI181" s="60" t="n">
        <f aca="false">AD181*P1_CPROD+AE181*P2_CPROD+AF181*IF($A181&lt;P3_DESDE,P3A_CPROD,P3_CPROD)</f>
        <v>0</v>
      </c>
      <c r="AJ181" s="60" t="n">
        <f aca="false">IF(ISNUMBER(L181),L181,E181*P1_LOG+F181*P2_LOG+G181*P3_LOG)+IF(ISNUMBER(M181),M181,AA181*P1_LOG+AB181*P2_LOG+AC181*P3_LOG)*TASA_USADA</f>
        <v>0</v>
      </c>
      <c r="AK181" s="60" t="n">
        <f aca="false">AG181*COSTE_DEV</f>
        <v>0</v>
      </c>
      <c r="AL181" s="60" t="n">
        <f aca="false">AD181*P1_IVAN+AE181*P2_IVAN+AF181*IF($A181&lt;P3_DESDE,P3A_IVAN,P3_IVAN)-AG181*IVA_DEV</f>
        <v>0</v>
      </c>
      <c r="AM181" s="60" t="n">
        <f aca="false">N181*(1+RECARGO_ADS)</f>
        <v>0</v>
      </c>
      <c r="AN181" s="58" t="n">
        <f aca="false">IF(ISNUMBER(L181),E181+F181+G181+AA181+AB181+AC181,0)</f>
        <v>0</v>
      </c>
      <c r="AO181" s="60" t="n">
        <f aca="false">P181*COMISION</f>
        <v>0</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B182*P1_PVP+C182*P2_PVP+D182*IF($A182&lt;P3_DESDE,P3A_PVP,P3_PVP)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E182*(P1_PVP-P1_CPROD)+F182*(P2_PVP-P2_CPROD)+G182*(IF($A182&lt;P3_DESDE,P3A_PVP,P3_PVP)-IF($A182&lt;P3_DESDE,P3A_CPROD,P3_CPROD))-IF(ISNUMBER(L182),L182,E182*P1_LOG+F182*P2_LOG+G182*P3_LOG)</f>
        <v>0</v>
      </c>
      <c r="X182" s="33" t="n">
        <f aca="false">W182-(E182*P1_IVAN+F182*P2_IVAN+G182*IF($A182&lt;P3_DESDE,P3A_IVAN,P3_IVAN))-(H182+I182+J182)*(COSTE_DEV-IVA_DEV)-AM182-AO182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E182+AA182*TASA_USADA</f>
        <v>0</v>
      </c>
      <c r="AE182" s="59" t="n">
        <f aca="false">F182+AB182*TASA_USADA</f>
        <v>0</v>
      </c>
      <c r="AF182" s="59" t="n">
        <f aca="false">G182+AC182*TASA_USADA</f>
        <v>0</v>
      </c>
      <c r="AG182" s="59" t="n">
        <f aca="false">H182+I182+J182+(AA182+AB182+AC182)*(1-TASA_USADA)</f>
        <v>0</v>
      </c>
      <c r="AH182" s="60" t="n">
        <f aca="false">AD182*P1_PVP+AE182*P2_PVP+AF182*IF($A182&lt;P3_DESDE,P3A_PVP,P3_PVP)</f>
        <v>0</v>
      </c>
      <c r="AI182" s="60" t="n">
        <f aca="false">AD182*P1_CPROD+AE182*P2_CPROD+AF182*IF($A182&lt;P3_DESDE,P3A_CPROD,P3_CPROD)</f>
        <v>0</v>
      </c>
      <c r="AJ182" s="60" t="n">
        <f aca="false">IF(ISNUMBER(L182),L182,E182*P1_LOG+F182*P2_LOG+G182*P3_LOG)+IF(ISNUMBER(M182),M182,AA182*P1_LOG+AB182*P2_LOG+AC182*P3_LOG)*TASA_USADA</f>
        <v>0</v>
      </c>
      <c r="AK182" s="60" t="n">
        <f aca="false">AG182*COSTE_DEV</f>
        <v>0</v>
      </c>
      <c r="AL182" s="60" t="n">
        <f aca="false">AD182*P1_IVAN+AE182*P2_IVAN+AF182*IF($A182&lt;P3_DESDE,P3A_IVAN,P3_IVAN)-AG182*IVA_DEV</f>
        <v>0</v>
      </c>
      <c r="AM182" s="60" t="n">
        <f aca="false">N182*(1+RECARGO_ADS)</f>
        <v>0</v>
      </c>
      <c r="AN182" s="58" t="n">
        <f aca="false">IF(ISNUMBER(L182),E182+F182+G182+AA182+AB182+AC182,0)</f>
        <v>0</v>
      </c>
      <c r="AO182" s="60" t="n">
        <f aca="false">P182*COMISION</f>
        <v>0</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B183*P1_PVP+C183*P2_PVP+D183*IF($A183&lt;P3_DESDE,P3A_PVP,P3_PVP)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E183*(P1_PVP-P1_CPROD)+F183*(P2_PVP-P2_CPROD)+G183*(IF($A183&lt;P3_DESDE,P3A_PVP,P3_PVP)-IF($A183&lt;P3_DESDE,P3A_CPROD,P3_CPROD))-IF(ISNUMBER(L183),L183,E183*P1_LOG+F183*P2_LOG+G183*P3_LOG)</f>
        <v>0</v>
      </c>
      <c r="X183" s="33" t="n">
        <f aca="false">W183-(E183*P1_IVAN+F183*P2_IVAN+G183*IF($A183&lt;P3_DESDE,P3A_IVAN,P3_IVAN))-(H183+I183+J183)*(COSTE_DEV-IVA_DEV)-AM183-AO183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E183+AA183*TASA_USADA</f>
        <v>0</v>
      </c>
      <c r="AE183" s="59" t="n">
        <f aca="false">F183+AB183*TASA_USADA</f>
        <v>0</v>
      </c>
      <c r="AF183" s="59" t="n">
        <f aca="false">G183+AC183*TASA_USADA</f>
        <v>0</v>
      </c>
      <c r="AG183" s="59" t="n">
        <f aca="false">H183+I183+J183+(AA183+AB183+AC183)*(1-TASA_USADA)</f>
        <v>0</v>
      </c>
      <c r="AH183" s="60" t="n">
        <f aca="false">AD183*P1_PVP+AE183*P2_PVP+AF183*IF($A183&lt;P3_DESDE,P3A_PVP,P3_PVP)</f>
        <v>0</v>
      </c>
      <c r="AI183" s="60" t="n">
        <f aca="false">AD183*P1_CPROD+AE183*P2_CPROD+AF183*IF($A183&lt;P3_DESDE,P3A_CPROD,P3_CPROD)</f>
        <v>0</v>
      </c>
      <c r="AJ183" s="60" t="n">
        <f aca="false">IF(ISNUMBER(L183),L183,E183*P1_LOG+F183*P2_LOG+G183*P3_LOG)+IF(ISNUMBER(M183),M183,AA183*P1_LOG+AB183*P2_LOG+AC183*P3_LOG)*TASA_USADA</f>
        <v>0</v>
      </c>
      <c r="AK183" s="60" t="n">
        <f aca="false">AG183*COSTE_DEV</f>
        <v>0</v>
      </c>
      <c r="AL183" s="60" t="n">
        <f aca="false">AD183*P1_IVAN+AE183*P2_IVAN+AF183*IF($A183&lt;P3_DESDE,P3A_IVAN,P3_IVAN)-AG183*IVA_DEV</f>
        <v>0</v>
      </c>
      <c r="AM183" s="60" t="n">
        <f aca="false">N183*(1+RECARGO_ADS)</f>
        <v>0</v>
      </c>
      <c r="AN183" s="58" t="n">
        <f aca="false">IF(ISNUMBER(L183),E183+F183+G183+AA183+AB183+AC183,0)</f>
        <v>0</v>
      </c>
      <c r="AO183" s="60" t="n">
        <f aca="false">P183*COMISION</f>
        <v>0</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B184*P1_PVP+C184*P2_PVP+D184*IF($A184&lt;P3_DESDE,P3A_PVP,P3_PVP)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E184*(P1_PVP-P1_CPROD)+F184*(P2_PVP-P2_CPROD)+G184*(IF($A184&lt;P3_DESDE,P3A_PVP,P3_PVP)-IF($A184&lt;P3_DESDE,P3A_CPROD,P3_CPROD))-IF(ISNUMBER(L184),L184,E184*P1_LOG+F184*P2_LOG+G184*P3_LOG)</f>
        <v>0</v>
      </c>
      <c r="X184" s="33" t="n">
        <f aca="false">W184-(E184*P1_IVAN+F184*P2_IVAN+G184*IF($A184&lt;P3_DESDE,P3A_IVAN,P3_IVAN))-(H184+I184+J184)*(COSTE_DEV-IVA_DEV)-AM184-AO184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E184+AA184*TASA_USADA</f>
        <v>0</v>
      </c>
      <c r="AE184" s="59" t="n">
        <f aca="false">F184+AB184*TASA_USADA</f>
        <v>0</v>
      </c>
      <c r="AF184" s="59" t="n">
        <f aca="false">G184+AC184*TASA_USADA</f>
        <v>0</v>
      </c>
      <c r="AG184" s="59" t="n">
        <f aca="false">H184+I184+J184+(AA184+AB184+AC184)*(1-TASA_USADA)</f>
        <v>0</v>
      </c>
      <c r="AH184" s="60" t="n">
        <f aca="false">AD184*P1_PVP+AE184*P2_PVP+AF184*IF($A184&lt;P3_DESDE,P3A_PVP,P3_PVP)</f>
        <v>0</v>
      </c>
      <c r="AI184" s="60" t="n">
        <f aca="false">AD184*P1_CPROD+AE184*P2_CPROD+AF184*IF($A184&lt;P3_DESDE,P3A_CPROD,P3_CPROD)</f>
        <v>0</v>
      </c>
      <c r="AJ184" s="60" t="n">
        <f aca="false">IF(ISNUMBER(L184),L184,E184*P1_LOG+F184*P2_LOG+G184*P3_LOG)+IF(ISNUMBER(M184),M184,AA184*P1_LOG+AB184*P2_LOG+AC184*P3_LOG)*TASA_USADA</f>
        <v>0</v>
      </c>
      <c r="AK184" s="60" t="n">
        <f aca="false">AG184*COSTE_DEV</f>
        <v>0</v>
      </c>
      <c r="AL184" s="60" t="n">
        <f aca="false">AD184*P1_IVAN+AE184*P2_IVAN+AF184*IF($A184&lt;P3_DESDE,P3A_IVAN,P3_IVAN)-AG184*IVA_DEV</f>
        <v>0</v>
      </c>
      <c r="AM184" s="60" t="n">
        <f aca="false">N184*(1+RECARGO_ADS)</f>
        <v>0</v>
      </c>
      <c r="AN184" s="58" t="n">
        <f aca="false">IF(ISNUMBER(L184),E184+F184+G184+AA184+AB184+AC184,0)</f>
        <v>0</v>
      </c>
      <c r="AO184" s="60" t="n">
        <f aca="false">P184*COMISION</f>
        <v>0</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B185*P1_PVP+C185*P2_PVP+D185*IF($A185&lt;P3_DESDE,P3A_PVP,P3_PVP)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E185*(P1_PVP-P1_CPROD)+F185*(P2_PVP-P2_CPROD)+G185*(IF($A185&lt;P3_DESDE,P3A_PVP,P3_PVP)-IF($A185&lt;P3_DESDE,P3A_CPROD,P3_CPROD))-IF(ISNUMBER(L185),L185,E185*P1_LOG+F185*P2_LOG+G185*P3_LOG)</f>
        <v>0</v>
      </c>
      <c r="X185" s="33" t="n">
        <f aca="false">W185-(E185*P1_IVAN+F185*P2_IVAN+G185*IF($A185&lt;P3_DESDE,P3A_IVAN,P3_IVAN))-(H185+I185+J185)*(COSTE_DEV-IVA_DEV)-AM185-AO185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E185+AA185*TASA_USADA</f>
        <v>0</v>
      </c>
      <c r="AE185" s="59" t="n">
        <f aca="false">F185+AB185*TASA_USADA</f>
        <v>0</v>
      </c>
      <c r="AF185" s="59" t="n">
        <f aca="false">G185+AC185*TASA_USADA</f>
        <v>0</v>
      </c>
      <c r="AG185" s="59" t="n">
        <f aca="false">H185+I185+J185+(AA185+AB185+AC185)*(1-TASA_USADA)</f>
        <v>0</v>
      </c>
      <c r="AH185" s="60" t="n">
        <f aca="false">AD185*P1_PVP+AE185*P2_PVP+AF185*IF($A185&lt;P3_DESDE,P3A_PVP,P3_PVP)</f>
        <v>0</v>
      </c>
      <c r="AI185" s="60" t="n">
        <f aca="false">AD185*P1_CPROD+AE185*P2_CPROD+AF185*IF($A185&lt;P3_DESDE,P3A_CPROD,P3_CPROD)</f>
        <v>0</v>
      </c>
      <c r="AJ185" s="60" t="n">
        <f aca="false">IF(ISNUMBER(L185),L185,E185*P1_LOG+F185*P2_LOG+G185*P3_LOG)+IF(ISNUMBER(M185),M185,AA185*P1_LOG+AB185*P2_LOG+AC185*P3_LOG)*TASA_USADA</f>
        <v>0</v>
      </c>
      <c r="AK185" s="60" t="n">
        <f aca="false">AG185*COSTE_DEV</f>
        <v>0</v>
      </c>
      <c r="AL185" s="60" t="n">
        <f aca="false">AD185*P1_IVAN+AE185*P2_IVAN+AF185*IF($A185&lt;P3_DESDE,P3A_IVAN,P3_IVAN)-AG185*IVA_DEV</f>
        <v>0</v>
      </c>
      <c r="AM185" s="60" t="n">
        <f aca="false">N185*(1+RECARGO_ADS)</f>
        <v>0</v>
      </c>
      <c r="AN185" s="58" t="n">
        <f aca="false">IF(ISNUMBER(L185),E185+F185+G185+AA185+AB185+AC185,0)</f>
        <v>0</v>
      </c>
      <c r="AO185" s="60" t="n">
        <f aca="false">P185*COMISION</f>
        <v>0</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B186*P1_PVP+C186*P2_PVP+D186*IF($A186&lt;P3_DESDE,P3A_PVP,P3_PVP)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E186*(P1_PVP-P1_CPROD)+F186*(P2_PVP-P2_CPROD)+G186*(IF($A186&lt;P3_DESDE,P3A_PVP,P3_PVP)-IF($A186&lt;P3_DESDE,P3A_CPROD,P3_CPROD))-IF(ISNUMBER(L186),L186,E186*P1_LOG+F186*P2_LOG+G186*P3_LOG)</f>
        <v>0</v>
      </c>
      <c r="X186" s="33" t="n">
        <f aca="false">W186-(E186*P1_IVAN+F186*P2_IVAN+G186*IF($A186&lt;P3_DESDE,P3A_IVAN,P3_IVAN))-(H186+I186+J186)*(COSTE_DEV-IVA_DEV)-AM186-AO186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E186+AA186*TASA_USADA</f>
        <v>0</v>
      </c>
      <c r="AE186" s="59" t="n">
        <f aca="false">F186+AB186*TASA_USADA</f>
        <v>0</v>
      </c>
      <c r="AF186" s="59" t="n">
        <f aca="false">G186+AC186*TASA_USADA</f>
        <v>0</v>
      </c>
      <c r="AG186" s="59" t="n">
        <f aca="false">H186+I186+J186+(AA186+AB186+AC186)*(1-TASA_USADA)</f>
        <v>0</v>
      </c>
      <c r="AH186" s="60" t="n">
        <f aca="false">AD186*P1_PVP+AE186*P2_PVP+AF186*IF($A186&lt;P3_DESDE,P3A_PVP,P3_PVP)</f>
        <v>0</v>
      </c>
      <c r="AI186" s="60" t="n">
        <f aca="false">AD186*P1_CPROD+AE186*P2_CPROD+AF186*IF($A186&lt;P3_DESDE,P3A_CPROD,P3_CPROD)</f>
        <v>0</v>
      </c>
      <c r="AJ186" s="60" t="n">
        <f aca="false">IF(ISNUMBER(L186),L186,E186*P1_LOG+F186*P2_LOG+G186*P3_LOG)+IF(ISNUMBER(M186),M186,AA186*P1_LOG+AB186*P2_LOG+AC186*P3_LOG)*TASA_USADA</f>
        <v>0</v>
      </c>
      <c r="AK186" s="60" t="n">
        <f aca="false">AG186*COSTE_DEV</f>
        <v>0</v>
      </c>
      <c r="AL186" s="60" t="n">
        <f aca="false">AD186*P1_IVAN+AE186*P2_IVAN+AF186*IF($A186&lt;P3_DESDE,P3A_IVAN,P3_IVAN)-AG186*IVA_DEV</f>
        <v>0</v>
      </c>
      <c r="AM186" s="60" t="n">
        <f aca="false">N186*(1+RECARGO_ADS)</f>
        <v>0</v>
      </c>
      <c r="AN186" s="58" t="n">
        <f aca="false">IF(ISNUMBER(L186),E186+F186+G186+AA186+AB186+AC186,0)</f>
        <v>0</v>
      </c>
      <c r="AO186" s="60" t="n">
        <f aca="false">P186*COMISION</f>
        <v>0</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B187*P1_PVP+C187*P2_PVP+D187*IF($A187&lt;P3_DESDE,P3A_PVP,P3_PVP)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E187*(P1_PVP-P1_CPROD)+F187*(P2_PVP-P2_CPROD)+G187*(IF($A187&lt;P3_DESDE,P3A_PVP,P3_PVP)-IF($A187&lt;P3_DESDE,P3A_CPROD,P3_CPROD))-IF(ISNUMBER(L187),L187,E187*P1_LOG+F187*P2_LOG+G187*P3_LOG)</f>
        <v>0</v>
      </c>
      <c r="X187" s="33" t="n">
        <f aca="false">W187-(E187*P1_IVAN+F187*P2_IVAN+G187*IF($A187&lt;P3_DESDE,P3A_IVAN,P3_IVAN))-(H187+I187+J187)*(COSTE_DEV-IVA_DEV)-AM187-AO187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E187+AA187*TASA_USADA</f>
        <v>0</v>
      </c>
      <c r="AE187" s="59" t="n">
        <f aca="false">F187+AB187*TASA_USADA</f>
        <v>0</v>
      </c>
      <c r="AF187" s="59" t="n">
        <f aca="false">G187+AC187*TASA_USADA</f>
        <v>0</v>
      </c>
      <c r="AG187" s="59" t="n">
        <f aca="false">H187+I187+J187+(AA187+AB187+AC187)*(1-TASA_USADA)</f>
        <v>0</v>
      </c>
      <c r="AH187" s="60" t="n">
        <f aca="false">AD187*P1_PVP+AE187*P2_PVP+AF187*IF($A187&lt;P3_DESDE,P3A_PVP,P3_PVP)</f>
        <v>0</v>
      </c>
      <c r="AI187" s="60" t="n">
        <f aca="false">AD187*P1_CPROD+AE187*P2_CPROD+AF187*IF($A187&lt;P3_DESDE,P3A_CPROD,P3_CPROD)</f>
        <v>0</v>
      </c>
      <c r="AJ187" s="60" t="n">
        <f aca="false">IF(ISNUMBER(L187),L187,E187*P1_LOG+F187*P2_LOG+G187*P3_LOG)+IF(ISNUMBER(M187),M187,AA187*P1_LOG+AB187*P2_LOG+AC187*P3_LOG)*TASA_USADA</f>
        <v>0</v>
      </c>
      <c r="AK187" s="60" t="n">
        <f aca="false">AG187*COSTE_DEV</f>
        <v>0</v>
      </c>
      <c r="AL187" s="60" t="n">
        <f aca="false">AD187*P1_IVAN+AE187*P2_IVAN+AF187*IF($A187&lt;P3_DESDE,P3A_IVAN,P3_IVAN)-AG187*IVA_DEV</f>
        <v>0</v>
      </c>
      <c r="AM187" s="60" t="n">
        <f aca="false">N187*(1+RECARGO_ADS)</f>
        <v>0</v>
      </c>
      <c r="AN187" s="58" t="n">
        <f aca="false">IF(ISNUMBER(L187),E187+F187+G187+AA187+AB187+AC187,0)</f>
        <v>0</v>
      </c>
      <c r="AO187" s="60" t="n">
        <f aca="false">P187*COMISION</f>
        <v>0</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B188*P1_PVP+C188*P2_PVP+D188*IF($A188&lt;P3_DESDE,P3A_PVP,P3_PVP)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E188*(P1_PVP-P1_CPROD)+F188*(P2_PVP-P2_CPROD)+G188*(IF($A188&lt;P3_DESDE,P3A_PVP,P3_PVP)-IF($A188&lt;P3_DESDE,P3A_CPROD,P3_CPROD))-IF(ISNUMBER(L188),L188,E188*P1_LOG+F188*P2_LOG+G188*P3_LOG)</f>
        <v>0</v>
      </c>
      <c r="X188" s="33" t="n">
        <f aca="false">W188-(E188*P1_IVAN+F188*P2_IVAN+G188*IF($A188&lt;P3_DESDE,P3A_IVAN,P3_IVAN))-(H188+I188+J188)*(COSTE_DEV-IVA_DEV)-AM188-AO188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E188+AA188*TASA_USADA</f>
        <v>0</v>
      </c>
      <c r="AE188" s="59" t="n">
        <f aca="false">F188+AB188*TASA_USADA</f>
        <v>0</v>
      </c>
      <c r="AF188" s="59" t="n">
        <f aca="false">G188+AC188*TASA_USADA</f>
        <v>0</v>
      </c>
      <c r="AG188" s="59" t="n">
        <f aca="false">H188+I188+J188+(AA188+AB188+AC188)*(1-TASA_USADA)</f>
        <v>0</v>
      </c>
      <c r="AH188" s="60" t="n">
        <f aca="false">AD188*P1_PVP+AE188*P2_PVP+AF188*IF($A188&lt;P3_DESDE,P3A_PVP,P3_PVP)</f>
        <v>0</v>
      </c>
      <c r="AI188" s="60" t="n">
        <f aca="false">AD188*P1_CPROD+AE188*P2_CPROD+AF188*IF($A188&lt;P3_DESDE,P3A_CPROD,P3_CPROD)</f>
        <v>0</v>
      </c>
      <c r="AJ188" s="60" t="n">
        <f aca="false">IF(ISNUMBER(L188),L188,E188*P1_LOG+F188*P2_LOG+G188*P3_LOG)+IF(ISNUMBER(M188),M188,AA188*P1_LOG+AB188*P2_LOG+AC188*P3_LOG)*TASA_USADA</f>
        <v>0</v>
      </c>
      <c r="AK188" s="60" t="n">
        <f aca="false">AG188*COSTE_DEV</f>
        <v>0</v>
      </c>
      <c r="AL188" s="60" t="n">
        <f aca="false">AD188*P1_IVAN+AE188*P2_IVAN+AF188*IF($A188&lt;P3_DESDE,P3A_IVAN,P3_IVAN)-AG188*IVA_DEV</f>
        <v>0</v>
      </c>
      <c r="AM188" s="60" t="n">
        <f aca="false">N188*(1+RECARGO_ADS)</f>
        <v>0</v>
      </c>
      <c r="AN188" s="58" t="n">
        <f aca="false">IF(ISNUMBER(L188),E188+F188+G188+AA188+AB188+AC188,0)</f>
        <v>0</v>
      </c>
      <c r="AO188" s="60" t="n">
        <f aca="false">P188*COMISION</f>
        <v>0</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B189*P1_PVP+C189*P2_PVP+D189*IF($A189&lt;P3_DESDE,P3A_PVP,P3_PVP)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E189*(P1_PVP-P1_CPROD)+F189*(P2_PVP-P2_CPROD)+G189*(IF($A189&lt;P3_DESDE,P3A_PVP,P3_PVP)-IF($A189&lt;P3_DESDE,P3A_CPROD,P3_CPROD))-IF(ISNUMBER(L189),L189,E189*P1_LOG+F189*P2_LOG+G189*P3_LOG)</f>
        <v>0</v>
      </c>
      <c r="X189" s="33" t="n">
        <f aca="false">W189-(E189*P1_IVAN+F189*P2_IVAN+G189*IF($A189&lt;P3_DESDE,P3A_IVAN,P3_IVAN))-(H189+I189+J189)*(COSTE_DEV-IVA_DEV)-AM189-AO189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E189+AA189*TASA_USADA</f>
        <v>0</v>
      </c>
      <c r="AE189" s="59" t="n">
        <f aca="false">F189+AB189*TASA_USADA</f>
        <v>0</v>
      </c>
      <c r="AF189" s="59" t="n">
        <f aca="false">G189+AC189*TASA_USADA</f>
        <v>0</v>
      </c>
      <c r="AG189" s="59" t="n">
        <f aca="false">H189+I189+J189+(AA189+AB189+AC189)*(1-TASA_USADA)</f>
        <v>0</v>
      </c>
      <c r="AH189" s="60" t="n">
        <f aca="false">AD189*P1_PVP+AE189*P2_PVP+AF189*IF($A189&lt;P3_DESDE,P3A_PVP,P3_PVP)</f>
        <v>0</v>
      </c>
      <c r="AI189" s="60" t="n">
        <f aca="false">AD189*P1_CPROD+AE189*P2_CPROD+AF189*IF($A189&lt;P3_DESDE,P3A_CPROD,P3_CPROD)</f>
        <v>0</v>
      </c>
      <c r="AJ189" s="60" t="n">
        <f aca="false">IF(ISNUMBER(L189),L189,E189*P1_LOG+F189*P2_LOG+G189*P3_LOG)+IF(ISNUMBER(M189),M189,AA189*P1_LOG+AB189*P2_LOG+AC189*P3_LOG)*TASA_USADA</f>
        <v>0</v>
      </c>
      <c r="AK189" s="60" t="n">
        <f aca="false">AG189*COSTE_DEV</f>
        <v>0</v>
      </c>
      <c r="AL189" s="60" t="n">
        <f aca="false">AD189*P1_IVAN+AE189*P2_IVAN+AF189*IF($A189&lt;P3_DESDE,P3A_IVAN,P3_IVAN)-AG189*IVA_DEV</f>
        <v>0</v>
      </c>
      <c r="AM189" s="60" t="n">
        <f aca="false">N189*(1+RECARGO_ADS)</f>
        <v>0</v>
      </c>
      <c r="AN189" s="58" t="n">
        <f aca="false">IF(ISNUMBER(L189),E189+F189+G189+AA189+AB189+AC189,0)</f>
        <v>0</v>
      </c>
      <c r="AO189" s="60" t="n">
        <f aca="false">P189*COMISION</f>
        <v>0</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B190*P1_PVP+C190*P2_PVP+D190*IF($A190&lt;P3_DESDE,P3A_PVP,P3_PVP)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E190*(P1_PVP-P1_CPROD)+F190*(P2_PVP-P2_CPROD)+G190*(IF($A190&lt;P3_DESDE,P3A_PVP,P3_PVP)-IF($A190&lt;P3_DESDE,P3A_CPROD,P3_CPROD))-IF(ISNUMBER(L190),L190,E190*P1_LOG+F190*P2_LOG+G190*P3_LOG)</f>
        <v>0</v>
      </c>
      <c r="X190" s="33" t="n">
        <f aca="false">W190-(E190*P1_IVAN+F190*P2_IVAN+G190*IF($A190&lt;P3_DESDE,P3A_IVAN,P3_IVAN))-(H190+I190+J190)*(COSTE_DEV-IVA_DEV)-AM190-AO190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E190+AA190*TASA_USADA</f>
        <v>0</v>
      </c>
      <c r="AE190" s="59" t="n">
        <f aca="false">F190+AB190*TASA_USADA</f>
        <v>0</v>
      </c>
      <c r="AF190" s="59" t="n">
        <f aca="false">G190+AC190*TASA_USADA</f>
        <v>0</v>
      </c>
      <c r="AG190" s="59" t="n">
        <f aca="false">H190+I190+J190+(AA190+AB190+AC190)*(1-TASA_USADA)</f>
        <v>0</v>
      </c>
      <c r="AH190" s="60" t="n">
        <f aca="false">AD190*P1_PVP+AE190*P2_PVP+AF190*IF($A190&lt;P3_DESDE,P3A_PVP,P3_PVP)</f>
        <v>0</v>
      </c>
      <c r="AI190" s="60" t="n">
        <f aca="false">AD190*P1_CPROD+AE190*P2_CPROD+AF190*IF($A190&lt;P3_DESDE,P3A_CPROD,P3_CPROD)</f>
        <v>0</v>
      </c>
      <c r="AJ190" s="60" t="n">
        <f aca="false">IF(ISNUMBER(L190),L190,E190*P1_LOG+F190*P2_LOG+G190*P3_LOG)+IF(ISNUMBER(M190),M190,AA190*P1_LOG+AB190*P2_LOG+AC190*P3_LOG)*TASA_USADA</f>
        <v>0</v>
      </c>
      <c r="AK190" s="60" t="n">
        <f aca="false">AG190*COSTE_DEV</f>
        <v>0</v>
      </c>
      <c r="AL190" s="60" t="n">
        <f aca="false">AD190*P1_IVAN+AE190*P2_IVAN+AF190*IF($A190&lt;P3_DESDE,P3A_IVAN,P3_IVAN)-AG190*IVA_DEV</f>
        <v>0</v>
      </c>
      <c r="AM190" s="60" t="n">
        <f aca="false">N190*(1+RECARGO_ADS)</f>
        <v>0</v>
      </c>
      <c r="AN190" s="58" t="n">
        <f aca="false">IF(ISNUMBER(L190),E190+F190+G190+AA190+AB190+AC190,0)</f>
        <v>0</v>
      </c>
      <c r="AO190" s="60" t="n">
        <f aca="false">P190*COMISION</f>
        <v>0</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B191*P1_PVP+C191*P2_PVP+D191*IF($A191&lt;P3_DESDE,P3A_PVP,P3_PVP)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E191*(P1_PVP-P1_CPROD)+F191*(P2_PVP-P2_CPROD)+G191*(IF($A191&lt;P3_DESDE,P3A_PVP,P3_PVP)-IF($A191&lt;P3_DESDE,P3A_CPROD,P3_CPROD))-IF(ISNUMBER(L191),L191,E191*P1_LOG+F191*P2_LOG+G191*P3_LOG)</f>
        <v>0</v>
      </c>
      <c r="X191" s="33" t="n">
        <f aca="false">W191-(E191*P1_IVAN+F191*P2_IVAN+G191*IF($A191&lt;P3_DESDE,P3A_IVAN,P3_IVAN))-(H191+I191+J191)*(COSTE_DEV-IVA_DEV)-AM191-AO191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E191+AA191*TASA_USADA</f>
        <v>0</v>
      </c>
      <c r="AE191" s="59" t="n">
        <f aca="false">F191+AB191*TASA_USADA</f>
        <v>0</v>
      </c>
      <c r="AF191" s="59" t="n">
        <f aca="false">G191+AC191*TASA_USADA</f>
        <v>0</v>
      </c>
      <c r="AG191" s="59" t="n">
        <f aca="false">H191+I191+J191+(AA191+AB191+AC191)*(1-TASA_USADA)</f>
        <v>0</v>
      </c>
      <c r="AH191" s="60" t="n">
        <f aca="false">AD191*P1_PVP+AE191*P2_PVP+AF191*IF($A191&lt;P3_DESDE,P3A_PVP,P3_PVP)</f>
        <v>0</v>
      </c>
      <c r="AI191" s="60" t="n">
        <f aca="false">AD191*P1_CPROD+AE191*P2_CPROD+AF191*IF($A191&lt;P3_DESDE,P3A_CPROD,P3_CPROD)</f>
        <v>0</v>
      </c>
      <c r="AJ191" s="60" t="n">
        <f aca="false">IF(ISNUMBER(L191),L191,E191*P1_LOG+F191*P2_LOG+G191*P3_LOG)+IF(ISNUMBER(M191),M191,AA191*P1_LOG+AB191*P2_LOG+AC191*P3_LOG)*TASA_USADA</f>
        <v>0</v>
      </c>
      <c r="AK191" s="60" t="n">
        <f aca="false">AG191*COSTE_DEV</f>
        <v>0</v>
      </c>
      <c r="AL191" s="60" t="n">
        <f aca="false">AD191*P1_IVAN+AE191*P2_IVAN+AF191*IF($A191&lt;P3_DESDE,P3A_IVAN,P3_IVAN)-AG191*IVA_DEV</f>
        <v>0</v>
      </c>
      <c r="AM191" s="60" t="n">
        <f aca="false">N191*(1+RECARGO_ADS)</f>
        <v>0</v>
      </c>
      <c r="AN191" s="58" t="n">
        <f aca="false">IF(ISNUMBER(L191),E191+F191+G191+AA191+AB191+AC191,0)</f>
        <v>0</v>
      </c>
      <c r="AO191" s="60" t="n">
        <f aca="false">P191*COMISION</f>
        <v>0</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B192*P1_PVP+C192*P2_PVP+D192*IF($A192&lt;P3_DESDE,P3A_PVP,P3_PVP)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E192*(P1_PVP-P1_CPROD)+F192*(P2_PVP-P2_CPROD)+G192*(IF($A192&lt;P3_DESDE,P3A_PVP,P3_PVP)-IF($A192&lt;P3_DESDE,P3A_CPROD,P3_CPROD))-IF(ISNUMBER(L192),L192,E192*P1_LOG+F192*P2_LOG+G192*P3_LOG)</f>
        <v>0</v>
      </c>
      <c r="X192" s="33" t="n">
        <f aca="false">W192-(E192*P1_IVAN+F192*P2_IVAN+G192*IF($A192&lt;P3_DESDE,P3A_IVAN,P3_IVAN))-(H192+I192+J192)*(COSTE_DEV-IVA_DEV)-AM192-AO192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E192+AA192*TASA_USADA</f>
        <v>0</v>
      </c>
      <c r="AE192" s="59" t="n">
        <f aca="false">F192+AB192*TASA_USADA</f>
        <v>0</v>
      </c>
      <c r="AF192" s="59" t="n">
        <f aca="false">G192+AC192*TASA_USADA</f>
        <v>0</v>
      </c>
      <c r="AG192" s="59" t="n">
        <f aca="false">H192+I192+J192+(AA192+AB192+AC192)*(1-TASA_USADA)</f>
        <v>0</v>
      </c>
      <c r="AH192" s="60" t="n">
        <f aca="false">AD192*P1_PVP+AE192*P2_PVP+AF192*IF($A192&lt;P3_DESDE,P3A_PVP,P3_PVP)</f>
        <v>0</v>
      </c>
      <c r="AI192" s="60" t="n">
        <f aca="false">AD192*P1_CPROD+AE192*P2_CPROD+AF192*IF($A192&lt;P3_DESDE,P3A_CPROD,P3_CPROD)</f>
        <v>0</v>
      </c>
      <c r="AJ192" s="60" t="n">
        <f aca="false">IF(ISNUMBER(L192),L192,E192*P1_LOG+F192*P2_LOG+G192*P3_LOG)+IF(ISNUMBER(M192),M192,AA192*P1_LOG+AB192*P2_LOG+AC192*P3_LOG)*TASA_USADA</f>
        <v>0</v>
      </c>
      <c r="AK192" s="60" t="n">
        <f aca="false">AG192*COSTE_DEV</f>
        <v>0</v>
      </c>
      <c r="AL192" s="60" t="n">
        <f aca="false">AD192*P1_IVAN+AE192*P2_IVAN+AF192*IF($A192&lt;P3_DESDE,P3A_IVAN,P3_IVAN)-AG192*IVA_DEV</f>
        <v>0</v>
      </c>
      <c r="AM192" s="60" t="n">
        <f aca="false">N192*(1+RECARGO_ADS)</f>
        <v>0</v>
      </c>
      <c r="AN192" s="58" t="n">
        <f aca="false">IF(ISNUMBER(L192),E192+F192+G192+AA192+AB192+AC192,0)</f>
        <v>0</v>
      </c>
      <c r="AO192" s="60" t="n">
        <f aca="false">P192*COMISION</f>
        <v>0</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B193*P1_PVP+C193*P2_PVP+D193*IF($A193&lt;P3_DESDE,P3A_PVP,P3_PVP)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E193*(P1_PVP-P1_CPROD)+F193*(P2_PVP-P2_CPROD)+G193*(IF($A193&lt;P3_DESDE,P3A_PVP,P3_PVP)-IF($A193&lt;P3_DESDE,P3A_CPROD,P3_CPROD))-IF(ISNUMBER(L193),L193,E193*P1_LOG+F193*P2_LOG+G193*P3_LOG)</f>
        <v>0</v>
      </c>
      <c r="X193" s="33" t="n">
        <f aca="false">W193-(E193*P1_IVAN+F193*P2_IVAN+G193*IF($A193&lt;P3_DESDE,P3A_IVAN,P3_IVAN))-(H193+I193+J193)*(COSTE_DEV-IVA_DEV)-AM193-AO193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E193+AA193*TASA_USADA</f>
        <v>0</v>
      </c>
      <c r="AE193" s="59" t="n">
        <f aca="false">F193+AB193*TASA_USADA</f>
        <v>0</v>
      </c>
      <c r="AF193" s="59" t="n">
        <f aca="false">G193+AC193*TASA_USADA</f>
        <v>0</v>
      </c>
      <c r="AG193" s="59" t="n">
        <f aca="false">H193+I193+J193+(AA193+AB193+AC193)*(1-TASA_USADA)</f>
        <v>0</v>
      </c>
      <c r="AH193" s="60" t="n">
        <f aca="false">AD193*P1_PVP+AE193*P2_PVP+AF193*IF($A193&lt;P3_DESDE,P3A_PVP,P3_PVP)</f>
        <v>0</v>
      </c>
      <c r="AI193" s="60" t="n">
        <f aca="false">AD193*P1_CPROD+AE193*P2_CPROD+AF193*IF($A193&lt;P3_DESDE,P3A_CPROD,P3_CPROD)</f>
        <v>0</v>
      </c>
      <c r="AJ193" s="60" t="n">
        <f aca="false">IF(ISNUMBER(L193),L193,E193*P1_LOG+F193*P2_LOG+G193*P3_LOG)+IF(ISNUMBER(M193),M193,AA193*P1_LOG+AB193*P2_LOG+AC193*P3_LOG)*TASA_USADA</f>
        <v>0</v>
      </c>
      <c r="AK193" s="60" t="n">
        <f aca="false">AG193*COSTE_DEV</f>
        <v>0</v>
      </c>
      <c r="AL193" s="60" t="n">
        <f aca="false">AD193*P1_IVAN+AE193*P2_IVAN+AF193*IF($A193&lt;P3_DESDE,P3A_IVAN,P3_IVAN)-AG193*IVA_DEV</f>
        <v>0</v>
      </c>
      <c r="AM193" s="60" t="n">
        <f aca="false">N193*(1+RECARGO_ADS)</f>
        <v>0</v>
      </c>
      <c r="AN193" s="58" t="n">
        <f aca="false">IF(ISNUMBER(L193),E193+F193+G193+AA193+AB193+AC193,0)</f>
        <v>0</v>
      </c>
      <c r="AO193" s="60" t="n">
        <f aca="false">P193*COMISION</f>
        <v>0</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B194*P1_PVP+C194*P2_PVP+D194*IF($A194&lt;P3_DESDE,P3A_PVP,P3_PVP)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E194*(P1_PVP-P1_CPROD)+F194*(P2_PVP-P2_CPROD)+G194*(IF($A194&lt;P3_DESDE,P3A_PVP,P3_PVP)-IF($A194&lt;P3_DESDE,P3A_CPROD,P3_CPROD))-IF(ISNUMBER(L194),L194,E194*P1_LOG+F194*P2_LOG+G194*P3_LOG)</f>
        <v>0</v>
      </c>
      <c r="X194" s="33" t="n">
        <f aca="false">W194-(E194*P1_IVAN+F194*P2_IVAN+G194*IF($A194&lt;P3_DESDE,P3A_IVAN,P3_IVAN))-(H194+I194+J194)*(COSTE_DEV-IVA_DEV)-AM194-AO194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E194+AA194*TASA_USADA</f>
        <v>0</v>
      </c>
      <c r="AE194" s="59" t="n">
        <f aca="false">F194+AB194*TASA_USADA</f>
        <v>0</v>
      </c>
      <c r="AF194" s="59" t="n">
        <f aca="false">G194+AC194*TASA_USADA</f>
        <v>0</v>
      </c>
      <c r="AG194" s="59" t="n">
        <f aca="false">H194+I194+J194+(AA194+AB194+AC194)*(1-TASA_USADA)</f>
        <v>0</v>
      </c>
      <c r="AH194" s="60" t="n">
        <f aca="false">AD194*P1_PVP+AE194*P2_PVP+AF194*IF($A194&lt;P3_DESDE,P3A_PVP,P3_PVP)</f>
        <v>0</v>
      </c>
      <c r="AI194" s="60" t="n">
        <f aca="false">AD194*P1_CPROD+AE194*P2_CPROD+AF194*IF($A194&lt;P3_DESDE,P3A_CPROD,P3_CPROD)</f>
        <v>0</v>
      </c>
      <c r="AJ194" s="60" t="n">
        <f aca="false">IF(ISNUMBER(L194),L194,E194*P1_LOG+F194*P2_LOG+G194*P3_LOG)+IF(ISNUMBER(M194),M194,AA194*P1_LOG+AB194*P2_LOG+AC194*P3_LOG)*TASA_USADA</f>
        <v>0</v>
      </c>
      <c r="AK194" s="60" t="n">
        <f aca="false">AG194*COSTE_DEV</f>
        <v>0</v>
      </c>
      <c r="AL194" s="60" t="n">
        <f aca="false">AD194*P1_IVAN+AE194*P2_IVAN+AF194*IF($A194&lt;P3_DESDE,P3A_IVAN,P3_IVAN)-AG194*IVA_DEV</f>
        <v>0</v>
      </c>
      <c r="AM194" s="60" t="n">
        <f aca="false">N194*(1+RECARGO_ADS)</f>
        <v>0</v>
      </c>
      <c r="AN194" s="58" t="n">
        <f aca="false">IF(ISNUMBER(L194),E194+F194+G194+AA194+AB194+AC194,0)</f>
        <v>0</v>
      </c>
      <c r="AO194" s="60" t="n">
        <f aca="false">P194*COMISION</f>
        <v>0</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B195*P1_PVP+C195*P2_PVP+D195*IF($A195&lt;P3_DESDE,P3A_PVP,P3_PVP)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E195*(P1_PVP-P1_CPROD)+F195*(P2_PVP-P2_CPROD)+G195*(IF($A195&lt;P3_DESDE,P3A_PVP,P3_PVP)-IF($A195&lt;P3_DESDE,P3A_CPROD,P3_CPROD))-IF(ISNUMBER(L195),L195,E195*P1_LOG+F195*P2_LOG+G195*P3_LOG)</f>
        <v>0</v>
      </c>
      <c r="X195" s="33" t="n">
        <f aca="false">W195-(E195*P1_IVAN+F195*P2_IVAN+G195*IF($A195&lt;P3_DESDE,P3A_IVAN,P3_IVAN))-(H195+I195+J195)*(COSTE_DEV-IVA_DEV)-AM195-AO195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E195+AA195*TASA_USADA</f>
        <v>0</v>
      </c>
      <c r="AE195" s="59" t="n">
        <f aca="false">F195+AB195*TASA_USADA</f>
        <v>0</v>
      </c>
      <c r="AF195" s="59" t="n">
        <f aca="false">G195+AC195*TASA_USADA</f>
        <v>0</v>
      </c>
      <c r="AG195" s="59" t="n">
        <f aca="false">H195+I195+J195+(AA195+AB195+AC195)*(1-TASA_USADA)</f>
        <v>0</v>
      </c>
      <c r="AH195" s="60" t="n">
        <f aca="false">AD195*P1_PVP+AE195*P2_PVP+AF195*IF($A195&lt;P3_DESDE,P3A_PVP,P3_PVP)</f>
        <v>0</v>
      </c>
      <c r="AI195" s="60" t="n">
        <f aca="false">AD195*P1_CPROD+AE195*P2_CPROD+AF195*IF($A195&lt;P3_DESDE,P3A_CPROD,P3_CPROD)</f>
        <v>0</v>
      </c>
      <c r="AJ195" s="60" t="n">
        <f aca="false">IF(ISNUMBER(L195),L195,E195*P1_LOG+F195*P2_LOG+G195*P3_LOG)+IF(ISNUMBER(M195),M195,AA195*P1_LOG+AB195*P2_LOG+AC195*P3_LOG)*TASA_USADA</f>
        <v>0</v>
      </c>
      <c r="AK195" s="60" t="n">
        <f aca="false">AG195*COSTE_DEV</f>
        <v>0</v>
      </c>
      <c r="AL195" s="60" t="n">
        <f aca="false">AD195*P1_IVAN+AE195*P2_IVAN+AF195*IF($A195&lt;P3_DESDE,P3A_IVAN,P3_IVAN)-AG195*IVA_DEV</f>
        <v>0</v>
      </c>
      <c r="AM195" s="60" t="n">
        <f aca="false">N195*(1+RECARGO_ADS)</f>
        <v>0</v>
      </c>
      <c r="AN195" s="58" t="n">
        <f aca="false">IF(ISNUMBER(L195),E195+F195+G195+AA195+AB195+AC195,0)</f>
        <v>0</v>
      </c>
      <c r="AO195" s="60" t="n">
        <f aca="false">P195*COMISION</f>
        <v>0</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B196*P1_PVP+C196*P2_PVP+D196*IF($A196&lt;P3_DESDE,P3A_PVP,P3_PVP)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E196*(P1_PVP-P1_CPROD)+F196*(P2_PVP-P2_CPROD)+G196*(IF($A196&lt;P3_DESDE,P3A_PVP,P3_PVP)-IF($A196&lt;P3_DESDE,P3A_CPROD,P3_CPROD))-IF(ISNUMBER(L196),L196,E196*P1_LOG+F196*P2_LOG+G196*P3_LOG)</f>
        <v>0</v>
      </c>
      <c r="X196" s="33" t="n">
        <f aca="false">W196-(E196*P1_IVAN+F196*P2_IVAN+G196*IF($A196&lt;P3_DESDE,P3A_IVAN,P3_IVAN))-(H196+I196+J196)*(COSTE_DEV-IVA_DEV)-AM196-AO196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E196+AA196*TASA_USADA</f>
        <v>0</v>
      </c>
      <c r="AE196" s="59" t="n">
        <f aca="false">F196+AB196*TASA_USADA</f>
        <v>0</v>
      </c>
      <c r="AF196" s="59" t="n">
        <f aca="false">G196+AC196*TASA_USADA</f>
        <v>0</v>
      </c>
      <c r="AG196" s="59" t="n">
        <f aca="false">H196+I196+J196+(AA196+AB196+AC196)*(1-TASA_USADA)</f>
        <v>0</v>
      </c>
      <c r="AH196" s="60" t="n">
        <f aca="false">AD196*P1_PVP+AE196*P2_PVP+AF196*IF($A196&lt;P3_DESDE,P3A_PVP,P3_PVP)</f>
        <v>0</v>
      </c>
      <c r="AI196" s="60" t="n">
        <f aca="false">AD196*P1_CPROD+AE196*P2_CPROD+AF196*IF($A196&lt;P3_DESDE,P3A_CPROD,P3_CPROD)</f>
        <v>0</v>
      </c>
      <c r="AJ196" s="60" t="n">
        <f aca="false">IF(ISNUMBER(L196),L196,E196*P1_LOG+F196*P2_LOG+G196*P3_LOG)+IF(ISNUMBER(M196),M196,AA196*P1_LOG+AB196*P2_LOG+AC196*P3_LOG)*TASA_USADA</f>
        <v>0</v>
      </c>
      <c r="AK196" s="60" t="n">
        <f aca="false">AG196*COSTE_DEV</f>
        <v>0</v>
      </c>
      <c r="AL196" s="60" t="n">
        <f aca="false">AD196*P1_IVAN+AE196*P2_IVAN+AF196*IF($A196&lt;P3_DESDE,P3A_IVAN,P3_IVAN)-AG196*IVA_DEV</f>
        <v>0</v>
      </c>
      <c r="AM196" s="60" t="n">
        <f aca="false">N196*(1+RECARGO_ADS)</f>
        <v>0</v>
      </c>
      <c r="AN196" s="58" t="n">
        <f aca="false">IF(ISNUMBER(L196),E196+F196+G196+AA196+AB196+AC196,0)</f>
        <v>0</v>
      </c>
      <c r="AO196" s="60" t="n">
        <f aca="false">P196*COMISION</f>
        <v>0</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B197*P1_PVP+C197*P2_PVP+D197*IF($A197&lt;P3_DESDE,P3A_PVP,P3_PVP)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E197*(P1_PVP-P1_CPROD)+F197*(P2_PVP-P2_CPROD)+G197*(IF($A197&lt;P3_DESDE,P3A_PVP,P3_PVP)-IF($A197&lt;P3_DESDE,P3A_CPROD,P3_CPROD))-IF(ISNUMBER(L197),L197,E197*P1_LOG+F197*P2_LOG+G197*P3_LOG)</f>
        <v>0</v>
      </c>
      <c r="X197" s="33" t="n">
        <f aca="false">W197-(E197*P1_IVAN+F197*P2_IVAN+G197*IF($A197&lt;P3_DESDE,P3A_IVAN,P3_IVAN))-(H197+I197+J197)*(COSTE_DEV-IVA_DEV)-AM197-AO197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E197+AA197*TASA_USADA</f>
        <v>0</v>
      </c>
      <c r="AE197" s="59" t="n">
        <f aca="false">F197+AB197*TASA_USADA</f>
        <v>0</v>
      </c>
      <c r="AF197" s="59" t="n">
        <f aca="false">G197+AC197*TASA_USADA</f>
        <v>0</v>
      </c>
      <c r="AG197" s="59" t="n">
        <f aca="false">H197+I197+J197+(AA197+AB197+AC197)*(1-TASA_USADA)</f>
        <v>0</v>
      </c>
      <c r="AH197" s="60" t="n">
        <f aca="false">AD197*P1_PVP+AE197*P2_PVP+AF197*IF($A197&lt;P3_DESDE,P3A_PVP,P3_PVP)</f>
        <v>0</v>
      </c>
      <c r="AI197" s="60" t="n">
        <f aca="false">AD197*P1_CPROD+AE197*P2_CPROD+AF197*IF($A197&lt;P3_DESDE,P3A_CPROD,P3_CPROD)</f>
        <v>0</v>
      </c>
      <c r="AJ197" s="60" t="n">
        <f aca="false">IF(ISNUMBER(L197),L197,E197*P1_LOG+F197*P2_LOG+G197*P3_LOG)+IF(ISNUMBER(M197),M197,AA197*P1_LOG+AB197*P2_LOG+AC197*P3_LOG)*TASA_USADA</f>
        <v>0</v>
      </c>
      <c r="AK197" s="60" t="n">
        <f aca="false">AG197*COSTE_DEV</f>
        <v>0</v>
      </c>
      <c r="AL197" s="60" t="n">
        <f aca="false">AD197*P1_IVAN+AE197*P2_IVAN+AF197*IF($A197&lt;P3_DESDE,P3A_IVAN,P3_IVAN)-AG197*IVA_DEV</f>
        <v>0</v>
      </c>
      <c r="AM197" s="60" t="n">
        <f aca="false">N197*(1+RECARGO_ADS)</f>
        <v>0</v>
      </c>
      <c r="AN197" s="58" t="n">
        <f aca="false">IF(ISNUMBER(L197),E197+F197+G197+AA197+AB197+AC197,0)</f>
        <v>0</v>
      </c>
      <c r="AO197" s="60" t="n">
        <f aca="false">P197*COMISION</f>
        <v>0</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B198*P1_PVP+C198*P2_PVP+D198*IF($A198&lt;P3_DESDE,P3A_PVP,P3_PVP)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E198*(P1_PVP-P1_CPROD)+F198*(P2_PVP-P2_CPROD)+G198*(IF($A198&lt;P3_DESDE,P3A_PVP,P3_PVP)-IF($A198&lt;P3_DESDE,P3A_CPROD,P3_CPROD))-IF(ISNUMBER(L198),L198,E198*P1_LOG+F198*P2_LOG+G198*P3_LOG)</f>
        <v>0</v>
      </c>
      <c r="X198" s="33" t="n">
        <f aca="false">W198-(E198*P1_IVAN+F198*P2_IVAN+G198*IF($A198&lt;P3_DESDE,P3A_IVAN,P3_IVAN))-(H198+I198+J198)*(COSTE_DEV-IVA_DEV)-AM198-AO198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E198+AA198*TASA_USADA</f>
        <v>0</v>
      </c>
      <c r="AE198" s="59" t="n">
        <f aca="false">F198+AB198*TASA_USADA</f>
        <v>0</v>
      </c>
      <c r="AF198" s="59" t="n">
        <f aca="false">G198+AC198*TASA_USADA</f>
        <v>0</v>
      </c>
      <c r="AG198" s="59" t="n">
        <f aca="false">H198+I198+J198+(AA198+AB198+AC198)*(1-TASA_USADA)</f>
        <v>0</v>
      </c>
      <c r="AH198" s="60" t="n">
        <f aca="false">AD198*P1_PVP+AE198*P2_PVP+AF198*IF($A198&lt;P3_DESDE,P3A_PVP,P3_PVP)</f>
        <v>0</v>
      </c>
      <c r="AI198" s="60" t="n">
        <f aca="false">AD198*P1_CPROD+AE198*P2_CPROD+AF198*IF($A198&lt;P3_DESDE,P3A_CPROD,P3_CPROD)</f>
        <v>0</v>
      </c>
      <c r="AJ198" s="60" t="n">
        <f aca="false">IF(ISNUMBER(L198),L198,E198*P1_LOG+F198*P2_LOG+G198*P3_LOG)+IF(ISNUMBER(M198),M198,AA198*P1_LOG+AB198*P2_LOG+AC198*P3_LOG)*TASA_USADA</f>
        <v>0</v>
      </c>
      <c r="AK198" s="60" t="n">
        <f aca="false">AG198*COSTE_DEV</f>
        <v>0</v>
      </c>
      <c r="AL198" s="60" t="n">
        <f aca="false">AD198*P1_IVAN+AE198*P2_IVAN+AF198*IF($A198&lt;P3_DESDE,P3A_IVAN,P3_IVAN)-AG198*IVA_DEV</f>
        <v>0</v>
      </c>
      <c r="AM198" s="60" t="n">
        <f aca="false">N198*(1+RECARGO_ADS)</f>
        <v>0</v>
      </c>
      <c r="AN198" s="58" t="n">
        <f aca="false">IF(ISNUMBER(L198),E198+F198+G198+AA198+AB198+AC198,0)</f>
        <v>0</v>
      </c>
      <c r="AO198" s="60" t="n">
        <f aca="false">P198*COMISION</f>
        <v>0</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B199*P1_PVP+C199*P2_PVP+D199*IF($A199&lt;P3_DESDE,P3A_PVP,P3_PVP)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E199*(P1_PVP-P1_CPROD)+F199*(P2_PVP-P2_CPROD)+G199*(IF($A199&lt;P3_DESDE,P3A_PVP,P3_PVP)-IF($A199&lt;P3_DESDE,P3A_CPROD,P3_CPROD))-IF(ISNUMBER(L199),L199,E199*P1_LOG+F199*P2_LOG+G199*P3_LOG)</f>
        <v>0</v>
      </c>
      <c r="X199" s="33" t="n">
        <f aca="false">W199-(E199*P1_IVAN+F199*P2_IVAN+G199*IF($A199&lt;P3_DESDE,P3A_IVAN,P3_IVAN))-(H199+I199+J199)*(COSTE_DEV-IVA_DEV)-AM199-AO199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E199+AA199*TASA_USADA</f>
        <v>0</v>
      </c>
      <c r="AE199" s="59" t="n">
        <f aca="false">F199+AB199*TASA_USADA</f>
        <v>0</v>
      </c>
      <c r="AF199" s="59" t="n">
        <f aca="false">G199+AC199*TASA_USADA</f>
        <v>0</v>
      </c>
      <c r="AG199" s="59" t="n">
        <f aca="false">H199+I199+J199+(AA199+AB199+AC199)*(1-TASA_USADA)</f>
        <v>0</v>
      </c>
      <c r="AH199" s="60" t="n">
        <f aca="false">AD199*P1_PVP+AE199*P2_PVP+AF199*IF($A199&lt;P3_DESDE,P3A_PVP,P3_PVP)</f>
        <v>0</v>
      </c>
      <c r="AI199" s="60" t="n">
        <f aca="false">AD199*P1_CPROD+AE199*P2_CPROD+AF199*IF($A199&lt;P3_DESDE,P3A_CPROD,P3_CPROD)</f>
        <v>0</v>
      </c>
      <c r="AJ199" s="60" t="n">
        <f aca="false">IF(ISNUMBER(L199),L199,E199*P1_LOG+F199*P2_LOG+G199*P3_LOG)+IF(ISNUMBER(M199),M199,AA199*P1_LOG+AB199*P2_LOG+AC199*P3_LOG)*TASA_USADA</f>
        <v>0</v>
      </c>
      <c r="AK199" s="60" t="n">
        <f aca="false">AG199*COSTE_DEV</f>
        <v>0</v>
      </c>
      <c r="AL199" s="60" t="n">
        <f aca="false">AD199*P1_IVAN+AE199*P2_IVAN+AF199*IF($A199&lt;P3_DESDE,P3A_IVAN,P3_IVAN)-AG199*IVA_DEV</f>
        <v>0</v>
      </c>
      <c r="AM199" s="60" t="n">
        <f aca="false">N199*(1+RECARGO_ADS)</f>
        <v>0</v>
      </c>
      <c r="AN199" s="58" t="n">
        <f aca="false">IF(ISNUMBER(L199),E199+F199+G199+AA199+AB199+AC199,0)</f>
        <v>0</v>
      </c>
      <c r="AO199" s="60" t="n">
        <f aca="false">P199*COMISION</f>
        <v>0</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B200*P1_PVP+C200*P2_PVP+D200*IF($A200&lt;P3_DESDE,P3A_PVP,P3_PVP)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E200*(P1_PVP-P1_CPROD)+F200*(P2_PVP-P2_CPROD)+G200*(IF($A200&lt;P3_DESDE,P3A_PVP,P3_PVP)-IF($A200&lt;P3_DESDE,P3A_CPROD,P3_CPROD))-IF(ISNUMBER(L200),L200,E200*P1_LOG+F200*P2_LOG+G200*P3_LOG)</f>
        <v>0</v>
      </c>
      <c r="X200" s="33" t="n">
        <f aca="false">W200-(E200*P1_IVAN+F200*P2_IVAN+G200*IF($A200&lt;P3_DESDE,P3A_IVAN,P3_IVAN))-(H200+I200+J200)*(COSTE_DEV-IVA_DEV)-AM200-AO200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E200+AA200*TASA_USADA</f>
        <v>0</v>
      </c>
      <c r="AE200" s="59" t="n">
        <f aca="false">F200+AB200*TASA_USADA</f>
        <v>0</v>
      </c>
      <c r="AF200" s="59" t="n">
        <f aca="false">G200+AC200*TASA_USADA</f>
        <v>0</v>
      </c>
      <c r="AG200" s="59" t="n">
        <f aca="false">H200+I200+J200+(AA200+AB200+AC200)*(1-TASA_USADA)</f>
        <v>0</v>
      </c>
      <c r="AH200" s="60" t="n">
        <f aca="false">AD200*P1_PVP+AE200*P2_PVP+AF200*IF($A200&lt;P3_DESDE,P3A_PVP,P3_PVP)</f>
        <v>0</v>
      </c>
      <c r="AI200" s="60" t="n">
        <f aca="false">AD200*P1_CPROD+AE200*P2_CPROD+AF200*IF($A200&lt;P3_DESDE,P3A_CPROD,P3_CPROD)</f>
        <v>0</v>
      </c>
      <c r="AJ200" s="60" t="n">
        <f aca="false">IF(ISNUMBER(L200),L200,E200*P1_LOG+F200*P2_LOG+G200*P3_LOG)+IF(ISNUMBER(M200),M200,AA200*P1_LOG+AB200*P2_LOG+AC200*P3_LOG)*TASA_USADA</f>
        <v>0</v>
      </c>
      <c r="AK200" s="60" t="n">
        <f aca="false">AG200*COSTE_DEV</f>
        <v>0</v>
      </c>
      <c r="AL200" s="60" t="n">
        <f aca="false">AD200*P1_IVAN+AE200*P2_IVAN+AF200*IF($A200&lt;P3_DESDE,P3A_IVAN,P3_IVAN)-AG200*IVA_DEV</f>
        <v>0</v>
      </c>
      <c r="AM200" s="60" t="n">
        <f aca="false">N200*(1+RECARGO_ADS)</f>
        <v>0</v>
      </c>
      <c r="AN200" s="58" t="n">
        <f aca="false">IF(ISNUMBER(L200),E200+F200+G200+AA200+AB200+AC200,0)</f>
        <v>0</v>
      </c>
      <c r="AO200" s="60" t="n">
        <f aca="false">P200*COMISION</f>
        <v>0</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B201*P1_PVP+C201*P2_PVP+D201*IF($A201&lt;P3_DESDE,P3A_PVP,P3_PVP)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E201*(P1_PVP-P1_CPROD)+F201*(P2_PVP-P2_CPROD)+G201*(IF($A201&lt;P3_DESDE,P3A_PVP,P3_PVP)-IF($A201&lt;P3_DESDE,P3A_CPROD,P3_CPROD))-IF(ISNUMBER(L201),L201,E201*P1_LOG+F201*P2_LOG+G201*P3_LOG)</f>
        <v>0</v>
      </c>
      <c r="X201" s="33" t="n">
        <f aca="false">W201-(E201*P1_IVAN+F201*P2_IVAN+G201*IF($A201&lt;P3_DESDE,P3A_IVAN,P3_IVAN))-(H201+I201+J201)*(COSTE_DEV-IVA_DEV)-AM201-AO201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E201+AA201*TASA_USADA</f>
        <v>0</v>
      </c>
      <c r="AE201" s="59" t="n">
        <f aca="false">F201+AB201*TASA_USADA</f>
        <v>0</v>
      </c>
      <c r="AF201" s="59" t="n">
        <f aca="false">G201+AC201*TASA_USADA</f>
        <v>0</v>
      </c>
      <c r="AG201" s="59" t="n">
        <f aca="false">H201+I201+J201+(AA201+AB201+AC201)*(1-TASA_USADA)</f>
        <v>0</v>
      </c>
      <c r="AH201" s="60" t="n">
        <f aca="false">AD201*P1_PVP+AE201*P2_PVP+AF201*IF($A201&lt;P3_DESDE,P3A_PVP,P3_PVP)</f>
        <v>0</v>
      </c>
      <c r="AI201" s="60" t="n">
        <f aca="false">AD201*P1_CPROD+AE201*P2_CPROD+AF201*IF($A201&lt;P3_DESDE,P3A_CPROD,P3_CPROD)</f>
        <v>0</v>
      </c>
      <c r="AJ201" s="60" t="n">
        <f aca="false">IF(ISNUMBER(L201),L201,E201*P1_LOG+F201*P2_LOG+G201*P3_LOG)+IF(ISNUMBER(M201),M201,AA201*P1_LOG+AB201*P2_LOG+AC201*P3_LOG)*TASA_USADA</f>
        <v>0</v>
      </c>
      <c r="AK201" s="60" t="n">
        <f aca="false">AG201*COSTE_DEV</f>
        <v>0</v>
      </c>
      <c r="AL201" s="60" t="n">
        <f aca="false">AD201*P1_IVAN+AE201*P2_IVAN+AF201*IF($A201&lt;P3_DESDE,P3A_IVAN,P3_IVAN)-AG201*IVA_DEV</f>
        <v>0</v>
      </c>
      <c r="AM201" s="60" t="n">
        <f aca="false">N201*(1+RECARGO_ADS)</f>
        <v>0</v>
      </c>
      <c r="AN201" s="58" t="n">
        <f aca="false">IF(ISNUMBER(L201),E201+F201+G201+AA201+AB201+AC201,0)</f>
        <v>0</v>
      </c>
      <c r="AO201" s="60" t="n">
        <f aca="false">P201*COMISION</f>
        <v>0</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B202*P1_PVP+C202*P2_PVP+D202*IF($A202&lt;P3_DESDE,P3A_PVP,P3_PVP)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E202*(P1_PVP-P1_CPROD)+F202*(P2_PVP-P2_CPROD)+G202*(IF($A202&lt;P3_DESDE,P3A_PVP,P3_PVP)-IF($A202&lt;P3_DESDE,P3A_CPROD,P3_CPROD))-IF(ISNUMBER(L202),L202,E202*P1_LOG+F202*P2_LOG+G202*P3_LOG)</f>
        <v>0</v>
      </c>
      <c r="X202" s="33" t="n">
        <f aca="false">W202-(E202*P1_IVAN+F202*P2_IVAN+G202*IF($A202&lt;P3_DESDE,P3A_IVAN,P3_IVAN))-(H202+I202+J202)*(COSTE_DEV-IVA_DEV)-AM202-AO202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E202+AA202*TASA_USADA</f>
        <v>0</v>
      </c>
      <c r="AE202" s="59" t="n">
        <f aca="false">F202+AB202*TASA_USADA</f>
        <v>0</v>
      </c>
      <c r="AF202" s="59" t="n">
        <f aca="false">G202+AC202*TASA_USADA</f>
        <v>0</v>
      </c>
      <c r="AG202" s="59" t="n">
        <f aca="false">H202+I202+J202+(AA202+AB202+AC202)*(1-TASA_USADA)</f>
        <v>0</v>
      </c>
      <c r="AH202" s="60" t="n">
        <f aca="false">AD202*P1_PVP+AE202*P2_PVP+AF202*IF($A202&lt;P3_DESDE,P3A_PVP,P3_PVP)</f>
        <v>0</v>
      </c>
      <c r="AI202" s="60" t="n">
        <f aca="false">AD202*P1_CPROD+AE202*P2_CPROD+AF202*IF($A202&lt;P3_DESDE,P3A_CPROD,P3_CPROD)</f>
        <v>0</v>
      </c>
      <c r="AJ202" s="60" t="n">
        <f aca="false">IF(ISNUMBER(L202),L202,E202*P1_LOG+F202*P2_LOG+G202*P3_LOG)+IF(ISNUMBER(M202),M202,AA202*P1_LOG+AB202*P2_LOG+AC202*P3_LOG)*TASA_USADA</f>
        <v>0</v>
      </c>
      <c r="AK202" s="60" t="n">
        <f aca="false">AG202*COSTE_DEV</f>
        <v>0</v>
      </c>
      <c r="AL202" s="60" t="n">
        <f aca="false">AD202*P1_IVAN+AE202*P2_IVAN+AF202*IF($A202&lt;P3_DESDE,P3A_IVAN,P3_IVAN)-AG202*IVA_DEV</f>
        <v>0</v>
      </c>
      <c r="AM202" s="60" t="n">
        <f aca="false">N202*(1+RECARGO_ADS)</f>
        <v>0</v>
      </c>
      <c r="AN202" s="58" t="n">
        <f aca="false">IF(ISNUMBER(L202),E202+F202+G202+AA202+AB202+AC202,0)</f>
        <v>0</v>
      </c>
      <c r="AO202" s="60" t="n">
        <f aca="false">P202*COMISION</f>
        <v>0</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B203*P1_PVP+C203*P2_PVP+D203*IF($A203&lt;P3_DESDE,P3A_PVP,P3_PVP)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E203*(P1_PVP-P1_CPROD)+F203*(P2_PVP-P2_CPROD)+G203*(IF($A203&lt;P3_DESDE,P3A_PVP,P3_PVP)-IF($A203&lt;P3_DESDE,P3A_CPROD,P3_CPROD))-IF(ISNUMBER(L203),L203,E203*P1_LOG+F203*P2_LOG+G203*P3_LOG)</f>
        <v>0</v>
      </c>
      <c r="X203" s="33" t="n">
        <f aca="false">W203-(E203*P1_IVAN+F203*P2_IVAN+G203*IF($A203&lt;P3_DESDE,P3A_IVAN,P3_IVAN))-(H203+I203+J203)*(COSTE_DEV-IVA_DEV)-AM203-AO203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E203+AA203*TASA_USADA</f>
        <v>0</v>
      </c>
      <c r="AE203" s="59" t="n">
        <f aca="false">F203+AB203*TASA_USADA</f>
        <v>0</v>
      </c>
      <c r="AF203" s="59" t="n">
        <f aca="false">G203+AC203*TASA_USADA</f>
        <v>0</v>
      </c>
      <c r="AG203" s="59" t="n">
        <f aca="false">H203+I203+J203+(AA203+AB203+AC203)*(1-TASA_USADA)</f>
        <v>0</v>
      </c>
      <c r="AH203" s="60" t="n">
        <f aca="false">AD203*P1_PVP+AE203*P2_PVP+AF203*IF($A203&lt;P3_DESDE,P3A_PVP,P3_PVP)</f>
        <v>0</v>
      </c>
      <c r="AI203" s="60" t="n">
        <f aca="false">AD203*P1_CPROD+AE203*P2_CPROD+AF203*IF($A203&lt;P3_DESDE,P3A_CPROD,P3_CPROD)</f>
        <v>0</v>
      </c>
      <c r="AJ203" s="60" t="n">
        <f aca="false">IF(ISNUMBER(L203),L203,E203*P1_LOG+F203*P2_LOG+G203*P3_LOG)+IF(ISNUMBER(M203),M203,AA203*P1_LOG+AB203*P2_LOG+AC203*P3_LOG)*TASA_USADA</f>
        <v>0</v>
      </c>
      <c r="AK203" s="60" t="n">
        <f aca="false">AG203*COSTE_DEV</f>
        <v>0</v>
      </c>
      <c r="AL203" s="60" t="n">
        <f aca="false">AD203*P1_IVAN+AE203*P2_IVAN+AF203*IF($A203&lt;P3_DESDE,P3A_IVAN,P3_IVAN)-AG203*IVA_DEV</f>
        <v>0</v>
      </c>
      <c r="AM203" s="60" t="n">
        <f aca="false">N203*(1+RECARGO_ADS)</f>
        <v>0</v>
      </c>
      <c r="AN203" s="58" t="n">
        <f aca="false">IF(ISNUMBER(L203),E203+F203+G203+AA203+AB203+AC203,0)</f>
        <v>0</v>
      </c>
      <c r="AO203" s="60" t="n">
        <f aca="false">P203*COMISION</f>
        <v>0</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B204*P1_PVP+C204*P2_PVP+D204*IF($A204&lt;P3_DESDE,P3A_PVP,P3_PVP)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E204*(P1_PVP-P1_CPROD)+F204*(P2_PVP-P2_CPROD)+G204*(IF($A204&lt;P3_DESDE,P3A_PVP,P3_PVP)-IF($A204&lt;P3_DESDE,P3A_CPROD,P3_CPROD))-IF(ISNUMBER(L204),L204,E204*P1_LOG+F204*P2_LOG+G204*P3_LOG)</f>
        <v>0</v>
      </c>
      <c r="X204" s="33" t="n">
        <f aca="false">W204-(E204*P1_IVAN+F204*P2_IVAN+G204*IF($A204&lt;P3_DESDE,P3A_IVAN,P3_IVAN))-(H204+I204+J204)*(COSTE_DEV-IVA_DEV)-AM204-AO204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E204+AA204*TASA_USADA</f>
        <v>0</v>
      </c>
      <c r="AE204" s="59" t="n">
        <f aca="false">F204+AB204*TASA_USADA</f>
        <v>0</v>
      </c>
      <c r="AF204" s="59" t="n">
        <f aca="false">G204+AC204*TASA_USADA</f>
        <v>0</v>
      </c>
      <c r="AG204" s="59" t="n">
        <f aca="false">H204+I204+J204+(AA204+AB204+AC204)*(1-TASA_USADA)</f>
        <v>0</v>
      </c>
      <c r="AH204" s="60" t="n">
        <f aca="false">AD204*P1_PVP+AE204*P2_PVP+AF204*IF($A204&lt;P3_DESDE,P3A_PVP,P3_PVP)</f>
        <v>0</v>
      </c>
      <c r="AI204" s="60" t="n">
        <f aca="false">AD204*P1_CPROD+AE204*P2_CPROD+AF204*IF($A204&lt;P3_DESDE,P3A_CPROD,P3_CPROD)</f>
        <v>0</v>
      </c>
      <c r="AJ204" s="60" t="n">
        <f aca="false">IF(ISNUMBER(L204),L204,E204*P1_LOG+F204*P2_LOG+G204*P3_LOG)+IF(ISNUMBER(M204),M204,AA204*P1_LOG+AB204*P2_LOG+AC204*P3_LOG)*TASA_USADA</f>
        <v>0</v>
      </c>
      <c r="AK204" s="60" t="n">
        <f aca="false">AG204*COSTE_DEV</f>
        <v>0</v>
      </c>
      <c r="AL204" s="60" t="n">
        <f aca="false">AD204*P1_IVAN+AE204*P2_IVAN+AF204*IF($A204&lt;P3_DESDE,P3A_IVAN,P3_IVAN)-AG204*IVA_DEV</f>
        <v>0</v>
      </c>
      <c r="AM204" s="60" t="n">
        <f aca="false">N204*(1+RECARGO_ADS)</f>
        <v>0</v>
      </c>
      <c r="AN204" s="58" t="n">
        <f aca="false">IF(ISNUMBER(L204),E204+F204+G204+AA204+AB204+AC204,0)</f>
        <v>0</v>
      </c>
      <c r="AO204" s="60" t="n">
        <f aca="false">P204*COMISION</f>
        <v>0</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B205*P1_PVP+C205*P2_PVP+D205*IF($A205&lt;P3_DESDE,P3A_PVP,P3_PVP)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E205*(P1_PVP-P1_CPROD)+F205*(P2_PVP-P2_CPROD)+G205*(IF($A205&lt;P3_DESDE,P3A_PVP,P3_PVP)-IF($A205&lt;P3_DESDE,P3A_CPROD,P3_CPROD))-IF(ISNUMBER(L205),L205,E205*P1_LOG+F205*P2_LOG+G205*P3_LOG)</f>
        <v>0</v>
      </c>
      <c r="X205" s="33" t="n">
        <f aca="false">W205-(E205*P1_IVAN+F205*P2_IVAN+G205*IF($A205&lt;P3_DESDE,P3A_IVAN,P3_IVAN))-(H205+I205+J205)*(COSTE_DEV-IVA_DEV)-AM205-AO205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E205+AA205*TASA_USADA</f>
        <v>0</v>
      </c>
      <c r="AE205" s="59" t="n">
        <f aca="false">F205+AB205*TASA_USADA</f>
        <v>0</v>
      </c>
      <c r="AF205" s="59" t="n">
        <f aca="false">G205+AC205*TASA_USADA</f>
        <v>0</v>
      </c>
      <c r="AG205" s="59" t="n">
        <f aca="false">H205+I205+J205+(AA205+AB205+AC205)*(1-TASA_USADA)</f>
        <v>0</v>
      </c>
      <c r="AH205" s="60" t="n">
        <f aca="false">AD205*P1_PVP+AE205*P2_PVP+AF205*IF($A205&lt;P3_DESDE,P3A_PVP,P3_PVP)</f>
        <v>0</v>
      </c>
      <c r="AI205" s="60" t="n">
        <f aca="false">AD205*P1_CPROD+AE205*P2_CPROD+AF205*IF($A205&lt;P3_DESDE,P3A_CPROD,P3_CPROD)</f>
        <v>0</v>
      </c>
      <c r="AJ205" s="60" t="n">
        <f aca="false">IF(ISNUMBER(L205),L205,E205*P1_LOG+F205*P2_LOG+G205*P3_LOG)+IF(ISNUMBER(M205),M205,AA205*P1_LOG+AB205*P2_LOG+AC205*P3_LOG)*TASA_USADA</f>
        <v>0</v>
      </c>
      <c r="AK205" s="60" t="n">
        <f aca="false">AG205*COSTE_DEV</f>
        <v>0</v>
      </c>
      <c r="AL205" s="60" t="n">
        <f aca="false">AD205*P1_IVAN+AE205*P2_IVAN+AF205*IF($A205&lt;P3_DESDE,P3A_IVAN,P3_IVAN)-AG205*IVA_DEV</f>
        <v>0</v>
      </c>
      <c r="AM205" s="60" t="n">
        <f aca="false">N205*(1+RECARGO_ADS)</f>
        <v>0</v>
      </c>
      <c r="AN205" s="58" t="n">
        <f aca="false">IF(ISNUMBER(L205),E205+F205+G205+AA205+AB205+AC205,0)</f>
        <v>0</v>
      </c>
      <c r="AO205" s="60" t="n">
        <f aca="false">P205*COMISION</f>
        <v>0</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B206*P1_PVP+C206*P2_PVP+D206*IF($A206&lt;P3_DESDE,P3A_PVP,P3_PVP)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E206*(P1_PVP-P1_CPROD)+F206*(P2_PVP-P2_CPROD)+G206*(IF($A206&lt;P3_DESDE,P3A_PVP,P3_PVP)-IF($A206&lt;P3_DESDE,P3A_CPROD,P3_CPROD))-IF(ISNUMBER(L206),L206,E206*P1_LOG+F206*P2_LOG+G206*P3_LOG)</f>
        <v>0</v>
      </c>
      <c r="X206" s="33" t="n">
        <f aca="false">W206-(E206*P1_IVAN+F206*P2_IVAN+G206*IF($A206&lt;P3_DESDE,P3A_IVAN,P3_IVAN))-(H206+I206+J206)*(COSTE_DEV-IVA_DEV)-AM206-AO206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E206+AA206*TASA_USADA</f>
        <v>0</v>
      </c>
      <c r="AE206" s="59" t="n">
        <f aca="false">F206+AB206*TASA_USADA</f>
        <v>0</v>
      </c>
      <c r="AF206" s="59" t="n">
        <f aca="false">G206+AC206*TASA_USADA</f>
        <v>0</v>
      </c>
      <c r="AG206" s="59" t="n">
        <f aca="false">H206+I206+J206+(AA206+AB206+AC206)*(1-TASA_USADA)</f>
        <v>0</v>
      </c>
      <c r="AH206" s="60" t="n">
        <f aca="false">AD206*P1_PVP+AE206*P2_PVP+AF206*IF($A206&lt;P3_DESDE,P3A_PVP,P3_PVP)</f>
        <v>0</v>
      </c>
      <c r="AI206" s="60" t="n">
        <f aca="false">AD206*P1_CPROD+AE206*P2_CPROD+AF206*IF($A206&lt;P3_DESDE,P3A_CPROD,P3_CPROD)</f>
        <v>0</v>
      </c>
      <c r="AJ206" s="60" t="n">
        <f aca="false">IF(ISNUMBER(L206),L206,E206*P1_LOG+F206*P2_LOG+G206*P3_LOG)+IF(ISNUMBER(M206),M206,AA206*P1_LOG+AB206*P2_LOG+AC206*P3_LOG)*TASA_USADA</f>
        <v>0</v>
      </c>
      <c r="AK206" s="60" t="n">
        <f aca="false">AG206*COSTE_DEV</f>
        <v>0</v>
      </c>
      <c r="AL206" s="60" t="n">
        <f aca="false">AD206*P1_IVAN+AE206*P2_IVAN+AF206*IF($A206&lt;P3_DESDE,P3A_IVAN,P3_IVAN)-AG206*IVA_DEV</f>
        <v>0</v>
      </c>
      <c r="AM206" s="60" t="n">
        <f aca="false">N206*(1+RECARGO_ADS)</f>
        <v>0</v>
      </c>
      <c r="AN206" s="58" t="n">
        <f aca="false">IF(ISNUMBER(L206),E206+F206+G206+AA206+AB206+AC206,0)</f>
        <v>0</v>
      </c>
      <c r="AO206" s="60" t="n">
        <f aca="false">P206*COMISION</f>
        <v>0</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B207*P1_PVP+C207*P2_PVP+D207*IF($A207&lt;P3_DESDE,P3A_PVP,P3_PVP)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E207*(P1_PVP-P1_CPROD)+F207*(P2_PVP-P2_CPROD)+G207*(IF($A207&lt;P3_DESDE,P3A_PVP,P3_PVP)-IF($A207&lt;P3_DESDE,P3A_CPROD,P3_CPROD))-IF(ISNUMBER(L207),L207,E207*P1_LOG+F207*P2_LOG+G207*P3_LOG)</f>
        <v>0</v>
      </c>
      <c r="X207" s="33" t="n">
        <f aca="false">W207-(E207*P1_IVAN+F207*P2_IVAN+G207*IF($A207&lt;P3_DESDE,P3A_IVAN,P3_IVAN))-(H207+I207+J207)*(COSTE_DEV-IVA_DEV)-AM207-AO207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E207+AA207*TASA_USADA</f>
        <v>0</v>
      </c>
      <c r="AE207" s="59" t="n">
        <f aca="false">F207+AB207*TASA_USADA</f>
        <v>0</v>
      </c>
      <c r="AF207" s="59" t="n">
        <f aca="false">G207+AC207*TASA_USADA</f>
        <v>0</v>
      </c>
      <c r="AG207" s="59" t="n">
        <f aca="false">H207+I207+J207+(AA207+AB207+AC207)*(1-TASA_USADA)</f>
        <v>0</v>
      </c>
      <c r="AH207" s="60" t="n">
        <f aca="false">AD207*P1_PVP+AE207*P2_PVP+AF207*IF($A207&lt;P3_DESDE,P3A_PVP,P3_PVP)</f>
        <v>0</v>
      </c>
      <c r="AI207" s="60" t="n">
        <f aca="false">AD207*P1_CPROD+AE207*P2_CPROD+AF207*IF($A207&lt;P3_DESDE,P3A_CPROD,P3_CPROD)</f>
        <v>0</v>
      </c>
      <c r="AJ207" s="60" t="n">
        <f aca="false">IF(ISNUMBER(L207),L207,E207*P1_LOG+F207*P2_LOG+G207*P3_LOG)+IF(ISNUMBER(M207),M207,AA207*P1_LOG+AB207*P2_LOG+AC207*P3_LOG)*TASA_USADA</f>
        <v>0</v>
      </c>
      <c r="AK207" s="60" t="n">
        <f aca="false">AG207*COSTE_DEV</f>
        <v>0</v>
      </c>
      <c r="AL207" s="60" t="n">
        <f aca="false">AD207*P1_IVAN+AE207*P2_IVAN+AF207*IF($A207&lt;P3_DESDE,P3A_IVAN,P3_IVAN)-AG207*IVA_DEV</f>
        <v>0</v>
      </c>
      <c r="AM207" s="60" t="n">
        <f aca="false">N207*(1+RECARGO_ADS)</f>
        <v>0</v>
      </c>
      <c r="AN207" s="58" t="n">
        <f aca="false">IF(ISNUMBER(L207),E207+F207+G207+AA207+AB207+AC207,0)</f>
        <v>0</v>
      </c>
      <c r="AO207" s="60" t="n">
        <f aca="false">P207*COMISION</f>
        <v>0</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B208*P1_PVP+C208*P2_PVP+D208*IF($A208&lt;P3_DESDE,P3A_PVP,P3_PVP)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E208*(P1_PVP-P1_CPROD)+F208*(P2_PVP-P2_CPROD)+G208*(IF($A208&lt;P3_DESDE,P3A_PVP,P3_PVP)-IF($A208&lt;P3_DESDE,P3A_CPROD,P3_CPROD))-IF(ISNUMBER(L208),L208,E208*P1_LOG+F208*P2_LOG+G208*P3_LOG)</f>
        <v>0</v>
      </c>
      <c r="X208" s="33" t="n">
        <f aca="false">W208-(E208*P1_IVAN+F208*P2_IVAN+G208*IF($A208&lt;P3_DESDE,P3A_IVAN,P3_IVAN))-(H208+I208+J208)*(COSTE_DEV-IVA_DEV)-AM208-AO208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E208+AA208*TASA_USADA</f>
        <v>0</v>
      </c>
      <c r="AE208" s="59" t="n">
        <f aca="false">F208+AB208*TASA_USADA</f>
        <v>0</v>
      </c>
      <c r="AF208" s="59" t="n">
        <f aca="false">G208+AC208*TASA_USADA</f>
        <v>0</v>
      </c>
      <c r="AG208" s="59" t="n">
        <f aca="false">H208+I208+J208+(AA208+AB208+AC208)*(1-TASA_USADA)</f>
        <v>0</v>
      </c>
      <c r="AH208" s="60" t="n">
        <f aca="false">AD208*P1_PVP+AE208*P2_PVP+AF208*IF($A208&lt;P3_DESDE,P3A_PVP,P3_PVP)</f>
        <v>0</v>
      </c>
      <c r="AI208" s="60" t="n">
        <f aca="false">AD208*P1_CPROD+AE208*P2_CPROD+AF208*IF($A208&lt;P3_DESDE,P3A_CPROD,P3_CPROD)</f>
        <v>0</v>
      </c>
      <c r="AJ208" s="60" t="n">
        <f aca="false">IF(ISNUMBER(L208),L208,E208*P1_LOG+F208*P2_LOG+G208*P3_LOG)+IF(ISNUMBER(M208),M208,AA208*P1_LOG+AB208*P2_LOG+AC208*P3_LOG)*TASA_USADA</f>
        <v>0</v>
      </c>
      <c r="AK208" s="60" t="n">
        <f aca="false">AG208*COSTE_DEV</f>
        <v>0</v>
      </c>
      <c r="AL208" s="60" t="n">
        <f aca="false">AD208*P1_IVAN+AE208*P2_IVAN+AF208*IF($A208&lt;P3_DESDE,P3A_IVAN,P3_IVAN)-AG208*IVA_DEV</f>
        <v>0</v>
      </c>
      <c r="AM208" s="60" t="n">
        <f aca="false">N208*(1+RECARGO_ADS)</f>
        <v>0</v>
      </c>
      <c r="AN208" s="58" t="n">
        <f aca="false">IF(ISNUMBER(L208),E208+F208+G208+AA208+AB208+AC208,0)</f>
        <v>0</v>
      </c>
      <c r="AO208" s="60" t="n">
        <f aca="false">P208*COMISION</f>
        <v>0</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B209*P1_PVP+C209*P2_PVP+D209*IF($A209&lt;P3_DESDE,P3A_PVP,P3_PVP)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E209*(P1_PVP-P1_CPROD)+F209*(P2_PVP-P2_CPROD)+G209*(IF($A209&lt;P3_DESDE,P3A_PVP,P3_PVP)-IF($A209&lt;P3_DESDE,P3A_CPROD,P3_CPROD))-IF(ISNUMBER(L209),L209,E209*P1_LOG+F209*P2_LOG+G209*P3_LOG)</f>
        <v>0</v>
      </c>
      <c r="X209" s="33" t="n">
        <f aca="false">W209-(E209*P1_IVAN+F209*P2_IVAN+G209*IF($A209&lt;P3_DESDE,P3A_IVAN,P3_IVAN))-(H209+I209+J209)*(COSTE_DEV-IVA_DEV)-AM209-AO209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E209+AA209*TASA_USADA</f>
        <v>0</v>
      </c>
      <c r="AE209" s="59" t="n">
        <f aca="false">F209+AB209*TASA_USADA</f>
        <v>0</v>
      </c>
      <c r="AF209" s="59" t="n">
        <f aca="false">G209+AC209*TASA_USADA</f>
        <v>0</v>
      </c>
      <c r="AG209" s="59" t="n">
        <f aca="false">H209+I209+J209+(AA209+AB209+AC209)*(1-TASA_USADA)</f>
        <v>0</v>
      </c>
      <c r="AH209" s="60" t="n">
        <f aca="false">AD209*P1_PVP+AE209*P2_PVP+AF209*IF($A209&lt;P3_DESDE,P3A_PVP,P3_PVP)</f>
        <v>0</v>
      </c>
      <c r="AI209" s="60" t="n">
        <f aca="false">AD209*P1_CPROD+AE209*P2_CPROD+AF209*IF($A209&lt;P3_DESDE,P3A_CPROD,P3_CPROD)</f>
        <v>0</v>
      </c>
      <c r="AJ209" s="60" t="n">
        <f aca="false">IF(ISNUMBER(L209),L209,E209*P1_LOG+F209*P2_LOG+G209*P3_LOG)+IF(ISNUMBER(M209),M209,AA209*P1_LOG+AB209*P2_LOG+AC209*P3_LOG)*TASA_USADA</f>
        <v>0</v>
      </c>
      <c r="AK209" s="60" t="n">
        <f aca="false">AG209*COSTE_DEV</f>
        <v>0</v>
      </c>
      <c r="AL209" s="60" t="n">
        <f aca="false">AD209*P1_IVAN+AE209*P2_IVAN+AF209*IF($A209&lt;P3_DESDE,P3A_IVAN,P3_IVAN)-AG209*IVA_DEV</f>
        <v>0</v>
      </c>
      <c r="AM209" s="60" t="n">
        <f aca="false">N209*(1+RECARGO_ADS)</f>
        <v>0</v>
      </c>
      <c r="AN209" s="58" t="n">
        <f aca="false">IF(ISNUMBER(L209),E209+F209+G209+AA209+AB209+AC209,0)</f>
        <v>0</v>
      </c>
      <c r="AO209" s="60" t="n">
        <f aca="false">P209*COMISION</f>
        <v>0</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B210*P1_PVP+C210*P2_PVP+D210*IF($A210&lt;P3_DESDE,P3A_PVP,P3_PVP)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E210*(P1_PVP-P1_CPROD)+F210*(P2_PVP-P2_CPROD)+G210*(IF($A210&lt;P3_DESDE,P3A_PVP,P3_PVP)-IF($A210&lt;P3_DESDE,P3A_CPROD,P3_CPROD))-IF(ISNUMBER(L210),L210,E210*P1_LOG+F210*P2_LOG+G210*P3_LOG)</f>
        <v>0</v>
      </c>
      <c r="X210" s="33" t="n">
        <f aca="false">W210-(E210*P1_IVAN+F210*P2_IVAN+G210*IF($A210&lt;P3_DESDE,P3A_IVAN,P3_IVAN))-(H210+I210+J210)*(COSTE_DEV-IVA_DEV)-AM210-AO210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E210+AA210*TASA_USADA</f>
        <v>0</v>
      </c>
      <c r="AE210" s="59" t="n">
        <f aca="false">F210+AB210*TASA_USADA</f>
        <v>0</v>
      </c>
      <c r="AF210" s="59" t="n">
        <f aca="false">G210+AC210*TASA_USADA</f>
        <v>0</v>
      </c>
      <c r="AG210" s="59" t="n">
        <f aca="false">H210+I210+J210+(AA210+AB210+AC210)*(1-TASA_USADA)</f>
        <v>0</v>
      </c>
      <c r="AH210" s="60" t="n">
        <f aca="false">AD210*P1_PVP+AE210*P2_PVP+AF210*IF($A210&lt;P3_DESDE,P3A_PVP,P3_PVP)</f>
        <v>0</v>
      </c>
      <c r="AI210" s="60" t="n">
        <f aca="false">AD210*P1_CPROD+AE210*P2_CPROD+AF210*IF($A210&lt;P3_DESDE,P3A_CPROD,P3_CPROD)</f>
        <v>0</v>
      </c>
      <c r="AJ210" s="60" t="n">
        <f aca="false">IF(ISNUMBER(L210),L210,E210*P1_LOG+F210*P2_LOG+G210*P3_LOG)+IF(ISNUMBER(M210),M210,AA210*P1_LOG+AB210*P2_LOG+AC210*P3_LOG)*TASA_USADA</f>
        <v>0</v>
      </c>
      <c r="AK210" s="60" t="n">
        <f aca="false">AG210*COSTE_DEV</f>
        <v>0</v>
      </c>
      <c r="AL210" s="60" t="n">
        <f aca="false">AD210*P1_IVAN+AE210*P2_IVAN+AF210*IF($A210&lt;P3_DESDE,P3A_IVAN,P3_IVAN)-AG210*IVA_DEV</f>
        <v>0</v>
      </c>
      <c r="AM210" s="60" t="n">
        <f aca="false">N210*(1+RECARGO_ADS)</f>
        <v>0</v>
      </c>
      <c r="AN210" s="58" t="n">
        <f aca="false">IF(ISNUMBER(L210),E210+F210+G210+AA210+AB210+AC210,0)</f>
        <v>0</v>
      </c>
      <c r="AO210" s="60" t="n">
        <f aca="false">P210*COMISION</f>
        <v>0</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B211*P1_PVP+C211*P2_PVP+D211*IF($A211&lt;P3_DESDE,P3A_PVP,P3_PVP)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E211*(P1_PVP-P1_CPROD)+F211*(P2_PVP-P2_CPROD)+G211*(IF($A211&lt;P3_DESDE,P3A_PVP,P3_PVP)-IF($A211&lt;P3_DESDE,P3A_CPROD,P3_CPROD))-IF(ISNUMBER(L211),L211,E211*P1_LOG+F211*P2_LOG+G211*P3_LOG)</f>
        <v>0</v>
      </c>
      <c r="X211" s="33" t="n">
        <f aca="false">W211-(E211*P1_IVAN+F211*P2_IVAN+G211*IF($A211&lt;P3_DESDE,P3A_IVAN,P3_IVAN))-(H211+I211+J211)*(COSTE_DEV-IVA_DEV)-AM211-AO211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E211+AA211*TASA_USADA</f>
        <v>0</v>
      </c>
      <c r="AE211" s="59" t="n">
        <f aca="false">F211+AB211*TASA_USADA</f>
        <v>0</v>
      </c>
      <c r="AF211" s="59" t="n">
        <f aca="false">G211+AC211*TASA_USADA</f>
        <v>0</v>
      </c>
      <c r="AG211" s="59" t="n">
        <f aca="false">H211+I211+J211+(AA211+AB211+AC211)*(1-TASA_USADA)</f>
        <v>0</v>
      </c>
      <c r="AH211" s="60" t="n">
        <f aca="false">AD211*P1_PVP+AE211*P2_PVP+AF211*IF($A211&lt;P3_DESDE,P3A_PVP,P3_PVP)</f>
        <v>0</v>
      </c>
      <c r="AI211" s="60" t="n">
        <f aca="false">AD211*P1_CPROD+AE211*P2_CPROD+AF211*IF($A211&lt;P3_DESDE,P3A_CPROD,P3_CPROD)</f>
        <v>0</v>
      </c>
      <c r="AJ211" s="60" t="n">
        <f aca="false">IF(ISNUMBER(L211),L211,E211*P1_LOG+F211*P2_LOG+G211*P3_LOG)+IF(ISNUMBER(M211),M211,AA211*P1_LOG+AB211*P2_LOG+AC211*P3_LOG)*TASA_USADA</f>
        <v>0</v>
      </c>
      <c r="AK211" s="60" t="n">
        <f aca="false">AG211*COSTE_DEV</f>
        <v>0</v>
      </c>
      <c r="AL211" s="60" t="n">
        <f aca="false">AD211*P1_IVAN+AE211*P2_IVAN+AF211*IF($A211&lt;P3_DESDE,P3A_IVAN,P3_IVAN)-AG211*IVA_DEV</f>
        <v>0</v>
      </c>
      <c r="AM211" s="60" t="n">
        <f aca="false">N211*(1+RECARGO_ADS)</f>
        <v>0</v>
      </c>
      <c r="AN211" s="58" t="n">
        <f aca="false">IF(ISNUMBER(L211),E211+F211+G211+AA211+AB211+AC211,0)</f>
        <v>0</v>
      </c>
      <c r="AO211" s="60" t="n">
        <f aca="false">P211*COMISION</f>
        <v>0</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B212*P1_PVP+C212*P2_PVP+D212*IF($A212&lt;P3_DESDE,P3A_PVP,P3_PVP)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E212*(P1_PVP-P1_CPROD)+F212*(P2_PVP-P2_CPROD)+G212*(IF($A212&lt;P3_DESDE,P3A_PVP,P3_PVP)-IF($A212&lt;P3_DESDE,P3A_CPROD,P3_CPROD))-IF(ISNUMBER(L212),L212,E212*P1_LOG+F212*P2_LOG+G212*P3_LOG)</f>
        <v>0</v>
      </c>
      <c r="X212" s="33" t="n">
        <f aca="false">W212-(E212*P1_IVAN+F212*P2_IVAN+G212*IF($A212&lt;P3_DESDE,P3A_IVAN,P3_IVAN))-(H212+I212+J212)*(COSTE_DEV-IVA_DEV)-AM212-AO212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E212+AA212*TASA_USADA</f>
        <v>0</v>
      </c>
      <c r="AE212" s="59" t="n">
        <f aca="false">F212+AB212*TASA_USADA</f>
        <v>0</v>
      </c>
      <c r="AF212" s="59" t="n">
        <f aca="false">G212+AC212*TASA_USADA</f>
        <v>0</v>
      </c>
      <c r="AG212" s="59" t="n">
        <f aca="false">H212+I212+J212+(AA212+AB212+AC212)*(1-TASA_USADA)</f>
        <v>0</v>
      </c>
      <c r="AH212" s="60" t="n">
        <f aca="false">AD212*P1_PVP+AE212*P2_PVP+AF212*IF($A212&lt;P3_DESDE,P3A_PVP,P3_PVP)</f>
        <v>0</v>
      </c>
      <c r="AI212" s="60" t="n">
        <f aca="false">AD212*P1_CPROD+AE212*P2_CPROD+AF212*IF($A212&lt;P3_DESDE,P3A_CPROD,P3_CPROD)</f>
        <v>0</v>
      </c>
      <c r="AJ212" s="60" t="n">
        <f aca="false">IF(ISNUMBER(L212),L212,E212*P1_LOG+F212*P2_LOG+G212*P3_LOG)+IF(ISNUMBER(M212),M212,AA212*P1_LOG+AB212*P2_LOG+AC212*P3_LOG)*TASA_USADA</f>
        <v>0</v>
      </c>
      <c r="AK212" s="60" t="n">
        <f aca="false">AG212*COSTE_DEV</f>
        <v>0</v>
      </c>
      <c r="AL212" s="60" t="n">
        <f aca="false">AD212*P1_IVAN+AE212*P2_IVAN+AF212*IF($A212&lt;P3_DESDE,P3A_IVAN,P3_IVAN)-AG212*IVA_DEV</f>
        <v>0</v>
      </c>
      <c r="AM212" s="60" t="n">
        <f aca="false">N212*(1+RECARGO_ADS)</f>
        <v>0</v>
      </c>
      <c r="AN212" s="58" t="n">
        <f aca="false">IF(ISNUMBER(L212),E212+F212+G212+AA212+AB212+AC212,0)</f>
        <v>0</v>
      </c>
      <c r="AO212" s="60" t="n">
        <f aca="false">P212*COMISION</f>
        <v>0</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B213*P1_PVP+C213*P2_PVP+D213*IF($A213&lt;P3_DESDE,P3A_PVP,P3_PVP)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E213*(P1_PVP-P1_CPROD)+F213*(P2_PVP-P2_CPROD)+G213*(IF($A213&lt;P3_DESDE,P3A_PVP,P3_PVP)-IF($A213&lt;P3_DESDE,P3A_CPROD,P3_CPROD))-IF(ISNUMBER(L213),L213,E213*P1_LOG+F213*P2_LOG+G213*P3_LOG)</f>
        <v>0</v>
      </c>
      <c r="X213" s="33" t="n">
        <f aca="false">W213-(E213*P1_IVAN+F213*P2_IVAN+G213*IF($A213&lt;P3_DESDE,P3A_IVAN,P3_IVAN))-(H213+I213+J213)*(COSTE_DEV-IVA_DEV)-AM213-AO213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E213+AA213*TASA_USADA</f>
        <v>0</v>
      </c>
      <c r="AE213" s="59" t="n">
        <f aca="false">F213+AB213*TASA_USADA</f>
        <v>0</v>
      </c>
      <c r="AF213" s="59" t="n">
        <f aca="false">G213+AC213*TASA_USADA</f>
        <v>0</v>
      </c>
      <c r="AG213" s="59" t="n">
        <f aca="false">H213+I213+J213+(AA213+AB213+AC213)*(1-TASA_USADA)</f>
        <v>0</v>
      </c>
      <c r="AH213" s="60" t="n">
        <f aca="false">AD213*P1_PVP+AE213*P2_PVP+AF213*IF($A213&lt;P3_DESDE,P3A_PVP,P3_PVP)</f>
        <v>0</v>
      </c>
      <c r="AI213" s="60" t="n">
        <f aca="false">AD213*P1_CPROD+AE213*P2_CPROD+AF213*IF($A213&lt;P3_DESDE,P3A_CPROD,P3_CPROD)</f>
        <v>0</v>
      </c>
      <c r="AJ213" s="60" t="n">
        <f aca="false">IF(ISNUMBER(L213),L213,E213*P1_LOG+F213*P2_LOG+G213*P3_LOG)+IF(ISNUMBER(M213),M213,AA213*P1_LOG+AB213*P2_LOG+AC213*P3_LOG)*TASA_USADA</f>
        <v>0</v>
      </c>
      <c r="AK213" s="60" t="n">
        <f aca="false">AG213*COSTE_DEV</f>
        <v>0</v>
      </c>
      <c r="AL213" s="60" t="n">
        <f aca="false">AD213*P1_IVAN+AE213*P2_IVAN+AF213*IF($A213&lt;P3_DESDE,P3A_IVAN,P3_IVAN)-AG213*IVA_DEV</f>
        <v>0</v>
      </c>
      <c r="AM213" s="60" t="n">
        <f aca="false">N213*(1+RECARGO_ADS)</f>
        <v>0</v>
      </c>
      <c r="AN213" s="58" t="n">
        <f aca="false">IF(ISNUMBER(L213),E213+F213+G213+AA213+AB213+AC213,0)</f>
        <v>0</v>
      </c>
      <c r="AO213" s="60" t="n">
        <f aca="false">P213*COMISION</f>
        <v>0</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B214*P1_PVP+C214*P2_PVP+D214*IF($A214&lt;P3_DESDE,P3A_PVP,P3_PVP)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E214*(P1_PVP-P1_CPROD)+F214*(P2_PVP-P2_CPROD)+G214*(IF($A214&lt;P3_DESDE,P3A_PVP,P3_PVP)-IF($A214&lt;P3_DESDE,P3A_CPROD,P3_CPROD))-IF(ISNUMBER(L214),L214,E214*P1_LOG+F214*P2_LOG+G214*P3_LOG)</f>
        <v>0</v>
      </c>
      <c r="X214" s="33" t="n">
        <f aca="false">W214-(E214*P1_IVAN+F214*P2_IVAN+G214*IF($A214&lt;P3_DESDE,P3A_IVAN,P3_IVAN))-(H214+I214+J214)*(COSTE_DEV-IVA_DEV)-AM214-AO214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E214+AA214*TASA_USADA</f>
        <v>0</v>
      </c>
      <c r="AE214" s="59" t="n">
        <f aca="false">F214+AB214*TASA_USADA</f>
        <v>0</v>
      </c>
      <c r="AF214" s="59" t="n">
        <f aca="false">G214+AC214*TASA_USADA</f>
        <v>0</v>
      </c>
      <c r="AG214" s="59" t="n">
        <f aca="false">H214+I214+J214+(AA214+AB214+AC214)*(1-TASA_USADA)</f>
        <v>0</v>
      </c>
      <c r="AH214" s="60" t="n">
        <f aca="false">AD214*P1_PVP+AE214*P2_PVP+AF214*IF($A214&lt;P3_DESDE,P3A_PVP,P3_PVP)</f>
        <v>0</v>
      </c>
      <c r="AI214" s="60" t="n">
        <f aca="false">AD214*P1_CPROD+AE214*P2_CPROD+AF214*IF($A214&lt;P3_DESDE,P3A_CPROD,P3_CPROD)</f>
        <v>0</v>
      </c>
      <c r="AJ214" s="60" t="n">
        <f aca="false">IF(ISNUMBER(L214),L214,E214*P1_LOG+F214*P2_LOG+G214*P3_LOG)+IF(ISNUMBER(M214),M214,AA214*P1_LOG+AB214*P2_LOG+AC214*P3_LOG)*TASA_USADA</f>
        <v>0</v>
      </c>
      <c r="AK214" s="60" t="n">
        <f aca="false">AG214*COSTE_DEV</f>
        <v>0</v>
      </c>
      <c r="AL214" s="60" t="n">
        <f aca="false">AD214*P1_IVAN+AE214*P2_IVAN+AF214*IF($A214&lt;P3_DESDE,P3A_IVAN,P3_IVAN)-AG214*IVA_DEV</f>
        <v>0</v>
      </c>
      <c r="AM214" s="60" t="n">
        <f aca="false">N214*(1+RECARGO_ADS)</f>
        <v>0</v>
      </c>
      <c r="AN214" s="58" t="n">
        <f aca="false">IF(ISNUMBER(L214),E214+F214+G214+AA214+AB214+AC214,0)</f>
        <v>0</v>
      </c>
      <c r="AO214" s="60" t="n">
        <f aca="false">P214*COMISION</f>
        <v>0</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B215*P1_PVP+C215*P2_PVP+D215*IF($A215&lt;P3_DESDE,P3A_PVP,P3_PVP)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E215*(P1_PVP-P1_CPROD)+F215*(P2_PVP-P2_CPROD)+G215*(IF($A215&lt;P3_DESDE,P3A_PVP,P3_PVP)-IF($A215&lt;P3_DESDE,P3A_CPROD,P3_CPROD))-IF(ISNUMBER(L215),L215,E215*P1_LOG+F215*P2_LOG+G215*P3_LOG)</f>
        <v>0</v>
      </c>
      <c r="X215" s="33" t="n">
        <f aca="false">W215-(E215*P1_IVAN+F215*P2_IVAN+G215*IF($A215&lt;P3_DESDE,P3A_IVAN,P3_IVAN))-(H215+I215+J215)*(COSTE_DEV-IVA_DEV)-AM215-AO215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E215+AA215*TASA_USADA</f>
        <v>0</v>
      </c>
      <c r="AE215" s="59" t="n">
        <f aca="false">F215+AB215*TASA_USADA</f>
        <v>0</v>
      </c>
      <c r="AF215" s="59" t="n">
        <f aca="false">G215+AC215*TASA_USADA</f>
        <v>0</v>
      </c>
      <c r="AG215" s="59" t="n">
        <f aca="false">H215+I215+J215+(AA215+AB215+AC215)*(1-TASA_USADA)</f>
        <v>0</v>
      </c>
      <c r="AH215" s="60" t="n">
        <f aca="false">AD215*P1_PVP+AE215*P2_PVP+AF215*IF($A215&lt;P3_DESDE,P3A_PVP,P3_PVP)</f>
        <v>0</v>
      </c>
      <c r="AI215" s="60" t="n">
        <f aca="false">AD215*P1_CPROD+AE215*P2_CPROD+AF215*IF($A215&lt;P3_DESDE,P3A_CPROD,P3_CPROD)</f>
        <v>0</v>
      </c>
      <c r="AJ215" s="60" t="n">
        <f aca="false">IF(ISNUMBER(L215),L215,E215*P1_LOG+F215*P2_LOG+G215*P3_LOG)+IF(ISNUMBER(M215),M215,AA215*P1_LOG+AB215*P2_LOG+AC215*P3_LOG)*TASA_USADA</f>
        <v>0</v>
      </c>
      <c r="AK215" s="60" t="n">
        <f aca="false">AG215*COSTE_DEV</f>
        <v>0</v>
      </c>
      <c r="AL215" s="60" t="n">
        <f aca="false">AD215*P1_IVAN+AE215*P2_IVAN+AF215*IF($A215&lt;P3_DESDE,P3A_IVAN,P3_IVAN)-AG215*IVA_DEV</f>
        <v>0</v>
      </c>
      <c r="AM215" s="60" t="n">
        <f aca="false">N215*(1+RECARGO_ADS)</f>
        <v>0</v>
      </c>
      <c r="AN215" s="58" t="n">
        <f aca="false">IF(ISNUMBER(L215),E215+F215+G215+AA215+AB215+AC215,0)</f>
        <v>0</v>
      </c>
      <c r="AO215" s="60" t="n">
        <f aca="false">P215*COMISION</f>
        <v>0</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B216*P1_PVP+C216*P2_PVP+D216*IF($A216&lt;P3_DESDE,P3A_PVP,P3_PVP)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E216*(P1_PVP-P1_CPROD)+F216*(P2_PVP-P2_CPROD)+G216*(IF($A216&lt;P3_DESDE,P3A_PVP,P3_PVP)-IF($A216&lt;P3_DESDE,P3A_CPROD,P3_CPROD))-IF(ISNUMBER(L216),L216,E216*P1_LOG+F216*P2_LOG+G216*P3_LOG)</f>
        <v>0</v>
      </c>
      <c r="X216" s="33" t="n">
        <f aca="false">W216-(E216*P1_IVAN+F216*P2_IVAN+G216*IF($A216&lt;P3_DESDE,P3A_IVAN,P3_IVAN))-(H216+I216+J216)*(COSTE_DEV-IVA_DEV)-AM216-AO216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E216+AA216*TASA_USADA</f>
        <v>0</v>
      </c>
      <c r="AE216" s="59" t="n">
        <f aca="false">F216+AB216*TASA_USADA</f>
        <v>0</v>
      </c>
      <c r="AF216" s="59" t="n">
        <f aca="false">G216+AC216*TASA_USADA</f>
        <v>0</v>
      </c>
      <c r="AG216" s="59" t="n">
        <f aca="false">H216+I216+J216+(AA216+AB216+AC216)*(1-TASA_USADA)</f>
        <v>0</v>
      </c>
      <c r="AH216" s="60" t="n">
        <f aca="false">AD216*P1_PVP+AE216*P2_PVP+AF216*IF($A216&lt;P3_DESDE,P3A_PVP,P3_PVP)</f>
        <v>0</v>
      </c>
      <c r="AI216" s="60" t="n">
        <f aca="false">AD216*P1_CPROD+AE216*P2_CPROD+AF216*IF($A216&lt;P3_DESDE,P3A_CPROD,P3_CPROD)</f>
        <v>0</v>
      </c>
      <c r="AJ216" s="60" t="n">
        <f aca="false">IF(ISNUMBER(L216),L216,E216*P1_LOG+F216*P2_LOG+G216*P3_LOG)+IF(ISNUMBER(M216),M216,AA216*P1_LOG+AB216*P2_LOG+AC216*P3_LOG)*TASA_USADA</f>
        <v>0</v>
      </c>
      <c r="AK216" s="60" t="n">
        <f aca="false">AG216*COSTE_DEV</f>
        <v>0</v>
      </c>
      <c r="AL216" s="60" t="n">
        <f aca="false">AD216*P1_IVAN+AE216*P2_IVAN+AF216*IF($A216&lt;P3_DESDE,P3A_IVAN,P3_IVAN)-AG216*IVA_DEV</f>
        <v>0</v>
      </c>
      <c r="AM216" s="60" t="n">
        <f aca="false">N216*(1+RECARGO_ADS)</f>
        <v>0</v>
      </c>
      <c r="AN216" s="58" t="n">
        <f aca="false">IF(ISNUMBER(L216),E216+F216+G216+AA216+AB216+AC216,0)</f>
        <v>0</v>
      </c>
      <c r="AO216" s="60" t="n">
        <f aca="false">P216*COMISION</f>
        <v>0</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B217*P1_PVP+C217*P2_PVP+D217*IF($A217&lt;P3_DESDE,P3A_PVP,P3_PVP)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E217*(P1_PVP-P1_CPROD)+F217*(P2_PVP-P2_CPROD)+G217*(IF($A217&lt;P3_DESDE,P3A_PVP,P3_PVP)-IF($A217&lt;P3_DESDE,P3A_CPROD,P3_CPROD))-IF(ISNUMBER(L217),L217,E217*P1_LOG+F217*P2_LOG+G217*P3_LOG)</f>
        <v>0</v>
      </c>
      <c r="X217" s="33" t="n">
        <f aca="false">W217-(E217*P1_IVAN+F217*P2_IVAN+G217*IF($A217&lt;P3_DESDE,P3A_IVAN,P3_IVAN))-(H217+I217+J217)*(COSTE_DEV-IVA_DEV)-AM217-AO217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E217+AA217*TASA_USADA</f>
        <v>0</v>
      </c>
      <c r="AE217" s="59" t="n">
        <f aca="false">F217+AB217*TASA_USADA</f>
        <v>0</v>
      </c>
      <c r="AF217" s="59" t="n">
        <f aca="false">G217+AC217*TASA_USADA</f>
        <v>0</v>
      </c>
      <c r="AG217" s="59" t="n">
        <f aca="false">H217+I217+J217+(AA217+AB217+AC217)*(1-TASA_USADA)</f>
        <v>0</v>
      </c>
      <c r="AH217" s="60" t="n">
        <f aca="false">AD217*P1_PVP+AE217*P2_PVP+AF217*IF($A217&lt;P3_DESDE,P3A_PVP,P3_PVP)</f>
        <v>0</v>
      </c>
      <c r="AI217" s="60" t="n">
        <f aca="false">AD217*P1_CPROD+AE217*P2_CPROD+AF217*IF($A217&lt;P3_DESDE,P3A_CPROD,P3_CPROD)</f>
        <v>0</v>
      </c>
      <c r="AJ217" s="60" t="n">
        <f aca="false">IF(ISNUMBER(L217),L217,E217*P1_LOG+F217*P2_LOG+G217*P3_LOG)+IF(ISNUMBER(M217),M217,AA217*P1_LOG+AB217*P2_LOG+AC217*P3_LOG)*TASA_USADA</f>
        <v>0</v>
      </c>
      <c r="AK217" s="60" t="n">
        <f aca="false">AG217*COSTE_DEV</f>
        <v>0</v>
      </c>
      <c r="AL217" s="60" t="n">
        <f aca="false">AD217*P1_IVAN+AE217*P2_IVAN+AF217*IF($A217&lt;P3_DESDE,P3A_IVAN,P3_IVAN)-AG217*IVA_DEV</f>
        <v>0</v>
      </c>
      <c r="AM217" s="60" t="n">
        <f aca="false">N217*(1+RECARGO_ADS)</f>
        <v>0</v>
      </c>
      <c r="AN217" s="58" t="n">
        <f aca="false">IF(ISNUMBER(L217),E217+F217+G217+AA217+AB217+AC217,0)</f>
        <v>0</v>
      </c>
      <c r="AO217" s="60" t="n">
        <f aca="false">P217*COMISION</f>
        <v>0</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B218*P1_PVP+C218*P2_PVP+D218*IF($A218&lt;P3_DESDE,P3A_PVP,P3_PVP)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E218*(P1_PVP-P1_CPROD)+F218*(P2_PVP-P2_CPROD)+G218*(IF($A218&lt;P3_DESDE,P3A_PVP,P3_PVP)-IF($A218&lt;P3_DESDE,P3A_CPROD,P3_CPROD))-IF(ISNUMBER(L218),L218,E218*P1_LOG+F218*P2_LOG+G218*P3_LOG)</f>
        <v>0</v>
      </c>
      <c r="X218" s="33" t="n">
        <f aca="false">W218-(E218*P1_IVAN+F218*P2_IVAN+G218*IF($A218&lt;P3_DESDE,P3A_IVAN,P3_IVAN))-(H218+I218+J218)*(COSTE_DEV-IVA_DEV)-AM218-AO218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E218+AA218*TASA_USADA</f>
        <v>0</v>
      </c>
      <c r="AE218" s="59" t="n">
        <f aca="false">F218+AB218*TASA_USADA</f>
        <v>0</v>
      </c>
      <c r="AF218" s="59" t="n">
        <f aca="false">G218+AC218*TASA_USADA</f>
        <v>0</v>
      </c>
      <c r="AG218" s="59" t="n">
        <f aca="false">H218+I218+J218+(AA218+AB218+AC218)*(1-TASA_USADA)</f>
        <v>0</v>
      </c>
      <c r="AH218" s="60" t="n">
        <f aca="false">AD218*P1_PVP+AE218*P2_PVP+AF218*IF($A218&lt;P3_DESDE,P3A_PVP,P3_PVP)</f>
        <v>0</v>
      </c>
      <c r="AI218" s="60" t="n">
        <f aca="false">AD218*P1_CPROD+AE218*P2_CPROD+AF218*IF($A218&lt;P3_DESDE,P3A_CPROD,P3_CPROD)</f>
        <v>0</v>
      </c>
      <c r="AJ218" s="60" t="n">
        <f aca="false">IF(ISNUMBER(L218),L218,E218*P1_LOG+F218*P2_LOG+G218*P3_LOG)+IF(ISNUMBER(M218),M218,AA218*P1_LOG+AB218*P2_LOG+AC218*P3_LOG)*TASA_USADA</f>
        <v>0</v>
      </c>
      <c r="AK218" s="60" t="n">
        <f aca="false">AG218*COSTE_DEV</f>
        <v>0</v>
      </c>
      <c r="AL218" s="60" t="n">
        <f aca="false">AD218*P1_IVAN+AE218*P2_IVAN+AF218*IF($A218&lt;P3_DESDE,P3A_IVAN,P3_IVAN)-AG218*IVA_DEV</f>
        <v>0</v>
      </c>
      <c r="AM218" s="60" t="n">
        <f aca="false">N218*(1+RECARGO_ADS)</f>
        <v>0</v>
      </c>
      <c r="AN218" s="58" t="n">
        <f aca="false">IF(ISNUMBER(L218),E218+F218+G218+AA218+AB218+AC218,0)</f>
        <v>0</v>
      </c>
      <c r="AO218" s="60" t="n">
        <f aca="false">P218*COMISION</f>
        <v>0</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B219*P1_PVP+C219*P2_PVP+D219*IF($A219&lt;P3_DESDE,P3A_PVP,P3_PVP)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E219*(P1_PVP-P1_CPROD)+F219*(P2_PVP-P2_CPROD)+G219*(IF($A219&lt;P3_DESDE,P3A_PVP,P3_PVP)-IF($A219&lt;P3_DESDE,P3A_CPROD,P3_CPROD))-IF(ISNUMBER(L219),L219,E219*P1_LOG+F219*P2_LOG+G219*P3_LOG)</f>
        <v>0</v>
      </c>
      <c r="X219" s="33" t="n">
        <f aca="false">W219-(E219*P1_IVAN+F219*P2_IVAN+G219*IF($A219&lt;P3_DESDE,P3A_IVAN,P3_IVAN))-(H219+I219+J219)*(COSTE_DEV-IVA_DEV)-AM219-AO219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E219+AA219*TASA_USADA</f>
        <v>0</v>
      </c>
      <c r="AE219" s="59" t="n">
        <f aca="false">F219+AB219*TASA_USADA</f>
        <v>0</v>
      </c>
      <c r="AF219" s="59" t="n">
        <f aca="false">G219+AC219*TASA_USADA</f>
        <v>0</v>
      </c>
      <c r="AG219" s="59" t="n">
        <f aca="false">H219+I219+J219+(AA219+AB219+AC219)*(1-TASA_USADA)</f>
        <v>0</v>
      </c>
      <c r="AH219" s="60" t="n">
        <f aca="false">AD219*P1_PVP+AE219*P2_PVP+AF219*IF($A219&lt;P3_DESDE,P3A_PVP,P3_PVP)</f>
        <v>0</v>
      </c>
      <c r="AI219" s="60" t="n">
        <f aca="false">AD219*P1_CPROD+AE219*P2_CPROD+AF219*IF($A219&lt;P3_DESDE,P3A_CPROD,P3_CPROD)</f>
        <v>0</v>
      </c>
      <c r="AJ219" s="60" t="n">
        <f aca="false">IF(ISNUMBER(L219),L219,E219*P1_LOG+F219*P2_LOG+G219*P3_LOG)+IF(ISNUMBER(M219),M219,AA219*P1_LOG+AB219*P2_LOG+AC219*P3_LOG)*TASA_USADA</f>
        <v>0</v>
      </c>
      <c r="AK219" s="60" t="n">
        <f aca="false">AG219*COSTE_DEV</f>
        <v>0</v>
      </c>
      <c r="AL219" s="60" t="n">
        <f aca="false">AD219*P1_IVAN+AE219*P2_IVAN+AF219*IF($A219&lt;P3_DESDE,P3A_IVAN,P3_IVAN)-AG219*IVA_DEV</f>
        <v>0</v>
      </c>
      <c r="AM219" s="60" t="n">
        <f aca="false">N219*(1+RECARGO_ADS)</f>
        <v>0</v>
      </c>
      <c r="AN219" s="58" t="n">
        <f aca="false">IF(ISNUMBER(L219),E219+F219+G219+AA219+AB219+AC219,0)</f>
        <v>0</v>
      </c>
      <c r="AO219" s="60" t="n">
        <f aca="false">P219*COMISION</f>
        <v>0</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B220*P1_PVP+C220*P2_PVP+D220*IF($A220&lt;P3_DESDE,P3A_PVP,P3_PVP)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E220*(P1_PVP-P1_CPROD)+F220*(P2_PVP-P2_CPROD)+G220*(IF($A220&lt;P3_DESDE,P3A_PVP,P3_PVP)-IF($A220&lt;P3_DESDE,P3A_CPROD,P3_CPROD))-IF(ISNUMBER(L220),L220,E220*P1_LOG+F220*P2_LOG+G220*P3_LOG)</f>
        <v>0</v>
      </c>
      <c r="X220" s="33" t="n">
        <f aca="false">W220-(E220*P1_IVAN+F220*P2_IVAN+G220*IF($A220&lt;P3_DESDE,P3A_IVAN,P3_IVAN))-(H220+I220+J220)*(COSTE_DEV-IVA_DEV)-AM220-AO220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E220+AA220*TASA_USADA</f>
        <v>0</v>
      </c>
      <c r="AE220" s="59" t="n">
        <f aca="false">F220+AB220*TASA_USADA</f>
        <v>0</v>
      </c>
      <c r="AF220" s="59" t="n">
        <f aca="false">G220+AC220*TASA_USADA</f>
        <v>0</v>
      </c>
      <c r="AG220" s="59" t="n">
        <f aca="false">H220+I220+J220+(AA220+AB220+AC220)*(1-TASA_USADA)</f>
        <v>0</v>
      </c>
      <c r="AH220" s="60" t="n">
        <f aca="false">AD220*P1_PVP+AE220*P2_PVP+AF220*IF($A220&lt;P3_DESDE,P3A_PVP,P3_PVP)</f>
        <v>0</v>
      </c>
      <c r="AI220" s="60" t="n">
        <f aca="false">AD220*P1_CPROD+AE220*P2_CPROD+AF220*IF($A220&lt;P3_DESDE,P3A_CPROD,P3_CPROD)</f>
        <v>0</v>
      </c>
      <c r="AJ220" s="60" t="n">
        <f aca="false">IF(ISNUMBER(L220),L220,E220*P1_LOG+F220*P2_LOG+G220*P3_LOG)+IF(ISNUMBER(M220),M220,AA220*P1_LOG+AB220*P2_LOG+AC220*P3_LOG)*TASA_USADA</f>
        <v>0</v>
      </c>
      <c r="AK220" s="60" t="n">
        <f aca="false">AG220*COSTE_DEV</f>
        <v>0</v>
      </c>
      <c r="AL220" s="60" t="n">
        <f aca="false">AD220*P1_IVAN+AE220*P2_IVAN+AF220*IF($A220&lt;P3_DESDE,P3A_IVAN,P3_IVAN)-AG220*IVA_DEV</f>
        <v>0</v>
      </c>
      <c r="AM220" s="60" t="n">
        <f aca="false">N220*(1+RECARGO_ADS)</f>
        <v>0</v>
      </c>
      <c r="AN220" s="58" t="n">
        <f aca="false">IF(ISNUMBER(L220),E220+F220+G220+AA220+AB220+AC220,0)</f>
        <v>0</v>
      </c>
      <c r="AO220" s="60" t="n">
        <f aca="false">P220*COMISION</f>
        <v>0</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B221*P1_PVP+C221*P2_PVP+D221*IF($A221&lt;P3_DESDE,P3A_PVP,P3_PVP)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E221*(P1_PVP-P1_CPROD)+F221*(P2_PVP-P2_CPROD)+G221*(IF($A221&lt;P3_DESDE,P3A_PVP,P3_PVP)-IF($A221&lt;P3_DESDE,P3A_CPROD,P3_CPROD))-IF(ISNUMBER(L221),L221,E221*P1_LOG+F221*P2_LOG+G221*P3_LOG)</f>
        <v>0</v>
      </c>
      <c r="X221" s="33" t="n">
        <f aca="false">W221-(E221*P1_IVAN+F221*P2_IVAN+G221*IF($A221&lt;P3_DESDE,P3A_IVAN,P3_IVAN))-(H221+I221+J221)*(COSTE_DEV-IVA_DEV)-AM221-AO221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E221+AA221*TASA_USADA</f>
        <v>0</v>
      </c>
      <c r="AE221" s="59" t="n">
        <f aca="false">F221+AB221*TASA_USADA</f>
        <v>0</v>
      </c>
      <c r="AF221" s="59" t="n">
        <f aca="false">G221+AC221*TASA_USADA</f>
        <v>0</v>
      </c>
      <c r="AG221" s="59" t="n">
        <f aca="false">H221+I221+J221+(AA221+AB221+AC221)*(1-TASA_USADA)</f>
        <v>0</v>
      </c>
      <c r="AH221" s="60" t="n">
        <f aca="false">AD221*P1_PVP+AE221*P2_PVP+AF221*IF($A221&lt;P3_DESDE,P3A_PVP,P3_PVP)</f>
        <v>0</v>
      </c>
      <c r="AI221" s="60" t="n">
        <f aca="false">AD221*P1_CPROD+AE221*P2_CPROD+AF221*IF($A221&lt;P3_DESDE,P3A_CPROD,P3_CPROD)</f>
        <v>0</v>
      </c>
      <c r="AJ221" s="60" t="n">
        <f aca="false">IF(ISNUMBER(L221),L221,E221*P1_LOG+F221*P2_LOG+G221*P3_LOG)+IF(ISNUMBER(M221),M221,AA221*P1_LOG+AB221*P2_LOG+AC221*P3_LOG)*TASA_USADA</f>
        <v>0</v>
      </c>
      <c r="AK221" s="60" t="n">
        <f aca="false">AG221*COSTE_DEV</f>
        <v>0</v>
      </c>
      <c r="AL221" s="60" t="n">
        <f aca="false">AD221*P1_IVAN+AE221*P2_IVAN+AF221*IF($A221&lt;P3_DESDE,P3A_IVAN,P3_IVAN)-AG221*IVA_DEV</f>
        <v>0</v>
      </c>
      <c r="AM221" s="60" t="n">
        <f aca="false">N221*(1+RECARGO_ADS)</f>
        <v>0</v>
      </c>
      <c r="AN221" s="58" t="n">
        <f aca="false">IF(ISNUMBER(L221),E221+F221+G221+AA221+AB221+AC221,0)</f>
        <v>0</v>
      </c>
      <c r="AO221" s="60" t="n">
        <f aca="false">P221*COMISION</f>
        <v>0</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B222*P1_PVP+C222*P2_PVP+D222*IF($A222&lt;P3_DESDE,P3A_PVP,P3_PVP)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E222*(P1_PVP-P1_CPROD)+F222*(P2_PVP-P2_CPROD)+G222*(IF($A222&lt;P3_DESDE,P3A_PVP,P3_PVP)-IF($A222&lt;P3_DESDE,P3A_CPROD,P3_CPROD))-IF(ISNUMBER(L222),L222,E222*P1_LOG+F222*P2_LOG+G222*P3_LOG)</f>
        <v>0</v>
      </c>
      <c r="X222" s="33" t="n">
        <f aca="false">W222-(E222*P1_IVAN+F222*P2_IVAN+G222*IF($A222&lt;P3_DESDE,P3A_IVAN,P3_IVAN))-(H222+I222+J222)*(COSTE_DEV-IVA_DEV)-AM222-AO222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E222+AA222*TASA_USADA</f>
        <v>0</v>
      </c>
      <c r="AE222" s="59" t="n">
        <f aca="false">F222+AB222*TASA_USADA</f>
        <v>0</v>
      </c>
      <c r="AF222" s="59" t="n">
        <f aca="false">G222+AC222*TASA_USADA</f>
        <v>0</v>
      </c>
      <c r="AG222" s="59" t="n">
        <f aca="false">H222+I222+J222+(AA222+AB222+AC222)*(1-TASA_USADA)</f>
        <v>0</v>
      </c>
      <c r="AH222" s="60" t="n">
        <f aca="false">AD222*P1_PVP+AE222*P2_PVP+AF222*IF($A222&lt;P3_DESDE,P3A_PVP,P3_PVP)</f>
        <v>0</v>
      </c>
      <c r="AI222" s="60" t="n">
        <f aca="false">AD222*P1_CPROD+AE222*P2_CPROD+AF222*IF($A222&lt;P3_DESDE,P3A_CPROD,P3_CPROD)</f>
        <v>0</v>
      </c>
      <c r="AJ222" s="60" t="n">
        <f aca="false">IF(ISNUMBER(L222),L222,E222*P1_LOG+F222*P2_LOG+G222*P3_LOG)+IF(ISNUMBER(M222),M222,AA222*P1_LOG+AB222*P2_LOG+AC222*P3_LOG)*TASA_USADA</f>
        <v>0</v>
      </c>
      <c r="AK222" s="60" t="n">
        <f aca="false">AG222*COSTE_DEV</f>
        <v>0</v>
      </c>
      <c r="AL222" s="60" t="n">
        <f aca="false">AD222*P1_IVAN+AE222*P2_IVAN+AF222*IF($A222&lt;P3_DESDE,P3A_IVAN,P3_IVAN)-AG222*IVA_DEV</f>
        <v>0</v>
      </c>
      <c r="AM222" s="60" t="n">
        <f aca="false">N222*(1+RECARGO_ADS)</f>
        <v>0</v>
      </c>
      <c r="AN222" s="58" t="n">
        <f aca="false">IF(ISNUMBER(L222),E222+F222+G222+AA222+AB222+AC222,0)</f>
        <v>0</v>
      </c>
      <c r="AO222" s="60" t="n">
        <f aca="false">P222*COMISION</f>
        <v>0</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B223*P1_PVP+C223*P2_PVP+D223*IF($A223&lt;P3_DESDE,P3A_PVP,P3_PVP)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E223*(P1_PVP-P1_CPROD)+F223*(P2_PVP-P2_CPROD)+G223*(IF($A223&lt;P3_DESDE,P3A_PVP,P3_PVP)-IF($A223&lt;P3_DESDE,P3A_CPROD,P3_CPROD))-IF(ISNUMBER(L223),L223,E223*P1_LOG+F223*P2_LOG+G223*P3_LOG)</f>
        <v>0</v>
      </c>
      <c r="X223" s="33" t="n">
        <f aca="false">W223-(E223*P1_IVAN+F223*P2_IVAN+G223*IF($A223&lt;P3_DESDE,P3A_IVAN,P3_IVAN))-(H223+I223+J223)*(COSTE_DEV-IVA_DEV)-AM223-AO223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E223+AA223*TASA_USADA</f>
        <v>0</v>
      </c>
      <c r="AE223" s="59" t="n">
        <f aca="false">F223+AB223*TASA_USADA</f>
        <v>0</v>
      </c>
      <c r="AF223" s="59" t="n">
        <f aca="false">G223+AC223*TASA_USADA</f>
        <v>0</v>
      </c>
      <c r="AG223" s="59" t="n">
        <f aca="false">H223+I223+J223+(AA223+AB223+AC223)*(1-TASA_USADA)</f>
        <v>0</v>
      </c>
      <c r="AH223" s="60" t="n">
        <f aca="false">AD223*P1_PVP+AE223*P2_PVP+AF223*IF($A223&lt;P3_DESDE,P3A_PVP,P3_PVP)</f>
        <v>0</v>
      </c>
      <c r="AI223" s="60" t="n">
        <f aca="false">AD223*P1_CPROD+AE223*P2_CPROD+AF223*IF($A223&lt;P3_DESDE,P3A_CPROD,P3_CPROD)</f>
        <v>0</v>
      </c>
      <c r="AJ223" s="60" t="n">
        <f aca="false">IF(ISNUMBER(L223),L223,E223*P1_LOG+F223*P2_LOG+G223*P3_LOG)+IF(ISNUMBER(M223),M223,AA223*P1_LOG+AB223*P2_LOG+AC223*P3_LOG)*TASA_USADA</f>
        <v>0</v>
      </c>
      <c r="AK223" s="60" t="n">
        <f aca="false">AG223*COSTE_DEV</f>
        <v>0</v>
      </c>
      <c r="AL223" s="60" t="n">
        <f aca="false">AD223*P1_IVAN+AE223*P2_IVAN+AF223*IF($A223&lt;P3_DESDE,P3A_IVAN,P3_IVAN)-AG223*IVA_DEV</f>
        <v>0</v>
      </c>
      <c r="AM223" s="60" t="n">
        <f aca="false">N223*(1+RECARGO_ADS)</f>
        <v>0</v>
      </c>
      <c r="AN223" s="58" t="n">
        <f aca="false">IF(ISNUMBER(L223),E223+F223+G223+AA223+AB223+AC223,0)</f>
        <v>0</v>
      </c>
      <c r="AO223" s="60" t="n">
        <f aca="false">P223*COMISION</f>
        <v>0</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B224*P1_PVP+C224*P2_PVP+D224*IF($A224&lt;P3_DESDE,P3A_PVP,P3_PVP)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E224*(P1_PVP-P1_CPROD)+F224*(P2_PVP-P2_CPROD)+G224*(IF($A224&lt;P3_DESDE,P3A_PVP,P3_PVP)-IF($A224&lt;P3_DESDE,P3A_CPROD,P3_CPROD))-IF(ISNUMBER(L224),L224,E224*P1_LOG+F224*P2_LOG+G224*P3_LOG)</f>
        <v>0</v>
      </c>
      <c r="X224" s="33" t="n">
        <f aca="false">W224-(E224*P1_IVAN+F224*P2_IVAN+G224*IF($A224&lt;P3_DESDE,P3A_IVAN,P3_IVAN))-(H224+I224+J224)*(COSTE_DEV-IVA_DEV)-AM224-AO224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E224+AA224*TASA_USADA</f>
        <v>0</v>
      </c>
      <c r="AE224" s="59" t="n">
        <f aca="false">F224+AB224*TASA_USADA</f>
        <v>0</v>
      </c>
      <c r="AF224" s="59" t="n">
        <f aca="false">G224+AC224*TASA_USADA</f>
        <v>0</v>
      </c>
      <c r="AG224" s="59" t="n">
        <f aca="false">H224+I224+J224+(AA224+AB224+AC224)*(1-TASA_USADA)</f>
        <v>0</v>
      </c>
      <c r="AH224" s="60" t="n">
        <f aca="false">AD224*P1_PVP+AE224*P2_PVP+AF224*IF($A224&lt;P3_DESDE,P3A_PVP,P3_PVP)</f>
        <v>0</v>
      </c>
      <c r="AI224" s="60" t="n">
        <f aca="false">AD224*P1_CPROD+AE224*P2_CPROD+AF224*IF($A224&lt;P3_DESDE,P3A_CPROD,P3_CPROD)</f>
        <v>0</v>
      </c>
      <c r="AJ224" s="60" t="n">
        <f aca="false">IF(ISNUMBER(L224),L224,E224*P1_LOG+F224*P2_LOG+G224*P3_LOG)+IF(ISNUMBER(M224),M224,AA224*P1_LOG+AB224*P2_LOG+AC224*P3_LOG)*TASA_USADA</f>
        <v>0</v>
      </c>
      <c r="AK224" s="60" t="n">
        <f aca="false">AG224*COSTE_DEV</f>
        <v>0</v>
      </c>
      <c r="AL224" s="60" t="n">
        <f aca="false">AD224*P1_IVAN+AE224*P2_IVAN+AF224*IF($A224&lt;P3_DESDE,P3A_IVAN,P3_IVAN)-AG224*IVA_DEV</f>
        <v>0</v>
      </c>
      <c r="AM224" s="60" t="n">
        <f aca="false">N224*(1+RECARGO_ADS)</f>
        <v>0</v>
      </c>
      <c r="AN224" s="58" t="n">
        <f aca="false">IF(ISNUMBER(L224),E224+F224+G224+AA224+AB224+AC224,0)</f>
        <v>0</v>
      </c>
      <c r="AO224" s="60" t="n">
        <f aca="false">P224*COMISION</f>
        <v>0</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B225*P1_PVP+C225*P2_PVP+D225*IF($A225&lt;P3_DESDE,P3A_PVP,P3_PVP)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E225*(P1_PVP-P1_CPROD)+F225*(P2_PVP-P2_CPROD)+G225*(IF($A225&lt;P3_DESDE,P3A_PVP,P3_PVP)-IF($A225&lt;P3_DESDE,P3A_CPROD,P3_CPROD))-IF(ISNUMBER(L225),L225,E225*P1_LOG+F225*P2_LOG+G225*P3_LOG)</f>
        <v>0</v>
      </c>
      <c r="X225" s="33" t="n">
        <f aca="false">W225-(E225*P1_IVAN+F225*P2_IVAN+G225*IF($A225&lt;P3_DESDE,P3A_IVAN,P3_IVAN))-(H225+I225+J225)*(COSTE_DEV-IVA_DEV)-AM225-AO225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E225+AA225*TASA_USADA</f>
        <v>0</v>
      </c>
      <c r="AE225" s="59" t="n">
        <f aca="false">F225+AB225*TASA_USADA</f>
        <v>0</v>
      </c>
      <c r="AF225" s="59" t="n">
        <f aca="false">G225+AC225*TASA_USADA</f>
        <v>0</v>
      </c>
      <c r="AG225" s="59" t="n">
        <f aca="false">H225+I225+J225+(AA225+AB225+AC225)*(1-TASA_USADA)</f>
        <v>0</v>
      </c>
      <c r="AH225" s="60" t="n">
        <f aca="false">AD225*P1_PVP+AE225*P2_PVP+AF225*IF($A225&lt;P3_DESDE,P3A_PVP,P3_PVP)</f>
        <v>0</v>
      </c>
      <c r="AI225" s="60" t="n">
        <f aca="false">AD225*P1_CPROD+AE225*P2_CPROD+AF225*IF($A225&lt;P3_DESDE,P3A_CPROD,P3_CPROD)</f>
        <v>0</v>
      </c>
      <c r="AJ225" s="60" t="n">
        <f aca="false">IF(ISNUMBER(L225),L225,E225*P1_LOG+F225*P2_LOG+G225*P3_LOG)+IF(ISNUMBER(M225),M225,AA225*P1_LOG+AB225*P2_LOG+AC225*P3_LOG)*TASA_USADA</f>
        <v>0</v>
      </c>
      <c r="AK225" s="60" t="n">
        <f aca="false">AG225*COSTE_DEV</f>
        <v>0</v>
      </c>
      <c r="AL225" s="60" t="n">
        <f aca="false">AD225*P1_IVAN+AE225*P2_IVAN+AF225*IF($A225&lt;P3_DESDE,P3A_IVAN,P3_IVAN)-AG225*IVA_DEV</f>
        <v>0</v>
      </c>
      <c r="AM225" s="60" t="n">
        <f aca="false">N225*(1+RECARGO_ADS)</f>
        <v>0</v>
      </c>
      <c r="AN225" s="58" t="n">
        <f aca="false">IF(ISNUMBER(L225),E225+F225+G225+AA225+AB225+AC225,0)</f>
        <v>0</v>
      </c>
      <c r="AO225" s="60" t="n">
        <f aca="false">P225*COMISION</f>
        <v>0</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B226*P1_PVP+C226*P2_PVP+D226*IF($A226&lt;P3_DESDE,P3A_PVP,P3_PVP)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E226*(P1_PVP-P1_CPROD)+F226*(P2_PVP-P2_CPROD)+G226*(IF($A226&lt;P3_DESDE,P3A_PVP,P3_PVP)-IF($A226&lt;P3_DESDE,P3A_CPROD,P3_CPROD))-IF(ISNUMBER(L226),L226,E226*P1_LOG+F226*P2_LOG+G226*P3_LOG)</f>
        <v>0</v>
      </c>
      <c r="X226" s="33" t="n">
        <f aca="false">W226-(E226*P1_IVAN+F226*P2_IVAN+G226*IF($A226&lt;P3_DESDE,P3A_IVAN,P3_IVAN))-(H226+I226+J226)*(COSTE_DEV-IVA_DEV)-AM226-AO226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E226+AA226*TASA_USADA</f>
        <v>0</v>
      </c>
      <c r="AE226" s="59" t="n">
        <f aca="false">F226+AB226*TASA_USADA</f>
        <v>0</v>
      </c>
      <c r="AF226" s="59" t="n">
        <f aca="false">G226+AC226*TASA_USADA</f>
        <v>0</v>
      </c>
      <c r="AG226" s="59" t="n">
        <f aca="false">H226+I226+J226+(AA226+AB226+AC226)*(1-TASA_USADA)</f>
        <v>0</v>
      </c>
      <c r="AH226" s="60" t="n">
        <f aca="false">AD226*P1_PVP+AE226*P2_PVP+AF226*IF($A226&lt;P3_DESDE,P3A_PVP,P3_PVP)</f>
        <v>0</v>
      </c>
      <c r="AI226" s="60" t="n">
        <f aca="false">AD226*P1_CPROD+AE226*P2_CPROD+AF226*IF($A226&lt;P3_DESDE,P3A_CPROD,P3_CPROD)</f>
        <v>0</v>
      </c>
      <c r="AJ226" s="60" t="n">
        <f aca="false">IF(ISNUMBER(L226),L226,E226*P1_LOG+F226*P2_LOG+G226*P3_LOG)+IF(ISNUMBER(M226),M226,AA226*P1_LOG+AB226*P2_LOG+AC226*P3_LOG)*TASA_USADA</f>
        <v>0</v>
      </c>
      <c r="AK226" s="60" t="n">
        <f aca="false">AG226*COSTE_DEV</f>
        <v>0</v>
      </c>
      <c r="AL226" s="60" t="n">
        <f aca="false">AD226*P1_IVAN+AE226*P2_IVAN+AF226*IF($A226&lt;P3_DESDE,P3A_IVAN,P3_IVAN)-AG226*IVA_DEV</f>
        <v>0</v>
      </c>
      <c r="AM226" s="60" t="n">
        <f aca="false">N226*(1+RECARGO_ADS)</f>
        <v>0</v>
      </c>
      <c r="AN226" s="58" t="n">
        <f aca="false">IF(ISNUMBER(L226),E226+F226+G226+AA226+AB226+AC226,0)</f>
        <v>0</v>
      </c>
      <c r="AO226" s="60" t="n">
        <f aca="false">P226*COMISION</f>
        <v>0</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B227*P1_PVP+C227*P2_PVP+D227*IF($A227&lt;P3_DESDE,P3A_PVP,P3_PVP)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E227*(P1_PVP-P1_CPROD)+F227*(P2_PVP-P2_CPROD)+G227*(IF($A227&lt;P3_DESDE,P3A_PVP,P3_PVP)-IF($A227&lt;P3_DESDE,P3A_CPROD,P3_CPROD))-IF(ISNUMBER(L227),L227,E227*P1_LOG+F227*P2_LOG+G227*P3_LOG)</f>
        <v>0</v>
      </c>
      <c r="X227" s="33" t="n">
        <f aca="false">W227-(E227*P1_IVAN+F227*P2_IVAN+G227*IF($A227&lt;P3_DESDE,P3A_IVAN,P3_IVAN))-(H227+I227+J227)*(COSTE_DEV-IVA_DEV)-AM227-AO227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E227+AA227*TASA_USADA</f>
        <v>0</v>
      </c>
      <c r="AE227" s="59" t="n">
        <f aca="false">F227+AB227*TASA_USADA</f>
        <v>0</v>
      </c>
      <c r="AF227" s="59" t="n">
        <f aca="false">G227+AC227*TASA_USADA</f>
        <v>0</v>
      </c>
      <c r="AG227" s="59" t="n">
        <f aca="false">H227+I227+J227+(AA227+AB227+AC227)*(1-TASA_USADA)</f>
        <v>0</v>
      </c>
      <c r="AH227" s="60" t="n">
        <f aca="false">AD227*P1_PVP+AE227*P2_PVP+AF227*IF($A227&lt;P3_DESDE,P3A_PVP,P3_PVP)</f>
        <v>0</v>
      </c>
      <c r="AI227" s="60" t="n">
        <f aca="false">AD227*P1_CPROD+AE227*P2_CPROD+AF227*IF($A227&lt;P3_DESDE,P3A_CPROD,P3_CPROD)</f>
        <v>0</v>
      </c>
      <c r="AJ227" s="60" t="n">
        <f aca="false">IF(ISNUMBER(L227),L227,E227*P1_LOG+F227*P2_LOG+G227*P3_LOG)+IF(ISNUMBER(M227),M227,AA227*P1_LOG+AB227*P2_LOG+AC227*P3_LOG)*TASA_USADA</f>
        <v>0</v>
      </c>
      <c r="AK227" s="60" t="n">
        <f aca="false">AG227*COSTE_DEV</f>
        <v>0</v>
      </c>
      <c r="AL227" s="60" t="n">
        <f aca="false">AD227*P1_IVAN+AE227*P2_IVAN+AF227*IF($A227&lt;P3_DESDE,P3A_IVAN,P3_IVAN)-AG227*IVA_DEV</f>
        <v>0</v>
      </c>
      <c r="AM227" s="60" t="n">
        <f aca="false">N227*(1+RECARGO_ADS)</f>
        <v>0</v>
      </c>
      <c r="AN227" s="58" t="n">
        <f aca="false">IF(ISNUMBER(L227),E227+F227+G227+AA227+AB227+AC227,0)</f>
        <v>0</v>
      </c>
      <c r="AO227" s="60" t="n">
        <f aca="false">P227*COMISION</f>
        <v>0</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B228*P1_PVP+C228*P2_PVP+D228*IF($A228&lt;P3_DESDE,P3A_PVP,P3_PVP)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E228*(P1_PVP-P1_CPROD)+F228*(P2_PVP-P2_CPROD)+G228*(IF($A228&lt;P3_DESDE,P3A_PVP,P3_PVP)-IF($A228&lt;P3_DESDE,P3A_CPROD,P3_CPROD))-IF(ISNUMBER(L228),L228,E228*P1_LOG+F228*P2_LOG+G228*P3_LOG)</f>
        <v>0</v>
      </c>
      <c r="X228" s="33" t="n">
        <f aca="false">W228-(E228*P1_IVAN+F228*P2_IVAN+G228*IF($A228&lt;P3_DESDE,P3A_IVAN,P3_IVAN))-(H228+I228+J228)*(COSTE_DEV-IVA_DEV)-AM228-AO228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E228+AA228*TASA_USADA</f>
        <v>0</v>
      </c>
      <c r="AE228" s="59" t="n">
        <f aca="false">F228+AB228*TASA_USADA</f>
        <v>0</v>
      </c>
      <c r="AF228" s="59" t="n">
        <f aca="false">G228+AC228*TASA_USADA</f>
        <v>0</v>
      </c>
      <c r="AG228" s="59" t="n">
        <f aca="false">H228+I228+J228+(AA228+AB228+AC228)*(1-TASA_USADA)</f>
        <v>0</v>
      </c>
      <c r="AH228" s="60" t="n">
        <f aca="false">AD228*P1_PVP+AE228*P2_PVP+AF228*IF($A228&lt;P3_DESDE,P3A_PVP,P3_PVP)</f>
        <v>0</v>
      </c>
      <c r="AI228" s="60" t="n">
        <f aca="false">AD228*P1_CPROD+AE228*P2_CPROD+AF228*IF($A228&lt;P3_DESDE,P3A_CPROD,P3_CPROD)</f>
        <v>0</v>
      </c>
      <c r="AJ228" s="60" t="n">
        <f aca="false">IF(ISNUMBER(L228),L228,E228*P1_LOG+F228*P2_LOG+G228*P3_LOG)+IF(ISNUMBER(M228),M228,AA228*P1_LOG+AB228*P2_LOG+AC228*P3_LOG)*TASA_USADA</f>
        <v>0</v>
      </c>
      <c r="AK228" s="60" t="n">
        <f aca="false">AG228*COSTE_DEV</f>
        <v>0</v>
      </c>
      <c r="AL228" s="60" t="n">
        <f aca="false">AD228*P1_IVAN+AE228*P2_IVAN+AF228*IF($A228&lt;P3_DESDE,P3A_IVAN,P3_IVAN)-AG228*IVA_DEV</f>
        <v>0</v>
      </c>
      <c r="AM228" s="60" t="n">
        <f aca="false">N228*(1+RECARGO_ADS)</f>
        <v>0</v>
      </c>
      <c r="AN228" s="58" t="n">
        <f aca="false">IF(ISNUMBER(L228),E228+F228+G228+AA228+AB228+AC228,0)</f>
        <v>0</v>
      </c>
      <c r="AO228" s="60" t="n">
        <f aca="false">P228*COMISION</f>
        <v>0</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B229*P1_PVP+C229*P2_PVP+D229*IF($A229&lt;P3_DESDE,P3A_PVP,P3_PVP)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E229*(P1_PVP-P1_CPROD)+F229*(P2_PVP-P2_CPROD)+G229*(IF($A229&lt;P3_DESDE,P3A_PVP,P3_PVP)-IF($A229&lt;P3_DESDE,P3A_CPROD,P3_CPROD))-IF(ISNUMBER(L229),L229,E229*P1_LOG+F229*P2_LOG+G229*P3_LOG)</f>
        <v>0</v>
      </c>
      <c r="X229" s="33" t="n">
        <f aca="false">W229-(E229*P1_IVAN+F229*P2_IVAN+G229*IF($A229&lt;P3_DESDE,P3A_IVAN,P3_IVAN))-(H229+I229+J229)*(COSTE_DEV-IVA_DEV)-AM229-AO229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E229+AA229*TASA_USADA</f>
        <v>0</v>
      </c>
      <c r="AE229" s="59" t="n">
        <f aca="false">F229+AB229*TASA_USADA</f>
        <v>0</v>
      </c>
      <c r="AF229" s="59" t="n">
        <f aca="false">G229+AC229*TASA_USADA</f>
        <v>0</v>
      </c>
      <c r="AG229" s="59" t="n">
        <f aca="false">H229+I229+J229+(AA229+AB229+AC229)*(1-TASA_USADA)</f>
        <v>0</v>
      </c>
      <c r="AH229" s="60" t="n">
        <f aca="false">AD229*P1_PVP+AE229*P2_PVP+AF229*IF($A229&lt;P3_DESDE,P3A_PVP,P3_PVP)</f>
        <v>0</v>
      </c>
      <c r="AI229" s="60" t="n">
        <f aca="false">AD229*P1_CPROD+AE229*P2_CPROD+AF229*IF($A229&lt;P3_DESDE,P3A_CPROD,P3_CPROD)</f>
        <v>0</v>
      </c>
      <c r="AJ229" s="60" t="n">
        <f aca="false">IF(ISNUMBER(L229),L229,E229*P1_LOG+F229*P2_LOG+G229*P3_LOG)+IF(ISNUMBER(M229),M229,AA229*P1_LOG+AB229*P2_LOG+AC229*P3_LOG)*TASA_USADA</f>
        <v>0</v>
      </c>
      <c r="AK229" s="60" t="n">
        <f aca="false">AG229*COSTE_DEV</f>
        <v>0</v>
      </c>
      <c r="AL229" s="60" t="n">
        <f aca="false">AD229*P1_IVAN+AE229*P2_IVAN+AF229*IF($A229&lt;P3_DESDE,P3A_IVAN,P3_IVAN)-AG229*IVA_DEV</f>
        <v>0</v>
      </c>
      <c r="AM229" s="60" t="n">
        <f aca="false">N229*(1+RECARGO_ADS)</f>
        <v>0</v>
      </c>
      <c r="AN229" s="58" t="n">
        <f aca="false">IF(ISNUMBER(L229),E229+F229+G229+AA229+AB229+AC229,0)</f>
        <v>0</v>
      </c>
      <c r="AO229" s="60" t="n">
        <f aca="false">P229*COMISION</f>
        <v>0</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B230*P1_PVP+C230*P2_PVP+D230*IF($A230&lt;P3_DESDE,P3A_PVP,P3_PVP)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E230*(P1_PVP-P1_CPROD)+F230*(P2_PVP-P2_CPROD)+G230*(IF($A230&lt;P3_DESDE,P3A_PVP,P3_PVP)-IF($A230&lt;P3_DESDE,P3A_CPROD,P3_CPROD))-IF(ISNUMBER(L230),L230,E230*P1_LOG+F230*P2_LOG+G230*P3_LOG)</f>
        <v>0</v>
      </c>
      <c r="X230" s="33" t="n">
        <f aca="false">W230-(E230*P1_IVAN+F230*P2_IVAN+G230*IF($A230&lt;P3_DESDE,P3A_IVAN,P3_IVAN))-(H230+I230+J230)*(COSTE_DEV-IVA_DEV)-AM230-AO230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E230+AA230*TASA_USADA</f>
        <v>0</v>
      </c>
      <c r="AE230" s="59" t="n">
        <f aca="false">F230+AB230*TASA_USADA</f>
        <v>0</v>
      </c>
      <c r="AF230" s="59" t="n">
        <f aca="false">G230+AC230*TASA_USADA</f>
        <v>0</v>
      </c>
      <c r="AG230" s="59" t="n">
        <f aca="false">H230+I230+J230+(AA230+AB230+AC230)*(1-TASA_USADA)</f>
        <v>0</v>
      </c>
      <c r="AH230" s="60" t="n">
        <f aca="false">AD230*P1_PVP+AE230*P2_PVP+AF230*IF($A230&lt;P3_DESDE,P3A_PVP,P3_PVP)</f>
        <v>0</v>
      </c>
      <c r="AI230" s="60" t="n">
        <f aca="false">AD230*P1_CPROD+AE230*P2_CPROD+AF230*IF($A230&lt;P3_DESDE,P3A_CPROD,P3_CPROD)</f>
        <v>0</v>
      </c>
      <c r="AJ230" s="60" t="n">
        <f aca="false">IF(ISNUMBER(L230),L230,E230*P1_LOG+F230*P2_LOG+G230*P3_LOG)+IF(ISNUMBER(M230),M230,AA230*P1_LOG+AB230*P2_LOG+AC230*P3_LOG)*TASA_USADA</f>
        <v>0</v>
      </c>
      <c r="AK230" s="60" t="n">
        <f aca="false">AG230*COSTE_DEV</f>
        <v>0</v>
      </c>
      <c r="AL230" s="60" t="n">
        <f aca="false">AD230*P1_IVAN+AE230*P2_IVAN+AF230*IF($A230&lt;P3_DESDE,P3A_IVAN,P3_IVAN)-AG230*IVA_DEV</f>
        <v>0</v>
      </c>
      <c r="AM230" s="60" t="n">
        <f aca="false">N230*(1+RECARGO_ADS)</f>
        <v>0</v>
      </c>
      <c r="AN230" s="58" t="n">
        <f aca="false">IF(ISNUMBER(L230),E230+F230+G230+AA230+AB230+AC230,0)</f>
        <v>0</v>
      </c>
      <c r="AO230" s="60" t="n">
        <f aca="false">P230*COMISION</f>
        <v>0</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B231*P1_PVP+C231*P2_PVP+D231*IF($A231&lt;P3_DESDE,P3A_PVP,P3_PVP)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E231*(P1_PVP-P1_CPROD)+F231*(P2_PVP-P2_CPROD)+G231*(IF($A231&lt;P3_DESDE,P3A_PVP,P3_PVP)-IF($A231&lt;P3_DESDE,P3A_CPROD,P3_CPROD))-IF(ISNUMBER(L231),L231,E231*P1_LOG+F231*P2_LOG+G231*P3_LOG)</f>
        <v>0</v>
      </c>
      <c r="X231" s="33" t="n">
        <f aca="false">W231-(E231*P1_IVAN+F231*P2_IVAN+G231*IF($A231&lt;P3_DESDE,P3A_IVAN,P3_IVAN))-(H231+I231+J231)*(COSTE_DEV-IVA_DEV)-AM231-AO231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E231+AA231*TASA_USADA</f>
        <v>0</v>
      </c>
      <c r="AE231" s="59" t="n">
        <f aca="false">F231+AB231*TASA_USADA</f>
        <v>0</v>
      </c>
      <c r="AF231" s="59" t="n">
        <f aca="false">G231+AC231*TASA_USADA</f>
        <v>0</v>
      </c>
      <c r="AG231" s="59" t="n">
        <f aca="false">H231+I231+J231+(AA231+AB231+AC231)*(1-TASA_USADA)</f>
        <v>0</v>
      </c>
      <c r="AH231" s="60" t="n">
        <f aca="false">AD231*P1_PVP+AE231*P2_PVP+AF231*IF($A231&lt;P3_DESDE,P3A_PVP,P3_PVP)</f>
        <v>0</v>
      </c>
      <c r="AI231" s="60" t="n">
        <f aca="false">AD231*P1_CPROD+AE231*P2_CPROD+AF231*IF($A231&lt;P3_DESDE,P3A_CPROD,P3_CPROD)</f>
        <v>0</v>
      </c>
      <c r="AJ231" s="60" t="n">
        <f aca="false">IF(ISNUMBER(L231),L231,E231*P1_LOG+F231*P2_LOG+G231*P3_LOG)+IF(ISNUMBER(M231),M231,AA231*P1_LOG+AB231*P2_LOG+AC231*P3_LOG)*TASA_USADA</f>
        <v>0</v>
      </c>
      <c r="AK231" s="60" t="n">
        <f aca="false">AG231*COSTE_DEV</f>
        <v>0</v>
      </c>
      <c r="AL231" s="60" t="n">
        <f aca="false">AD231*P1_IVAN+AE231*P2_IVAN+AF231*IF($A231&lt;P3_DESDE,P3A_IVAN,P3_IVAN)-AG231*IVA_DEV</f>
        <v>0</v>
      </c>
      <c r="AM231" s="60" t="n">
        <f aca="false">N231*(1+RECARGO_ADS)</f>
        <v>0</v>
      </c>
      <c r="AN231" s="58" t="n">
        <f aca="false">IF(ISNUMBER(L231),E231+F231+G231+AA231+AB231+AC231,0)</f>
        <v>0</v>
      </c>
      <c r="AO231" s="60" t="n">
        <f aca="false">P231*COMISION</f>
        <v>0</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B232*P1_PVP+C232*P2_PVP+D232*IF($A232&lt;P3_DESDE,P3A_PVP,P3_PVP)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E232*(P1_PVP-P1_CPROD)+F232*(P2_PVP-P2_CPROD)+G232*(IF($A232&lt;P3_DESDE,P3A_PVP,P3_PVP)-IF($A232&lt;P3_DESDE,P3A_CPROD,P3_CPROD))-IF(ISNUMBER(L232),L232,E232*P1_LOG+F232*P2_LOG+G232*P3_LOG)</f>
        <v>0</v>
      </c>
      <c r="X232" s="33" t="n">
        <f aca="false">W232-(E232*P1_IVAN+F232*P2_IVAN+G232*IF($A232&lt;P3_DESDE,P3A_IVAN,P3_IVAN))-(H232+I232+J232)*(COSTE_DEV-IVA_DEV)-AM232-AO232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E232+AA232*TASA_USADA</f>
        <v>0</v>
      </c>
      <c r="AE232" s="59" t="n">
        <f aca="false">F232+AB232*TASA_USADA</f>
        <v>0</v>
      </c>
      <c r="AF232" s="59" t="n">
        <f aca="false">G232+AC232*TASA_USADA</f>
        <v>0</v>
      </c>
      <c r="AG232" s="59" t="n">
        <f aca="false">H232+I232+J232+(AA232+AB232+AC232)*(1-TASA_USADA)</f>
        <v>0</v>
      </c>
      <c r="AH232" s="60" t="n">
        <f aca="false">AD232*P1_PVP+AE232*P2_PVP+AF232*IF($A232&lt;P3_DESDE,P3A_PVP,P3_PVP)</f>
        <v>0</v>
      </c>
      <c r="AI232" s="60" t="n">
        <f aca="false">AD232*P1_CPROD+AE232*P2_CPROD+AF232*IF($A232&lt;P3_DESDE,P3A_CPROD,P3_CPROD)</f>
        <v>0</v>
      </c>
      <c r="AJ232" s="60" t="n">
        <f aca="false">IF(ISNUMBER(L232),L232,E232*P1_LOG+F232*P2_LOG+G232*P3_LOG)+IF(ISNUMBER(M232),M232,AA232*P1_LOG+AB232*P2_LOG+AC232*P3_LOG)*TASA_USADA</f>
        <v>0</v>
      </c>
      <c r="AK232" s="60" t="n">
        <f aca="false">AG232*COSTE_DEV</f>
        <v>0</v>
      </c>
      <c r="AL232" s="60" t="n">
        <f aca="false">AD232*P1_IVAN+AE232*P2_IVAN+AF232*IF($A232&lt;P3_DESDE,P3A_IVAN,P3_IVAN)-AG232*IVA_DEV</f>
        <v>0</v>
      </c>
      <c r="AM232" s="60" t="n">
        <f aca="false">N232*(1+RECARGO_ADS)</f>
        <v>0</v>
      </c>
      <c r="AN232" s="58" t="n">
        <f aca="false">IF(ISNUMBER(L232),E232+F232+G232+AA232+AB232+AC232,0)</f>
        <v>0</v>
      </c>
      <c r="AO232" s="60" t="n">
        <f aca="false">P232*COMISION</f>
        <v>0</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B233*P1_PVP+C233*P2_PVP+D233*IF($A233&lt;P3_DESDE,P3A_PVP,P3_PVP)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E233*(P1_PVP-P1_CPROD)+F233*(P2_PVP-P2_CPROD)+G233*(IF($A233&lt;P3_DESDE,P3A_PVP,P3_PVP)-IF($A233&lt;P3_DESDE,P3A_CPROD,P3_CPROD))-IF(ISNUMBER(L233),L233,E233*P1_LOG+F233*P2_LOG+G233*P3_LOG)</f>
        <v>0</v>
      </c>
      <c r="X233" s="33" t="n">
        <f aca="false">W233-(E233*P1_IVAN+F233*P2_IVAN+G233*IF($A233&lt;P3_DESDE,P3A_IVAN,P3_IVAN))-(H233+I233+J233)*(COSTE_DEV-IVA_DEV)-AM233-AO233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E233+AA233*TASA_USADA</f>
        <v>0</v>
      </c>
      <c r="AE233" s="59" t="n">
        <f aca="false">F233+AB233*TASA_USADA</f>
        <v>0</v>
      </c>
      <c r="AF233" s="59" t="n">
        <f aca="false">G233+AC233*TASA_USADA</f>
        <v>0</v>
      </c>
      <c r="AG233" s="59" t="n">
        <f aca="false">H233+I233+J233+(AA233+AB233+AC233)*(1-TASA_USADA)</f>
        <v>0</v>
      </c>
      <c r="AH233" s="60" t="n">
        <f aca="false">AD233*P1_PVP+AE233*P2_PVP+AF233*IF($A233&lt;P3_DESDE,P3A_PVP,P3_PVP)</f>
        <v>0</v>
      </c>
      <c r="AI233" s="60" t="n">
        <f aca="false">AD233*P1_CPROD+AE233*P2_CPROD+AF233*IF($A233&lt;P3_DESDE,P3A_CPROD,P3_CPROD)</f>
        <v>0</v>
      </c>
      <c r="AJ233" s="60" t="n">
        <f aca="false">IF(ISNUMBER(L233),L233,E233*P1_LOG+F233*P2_LOG+G233*P3_LOG)+IF(ISNUMBER(M233),M233,AA233*P1_LOG+AB233*P2_LOG+AC233*P3_LOG)*TASA_USADA</f>
        <v>0</v>
      </c>
      <c r="AK233" s="60" t="n">
        <f aca="false">AG233*COSTE_DEV</f>
        <v>0</v>
      </c>
      <c r="AL233" s="60" t="n">
        <f aca="false">AD233*P1_IVAN+AE233*P2_IVAN+AF233*IF($A233&lt;P3_DESDE,P3A_IVAN,P3_IVAN)-AG233*IVA_DEV</f>
        <v>0</v>
      </c>
      <c r="AM233" s="60" t="n">
        <f aca="false">N233*(1+RECARGO_ADS)</f>
        <v>0</v>
      </c>
      <c r="AN233" s="58" t="n">
        <f aca="false">IF(ISNUMBER(L233),E233+F233+G233+AA233+AB233+AC233,0)</f>
        <v>0</v>
      </c>
      <c r="AO233" s="60" t="n">
        <f aca="false">P233*COMISION</f>
        <v>0</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B234*P1_PVP+C234*P2_PVP+D234*IF($A234&lt;P3_DESDE,P3A_PVP,P3_PVP)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E234*(P1_PVP-P1_CPROD)+F234*(P2_PVP-P2_CPROD)+G234*(IF($A234&lt;P3_DESDE,P3A_PVP,P3_PVP)-IF($A234&lt;P3_DESDE,P3A_CPROD,P3_CPROD))-IF(ISNUMBER(L234),L234,E234*P1_LOG+F234*P2_LOG+G234*P3_LOG)</f>
        <v>0</v>
      </c>
      <c r="X234" s="33" t="n">
        <f aca="false">W234-(E234*P1_IVAN+F234*P2_IVAN+G234*IF($A234&lt;P3_DESDE,P3A_IVAN,P3_IVAN))-(H234+I234+J234)*(COSTE_DEV-IVA_DEV)-AM234-AO234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E234+AA234*TASA_USADA</f>
        <v>0</v>
      </c>
      <c r="AE234" s="59" t="n">
        <f aca="false">F234+AB234*TASA_USADA</f>
        <v>0</v>
      </c>
      <c r="AF234" s="59" t="n">
        <f aca="false">G234+AC234*TASA_USADA</f>
        <v>0</v>
      </c>
      <c r="AG234" s="59" t="n">
        <f aca="false">H234+I234+J234+(AA234+AB234+AC234)*(1-TASA_USADA)</f>
        <v>0</v>
      </c>
      <c r="AH234" s="60" t="n">
        <f aca="false">AD234*P1_PVP+AE234*P2_PVP+AF234*IF($A234&lt;P3_DESDE,P3A_PVP,P3_PVP)</f>
        <v>0</v>
      </c>
      <c r="AI234" s="60" t="n">
        <f aca="false">AD234*P1_CPROD+AE234*P2_CPROD+AF234*IF($A234&lt;P3_DESDE,P3A_CPROD,P3_CPROD)</f>
        <v>0</v>
      </c>
      <c r="AJ234" s="60" t="n">
        <f aca="false">IF(ISNUMBER(L234),L234,E234*P1_LOG+F234*P2_LOG+G234*P3_LOG)+IF(ISNUMBER(M234),M234,AA234*P1_LOG+AB234*P2_LOG+AC234*P3_LOG)*TASA_USADA</f>
        <v>0</v>
      </c>
      <c r="AK234" s="60" t="n">
        <f aca="false">AG234*COSTE_DEV</f>
        <v>0</v>
      </c>
      <c r="AL234" s="60" t="n">
        <f aca="false">AD234*P1_IVAN+AE234*P2_IVAN+AF234*IF($A234&lt;P3_DESDE,P3A_IVAN,P3_IVAN)-AG234*IVA_DEV</f>
        <v>0</v>
      </c>
      <c r="AM234" s="60" t="n">
        <f aca="false">N234*(1+RECARGO_ADS)</f>
        <v>0</v>
      </c>
      <c r="AN234" s="58" t="n">
        <f aca="false">IF(ISNUMBER(L234),E234+F234+G234+AA234+AB234+AC234,0)</f>
        <v>0</v>
      </c>
      <c r="AO234" s="60" t="n">
        <f aca="false">P234*COMISION</f>
        <v>0</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B235*P1_PVP+C235*P2_PVP+D235*IF($A235&lt;P3_DESDE,P3A_PVP,P3_PVP)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E235*(P1_PVP-P1_CPROD)+F235*(P2_PVP-P2_CPROD)+G235*(IF($A235&lt;P3_DESDE,P3A_PVP,P3_PVP)-IF($A235&lt;P3_DESDE,P3A_CPROD,P3_CPROD))-IF(ISNUMBER(L235),L235,E235*P1_LOG+F235*P2_LOG+G235*P3_LOG)</f>
        <v>0</v>
      </c>
      <c r="X235" s="33" t="n">
        <f aca="false">W235-(E235*P1_IVAN+F235*P2_IVAN+G235*IF($A235&lt;P3_DESDE,P3A_IVAN,P3_IVAN))-(H235+I235+J235)*(COSTE_DEV-IVA_DEV)-AM235-AO235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E235+AA235*TASA_USADA</f>
        <v>0</v>
      </c>
      <c r="AE235" s="59" t="n">
        <f aca="false">F235+AB235*TASA_USADA</f>
        <v>0</v>
      </c>
      <c r="AF235" s="59" t="n">
        <f aca="false">G235+AC235*TASA_USADA</f>
        <v>0</v>
      </c>
      <c r="AG235" s="59" t="n">
        <f aca="false">H235+I235+J235+(AA235+AB235+AC235)*(1-TASA_USADA)</f>
        <v>0</v>
      </c>
      <c r="AH235" s="60" t="n">
        <f aca="false">AD235*P1_PVP+AE235*P2_PVP+AF235*IF($A235&lt;P3_DESDE,P3A_PVP,P3_PVP)</f>
        <v>0</v>
      </c>
      <c r="AI235" s="60" t="n">
        <f aca="false">AD235*P1_CPROD+AE235*P2_CPROD+AF235*IF($A235&lt;P3_DESDE,P3A_CPROD,P3_CPROD)</f>
        <v>0</v>
      </c>
      <c r="AJ235" s="60" t="n">
        <f aca="false">IF(ISNUMBER(L235),L235,E235*P1_LOG+F235*P2_LOG+G235*P3_LOG)+IF(ISNUMBER(M235),M235,AA235*P1_LOG+AB235*P2_LOG+AC235*P3_LOG)*TASA_USADA</f>
        <v>0</v>
      </c>
      <c r="AK235" s="60" t="n">
        <f aca="false">AG235*COSTE_DEV</f>
        <v>0</v>
      </c>
      <c r="AL235" s="60" t="n">
        <f aca="false">AD235*P1_IVAN+AE235*P2_IVAN+AF235*IF($A235&lt;P3_DESDE,P3A_IVAN,P3_IVAN)-AG235*IVA_DEV</f>
        <v>0</v>
      </c>
      <c r="AM235" s="60" t="n">
        <f aca="false">N235*(1+RECARGO_ADS)</f>
        <v>0</v>
      </c>
      <c r="AN235" s="58" t="n">
        <f aca="false">IF(ISNUMBER(L235),E235+F235+G235+AA235+AB235+AC235,0)</f>
        <v>0</v>
      </c>
      <c r="AO235" s="60" t="n">
        <f aca="false">P235*COMISION</f>
        <v>0</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B236*P1_PVP+C236*P2_PVP+D236*IF($A236&lt;P3_DESDE,P3A_PVP,P3_PVP)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E236*(P1_PVP-P1_CPROD)+F236*(P2_PVP-P2_CPROD)+G236*(IF($A236&lt;P3_DESDE,P3A_PVP,P3_PVP)-IF($A236&lt;P3_DESDE,P3A_CPROD,P3_CPROD))-IF(ISNUMBER(L236),L236,E236*P1_LOG+F236*P2_LOG+G236*P3_LOG)</f>
        <v>0</v>
      </c>
      <c r="X236" s="33" t="n">
        <f aca="false">W236-(E236*P1_IVAN+F236*P2_IVAN+G236*IF($A236&lt;P3_DESDE,P3A_IVAN,P3_IVAN))-(H236+I236+J236)*(COSTE_DEV-IVA_DEV)-AM236-AO236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E236+AA236*TASA_USADA</f>
        <v>0</v>
      </c>
      <c r="AE236" s="59" t="n">
        <f aca="false">F236+AB236*TASA_USADA</f>
        <v>0</v>
      </c>
      <c r="AF236" s="59" t="n">
        <f aca="false">G236+AC236*TASA_USADA</f>
        <v>0</v>
      </c>
      <c r="AG236" s="59" t="n">
        <f aca="false">H236+I236+J236+(AA236+AB236+AC236)*(1-TASA_USADA)</f>
        <v>0</v>
      </c>
      <c r="AH236" s="60" t="n">
        <f aca="false">AD236*P1_PVP+AE236*P2_PVP+AF236*IF($A236&lt;P3_DESDE,P3A_PVP,P3_PVP)</f>
        <v>0</v>
      </c>
      <c r="AI236" s="60" t="n">
        <f aca="false">AD236*P1_CPROD+AE236*P2_CPROD+AF236*IF($A236&lt;P3_DESDE,P3A_CPROD,P3_CPROD)</f>
        <v>0</v>
      </c>
      <c r="AJ236" s="60" t="n">
        <f aca="false">IF(ISNUMBER(L236),L236,E236*P1_LOG+F236*P2_LOG+G236*P3_LOG)+IF(ISNUMBER(M236),M236,AA236*P1_LOG+AB236*P2_LOG+AC236*P3_LOG)*TASA_USADA</f>
        <v>0</v>
      </c>
      <c r="AK236" s="60" t="n">
        <f aca="false">AG236*COSTE_DEV</f>
        <v>0</v>
      </c>
      <c r="AL236" s="60" t="n">
        <f aca="false">AD236*P1_IVAN+AE236*P2_IVAN+AF236*IF($A236&lt;P3_DESDE,P3A_IVAN,P3_IVAN)-AG236*IVA_DEV</f>
        <v>0</v>
      </c>
      <c r="AM236" s="60" t="n">
        <f aca="false">N236*(1+RECARGO_ADS)</f>
        <v>0</v>
      </c>
      <c r="AN236" s="58" t="n">
        <f aca="false">IF(ISNUMBER(L236),E236+F236+G236+AA236+AB236+AC236,0)</f>
        <v>0</v>
      </c>
      <c r="AO236" s="60" t="n">
        <f aca="false">P236*COMISION</f>
        <v>0</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B237*P1_PVP+C237*P2_PVP+D237*IF($A237&lt;P3_DESDE,P3A_PVP,P3_PVP)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E237*(P1_PVP-P1_CPROD)+F237*(P2_PVP-P2_CPROD)+G237*(IF($A237&lt;P3_DESDE,P3A_PVP,P3_PVP)-IF($A237&lt;P3_DESDE,P3A_CPROD,P3_CPROD))-IF(ISNUMBER(L237),L237,E237*P1_LOG+F237*P2_LOG+G237*P3_LOG)</f>
        <v>0</v>
      </c>
      <c r="X237" s="33" t="n">
        <f aca="false">W237-(E237*P1_IVAN+F237*P2_IVAN+G237*IF($A237&lt;P3_DESDE,P3A_IVAN,P3_IVAN))-(H237+I237+J237)*(COSTE_DEV-IVA_DEV)-AM237-AO237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E237+AA237*TASA_USADA</f>
        <v>0</v>
      </c>
      <c r="AE237" s="59" t="n">
        <f aca="false">F237+AB237*TASA_USADA</f>
        <v>0</v>
      </c>
      <c r="AF237" s="59" t="n">
        <f aca="false">G237+AC237*TASA_USADA</f>
        <v>0</v>
      </c>
      <c r="AG237" s="59" t="n">
        <f aca="false">H237+I237+J237+(AA237+AB237+AC237)*(1-TASA_USADA)</f>
        <v>0</v>
      </c>
      <c r="AH237" s="60" t="n">
        <f aca="false">AD237*P1_PVP+AE237*P2_PVP+AF237*IF($A237&lt;P3_DESDE,P3A_PVP,P3_PVP)</f>
        <v>0</v>
      </c>
      <c r="AI237" s="60" t="n">
        <f aca="false">AD237*P1_CPROD+AE237*P2_CPROD+AF237*IF($A237&lt;P3_DESDE,P3A_CPROD,P3_CPROD)</f>
        <v>0</v>
      </c>
      <c r="AJ237" s="60" t="n">
        <f aca="false">IF(ISNUMBER(L237),L237,E237*P1_LOG+F237*P2_LOG+G237*P3_LOG)+IF(ISNUMBER(M237),M237,AA237*P1_LOG+AB237*P2_LOG+AC237*P3_LOG)*TASA_USADA</f>
        <v>0</v>
      </c>
      <c r="AK237" s="60" t="n">
        <f aca="false">AG237*COSTE_DEV</f>
        <v>0</v>
      </c>
      <c r="AL237" s="60" t="n">
        <f aca="false">AD237*P1_IVAN+AE237*P2_IVAN+AF237*IF($A237&lt;P3_DESDE,P3A_IVAN,P3_IVAN)-AG237*IVA_DEV</f>
        <v>0</v>
      </c>
      <c r="AM237" s="60" t="n">
        <f aca="false">N237*(1+RECARGO_ADS)</f>
        <v>0</v>
      </c>
      <c r="AN237" s="58" t="n">
        <f aca="false">IF(ISNUMBER(L237),E237+F237+G237+AA237+AB237+AC237,0)</f>
        <v>0</v>
      </c>
      <c r="AO237" s="60" t="n">
        <f aca="false">P237*COMISION</f>
        <v>0</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B238*P1_PVP+C238*P2_PVP+D238*IF($A238&lt;P3_DESDE,P3A_PVP,P3_PVP)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E238*(P1_PVP-P1_CPROD)+F238*(P2_PVP-P2_CPROD)+G238*(IF($A238&lt;P3_DESDE,P3A_PVP,P3_PVP)-IF($A238&lt;P3_DESDE,P3A_CPROD,P3_CPROD))-IF(ISNUMBER(L238),L238,E238*P1_LOG+F238*P2_LOG+G238*P3_LOG)</f>
        <v>0</v>
      </c>
      <c r="X238" s="33" t="n">
        <f aca="false">W238-(E238*P1_IVAN+F238*P2_IVAN+G238*IF($A238&lt;P3_DESDE,P3A_IVAN,P3_IVAN))-(H238+I238+J238)*(COSTE_DEV-IVA_DEV)-AM238-AO238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E238+AA238*TASA_USADA</f>
        <v>0</v>
      </c>
      <c r="AE238" s="59" t="n">
        <f aca="false">F238+AB238*TASA_USADA</f>
        <v>0</v>
      </c>
      <c r="AF238" s="59" t="n">
        <f aca="false">G238+AC238*TASA_USADA</f>
        <v>0</v>
      </c>
      <c r="AG238" s="59" t="n">
        <f aca="false">H238+I238+J238+(AA238+AB238+AC238)*(1-TASA_USADA)</f>
        <v>0</v>
      </c>
      <c r="AH238" s="60" t="n">
        <f aca="false">AD238*P1_PVP+AE238*P2_PVP+AF238*IF($A238&lt;P3_DESDE,P3A_PVP,P3_PVP)</f>
        <v>0</v>
      </c>
      <c r="AI238" s="60" t="n">
        <f aca="false">AD238*P1_CPROD+AE238*P2_CPROD+AF238*IF($A238&lt;P3_DESDE,P3A_CPROD,P3_CPROD)</f>
        <v>0</v>
      </c>
      <c r="AJ238" s="60" t="n">
        <f aca="false">IF(ISNUMBER(L238),L238,E238*P1_LOG+F238*P2_LOG+G238*P3_LOG)+IF(ISNUMBER(M238),M238,AA238*P1_LOG+AB238*P2_LOG+AC238*P3_LOG)*TASA_USADA</f>
        <v>0</v>
      </c>
      <c r="AK238" s="60" t="n">
        <f aca="false">AG238*COSTE_DEV</f>
        <v>0</v>
      </c>
      <c r="AL238" s="60" t="n">
        <f aca="false">AD238*P1_IVAN+AE238*P2_IVAN+AF238*IF($A238&lt;P3_DESDE,P3A_IVAN,P3_IVAN)-AG238*IVA_DEV</f>
        <v>0</v>
      </c>
      <c r="AM238" s="60" t="n">
        <f aca="false">N238*(1+RECARGO_ADS)</f>
        <v>0</v>
      </c>
      <c r="AN238" s="58" t="n">
        <f aca="false">IF(ISNUMBER(L238),E238+F238+G238+AA238+AB238+AC238,0)</f>
        <v>0</v>
      </c>
      <c r="AO238" s="60" t="n">
        <f aca="false">P238*COMISION</f>
        <v>0</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B239*P1_PVP+C239*P2_PVP+D239*IF($A239&lt;P3_DESDE,P3A_PVP,P3_PVP)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E239*(P1_PVP-P1_CPROD)+F239*(P2_PVP-P2_CPROD)+G239*(IF($A239&lt;P3_DESDE,P3A_PVP,P3_PVP)-IF($A239&lt;P3_DESDE,P3A_CPROD,P3_CPROD))-IF(ISNUMBER(L239),L239,E239*P1_LOG+F239*P2_LOG+G239*P3_LOG)</f>
        <v>0</v>
      </c>
      <c r="X239" s="33" t="n">
        <f aca="false">W239-(E239*P1_IVAN+F239*P2_IVAN+G239*IF($A239&lt;P3_DESDE,P3A_IVAN,P3_IVAN))-(H239+I239+J239)*(COSTE_DEV-IVA_DEV)-AM239-AO239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E239+AA239*TASA_USADA</f>
        <v>0</v>
      </c>
      <c r="AE239" s="59" t="n">
        <f aca="false">F239+AB239*TASA_USADA</f>
        <v>0</v>
      </c>
      <c r="AF239" s="59" t="n">
        <f aca="false">G239+AC239*TASA_USADA</f>
        <v>0</v>
      </c>
      <c r="AG239" s="59" t="n">
        <f aca="false">H239+I239+J239+(AA239+AB239+AC239)*(1-TASA_USADA)</f>
        <v>0</v>
      </c>
      <c r="AH239" s="60" t="n">
        <f aca="false">AD239*P1_PVP+AE239*P2_PVP+AF239*IF($A239&lt;P3_DESDE,P3A_PVP,P3_PVP)</f>
        <v>0</v>
      </c>
      <c r="AI239" s="60" t="n">
        <f aca="false">AD239*P1_CPROD+AE239*P2_CPROD+AF239*IF($A239&lt;P3_DESDE,P3A_CPROD,P3_CPROD)</f>
        <v>0</v>
      </c>
      <c r="AJ239" s="60" t="n">
        <f aca="false">IF(ISNUMBER(L239),L239,E239*P1_LOG+F239*P2_LOG+G239*P3_LOG)+IF(ISNUMBER(M239),M239,AA239*P1_LOG+AB239*P2_LOG+AC239*P3_LOG)*TASA_USADA</f>
        <v>0</v>
      </c>
      <c r="AK239" s="60" t="n">
        <f aca="false">AG239*COSTE_DEV</f>
        <v>0</v>
      </c>
      <c r="AL239" s="60" t="n">
        <f aca="false">AD239*P1_IVAN+AE239*P2_IVAN+AF239*IF($A239&lt;P3_DESDE,P3A_IVAN,P3_IVAN)-AG239*IVA_DEV</f>
        <v>0</v>
      </c>
      <c r="AM239" s="60" t="n">
        <f aca="false">N239*(1+RECARGO_ADS)</f>
        <v>0</v>
      </c>
      <c r="AN239" s="58" t="n">
        <f aca="false">IF(ISNUMBER(L239),E239+F239+G239+AA239+AB239+AC239,0)</f>
        <v>0</v>
      </c>
      <c r="AO239" s="60" t="n">
        <f aca="false">P239*COMISION</f>
        <v>0</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B240*P1_PVP+C240*P2_PVP+D240*IF($A240&lt;P3_DESDE,P3A_PVP,P3_PVP)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E240*(P1_PVP-P1_CPROD)+F240*(P2_PVP-P2_CPROD)+G240*(IF($A240&lt;P3_DESDE,P3A_PVP,P3_PVP)-IF($A240&lt;P3_DESDE,P3A_CPROD,P3_CPROD))-IF(ISNUMBER(L240),L240,E240*P1_LOG+F240*P2_LOG+G240*P3_LOG)</f>
        <v>0</v>
      </c>
      <c r="X240" s="33" t="n">
        <f aca="false">W240-(E240*P1_IVAN+F240*P2_IVAN+G240*IF($A240&lt;P3_DESDE,P3A_IVAN,P3_IVAN))-(H240+I240+J240)*(COSTE_DEV-IVA_DEV)-AM240-AO240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E240+AA240*TASA_USADA</f>
        <v>0</v>
      </c>
      <c r="AE240" s="59" t="n">
        <f aca="false">F240+AB240*TASA_USADA</f>
        <v>0</v>
      </c>
      <c r="AF240" s="59" t="n">
        <f aca="false">G240+AC240*TASA_USADA</f>
        <v>0</v>
      </c>
      <c r="AG240" s="59" t="n">
        <f aca="false">H240+I240+J240+(AA240+AB240+AC240)*(1-TASA_USADA)</f>
        <v>0</v>
      </c>
      <c r="AH240" s="60" t="n">
        <f aca="false">AD240*P1_PVP+AE240*P2_PVP+AF240*IF($A240&lt;P3_DESDE,P3A_PVP,P3_PVP)</f>
        <v>0</v>
      </c>
      <c r="AI240" s="60" t="n">
        <f aca="false">AD240*P1_CPROD+AE240*P2_CPROD+AF240*IF($A240&lt;P3_DESDE,P3A_CPROD,P3_CPROD)</f>
        <v>0</v>
      </c>
      <c r="AJ240" s="60" t="n">
        <f aca="false">IF(ISNUMBER(L240),L240,E240*P1_LOG+F240*P2_LOG+G240*P3_LOG)+IF(ISNUMBER(M240),M240,AA240*P1_LOG+AB240*P2_LOG+AC240*P3_LOG)*TASA_USADA</f>
        <v>0</v>
      </c>
      <c r="AK240" s="60" t="n">
        <f aca="false">AG240*COSTE_DEV</f>
        <v>0</v>
      </c>
      <c r="AL240" s="60" t="n">
        <f aca="false">AD240*P1_IVAN+AE240*P2_IVAN+AF240*IF($A240&lt;P3_DESDE,P3A_IVAN,P3_IVAN)-AG240*IVA_DEV</f>
        <v>0</v>
      </c>
      <c r="AM240" s="60" t="n">
        <f aca="false">N240*(1+RECARGO_ADS)</f>
        <v>0</v>
      </c>
      <c r="AN240" s="58" t="n">
        <f aca="false">IF(ISNUMBER(L240),E240+F240+G240+AA240+AB240+AC240,0)</f>
        <v>0</v>
      </c>
      <c r="AO240" s="60" t="n">
        <f aca="false">P240*COMISION</f>
        <v>0</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B241*P1_PVP+C241*P2_PVP+D241*IF($A241&lt;P3_DESDE,P3A_PVP,P3_PVP)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E241*(P1_PVP-P1_CPROD)+F241*(P2_PVP-P2_CPROD)+G241*(IF($A241&lt;P3_DESDE,P3A_PVP,P3_PVP)-IF($A241&lt;P3_DESDE,P3A_CPROD,P3_CPROD))-IF(ISNUMBER(L241),L241,E241*P1_LOG+F241*P2_LOG+G241*P3_LOG)</f>
        <v>0</v>
      </c>
      <c r="X241" s="33" t="n">
        <f aca="false">W241-(E241*P1_IVAN+F241*P2_IVAN+G241*IF($A241&lt;P3_DESDE,P3A_IVAN,P3_IVAN))-(H241+I241+J241)*(COSTE_DEV-IVA_DEV)-AM241-AO241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E241+AA241*TASA_USADA</f>
        <v>0</v>
      </c>
      <c r="AE241" s="59" t="n">
        <f aca="false">F241+AB241*TASA_USADA</f>
        <v>0</v>
      </c>
      <c r="AF241" s="59" t="n">
        <f aca="false">G241+AC241*TASA_USADA</f>
        <v>0</v>
      </c>
      <c r="AG241" s="59" t="n">
        <f aca="false">H241+I241+J241+(AA241+AB241+AC241)*(1-TASA_USADA)</f>
        <v>0</v>
      </c>
      <c r="AH241" s="60" t="n">
        <f aca="false">AD241*P1_PVP+AE241*P2_PVP+AF241*IF($A241&lt;P3_DESDE,P3A_PVP,P3_PVP)</f>
        <v>0</v>
      </c>
      <c r="AI241" s="60" t="n">
        <f aca="false">AD241*P1_CPROD+AE241*P2_CPROD+AF241*IF($A241&lt;P3_DESDE,P3A_CPROD,P3_CPROD)</f>
        <v>0</v>
      </c>
      <c r="AJ241" s="60" t="n">
        <f aca="false">IF(ISNUMBER(L241),L241,E241*P1_LOG+F241*P2_LOG+G241*P3_LOG)+IF(ISNUMBER(M241),M241,AA241*P1_LOG+AB241*P2_LOG+AC241*P3_LOG)*TASA_USADA</f>
        <v>0</v>
      </c>
      <c r="AK241" s="60" t="n">
        <f aca="false">AG241*COSTE_DEV</f>
        <v>0</v>
      </c>
      <c r="AL241" s="60" t="n">
        <f aca="false">AD241*P1_IVAN+AE241*P2_IVAN+AF241*IF($A241&lt;P3_DESDE,P3A_IVAN,P3_IVAN)-AG241*IVA_DEV</f>
        <v>0</v>
      </c>
      <c r="AM241" s="60" t="n">
        <f aca="false">N241*(1+RECARGO_ADS)</f>
        <v>0</v>
      </c>
      <c r="AN241" s="58" t="n">
        <f aca="false">IF(ISNUMBER(L241),E241+F241+G241+AA241+AB241+AC241,0)</f>
        <v>0</v>
      </c>
      <c r="AO241" s="60" t="n">
        <f aca="false">P241*COMISION</f>
        <v>0</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B242*P1_PVP+C242*P2_PVP+D242*IF($A242&lt;P3_DESDE,P3A_PVP,P3_PVP)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E242*(P1_PVP-P1_CPROD)+F242*(P2_PVP-P2_CPROD)+G242*(IF($A242&lt;P3_DESDE,P3A_PVP,P3_PVP)-IF($A242&lt;P3_DESDE,P3A_CPROD,P3_CPROD))-IF(ISNUMBER(L242),L242,E242*P1_LOG+F242*P2_LOG+G242*P3_LOG)</f>
        <v>0</v>
      </c>
      <c r="X242" s="33" t="n">
        <f aca="false">W242-(E242*P1_IVAN+F242*P2_IVAN+G242*IF($A242&lt;P3_DESDE,P3A_IVAN,P3_IVAN))-(H242+I242+J242)*(COSTE_DEV-IVA_DEV)-AM242-AO242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E242+AA242*TASA_USADA</f>
        <v>0</v>
      </c>
      <c r="AE242" s="59" t="n">
        <f aca="false">F242+AB242*TASA_USADA</f>
        <v>0</v>
      </c>
      <c r="AF242" s="59" t="n">
        <f aca="false">G242+AC242*TASA_USADA</f>
        <v>0</v>
      </c>
      <c r="AG242" s="59" t="n">
        <f aca="false">H242+I242+J242+(AA242+AB242+AC242)*(1-TASA_USADA)</f>
        <v>0</v>
      </c>
      <c r="AH242" s="60" t="n">
        <f aca="false">AD242*P1_PVP+AE242*P2_PVP+AF242*IF($A242&lt;P3_DESDE,P3A_PVP,P3_PVP)</f>
        <v>0</v>
      </c>
      <c r="AI242" s="60" t="n">
        <f aca="false">AD242*P1_CPROD+AE242*P2_CPROD+AF242*IF($A242&lt;P3_DESDE,P3A_CPROD,P3_CPROD)</f>
        <v>0</v>
      </c>
      <c r="AJ242" s="60" t="n">
        <f aca="false">IF(ISNUMBER(L242),L242,E242*P1_LOG+F242*P2_LOG+G242*P3_LOG)+IF(ISNUMBER(M242),M242,AA242*P1_LOG+AB242*P2_LOG+AC242*P3_LOG)*TASA_USADA</f>
        <v>0</v>
      </c>
      <c r="AK242" s="60" t="n">
        <f aca="false">AG242*COSTE_DEV</f>
        <v>0</v>
      </c>
      <c r="AL242" s="60" t="n">
        <f aca="false">AD242*P1_IVAN+AE242*P2_IVAN+AF242*IF($A242&lt;P3_DESDE,P3A_IVAN,P3_IVAN)-AG242*IVA_DEV</f>
        <v>0</v>
      </c>
      <c r="AM242" s="60" t="n">
        <f aca="false">N242*(1+RECARGO_ADS)</f>
        <v>0</v>
      </c>
      <c r="AN242" s="58" t="n">
        <f aca="false">IF(ISNUMBER(L242),E242+F242+G242+AA242+AB242+AC242,0)</f>
        <v>0</v>
      </c>
      <c r="AO242" s="60" t="n">
        <f aca="false">P242*COMISION</f>
        <v>0</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B243*P1_PVP+C243*P2_PVP+D243*IF($A243&lt;P3_DESDE,P3A_PVP,P3_PVP)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E243*(P1_PVP-P1_CPROD)+F243*(P2_PVP-P2_CPROD)+G243*(IF($A243&lt;P3_DESDE,P3A_PVP,P3_PVP)-IF($A243&lt;P3_DESDE,P3A_CPROD,P3_CPROD))-IF(ISNUMBER(L243),L243,E243*P1_LOG+F243*P2_LOG+G243*P3_LOG)</f>
        <v>0</v>
      </c>
      <c r="X243" s="33" t="n">
        <f aca="false">W243-(E243*P1_IVAN+F243*P2_IVAN+G243*IF($A243&lt;P3_DESDE,P3A_IVAN,P3_IVAN))-(H243+I243+J243)*(COSTE_DEV-IVA_DEV)-AM243-AO243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E243+AA243*TASA_USADA</f>
        <v>0</v>
      </c>
      <c r="AE243" s="59" t="n">
        <f aca="false">F243+AB243*TASA_USADA</f>
        <v>0</v>
      </c>
      <c r="AF243" s="59" t="n">
        <f aca="false">G243+AC243*TASA_USADA</f>
        <v>0</v>
      </c>
      <c r="AG243" s="59" t="n">
        <f aca="false">H243+I243+J243+(AA243+AB243+AC243)*(1-TASA_USADA)</f>
        <v>0</v>
      </c>
      <c r="AH243" s="60" t="n">
        <f aca="false">AD243*P1_PVP+AE243*P2_PVP+AF243*IF($A243&lt;P3_DESDE,P3A_PVP,P3_PVP)</f>
        <v>0</v>
      </c>
      <c r="AI243" s="60" t="n">
        <f aca="false">AD243*P1_CPROD+AE243*P2_CPROD+AF243*IF($A243&lt;P3_DESDE,P3A_CPROD,P3_CPROD)</f>
        <v>0</v>
      </c>
      <c r="AJ243" s="60" t="n">
        <f aca="false">IF(ISNUMBER(L243),L243,E243*P1_LOG+F243*P2_LOG+G243*P3_LOG)+IF(ISNUMBER(M243),M243,AA243*P1_LOG+AB243*P2_LOG+AC243*P3_LOG)*TASA_USADA</f>
        <v>0</v>
      </c>
      <c r="AK243" s="60" t="n">
        <f aca="false">AG243*COSTE_DEV</f>
        <v>0</v>
      </c>
      <c r="AL243" s="60" t="n">
        <f aca="false">AD243*P1_IVAN+AE243*P2_IVAN+AF243*IF($A243&lt;P3_DESDE,P3A_IVAN,P3_IVAN)-AG243*IVA_DEV</f>
        <v>0</v>
      </c>
      <c r="AM243" s="60" t="n">
        <f aca="false">N243*(1+RECARGO_ADS)</f>
        <v>0</v>
      </c>
      <c r="AN243" s="58" t="n">
        <f aca="false">IF(ISNUMBER(L243),E243+F243+G243+AA243+AB243+AC243,0)</f>
        <v>0</v>
      </c>
      <c r="AO243" s="60" t="n">
        <f aca="false">P243*COMISION</f>
        <v>0</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B244*P1_PVP+C244*P2_PVP+D244*IF($A244&lt;P3_DESDE,P3A_PVP,P3_PVP)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E244*(P1_PVP-P1_CPROD)+F244*(P2_PVP-P2_CPROD)+G244*(IF($A244&lt;P3_DESDE,P3A_PVP,P3_PVP)-IF($A244&lt;P3_DESDE,P3A_CPROD,P3_CPROD))-IF(ISNUMBER(L244),L244,E244*P1_LOG+F244*P2_LOG+G244*P3_LOG)</f>
        <v>0</v>
      </c>
      <c r="X244" s="33" t="n">
        <f aca="false">W244-(E244*P1_IVAN+F244*P2_IVAN+G244*IF($A244&lt;P3_DESDE,P3A_IVAN,P3_IVAN))-(H244+I244+J244)*(COSTE_DEV-IVA_DEV)-AM244-AO244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E244+AA244*TASA_USADA</f>
        <v>0</v>
      </c>
      <c r="AE244" s="59" t="n">
        <f aca="false">F244+AB244*TASA_USADA</f>
        <v>0</v>
      </c>
      <c r="AF244" s="59" t="n">
        <f aca="false">G244+AC244*TASA_USADA</f>
        <v>0</v>
      </c>
      <c r="AG244" s="59" t="n">
        <f aca="false">H244+I244+J244+(AA244+AB244+AC244)*(1-TASA_USADA)</f>
        <v>0</v>
      </c>
      <c r="AH244" s="60" t="n">
        <f aca="false">AD244*P1_PVP+AE244*P2_PVP+AF244*IF($A244&lt;P3_DESDE,P3A_PVP,P3_PVP)</f>
        <v>0</v>
      </c>
      <c r="AI244" s="60" t="n">
        <f aca="false">AD244*P1_CPROD+AE244*P2_CPROD+AF244*IF($A244&lt;P3_DESDE,P3A_CPROD,P3_CPROD)</f>
        <v>0</v>
      </c>
      <c r="AJ244" s="60" t="n">
        <f aca="false">IF(ISNUMBER(L244),L244,E244*P1_LOG+F244*P2_LOG+G244*P3_LOG)+IF(ISNUMBER(M244),M244,AA244*P1_LOG+AB244*P2_LOG+AC244*P3_LOG)*TASA_USADA</f>
        <v>0</v>
      </c>
      <c r="AK244" s="60" t="n">
        <f aca="false">AG244*COSTE_DEV</f>
        <v>0</v>
      </c>
      <c r="AL244" s="60" t="n">
        <f aca="false">AD244*P1_IVAN+AE244*P2_IVAN+AF244*IF($A244&lt;P3_DESDE,P3A_IVAN,P3_IVAN)-AG244*IVA_DEV</f>
        <v>0</v>
      </c>
      <c r="AM244" s="60" t="n">
        <f aca="false">N244*(1+RECARGO_ADS)</f>
        <v>0</v>
      </c>
      <c r="AN244" s="58" t="n">
        <f aca="false">IF(ISNUMBER(L244),E244+F244+G244+AA244+AB244+AC244,0)</f>
        <v>0</v>
      </c>
      <c r="AO244" s="60" t="n">
        <f aca="false">P244*COMISION</f>
        <v>0</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B245*P1_PVP+C245*P2_PVP+D245*IF($A245&lt;P3_DESDE,P3A_PVP,P3_PVP)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E245*(P1_PVP-P1_CPROD)+F245*(P2_PVP-P2_CPROD)+G245*(IF($A245&lt;P3_DESDE,P3A_PVP,P3_PVP)-IF($A245&lt;P3_DESDE,P3A_CPROD,P3_CPROD))-IF(ISNUMBER(L245),L245,E245*P1_LOG+F245*P2_LOG+G245*P3_LOG)</f>
        <v>0</v>
      </c>
      <c r="X245" s="33" t="n">
        <f aca="false">W245-(E245*P1_IVAN+F245*P2_IVAN+G245*IF($A245&lt;P3_DESDE,P3A_IVAN,P3_IVAN))-(H245+I245+J245)*(COSTE_DEV-IVA_DEV)-AM245-AO245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E245+AA245*TASA_USADA</f>
        <v>0</v>
      </c>
      <c r="AE245" s="59" t="n">
        <f aca="false">F245+AB245*TASA_USADA</f>
        <v>0</v>
      </c>
      <c r="AF245" s="59" t="n">
        <f aca="false">G245+AC245*TASA_USADA</f>
        <v>0</v>
      </c>
      <c r="AG245" s="59" t="n">
        <f aca="false">H245+I245+J245+(AA245+AB245+AC245)*(1-TASA_USADA)</f>
        <v>0</v>
      </c>
      <c r="AH245" s="60" t="n">
        <f aca="false">AD245*P1_PVP+AE245*P2_PVP+AF245*IF($A245&lt;P3_DESDE,P3A_PVP,P3_PVP)</f>
        <v>0</v>
      </c>
      <c r="AI245" s="60" t="n">
        <f aca="false">AD245*P1_CPROD+AE245*P2_CPROD+AF245*IF($A245&lt;P3_DESDE,P3A_CPROD,P3_CPROD)</f>
        <v>0</v>
      </c>
      <c r="AJ245" s="60" t="n">
        <f aca="false">IF(ISNUMBER(L245),L245,E245*P1_LOG+F245*P2_LOG+G245*P3_LOG)+IF(ISNUMBER(M245),M245,AA245*P1_LOG+AB245*P2_LOG+AC245*P3_LOG)*TASA_USADA</f>
        <v>0</v>
      </c>
      <c r="AK245" s="60" t="n">
        <f aca="false">AG245*COSTE_DEV</f>
        <v>0</v>
      </c>
      <c r="AL245" s="60" t="n">
        <f aca="false">AD245*P1_IVAN+AE245*P2_IVAN+AF245*IF($A245&lt;P3_DESDE,P3A_IVAN,P3_IVAN)-AG245*IVA_DEV</f>
        <v>0</v>
      </c>
      <c r="AM245" s="60" t="n">
        <f aca="false">N245*(1+RECARGO_ADS)</f>
        <v>0</v>
      </c>
      <c r="AN245" s="58" t="n">
        <f aca="false">IF(ISNUMBER(L245),E245+F245+G245+AA245+AB245+AC245,0)</f>
        <v>0</v>
      </c>
      <c r="AO245" s="60" t="n">
        <f aca="false">P245*COMISION</f>
        <v>0</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B246*P1_PVP+C246*P2_PVP+D246*IF($A246&lt;P3_DESDE,P3A_PVP,P3_PVP)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E246*(P1_PVP-P1_CPROD)+F246*(P2_PVP-P2_CPROD)+G246*(IF($A246&lt;P3_DESDE,P3A_PVP,P3_PVP)-IF($A246&lt;P3_DESDE,P3A_CPROD,P3_CPROD))-IF(ISNUMBER(L246),L246,E246*P1_LOG+F246*P2_LOG+G246*P3_LOG)</f>
        <v>0</v>
      </c>
      <c r="X246" s="33" t="n">
        <f aca="false">W246-(E246*P1_IVAN+F246*P2_IVAN+G246*IF($A246&lt;P3_DESDE,P3A_IVAN,P3_IVAN))-(H246+I246+J246)*(COSTE_DEV-IVA_DEV)-AM246-AO246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E246+AA246*TASA_USADA</f>
        <v>0</v>
      </c>
      <c r="AE246" s="59" t="n">
        <f aca="false">F246+AB246*TASA_USADA</f>
        <v>0</v>
      </c>
      <c r="AF246" s="59" t="n">
        <f aca="false">G246+AC246*TASA_USADA</f>
        <v>0</v>
      </c>
      <c r="AG246" s="59" t="n">
        <f aca="false">H246+I246+J246+(AA246+AB246+AC246)*(1-TASA_USADA)</f>
        <v>0</v>
      </c>
      <c r="AH246" s="60" t="n">
        <f aca="false">AD246*P1_PVP+AE246*P2_PVP+AF246*IF($A246&lt;P3_DESDE,P3A_PVP,P3_PVP)</f>
        <v>0</v>
      </c>
      <c r="AI246" s="60" t="n">
        <f aca="false">AD246*P1_CPROD+AE246*P2_CPROD+AF246*IF($A246&lt;P3_DESDE,P3A_CPROD,P3_CPROD)</f>
        <v>0</v>
      </c>
      <c r="AJ246" s="60" t="n">
        <f aca="false">IF(ISNUMBER(L246),L246,E246*P1_LOG+F246*P2_LOG+G246*P3_LOG)+IF(ISNUMBER(M246),M246,AA246*P1_LOG+AB246*P2_LOG+AC246*P3_LOG)*TASA_USADA</f>
        <v>0</v>
      </c>
      <c r="AK246" s="60" t="n">
        <f aca="false">AG246*COSTE_DEV</f>
        <v>0</v>
      </c>
      <c r="AL246" s="60" t="n">
        <f aca="false">AD246*P1_IVAN+AE246*P2_IVAN+AF246*IF($A246&lt;P3_DESDE,P3A_IVAN,P3_IVAN)-AG246*IVA_DEV</f>
        <v>0</v>
      </c>
      <c r="AM246" s="60" t="n">
        <f aca="false">N246*(1+RECARGO_ADS)</f>
        <v>0</v>
      </c>
      <c r="AN246" s="58" t="n">
        <f aca="false">IF(ISNUMBER(L246),E246+F246+G246+AA246+AB246+AC246,0)</f>
        <v>0</v>
      </c>
      <c r="AO246" s="60" t="n">
        <f aca="false">P246*COMISION</f>
        <v>0</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B247*P1_PVP+C247*P2_PVP+D247*IF($A247&lt;P3_DESDE,P3A_PVP,P3_PVP)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E247*(P1_PVP-P1_CPROD)+F247*(P2_PVP-P2_CPROD)+G247*(IF($A247&lt;P3_DESDE,P3A_PVP,P3_PVP)-IF($A247&lt;P3_DESDE,P3A_CPROD,P3_CPROD))-IF(ISNUMBER(L247),L247,E247*P1_LOG+F247*P2_LOG+G247*P3_LOG)</f>
        <v>0</v>
      </c>
      <c r="X247" s="33" t="n">
        <f aca="false">W247-(E247*P1_IVAN+F247*P2_IVAN+G247*IF($A247&lt;P3_DESDE,P3A_IVAN,P3_IVAN))-(H247+I247+J247)*(COSTE_DEV-IVA_DEV)-AM247-AO247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E247+AA247*TASA_USADA</f>
        <v>0</v>
      </c>
      <c r="AE247" s="59" t="n">
        <f aca="false">F247+AB247*TASA_USADA</f>
        <v>0</v>
      </c>
      <c r="AF247" s="59" t="n">
        <f aca="false">G247+AC247*TASA_USADA</f>
        <v>0</v>
      </c>
      <c r="AG247" s="59" t="n">
        <f aca="false">H247+I247+J247+(AA247+AB247+AC247)*(1-TASA_USADA)</f>
        <v>0</v>
      </c>
      <c r="AH247" s="60" t="n">
        <f aca="false">AD247*P1_PVP+AE247*P2_PVP+AF247*IF($A247&lt;P3_DESDE,P3A_PVP,P3_PVP)</f>
        <v>0</v>
      </c>
      <c r="AI247" s="60" t="n">
        <f aca="false">AD247*P1_CPROD+AE247*P2_CPROD+AF247*IF($A247&lt;P3_DESDE,P3A_CPROD,P3_CPROD)</f>
        <v>0</v>
      </c>
      <c r="AJ247" s="60" t="n">
        <f aca="false">IF(ISNUMBER(L247),L247,E247*P1_LOG+F247*P2_LOG+G247*P3_LOG)+IF(ISNUMBER(M247),M247,AA247*P1_LOG+AB247*P2_LOG+AC247*P3_LOG)*TASA_USADA</f>
        <v>0</v>
      </c>
      <c r="AK247" s="60" t="n">
        <f aca="false">AG247*COSTE_DEV</f>
        <v>0</v>
      </c>
      <c r="AL247" s="60" t="n">
        <f aca="false">AD247*P1_IVAN+AE247*P2_IVAN+AF247*IF($A247&lt;P3_DESDE,P3A_IVAN,P3_IVAN)-AG247*IVA_DEV</f>
        <v>0</v>
      </c>
      <c r="AM247" s="60" t="n">
        <f aca="false">N247*(1+RECARGO_ADS)</f>
        <v>0</v>
      </c>
      <c r="AN247" s="58" t="n">
        <f aca="false">IF(ISNUMBER(L247),E247+F247+G247+AA247+AB247+AC247,0)</f>
        <v>0</v>
      </c>
      <c r="AO247" s="60" t="n">
        <f aca="false">P247*COMISION</f>
        <v>0</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B248*P1_PVP+C248*P2_PVP+D248*IF($A248&lt;P3_DESDE,P3A_PVP,P3_PVP)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E248*(P1_PVP-P1_CPROD)+F248*(P2_PVP-P2_CPROD)+G248*(IF($A248&lt;P3_DESDE,P3A_PVP,P3_PVP)-IF($A248&lt;P3_DESDE,P3A_CPROD,P3_CPROD))-IF(ISNUMBER(L248),L248,E248*P1_LOG+F248*P2_LOG+G248*P3_LOG)</f>
        <v>0</v>
      </c>
      <c r="X248" s="33" t="n">
        <f aca="false">W248-(E248*P1_IVAN+F248*P2_IVAN+G248*IF($A248&lt;P3_DESDE,P3A_IVAN,P3_IVAN))-(H248+I248+J248)*(COSTE_DEV-IVA_DEV)-AM248-AO248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E248+AA248*TASA_USADA</f>
        <v>0</v>
      </c>
      <c r="AE248" s="59" t="n">
        <f aca="false">F248+AB248*TASA_USADA</f>
        <v>0</v>
      </c>
      <c r="AF248" s="59" t="n">
        <f aca="false">G248+AC248*TASA_USADA</f>
        <v>0</v>
      </c>
      <c r="AG248" s="59" t="n">
        <f aca="false">H248+I248+J248+(AA248+AB248+AC248)*(1-TASA_USADA)</f>
        <v>0</v>
      </c>
      <c r="AH248" s="60" t="n">
        <f aca="false">AD248*P1_PVP+AE248*P2_PVP+AF248*IF($A248&lt;P3_DESDE,P3A_PVP,P3_PVP)</f>
        <v>0</v>
      </c>
      <c r="AI248" s="60" t="n">
        <f aca="false">AD248*P1_CPROD+AE248*P2_CPROD+AF248*IF($A248&lt;P3_DESDE,P3A_CPROD,P3_CPROD)</f>
        <v>0</v>
      </c>
      <c r="AJ248" s="60" t="n">
        <f aca="false">IF(ISNUMBER(L248),L248,E248*P1_LOG+F248*P2_LOG+G248*P3_LOG)+IF(ISNUMBER(M248),M248,AA248*P1_LOG+AB248*P2_LOG+AC248*P3_LOG)*TASA_USADA</f>
        <v>0</v>
      </c>
      <c r="AK248" s="60" t="n">
        <f aca="false">AG248*COSTE_DEV</f>
        <v>0</v>
      </c>
      <c r="AL248" s="60" t="n">
        <f aca="false">AD248*P1_IVAN+AE248*P2_IVAN+AF248*IF($A248&lt;P3_DESDE,P3A_IVAN,P3_IVAN)-AG248*IVA_DEV</f>
        <v>0</v>
      </c>
      <c r="AM248" s="60" t="n">
        <f aca="false">N248*(1+RECARGO_ADS)</f>
        <v>0</v>
      </c>
      <c r="AN248" s="58" t="n">
        <f aca="false">IF(ISNUMBER(L248),E248+F248+G248+AA248+AB248+AC248,0)</f>
        <v>0</v>
      </c>
      <c r="AO248" s="60" t="n">
        <f aca="false">P248*COMISION</f>
        <v>0</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B249*P1_PVP+C249*P2_PVP+D249*IF($A249&lt;P3_DESDE,P3A_PVP,P3_PVP)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E249*(P1_PVP-P1_CPROD)+F249*(P2_PVP-P2_CPROD)+G249*(IF($A249&lt;P3_DESDE,P3A_PVP,P3_PVP)-IF($A249&lt;P3_DESDE,P3A_CPROD,P3_CPROD))-IF(ISNUMBER(L249),L249,E249*P1_LOG+F249*P2_LOG+G249*P3_LOG)</f>
        <v>0</v>
      </c>
      <c r="X249" s="33" t="n">
        <f aca="false">W249-(E249*P1_IVAN+F249*P2_IVAN+G249*IF($A249&lt;P3_DESDE,P3A_IVAN,P3_IVAN))-(H249+I249+J249)*(COSTE_DEV-IVA_DEV)-AM249-AO249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E249+AA249*TASA_USADA</f>
        <v>0</v>
      </c>
      <c r="AE249" s="59" t="n">
        <f aca="false">F249+AB249*TASA_USADA</f>
        <v>0</v>
      </c>
      <c r="AF249" s="59" t="n">
        <f aca="false">G249+AC249*TASA_USADA</f>
        <v>0</v>
      </c>
      <c r="AG249" s="59" t="n">
        <f aca="false">H249+I249+J249+(AA249+AB249+AC249)*(1-TASA_USADA)</f>
        <v>0</v>
      </c>
      <c r="AH249" s="60" t="n">
        <f aca="false">AD249*P1_PVP+AE249*P2_PVP+AF249*IF($A249&lt;P3_DESDE,P3A_PVP,P3_PVP)</f>
        <v>0</v>
      </c>
      <c r="AI249" s="60" t="n">
        <f aca="false">AD249*P1_CPROD+AE249*P2_CPROD+AF249*IF($A249&lt;P3_DESDE,P3A_CPROD,P3_CPROD)</f>
        <v>0</v>
      </c>
      <c r="AJ249" s="60" t="n">
        <f aca="false">IF(ISNUMBER(L249),L249,E249*P1_LOG+F249*P2_LOG+G249*P3_LOG)+IF(ISNUMBER(M249),M249,AA249*P1_LOG+AB249*P2_LOG+AC249*P3_LOG)*TASA_USADA</f>
        <v>0</v>
      </c>
      <c r="AK249" s="60" t="n">
        <f aca="false">AG249*COSTE_DEV</f>
        <v>0</v>
      </c>
      <c r="AL249" s="60" t="n">
        <f aca="false">AD249*P1_IVAN+AE249*P2_IVAN+AF249*IF($A249&lt;P3_DESDE,P3A_IVAN,P3_IVAN)-AG249*IVA_DEV</f>
        <v>0</v>
      </c>
      <c r="AM249" s="60" t="n">
        <f aca="false">N249*(1+RECARGO_ADS)</f>
        <v>0</v>
      </c>
      <c r="AN249" s="58" t="n">
        <f aca="false">IF(ISNUMBER(L249),E249+F249+G249+AA249+AB249+AC249,0)</f>
        <v>0</v>
      </c>
      <c r="AO249" s="60" t="n">
        <f aca="false">P249*COMISION</f>
        <v>0</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B250*P1_PVP+C250*P2_PVP+D250*IF($A250&lt;P3_DESDE,P3A_PVP,P3_PVP)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E250*(P1_PVP-P1_CPROD)+F250*(P2_PVP-P2_CPROD)+G250*(IF($A250&lt;P3_DESDE,P3A_PVP,P3_PVP)-IF($A250&lt;P3_DESDE,P3A_CPROD,P3_CPROD))-IF(ISNUMBER(L250),L250,E250*P1_LOG+F250*P2_LOG+G250*P3_LOG)</f>
        <v>0</v>
      </c>
      <c r="X250" s="33" t="n">
        <f aca="false">W250-(E250*P1_IVAN+F250*P2_IVAN+G250*IF($A250&lt;P3_DESDE,P3A_IVAN,P3_IVAN))-(H250+I250+J250)*(COSTE_DEV-IVA_DEV)-AM250-AO250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E250+AA250*TASA_USADA</f>
        <v>0</v>
      </c>
      <c r="AE250" s="59" t="n">
        <f aca="false">F250+AB250*TASA_USADA</f>
        <v>0</v>
      </c>
      <c r="AF250" s="59" t="n">
        <f aca="false">G250+AC250*TASA_USADA</f>
        <v>0</v>
      </c>
      <c r="AG250" s="59" t="n">
        <f aca="false">H250+I250+J250+(AA250+AB250+AC250)*(1-TASA_USADA)</f>
        <v>0</v>
      </c>
      <c r="AH250" s="60" t="n">
        <f aca="false">AD250*P1_PVP+AE250*P2_PVP+AF250*IF($A250&lt;P3_DESDE,P3A_PVP,P3_PVP)</f>
        <v>0</v>
      </c>
      <c r="AI250" s="60" t="n">
        <f aca="false">AD250*P1_CPROD+AE250*P2_CPROD+AF250*IF($A250&lt;P3_DESDE,P3A_CPROD,P3_CPROD)</f>
        <v>0</v>
      </c>
      <c r="AJ250" s="60" t="n">
        <f aca="false">IF(ISNUMBER(L250),L250,E250*P1_LOG+F250*P2_LOG+G250*P3_LOG)+IF(ISNUMBER(M250),M250,AA250*P1_LOG+AB250*P2_LOG+AC250*P3_LOG)*TASA_USADA</f>
        <v>0</v>
      </c>
      <c r="AK250" s="60" t="n">
        <f aca="false">AG250*COSTE_DEV</f>
        <v>0</v>
      </c>
      <c r="AL250" s="60" t="n">
        <f aca="false">AD250*P1_IVAN+AE250*P2_IVAN+AF250*IF($A250&lt;P3_DESDE,P3A_IVAN,P3_IVAN)-AG250*IVA_DEV</f>
        <v>0</v>
      </c>
      <c r="AM250" s="60" t="n">
        <f aca="false">N250*(1+RECARGO_ADS)</f>
        <v>0</v>
      </c>
      <c r="AN250" s="58" t="n">
        <f aca="false">IF(ISNUMBER(L250),E250+F250+G250+AA250+AB250+AC250,0)</f>
        <v>0</v>
      </c>
      <c r="AO250" s="60" t="n">
        <f aca="false">P250*COMISION</f>
        <v>0</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B251*P1_PVP+C251*P2_PVP+D251*IF($A251&lt;P3_DESDE,P3A_PVP,P3_PVP)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E251*(P1_PVP-P1_CPROD)+F251*(P2_PVP-P2_CPROD)+G251*(IF($A251&lt;P3_DESDE,P3A_PVP,P3_PVP)-IF($A251&lt;P3_DESDE,P3A_CPROD,P3_CPROD))-IF(ISNUMBER(L251),L251,E251*P1_LOG+F251*P2_LOG+G251*P3_LOG)</f>
        <v>0</v>
      </c>
      <c r="X251" s="33" t="n">
        <f aca="false">W251-(E251*P1_IVAN+F251*P2_IVAN+G251*IF($A251&lt;P3_DESDE,P3A_IVAN,P3_IVAN))-(H251+I251+J251)*(COSTE_DEV-IVA_DEV)-AM251-AO251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E251+AA251*TASA_USADA</f>
        <v>0</v>
      </c>
      <c r="AE251" s="59" t="n">
        <f aca="false">F251+AB251*TASA_USADA</f>
        <v>0</v>
      </c>
      <c r="AF251" s="59" t="n">
        <f aca="false">G251+AC251*TASA_USADA</f>
        <v>0</v>
      </c>
      <c r="AG251" s="59" t="n">
        <f aca="false">H251+I251+J251+(AA251+AB251+AC251)*(1-TASA_USADA)</f>
        <v>0</v>
      </c>
      <c r="AH251" s="60" t="n">
        <f aca="false">AD251*P1_PVP+AE251*P2_PVP+AF251*IF($A251&lt;P3_DESDE,P3A_PVP,P3_PVP)</f>
        <v>0</v>
      </c>
      <c r="AI251" s="60" t="n">
        <f aca="false">AD251*P1_CPROD+AE251*P2_CPROD+AF251*IF($A251&lt;P3_DESDE,P3A_CPROD,P3_CPROD)</f>
        <v>0</v>
      </c>
      <c r="AJ251" s="60" t="n">
        <f aca="false">IF(ISNUMBER(L251),L251,E251*P1_LOG+F251*P2_LOG+G251*P3_LOG)+IF(ISNUMBER(M251),M251,AA251*P1_LOG+AB251*P2_LOG+AC251*P3_LOG)*TASA_USADA</f>
        <v>0</v>
      </c>
      <c r="AK251" s="60" t="n">
        <f aca="false">AG251*COSTE_DEV</f>
        <v>0</v>
      </c>
      <c r="AL251" s="60" t="n">
        <f aca="false">AD251*P1_IVAN+AE251*P2_IVAN+AF251*IF($A251&lt;P3_DESDE,P3A_IVAN,P3_IVAN)-AG251*IVA_DEV</f>
        <v>0</v>
      </c>
      <c r="AM251" s="60" t="n">
        <f aca="false">N251*(1+RECARGO_ADS)</f>
        <v>0</v>
      </c>
      <c r="AN251" s="58" t="n">
        <f aca="false">IF(ISNUMBER(L251),E251+F251+G251+AA251+AB251+AC251,0)</f>
        <v>0</v>
      </c>
      <c r="AO251" s="60" t="n">
        <f aca="false">P251*COMISION</f>
        <v>0</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B252*P1_PVP+C252*P2_PVP+D252*IF($A252&lt;P3_DESDE,P3A_PVP,P3_PVP)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E252*(P1_PVP-P1_CPROD)+F252*(P2_PVP-P2_CPROD)+G252*(IF($A252&lt;P3_DESDE,P3A_PVP,P3_PVP)-IF($A252&lt;P3_DESDE,P3A_CPROD,P3_CPROD))-IF(ISNUMBER(L252),L252,E252*P1_LOG+F252*P2_LOG+G252*P3_LOG)</f>
        <v>0</v>
      </c>
      <c r="X252" s="33" t="n">
        <f aca="false">W252-(E252*P1_IVAN+F252*P2_IVAN+G252*IF($A252&lt;P3_DESDE,P3A_IVAN,P3_IVAN))-(H252+I252+J252)*(COSTE_DEV-IVA_DEV)-AM252-AO252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E252+AA252*TASA_USADA</f>
        <v>0</v>
      </c>
      <c r="AE252" s="59" t="n">
        <f aca="false">F252+AB252*TASA_USADA</f>
        <v>0</v>
      </c>
      <c r="AF252" s="59" t="n">
        <f aca="false">G252+AC252*TASA_USADA</f>
        <v>0</v>
      </c>
      <c r="AG252" s="59" t="n">
        <f aca="false">H252+I252+J252+(AA252+AB252+AC252)*(1-TASA_USADA)</f>
        <v>0</v>
      </c>
      <c r="AH252" s="60" t="n">
        <f aca="false">AD252*P1_PVP+AE252*P2_PVP+AF252*IF($A252&lt;P3_DESDE,P3A_PVP,P3_PVP)</f>
        <v>0</v>
      </c>
      <c r="AI252" s="60" t="n">
        <f aca="false">AD252*P1_CPROD+AE252*P2_CPROD+AF252*IF($A252&lt;P3_DESDE,P3A_CPROD,P3_CPROD)</f>
        <v>0</v>
      </c>
      <c r="AJ252" s="60" t="n">
        <f aca="false">IF(ISNUMBER(L252),L252,E252*P1_LOG+F252*P2_LOG+G252*P3_LOG)+IF(ISNUMBER(M252),M252,AA252*P1_LOG+AB252*P2_LOG+AC252*P3_LOG)*TASA_USADA</f>
        <v>0</v>
      </c>
      <c r="AK252" s="60" t="n">
        <f aca="false">AG252*COSTE_DEV</f>
        <v>0</v>
      </c>
      <c r="AL252" s="60" t="n">
        <f aca="false">AD252*P1_IVAN+AE252*P2_IVAN+AF252*IF($A252&lt;P3_DESDE,P3A_IVAN,P3_IVAN)-AG252*IVA_DEV</f>
        <v>0</v>
      </c>
      <c r="AM252" s="60" t="n">
        <f aca="false">N252*(1+RECARGO_ADS)</f>
        <v>0</v>
      </c>
      <c r="AN252" s="58" t="n">
        <f aca="false">IF(ISNUMBER(L252),E252+F252+G252+AA252+AB252+AC252,0)</f>
        <v>0</v>
      </c>
      <c r="AO252" s="60" t="n">
        <f aca="false">P252*COMISION</f>
        <v>0</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B253*P1_PVP+C253*P2_PVP+D253*IF($A253&lt;P3_DESDE,P3A_PVP,P3_PVP)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E253*(P1_PVP-P1_CPROD)+F253*(P2_PVP-P2_CPROD)+G253*(IF($A253&lt;P3_DESDE,P3A_PVP,P3_PVP)-IF($A253&lt;P3_DESDE,P3A_CPROD,P3_CPROD))-IF(ISNUMBER(L253),L253,E253*P1_LOG+F253*P2_LOG+G253*P3_LOG)</f>
        <v>0</v>
      </c>
      <c r="X253" s="33" t="n">
        <f aca="false">W253-(E253*P1_IVAN+F253*P2_IVAN+G253*IF($A253&lt;P3_DESDE,P3A_IVAN,P3_IVAN))-(H253+I253+J253)*(COSTE_DEV-IVA_DEV)-AM253-AO253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E253+AA253*TASA_USADA</f>
        <v>0</v>
      </c>
      <c r="AE253" s="59" t="n">
        <f aca="false">F253+AB253*TASA_USADA</f>
        <v>0</v>
      </c>
      <c r="AF253" s="59" t="n">
        <f aca="false">G253+AC253*TASA_USADA</f>
        <v>0</v>
      </c>
      <c r="AG253" s="59" t="n">
        <f aca="false">H253+I253+J253+(AA253+AB253+AC253)*(1-TASA_USADA)</f>
        <v>0</v>
      </c>
      <c r="AH253" s="60" t="n">
        <f aca="false">AD253*P1_PVP+AE253*P2_PVP+AF253*IF($A253&lt;P3_DESDE,P3A_PVP,P3_PVP)</f>
        <v>0</v>
      </c>
      <c r="AI253" s="60" t="n">
        <f aca="false">AD253*P1_CPROD+AE253*P2_CPROD+AF253*IF($A253&lt;P3_DESDE,P3A_CPROD,P3_CPROD)</f>
        <v>0</v>
      </c>
      <c r="AJ253" s="60" t="n">
        <f aca="false">IF(ISNUMBER(L253),L253,E253*P1_LOG+F253*P2_LOG+G253*P3_LOG)+IF(ISNUMBER(M253),M253,AA253*P1_LOG+AB253*P2_LOG+AC253*P3_LOG)*TASA_USADA</f>
        <v>0</v>
      </c>
      <c r="AK253" s="60" t="n">
        <f aca="false">AG253*COSTE_DEV</f>
        <v>0</v>
      </c>
      <c r="AL253" s="60" t="n">
        <f aca="false">AD253*P1_IVAN+AE253*P2_IVAN+AF253*IF($A253&lt;P3_DESDE,P3A_IVAN,P3_IVAN)-AG253*IVA_DEV</f>
        <v>0</v>
      </c>
      <c r="AM253" s="60" t="n">
        <f aca="false">N253*(1+RECARGO_ADS)</f>
        <v>0</v>
      </c>
      <c r="AN253" s="58" t="n">
        <f aca="false">IF(ISNUMBER(L253),E253+F253+G253+AA253+AB253+AC253,0)</f>
        <v>0</v>
      </c>
      <c r="AO253" s="60" t="n">
        <f aca="false">P253*COMISION</f>
        <v>0</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B254*P1_PVP+C254*P2_PVP+D254*IF($A254&lt;P3_DESDE,P3A_PVP,P3_PVP)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E254*(P1_PVP-P1_CPROD)+F254*(P2_PVP-P2_CPROD)+G254*(IF($A254&lt;P3_DESDE,P3A_PVP,P3_PVP)-IF($A254&lt;P3_DESDE,P3A_CPROD,P3_CPROD))-IF(ISNUMBER(L254),L254,E254*P1_LOG+F254*P2_LOG+G254*P3_LOG)</f>
        <v>0</v>
      </c>
      <c r="X254" s="33" t="n">
        <f aca="false">W254-(E254*P1_IVAN+F254*P2_IVAN+G254*IF($A254&lt;P3_DESDE,P3A_IVAN,P3_IVAN))-(H254+I254+J254)*(COSTE_DEV-IVA_DEV)-AM254-AO254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E254+AA254*TASA_USADA</f>
        <v>0</v>
      </c>
      <c r="AE254" s="59" t="n">
        <f aca="false">F254+AB254*TASA_USADA</f>
        <v>0</v>
      </c>
      <c r="AF254" s="59" t="n">
        <f aca="false">G254+AC254*TASA_USADA</f>
        <v>0</v>
      </c>
      <c r="AG254" s="59" t="n">
        <f aca="false">H254+I254+J254+(AA254+AB254+AC254)*(1-TASA_USADA)</f>
        <v>0</v>
      </c>
      <c r="AH254" s="60" t="n">
        <f aca="false">AD254*P1_PVP+AE254*P2_PVP+AF254*IF($A254&lt;P3_DESDE,P3A_PVP,P3_PVP)</f>
        <v>0</v>
      </c>
      <c r="AI254" s="60" t="n">
        <f aca="false">AD254*P1_CPROD+AE254*P2_CPROD+AF254*IF($A254&lt;P3_DESDE,P3A_CPROD,P3_CPROD)</f>
        <v>0</v>
      </c>
      <c r="AJ254" s="60" t="n">
        <f aca="false">IF(ISNUMBER(L254),L254,E254*P1_LOG+F254*P2_LOG+G254*P3_LOG)+IF(ISNUMBER(M254),M254,AA254*P1_LOG+AB254*P2_LOG+AC254*P3_LOG)*TASA_USADA</f>
        <v>0</v>
      </c>
      <c r="AK254" s="60" t="n">
        <f aca="false">AG254*COSTE_DEV</f>
        <v>0</v>
      </c>
      <c r="AL254" s="60" t="n">
        <f aca="false">AD254*P1_IVAN+AE254*P2_IVAN+AF254*IF($A254&lt;P3_DESDE,P3A_IVAN,P3_IVAN)-AG254*IVA_DEV</f>
        <v>0</v>
      </c>
      <c r="AM254" s="60" t="n">
        <f aca="false">N254*(1+RECARGO_ADS)</f>
        <v>0</v>
      </c>
      <c r="AN254" s="58" t="n">
        <f aca="false">IF(ISNUMBER(L254),E254+F254+G254+AA254+AB254+AC254,0)</f>
        <v>0</v>
      </c>
      <c r="AO254" s="60" t="n">
        <f aca="false">P254*COMISION</f>
        <v>0</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B255*P1_PVP+C255*P2_PVP+D255*IF($A255&lt;P3_DESDE,P3A_PVP,P3_PVP)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E255*(P1_PVP-P1_CPROD)+F255*(P2_PVP-P2_CPROD)+G255*(IF($A255&lt;P3_DESDE,P3A_PVP,P3_PVP)-IF($A255&lt;P3_DESDE,P3A_CPROD,P3_CPROD))-IF(ISNUMBER(L255),L255,E255*P1_LOG+F255*P2_LOG+G255*P3_LOG)</f>
        <v>0</v>
      </c>
      <c r="X255" s="33" t="n">
        <f aca="false">W255-(E255*P1_IVAN+F255*P2_IVAN+G255*IF($A255&lt;P3_DESDE,P3A_IVAN,P3_IVAN))-(H255+I255+J255)*(COSTE_DEV-IVA_DEV)-AM255-AO255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E255+AA255*TASA_USADA</f>
        <v>0</v>
      </c>
      <c r="AE255" s="59" t="n">
        <f aca="false">F255+AB255*TASA_USADA</f>
        <v>0</v>
      </c>
      <c r="AF255" s="59" t="n">
        <f aca="false">G255+AC255*TASA_USADA</f>
        <v>0</v>
      </c>
      <c r="AG255" s="59" t="n">
        <f aca="false">H255+I255+J255+(AA255+AB255+AC255)*(1-TASA_USADA)</f>
        <v>0</v>
      </c>
      <c r="AH255" s="60" t="n">
        <f aca="false">AD255*P1_PVP+AE255*P2_PVP+AF255*IF($A255&lt;P3_DESDE,P3A_PVP,P3_PVP)</f>
        <v>0</v>
      </c>
      <c r="AI255" s="60" t="n">
        <f aca="false">AD255*P1_CPROD+AE255*P2_CPROD+AF255*IF($A255&lt;P3_DESDE,P3A_CPROD,P3_CPROD)</f>
        <v>0</v>
      </c>
      <c r="AJ255" s="60" t="n">
        <f aca="false">IF(ISNUMBER(L255),L255,E255*P1_LOG+F255*P2_LOG+G255*P3_LOG)+IF(ISNUMBER(M255),M255,AA255*P1_LOG+AB255*P2_LOG+AC255*P3_LOG)*TASA_USADA</f>
        <v>0</v>
      </c>
      <c r="AK255" s="60" t="n">
        <f aca="false">AG255*COSTE_DEV</f>
        <v>0</v>
      </c>
      <c r="AL255" s="60" t="n">
        <f aca="false">AD255*P1_IVAN+AE255*P2_IVAN+AF255*IF($A255&lt;P3_DESDE,P3A_IVAN,P3_IVAN)-AG255*IVA_DEV</f>
        <v>0</v>
      </c>
      <c r="AM255" s="60" t="n">
        <f aca="false">N255*(1+RECARGO_ADS)</f>
        <v>0</v>
      </c>
      <c r="AN255" s="58" t="n">
        <f aca="false">IF(ISNUMBER(L255),E255+F255+G255+AA255+AB255+AC255,0)</f>
        <v>0</v>
      </c>
      <c r="AO255" s="60" t="n">
        <f aca="false">P255*COMISION</f>
        <v>0</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B256*P1_PVP+C256*P2_PVP+D256*IF($A256&lt;P3_DESDE,P3A_PVP,P3_PVP)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E256*(P1_PVP-P1_CPROD)+F256*(P2_PVP-P2_CPROD)+G256*(IF($A256&lt;P3_DESDE,P3A_PVP,P3_PVP)-IF($A256&lt;P3_DESDE,P3A_CPROD,P3_CPROD))-IF(ISNUMBER(L256),L256,E256*P1_LOG+F256*P2_LOG+G256*P3_LOG)</f>
        <v>0</v>
      </c>
      <c r="X256" s="33" t="n">
        <f aca="false">W256-(E256*P1_IVAN+F256*P2_IVAN+G256*IF($A256&lt;P3_DESDE,P3A_IVAN,P3_IVAN))-(H256+I256+J256)*(COSTE_DEV-IVA_DEV)-AM256-AO256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E256+AA256*TASA_USADA</f>
        <v>0</v>
      </c>
      <c r="AE256" s="59" t="n">
        <f aca="false">F256+AB256*TASA_USADA</f>
        <v>0</v>
      </c>
      <c r="AF256" s="59" t="n">
        <f aca="false">G256+AC256*TASA_USADA</f>
        <v>0</v>
      </c>
      <c r="AG256" s="59" t="n">
        <f aca="false">H256+I256+J256+(AA256+AB256+AC256)*(1-TASA_USADA)</f>
        <v>0</v>
      </c>
      <c r="AH256" s="60" t="n">
        <f aca="false">AD256*P1_PVP+AE256*P2_PVP+AF256*IF($A256&lt;P3_DESDE,P3A_PVP,P3_PVP)</f>
        <v>0</v>
      </c>
      <c r="AI256" s="60" t="n">
        <f aca="false">AD256*P1_CPROD+AE256*P2_CPROD+AF256*IF($A256&lt;P3_DESDE,P3A_CPROD,P3_CPROD)</f>
        <v>0</v>
      </c>
      <c r="AJ256" s="60" t="n">
        <f aca="false">IF(ISNUMBER(L256),L256,E256*P1_LOG+F256*P2_LOG+G256*P3_LOG)+IF(ISNUMBER(M256),M256,AA256*P1_LOG+AB256*P2_LOG+AC256*P3_LOG)*TASA_USADA</f>
        <v>0</v>
      </c>
      <c r="AK256" s="60" t="n">
        <f aca="false">AG256*COSTE_DEV</f>
        <v>0</v>
      </c>
      <c r="AL256" s="60" t="n">
        <f aca="false">AD256*P1_IVAN+AE256*P2_IVAN+AF256*IF($A256&lt;P3_DESDE,P3A_IVAN,P3_IVAN)-AG256*IVA_DEV</f>
        <v>0</v>
      </c>
      <c r="AM256" s="60" t="n">
        <f aca="false">N256*(1+RECARGO_ADS)</f>
        <v>0</v>
      </c>
      <c r="AN256" s="58" t="n">
        <f aca="false">IF(ISNUMBER(L256),E256+F256+G256+AA256+AB256+AC256,0)</f>
        <v>0</v>
      </c>
      <c r="AO256" s="60" t="n">
        <f aca="false">P256*COMISION</f>
        <v>0</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B257*P1_PVP+C257*P2_PVP+D257*IF($A257&lt;P3_DESDE,P3A_PVP,P3_PVP)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E257*(P1_PVP-P1_CPROD)+F257*(P2_PVP-P2_CPROD)+G257*(IF($A257&lt;P3_DESDE,P3A_PVP,P3_PVP)-IF($A257&lt;P3_DESDE,P3A_CPROD,P3_CPROD))-IF(ISNUMBER(L257),L257,E257*P1_LOG+F257*P2_LOG+G257*P3_LOG)</f>
        <v>0</v>
      </c>
      <c r="X257" s="33" t="n">
        <f aca="false">W257-(E257*P1_IVAN+F257*P2_IVAN+G257*IF($A257&lt;P3_DESDE,P3A_IVAN,P3_IVAN))-(H257+I257+J257)*(COSTE_DEV-IVA_DEV)-AM257-AO257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E257+AA257*TASA_USADA</f>
        <v>0</v>
      </c>
      <c r="AE257" s="59" t="n">
        <f aca="false">F257+AB257*TASA_USADA</f>
        <v>0</v>
      </c>
      <c r="AF257" s="59" t="n">
        <f aca="false">G257+AC257*TASA_USADA</f>
        <v>0</v>
      </c>
      <c r="AG257" s="59" t="n">
        <f aca="false">H257+I257+J257+(AA257+AB257+AC257)*(1-TASA_USADA)</f>
        <v>0</v>
      </c>
      <c r="AH257" s="60" t="n">
        <f aca="false">AD257*P1_PVP+AE257*P2_PVP+AF257*IF($A257&lt;P3_DESDE,P3A_PVP,P3_PVP)</f>
        <v>0</v>
      </c>
      <c r="AI257" s="60" t="n">
        <f aca="false">AD257*P1_CPROD+AE257*P2_CPROD+AF257*IF($A257&lt;P3_DESDE,P3A_CPROD,P3_CPROD)</f>
        <v>0</v>
      </c>
      <c r="AJ257" s="60" t="n">
        <f aca="false">IF(ISNUMBER(L257),L257,E257*P1_LOG+F257*P2_LOG+G257*P3_LOG)+IF(ISNUMBER(M257),M257,AA257*P1_LOG+AB257*P2_LOG+AC257*P3_LOG)*TASA_USADA</f>
        <v>0</v>
      </c>
      <c r="AK257" s="60" t="n">
        <f aca="false">AG257*COSTE_DEV</f>
        <v>0</v>
      </c>
      <c r="AL257" s="60" t="n">
        <f aca="false">AD257*P1_IVAN+AE257*P2_IVAN+AF257*IF($A257&lt;P3_DESDE,P3A_IVAN,P3_IVAN)-AG257*IVA_DEV</f>
        <v>0</v>
      </c>
      <c r="AM257" s="60" t="n">
        <f aca="false">N257*(1+RECARGO_ADS)</f>
        <v>0</v>
      </c>
      <c r="AN257" s="58" t="n">
        <f aca="false">IF(ISNUMBER(L257),E257+F257+G257+AA257+AB257+AC257,0)</f>
        <v>0</v>
      </c>
      <c r="AO257" s="60" t="n">
        <f aca="false">P257*COMISION</f>
        <v>0</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B258*P1_PVP+C258*P2_PVP+D258*IF($A258&lt;P3_DESDE,P3A_PVP,P3_PVP)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E258*(P1_PVP-P1_CPROD)+F258*(P2_PVP-P2_CPROD)+G258*(IF($A258&lt;P3_DESDE,P3A_PVP,P3_PVP)-IF($A258&lt;P3_DESDE,P3A_CPROD,P3_CPROD))-IF(ISNUMBER(L258),L258,E258*P1_LOG+F258*P2_LOG+G258*P3_LOG)</f>
        <v>0</v>
      </c>
      <c r="X258" s="33" t="n">
        <f aca="false">W258-(E258*P1_IVAN+F258*P2_IVAN+G258*IF($A258&lt;P3_DESDE,P3A_IVAN,P3_IVAN))-(H258+I258+J258)*(COSTE_DEV-IVA_DEV)-AM258-AO258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E258+AA258*TASA_USADA</f>
        <v>0</v>
      </c>
      <c r="AE258" s="59" t="n">
        <f aca="false">F258+AB258*TASA_USADA</f>
        <v>0</v>
      </c>
      <c r="AF258" s="59" t="n">
        <f aca="false">G258+AC258*TASA_USADA</f>
        <v>0</v>
      </c>
      <c r="AG258" s="59" t="n">
        <f aca="false">H258+I258+J258+(AA258+AB258+AC258)*(1-TASA_USADA)</f>
        <v>0</v>
      </c>
      <c r="AH258" s="60" t="n">
        <f aca="false">AD258*P1_PVP+AE258*P2_PVP+AF258*IF($A258&lt;P3_DESDE,P3A_PVP,P3_PVP)</f>
        <v>0</v>
      </c>
      <c r="AI258" s="60" t="n">
        <f aca="false">AD258*P1_CPROD+AE258*P2_CPROD+AF258*IF($A258&lt;P3_DESDE,P3A_CPROD,P3_CPROD)</f>
        <v>0</v>
      </c>
      <c r="AJ258" s="60" t="n">
        <f aca="false">IF(ISNUMBER(L258),L258,E258*P1_LOG+F258*P2_LOG+G258*P3_LOG)+IF(ISNUMBER(M258),M258,AA258*P1_LOG+AB258*P2_LOG+AC258*P3_LOG)*TASA_USADA</f>
        <v>0</v>
      </c>
      <c r="AK258" s="60" t="n">
        <f aca="false">AG258*COSTE_DEV</f>
        <v>0</v>
      </c>
      <c r="AL258" s="60" t="n">
        <f aca="false">AD258*P1_IVAN+AE258*P2_IVAN+AF258*IF($A258&lt;P3_DESDE,P3A_IVAN,P3_IVAN)-AG258*IVA_DEV</f>
        <v>0</v>
      </c>
      <c r="AM258" s="60" t="n">
        <f aca="false">N258*(1+RECARGO_ADS)</f>
        <v>0</v>
      </c>
      <c r="AN258" s="58" t="n">
        <f aca="false">IF(ISNUMBER(L258),E258+F258+G258+AA258+AB258+AC258,0)</f>
        <v>0</v>
      </c>
      <c r="AO258" s="60" t="n">
        <f aca="false">P258*COMISION</f>
        <v>0</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B259*P1_PVP+C259*P2_PVP+D259*IF($A259&lt;P3_DESDE,P3A_PVP,P3_PVP)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E259*(P1_PVP-P1_CPROD)+F259*(P2_PVP-P2_CPROD)+G259*(IF($A259&lt;P3_DESDE,P3A_PVP,P3_PVP)-IF($A259&lt;P3_DESDE,P3A_CPROD,P3_CPROD))-IF(ISNUMBER(L259),L259,E259*P1_LOG+F259*P2_LOG+G259*P3_LOG)</f>
        <v>0</v>
      </c>
      <c r="X259" s="33" t="n">
        <f aca="false">W259-(E259*P1_IVAN+F259*P2_IVAN+G259*IF($A259&lt;P3_DESDE,P3A_IVAN,P3_IVAN))-(H259+I259+J259)*(COSTE_DEV-IVA_DEV)-AM259-AO259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E259+AA259*TASA_USADA</f>
        <v>0</v>
      </c>
      <c r="AE259" s="59" t="n">
        <f aca="false">F259+AB259*TASA_USADA</f>
        <v>0</v>
      </c>
      <c r="AF259" s="59" t="n">
        <f aca="false">G259+AC259*TASA_USADA</f>
        <v>0</v>
      </c>
      <c r="AG259" s="59" t="n">
        <f aca="false">H259+I259+J259+(AA259+AB259+AC259)*(1-TASA_USADA)</f>
        <v>0</v>
      </c>
      <c r="AH259" s="60" t="n">
        <f aca="false">AD259*P1_PVP+AE259*P2_PVP+AF259*IF($A259&lt;P3_DESDE,P3A_PVP,P3_PVP)</f>
        <v>0</v>
      </c>
      <c r="AI259" s="60" t="n">
        <f aca="false">AD259*P1_CPROD+AE259*P2_CPROD+AF259*IF($A259&lt;P3_DESDE,P3A_CPROD,P3_CPROD)</f>
        <v>0</v>
      </c>
      <c r="AJ259" s="60" t="n">
        <f aca="false">IF(ISNUMBER(L259),L259,E259*P1_LOG+F259*P2_LOG+G259*P3_LOG)+IF(ISNUMBER(M259),M259,AA259*P1_LOG+AB259*P2_LOG+AC259*P3_LOG)*TASA_USADA</f>
        <v>0</v>
      </c>
      <c r="AK259" s="60" t="n">
        <f aca="false">AG259*COSTE_DEV</f>
        <v>0</v>
      </c>
      <c r="AL259" s="60" t="n">
        <f aca="false">AD259*P1_IVAN+AE259*P2_IVAN+AF259*IF($A259&lt;P3_DESDE,P3A_IVAN,P3_IVAN)-AG259*IVA_DEV</f>
        <v>0</v>
      </c>
      <c r="AM259" s="60" t="n">
        <f aca="false">N259*(1+RECARGO_ADS)</f>
        <v>0</v>
      </c>
      <c r="AN259" s="58" t="n">
        <f aca="false">IF(ISNUMBER(L259),E259+F259+G259+AA259+AB259+AC259,0)</f>
        <v>0</v>
      </c>
      <c r="AO259" s="60" t="n">
        <f aca="false">P259*COMISION</f>
        <v>0</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B260*P1_PVP+C260*P2_PVP+D260*IF($A260&lt;P3_DESDE,P3A_PVP,P3_PVP)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E260*(P1_PVP-P1_CPROD)+F260*(P2_PVP-P2_CPROD)+G260*(IF($A260&lt;P3_DESDE,P3A_PVP,P3_PVP)-IF($A260&lt;P3_DESDE,P3A_CPROD,P3_CPROD))-IF(ISNUMBER(L260),L260,E260*P1_LOG+F260*P2_LOG+G260*P3_LOG)</f>
        <v>0</v>
      </c>
      <c r="X260" s="33" t="n">
        <f aca="false">W260-(E260*P1_IVAN+F260*P2_IVAN+G260*IF($A260&lt;P3_DESDE,P3A_IVAN,P3_IVAN))-(H260+I260+J260)*(COSTE_DEV-IVA_DEV)-AM260-AO260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E260+AA260*TASA_USADA</f>
        <v>0</v>
      </c>
      <c r="AE260" s="59" t="n">
        <f aca="false">F260+AB260*TASA_USADA</f>
        <v>0</v>
      </c>
      <c r="AF260" s="59" t="n">
        <f aca="false">G260+AC260*TASA_USADA</f>
        <v>0</v>
      </c>
      <c r="AG260" s="59" t="n">
        <f aca="false">H260+I260+J260+(AA260+AB260+AC260)*(1-TASA_USADA)</f>
        <v>0</v>
      </c>
      <c r="AH260" s="60" t="n">
        <f aca="false">AD260*P1_PVP+AE260*P2_PVP+AF260*IF($A260&lt;P3_DESDE,P3A_PVP,P3_PVP)</f>
        <v>0</v>
      </c>
      <c r="AI260" s="60" t="n">
        <f aca="false">AD260*P1_CPROD+AE260*P2_CPROD+AF260*IF($A260&lt;P3_DESDE,P3A_CPROD,P3_CPROD)</f>
        <v>0</v>
      </c>
      <c r="AJ260" s="60" t="n">
        <f aca="false">IF(ISNUMBER(L260),L260,E260*P1_LOG+F260*P2_LOG+G260*P3_LOG)+IF(ISNUMBER(M260),M260,AA260*P1_LOG+AB260*P2_LOG+AC260*P3_LOG)*TASA_USADA</f>
        <v>0</v>
      </c>
      <c r="AK260" s="60" t="n">
        <f aca="false">AG260*COSTE_DEV</f>
        <v>0</v>
      </c>
      <c r="AL260" s="60" t="n">
        <f aca="false">AD260*P1_IVAN+AE260*P2_IVAN+AF260*IF($A260&lt;P3_DESDE,P3A_IVAN,P3_IVAN)-AG260*IVA_DEV</f>
        <v>0</v>
      </c>
      <c r="AM260" s="60" t="n">
        <f aca="false">N260*(1+RECARGO_ADS)</f>
        <v>0</v>
      </c>
      <c r="AN260" s="58" t="n">
        <f aca="false">IF(ISNUMBER(L260),E260+F260+G260+AA260+AB260+AC260,0)</f>
        <v>0</v>
      </c>
      <c r="AO260" s="60" t="n">
        <f aca="false">P260*COMISION</f>
        <v>0</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B261*P1_PVP+C261*P2_PVP+D261*IF($A261&lt;P3_DESDE,P3A_PVP,P3_PVP)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E261*(P1_PVP-P1_CPROD)+F261*(P2_PVP-P2_CPROD)+G261*(IF($A261&lt;P3_DESDE,P3A_PVP,P3_PVP)-IF($A261&lt;P3_DESDE,P3A_CPROD,P3_CPROD))-IF(ISNUMBER(L261),L261,E261*P1_LOG+F261*P2_LOG+G261*P3_LOG)</f>
        <v>0</v>
      </c>
      <c r="X261" s="33" t="n">
        <f aca="false">W261-(E261*P1_IVAN+F261*P2_IVAN+G261*IF($A261&lt;P3_DESDE,P3A_IVAN,P3_IVAN))-(H261+I261+J261)*(COSTE_DEV-IVA_DEV)-AM261-AO261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E261+AA261*TASA_USADA</f>
        <v>0</v>
      </c>
      <c r="AE261" s="59" t="n">
        <f aca="false">F261+AB261*TASA_USADA</f>
        <v>0</v>
      </c>
      <c r="AF261" s="59" t="n">
        <f aca="false">G261+AC261*TASA_USADA</f>
        <v>0</v>
      </c>
      <c r="AG261" s="59" t="n">
        <f aca="false">H261+I261+J261+(AA261+AB261+AC261)*(1-TASA_USADA)</f>
        <v>0</v>
      </c>
      <c r="AH261" s="60" t="n">
        <f aca="false">AD261*P1_PVP+AE261*P2_PVP+AF261*IF($A261&lt;P3_DESDE,P3A_PVP,P3_PVP)</f>
        <v>0</v>
      </c>
      <c r="AI261" s="60" t="n">
        <f aca="false">AD261*P1_CPROD+AE261*P2_CPROD+AF261*IF($A261&lt;P3_DESDE,P3A_CPROD,P3_CPROD)</f>
        <v>0</v>
      </c>
      <c r="AJ261" s="60" t="n">
        <f aca="false">IF(ISNUMBER(L261),L261,E261*P1_LOG+F261*P2_LOG+G261*P3_LOG)+IF(ISNUMBER(M261),M261,AA261*P1_LOG+AB261*P2_LOG+AC261*P3_LOG)*TASA_USADA</f>
        <v>0</v>
      </c>
      <c r="AK261" s="60" t="n">
        <f aca="false">AG261*COSTE_DEV</f>
        <v>0</v>
      </c>
      <c r="AL261" s="60" t="n">
        <f aca="false">AD261*P1_IVAN+AE261*P2_IVAN+AF261*IF($A261&lt;P3_DESDE,P3A_IVAN,P3_IVAN)-AG261*IVA_DEV</f>
        <v>0</v>
      </c>
      <c r="AM261" s="60" t="n">
        <f aca="false">N261*(1+RECARGO_ADS)</f>
        <v>0</v>
      </c>
      <c r="AN261" s="58" t="n">
        <f aca="false">IF(ISNUMBER(L261),E261+F261+G261+AA261+AB261+AC261,0)</f>
        <v>0</v>
      </c>
      <c r="AO261" s="60" t="n">
        <f aca="false">P261*COMISION</f>
        <v>0</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B262*P1_PVP+C262*P2_PVP+D262*IF($A262&lt;P3_DESDE,P3A_PVP,P3_PVP)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E262*(P1_PVP-P1_CPROD)+F262*(P2_PVP-P2_CPROD)+G262*(IF($A262&lt;P3_DESDE,P3A_PVP,P3_PVP)-IF($A262&lt;P3_DESDE,P3A_CPROD,P3_CPROD))-IF(ISNUMBER(L262),L262,E262*P1_LOG+F262*P2_LOG+G262*P3_LOG)</f>
        <v>0</v>
      </c>
      <c r="X262" s="33" t="n">
        <f aca="false">W262-(E262*P1_IVAN+F262*P2_IVAN+G262*IF($A262&lt;P3_DESDE,P3A_IVAN,P3_IVAN))-(H262+I262+J262)*(COSTE_DEV-IVA_DEV)-AM262-AO262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E262+AA262*TASA_USADA</f>
        <v>0</v>
      </c>
      <c r="AE262" s="59" t="n">
        <f aca="false">F262+AB262*TASA_USADA</f>
        <v>0</v>
      </c>
      <c r="AF262" s="59" t="n">
        <f aca="false">G262+AC262*TASA_USADA</f>
        <v>0</v>
      </c>
      <c r="AG262" s="59" t="n">
        <f aca="false">H262+I262+J262+(AA262+AB262+AC262)*(1-TASA_USADA)</f>
        <v>0</v>
      </c>
      <c r="AH262" s="60" t="n">
        <f aca="false">AD262*P1_PVP+AE262*P2_PVP+AF262*IF($A262&lt;P3_DESDE,P3A_PVP,P3_PVP)</f>
        <v>0</v>
      </c>
      <c r="AI262" s="60" t="n">
        <f aca="false">AD262*P1_CPROD+AE262*P2_CPROD+AF262*IF($A262&lt;P3_DESDE,P3A_CPROD,P3_CPROD)</f>
        <v>0</v>
      </c>
      <c r="AJ262" s="60" t="n">
        <f aca="false">IF(ISNUMBER(L262),L262,E262*P1_LOG+F262*P2_LOG+G262*P3_LOG)+IF(ISNUMBER(M262),M262,AA262*P1_LOG+AB262*P2_LOG+AC262*P3_LOG)*TASA_USADA</f>
        <v>0</v>
      </c>
      <c r="AK262" s="60" t="n">
        <f aca="false">AG262*COSTE_DEV</f>
        <v>0</v>
      </c>
      <c r="AL262" s="60" t="n">
        <f aca="false">AD262*P1_IVAN+AE262*P2_IVAN+AF262*IF($A262&lt;P3_DESDE,P3A_IVAN,P3_IVAN)-AG262*IVA_DEV</f>
        <v>0</v>
      </c>
      <c r="AM262" s="60" t="n">
        <f aca="false">N262*(1+RECARGO_ADS)</f>
        <v>0</v>
      </c>
      <c r="AN262" s="58" t="n">
        <f aca="false">IF(ISNUMBER(L262),E262+F262+G262+AA262+AB262+AC262,0)</f>
        <v>0</v>
      </c>
      <c r="AO262" s="60" t="n">
        <f aca="false">P262*COMISION</f>
        <v>0</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B263*P1_PVP+C263*P2_PVP+D263*IF($A263&lt;P3_DESDE,P3A_PVP,P3_PVP)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E263*(P1_PVP-P1_CPROD)+F263*(P2_PVP-P2_CPROD)+G263*(IF($A263&lt;P3_DESDE,P3A_PVP,P3_PVP)-IF($A263&lt;P3_DESDE,P3A_CPROD,P3_CPROD))-IF(ISNUMBER(L263),L263,E263*P1_LOG+F263*P2_LOG+G263*P3_LOG)</f>
        <v>0</v>
      </c>
      <c r="X263" s="33" t="n">
        <f aca="false">W263-(E263*P1_IVAN+F263*P2_IVAN+G263*IF($A263&lt;P3_DESDE,P3A_IVAN,P3_IVAN))-(H263+I263+J263)*(COSTE_DEV-IVA_DEV)-AM263-AO263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E263+AA263*TASA_USADA</f>
        <v>0</v>
      </c>
      <c r="AE263" s="59" t="n">
        <f aca="false">F263+AB263*TASA_USADA</f>
        <v>0</v>
      </c>
      <c r="AF263" s="59" t="n">
        <f aca="false">G263+AC263*TASA_USADA</f>
        <v>0</v>
      </c>
      <c r="AG263" s="59" t="n">
        <f aca="false">H263+I263+J263+(AA263+AB263+AC263)*(1-TASA_USADA)</f>
        <v>0</v>
      </c>
      <c r="AH263" s="60" t="n">
        <f aca="false">AD263*P1_PVP+AE263*P2_PVP+AF263*IF($A263&lt;P3_DESDE,P3A_PVP,P3_PVP)</f>
        <v>0</v>
      </c>
      <c r="AI263" s="60" t="n">
        <f aca="false">AD263*P1_CPROD+AE263*P2_CPROD+AF263*IF($A263&lt;P3_DESDE,P3A_CPROD,P3_CPROD)</f>
        <v>0</v>
      </c>
      <c r="AJ263" s="60" t="n">
        <f aca="false">IF(ISNUMBER(L263),L263,E263*P1_LOG+F263*P2_LOG+G263*P3_LOG)+IF(ISNUMBER(M263),M263,AA263*P1_LOG+AB263*P2_LOG+AC263*P3_LOG)*TASA_USADA</f>
        <v>0</v>
      </c>
      <c r="AK263" s="60" t="n">
        <f aca="false">AG263*COSTE_DEV</f>
        <v>0</v>
      </c>
      <c r="AL263" s="60" t="n">
        <f aca="false">AD263*P1_IVAN+AE263*P2_IVAN+AF263*IF($A263&lt;P3_DESDE,P3A_IVAN,P3_IVAN)-AG263*IVA_DEV</f>
        <v>0</v>
      </c>
      <c r="AM263" s="60" t="n">
        <f aca="false">N263*(1+RECARGO_ADS)</f>
        <v>0</v>
      </c>
      <c r="AN263" s="58" t="n">
        <f aca="false">IF(ISNUMBER(L263),E263+F263+G263+AA263+AB263+AC263,0)</f>
        <v>0</v>
      </c>
      <c r="AO263" s="60" t="n">
        <f aca="false">P263*COMISION</f>
        <v>0</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B264*P1_PVP+C264*P2_PVP+D264*IF($A264&lt;P3_DESDE,P3A_PVP,P3_PVP)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E264*(P1_PVP-P1_CPROD)+F264*(P2_PVP-P2_CPROD)+G264*(IF($A264&lt;P3_DESDE,P3A_PVP,P3_PVP)-IF($A264&lt;P3_DESDE,P3A_CPROD,P3_CPROD))-IF(ISNUMBER(L264),L264,E264*P1_LOG+F264*P2_LOG+G264*P3_LOG)</f>
        <v>0</v>
      </c>
      <c r="X264" s="33" t="n">
        <f aca="false">W264-(E264*P1_IVAN+F264*P2_IVAN+G264*IF($A264&lt;P3_DESDE,P3A_IVAN,P3_IVAN))-(H264+I264+J264)*(COSTE_DEV-IVA_DEV)-AM264-AO264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E264+AA264*TASA_USADA</f>
        <v>0</v>
      </c>
      <c r="AE264" s="59" t="n">
        <f aca="false">F264+AB264*TASA_USADA</f>
        <v>0</v>
      </c>
      <c r="AF264" s="59" t="n">
        <f aca="false">G264+AC264*TASA_USADA</f>
        <v>0</v>
      </c>
      <c r="AG264" s="59" t="n">
        <f aca="false">H264+I264+J264+(AA264+AB264+AC264)*(1-TASA_USADA)</f>
        <v>0</v>
      </c>
      <c r="AH264" s="60" t="n">
        <f aca="false">AD264*P1_PVP+AE264*P2_PVP+AF264*IF($A264&lt;P3_DESDE,P3A_PVP,P3_PVP)</f>
        <v>0</v>
      </c>
      <c r="AI264" s="60" t="n">
        <f aca="false">AD264*P1_CPROD+AE264*P2_CPROD+AF264*IF($A264&lt;P3_DESDE,P3A_CPROD,P3_CPROD)</f>
        <v>0</v>
      </c>
      <c r="AJ264" s="60" t="n">
        <f aca="false">IF(ISNUMBER(L264),L264,E264*P1_LOG+F264*P2_LOG+G264*P3_LOG)+IF(ISNUMBER(M264),M264,AA264*P1_LOG+AB264*P2_LOG+AC264*P3_LOG)*TASA_USADA</f>
        <v>0</v>
      </c>
      <c r="AK264" s="60" t="n">
        <f aca="false">AG264*COSTE_DEV</f>
        <v>0</v>
      </c>
      <c r="AL264" s="60" t="n">
        <f aca="false">AD264*P1_IVAN+AE264*P2_IVAN+AF264*IF($A264&lt;P3_DESDE,P3A_IVAN,P3_IVAN)-AG264*IVA_DEV</f>
        <v>0</v>
      </c>
      <c r="AM264" s="60" t="n">
        <f aca="false">N264*(1+RECARGO_ADS)</f>
        <v>0</v>
      </c>
      <c r="AN264" s="58" t="n">
        <f aca="false">IF(ISNUMBER(L264),E264+F264+G264+AA264+AB264+AC264,0)</f>
        <v>0</v>
      </c>
      <c r="AO264" s="60" t="n">
        <f aca="false">P264*COMISION</f>
        <v>0</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B265*P1_PVP+C265*P2_PVP+D265*IF($A265&lt;P3_DESDE,P3A_PVP,P3_PVP)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E265*(P1_PVP-P1_CPROD)+F265*(P2_PVP-P2_CPROD)+G265*(IF($A265&lt;P3_DESDE,P3A_PVP,P3_PVP)-IF($A265&lt;P3_DESDE,P3A_CPROD,P3_CPROD))-IF(ISNUMBER(L265),L265,E265*P1_LOG+F265*P2_LOG+G265*P3_LOG)</f>
        <v>0</v>
      </c>
      <c r="X265" s="33" t="n">
        <f aca="false">W265-(E265*P1_IVAN+F265*P2_IVAN+G265*IF($A265&lt;P3_DESDE,P3A_IVAN,P3_IVAN))-(H265+I265+J265)*(COSTE_DEV-IVA_DEV)-AM265-AO265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E265+AA265*TASA_USADA</f>
        <v>0</v>
      </c>
      <c r="AE265" s="59" t="n">
        <f aca="false">F265+AB265*TASA_USADA</f>
        <v>0</v>
      </c>
      <c r="AF265" s="59" t="n">
        <f aca="false">G265+AC265*TASA_USADA</f>
        <v>0</v>
      </c>
      <c r="AG265" s="59" t="n">
        <f aca="false">H265+I265+J265+(AA265+AB265+AC265)*(1-TASA_USADA)</f>
        <v>0</v>
      </c>
      <c r="AH265" s="60" t="n">
        <f aca="false">AD265*P1_PVP+AE265*P2_PVP+AF265*IF($A265&lt;P3_DESDE,P3A_PVP,P3_PVP)</f>
        <v>0</v>
      </c>
      <c r="AI265" s="60" t="n">
        <f aca="false">AD265*P1_CPROD+AE265*P2_CPROD+AF265*IF($A265&lt;P3_DESDE,P3A_CPROD,P3_CPROD)</f>
        <v>0</v>
      </c>
      <c r="AJ265" s="60" t="n">
        <f aca="false">IF(ISNUMBER(L265),L265,E265*P1_LOG+F265*P2_LOG+G265*P3_LOG)+IF(ISNUMBER(M265),M265,AA265*P1_LOG+AB265*P2_LOG+AC265*P3_LOG)*TASA_USADA</f>
        <v>0</v>
      </c>
      <c r="AK265" s="60" t="n">
        <f aca="false">AG265*COSTE_DEV</f>
        <v>0</v>
      </c>
      <c r="AL265" s="60" t="n">
        <f aca="false">AD265*P1_IVAN+AE265*P2_IVAN+AF265*IF($A265&lt;P3_DESDE,P3A_IVAN,P3_IVAN)-AG265*IVA_DEV</f>
        <v>0</v>
      </c>
      <c r="AM265" s="60" t="n">
        <f aca="false">N265*(1+RECARGO_ADS)</f>
        <v>0</v>
      </c>
      <c r="AN265" s="58" t="n">
        <f aca="false">IF(ISNUMBER(L265),E265+F265+G265+AA265+AB265+AC265,0)</f>
        <v>0</v>
      </c>
      <c r="AO265" s="60" t="n">
        <f aca="false">P265*COMISION</f>
        <v>0</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B266*P1_PVP+C266*P2_PVP+D266*IF($A266&lt;P3_DESDE,P3A_PVP,P3_PVP)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E266*(P1_PVP-P1_CPROD)+F266*(P2_PVP-P2_CPROD)+G266*(IF($A266&lt;P3_DESDE,P3A_PVP,P3_PVP)-IF($A266&lt;P3_DESDE,P3A_CPROD,P3_CPROD))-IF(ISNUMBER(L266),L266,E266*P1_LOG+F266*P2_LOG+G266*P3_LOG)</f>
        <v>0</v>
      </c>
      <c r="X266" s="33" t="n">
        <f aca="false">W266-(E266*P1_IVAN+F266*P2_IVAN+G266*IF($A266&lt;P3_DESDE,P3A_IVAN,P3_IVAN))-(H266+I266+J266)*(COSTE_DEV-IVA_DEV)-AM266-AO266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E266+AA266*TASA_USADA</f>
        <v>0</v>
      </c>
      <c r="AE266" s="59" t="n">
        <f aca="false">F266+AB266*TASA_USADA</f>
        <v>0</v>
      </c>
      <c r="AF266" s="59" t="n">
        <f aca="false">G266+AC266*TASA_USADA</f>
        <v>0</v>
      </c>
      <c r="AG266" s="59" t="n">
        <f aca="false">H266+I266+J266+(AA266+AB266+AC266)*(1-TASA_USADA)</f>
        <v>0</v>
      </c>
      <c r="AH266" s="60" t="n">
        <f aca="false">AD266*P1_PVP+AE266*P2_PVP+AF266*IF($A266&lt;P3_DESDE,P3A_PVP,P3_PVP)</f>
        <v>0</v>
      </c>
      <c r="AI266" s="60" t="n">
        <f aca="false">AD266*P1_CPROD+AE266*P2_CPROD+AF266*IF($A266&lt;P3_DESDE,P3A_CPROD,P3_CPROD)</f>
        <v>0</v>
      </c>
      <c r="AJ266" s="60" t="n">
        <f aca="false">IF(ISNUMBER(L266),L266,E266*P1_LOG+F266*P2_LOG+G266*P3_LOG)+IF(ISNUMBER(M266),M266,AA266*P1_LOG+AB266*P2_LOG+AC266*P3_LOG)*TASA_USADA</f>
        <v>0</v>
      </c>
      <c r="AK266" s="60" t="n">
        <f aca="false">AG266*COSTE_DEV</f>
        <v>0</v>
      </c>
      <c r="AL266" s="60" t="n">
        <f aca="false">AD266*P1_IVAN+AE266*P2_IVAN+AF266*IF($A266&lt;P3_DESDE,P3A_IVAN,P3_IVAN)-AG266*IVA_DEV</f>
        <v>0</v>
      </c>
      <c r="AM266" s="60" t="n">
        <f aca="false">N266*(1+RECARGO_ADS)</f>
        <v>0</v>
      </c>
      <c r="AN266" s="58" t="n">
        <f aca="false">IF(ISNUMBER(L266),E266+F266+G266+AA266+AB266+AC266,0)</f>
        <v>0</v>
      </c>
      <c r="AO266" s="60" t="n">
        <f aca="false">P266*COMISION</f>
        <v>0</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B267*P1_PVP+C267*P2_PVP+D267*IF($A267&lt;P3_DESDE,P3A_PVP,P3_PVP)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E267*(P1_PVP-P1_CPROD)+F267*(P2_PVP-P2_CPROD)+G267*(IF($A267&lt;P3_DESDE,P3A_PVP,P3_PVP)-IF($A267&lt;P3_DESDE,P3A_CPROD,P3_CPROD))-IF(ISNUMBER(L267),L267,E267*P1_LOG+F267*P2_LOG+G267*P3_LOG)</f>
        <v>0</v>
      </c>
      <c r="X267" s="33" t="n">
        <f aca="false">W267-(E267*P1_IVAN+F267*P2_IVAN+G267*IF($A267&lt;P3_DESDE,P3A_IVAN,P3_IVAN))-(H267+I267+J267)*(COSTE_DEV-IVA_DEV)-AM267-AO267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E267+AA267*TASA_USADA</f>
        <v>0</v>
      </c>
      <c r="AE267" s="59" t="n">
        <f aca="false">F267+AB267*TASA_USADA</f>
        <v>0</v>
      </c>
      <c r="AF267" s="59" t="n">
        <f aca="false">G267+AC267*TASA_USADA</f>
        <v>0</v>
      </c>
      <c r="AG267" s="59" t="n">
        <f aca="false">H267+I267+J267+(AA267+AB267+AC267)*(1-TASA_USADA)</f>
        <v>0</v>
      </c>
      <c r="AH267" s="60" t="n">
        <f aca="false">AD267*P1_PVP+AE267*P2_PVP+AF267*IF($A267&lt;P3_DESDE,P3A_PVP,P3_PVP)</f>
        <v>0</v>
      </c>
      <c r="AI267" s="60" t="n">
        <f aca="false">AD267*P1_CPROD+AE267*P2_CPROD+AF267*IF($A267&lt;P3_DESDE,P3A_CPROD,P3_CPROD)</f>
        <v>0</v>
      </c>
      <c r="AJ267" s="60" t="n">
        <f aca="false">IF(ISNUMBER(L267),L267,E267*P1_LOG+F267*P2_LOG+G267*P3_LOG)+IF(ISNUMBER(M267),M267,AA267*P1_LOG+AB267*P2_LOG+AC267*P3_LOG)*TASA_USADA</f>
        <v>0</v>
      </c>
      <c r="AK267" s="60" t="n">
        <f aca="false">AG267*COSTE_DEV</f>
        <v>0</v>
      </c>
      <c r="AL267" s="60" t="n">
        <f aca="false">AD267*P1_IVAN+AE267*P2_IVAN+AF267*IF($A267&lt;P3_DESDE,P3A_IVAN,P3_IVAN)-AG267*IVA_DEV</f>
        <v>0</v>
      </c>
      <c r="AM267" s="60" t="n">
        <f aca="false">N267*(1+RECARGO_ADS)</f>
        <v>0</v>
      </c>
      <c r="AN267" s="58" t="n">
        <f aca="false">IF(ISNUMBER(L267),E267+F267+G267+AA267+AB267+AC267,0)</f>
        <v>0</v>
      </c>
      <c r="AO267" s="60" t="n">
        <f aca="false">P267*COMISION</f>
        <v>0</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B268*P1_PVP+C268*P2_PVP+D268*IF($A268&lt;P3_DESDE,P3A_PVP,P3_PVP)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E268*(P1_PVP-P1_CPROD)+F268*(P2_PVP-P2_CPROD)+G268*(IF($A268&lt;P3_DESDE,P3A_PVP,P3_PVP)-IF($A268&lt;P3_DESDE,P3A_CPROD,P3_CPROD))-IF(ISNUMBER(L268),L268,E268*P1_LOG+F268*P2_LOG+G268*P3_LOG)</f>
        <v>0</v>
      </c>
      <c r="X268" s="33" t="n">
        <f aca="false">W268-(E268*P1_IVAN+F268*P2_IVAN+G268*IF($A268&lt;P3_DESDE,P3A_IVAN,P3_IVAN))-(H268+I268+J268)*(COSTE_DEV-IVA_DEV)-AM268-AO268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E268+AA268*TASA_USADA</f>
        <v>0</v>
      </c>
      <c r="AE268" s="59" t="n">
        <f aca="false">F268+AB268*TASA_USADA</f>
        <v>0</v>
      </c>
      <c r="AF268" s="59" t="n">
        <f aca="false">G268+AC268*TASA_USADA</f>
        <v>0</v>
      </c>
      <c r="AG268" s="59" t="n">
        <f aca="false">H268+I268+J268+(AA268+AB268+AC268)*(1-TASA_USADA)</f>
        <v>0</v>
      </c>
      <c r="AH268" s="60" t="n">
        <f aca="false">AD268*P1_PVP+AE268*P2_PVP+AF268*IF($A268&lt;P3_DESDE,P3A_PVP,P3_PVP)</f>
        <v>0</v>
      </c>
      <c r="AI268" s="60" t="n">
        <f aca="false">AD268*P1_CPROD+AE268*P2_CPROD+AF268*IF($A268&lt;P3_DESDE,P3A_CPROD,P3_CPROD)</f>
        <v>0</v>
      </c>
      <c r="AJ268" s="60" t="n">
        <f aca="false">IF(ISNUMBER(L268),L268,E268*P1_LOG+F268*P2_LOG+G268*P3_LOG)+IF(ISNUMBER(M268),M268,AA268*P1_LOG+AB268*P2_LOG+AC268*P3_LOG)*TASA_USADA</f>
        <v>0</v>
      </c>
      <c r="AK268" s="60" t="n">
        <f aca="false">AG268*COSTE_DEV</f>
        <v>0</v>
      </c>
      <c r="AL268" s="60" t="n">
        <f aca="false">AD268*P1_IVAN+AE268*P2_IVAN+AF268*IF($A268&lt;P3_DESDE,P3A_IVAN,P3_IVAN)-AG268*IVA_DEV</f>
        <v>0</v>
      </c>
      <c r="AM268" s="60" t="n">
        <f aca="false">N268*(1+RECARGO_ADS)</f>
        <v>0</v>
      </c>
      <c r="AN268" s="58" t="n">
        <f aca="false">IF(ISNUMBER(L268),E268+F268+G268+AA268+AB268+AC268,0)</f>
        <v>0</v>
      </c>
      <c r="AO268" s="60" t="n">
        <f aca="false">P268*COMISION</f>
        <v>0</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B269*P1_PVP+C269*P2_PVP+D269*IF($A269&lt;P3_DESDE,P3A_PVP,P3_PVP)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E269*(P1_PVP-P1_CPROD)+F269*(P2_PVP-P2_CPROD)+G269*(IF($A269&lt;P3_DESDE,P3A_PVP,P3_PVP)-IF($A269&lt;P3_DESDE,P3A_CPROD,P3_CPROD))-IF(ISNUMBER(L269),L269,E269*P1_LOG+F269*P2_LOG+G269*P3_LOG)</f>
        <v>0</v>
      </c>
      <c r="X269" s="33" t="n">
        <f aca="false">W269-(E269*P1_IVAN+F269*P2_IVAN+G269*IF($A269&lt;P3_DESDE,P3A_IVAN,P3_IVAN))-(H269+I269+J269)*(COSTE_DEV-IVA_DEV)-AM269-AO269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E269+AA269*TASA_USADA</f>
        <v>0</v>
      </c>
      <c r="AE269" s="59" t="n">
        <f aca="false">F269+AB269*TASA_USADA</f>
        <v>0</v>
      </c>
      <c r="AF269" s="59" t="n">
        <f aca="false">G269+AC269*TASA_USADA</f>
        <v>0</v>
      </c>
      <c r="AG269" s="59" t="n">
        <f aca="false">H269+I269+J269+(AA269+AB269+AC269)*(1-TASA_USADA)</f>
        <v>0</v>
      </c>
      <c r="AH269" s="60" t="n">
        <f aca="false">AD269*P1_PVP+AE269*P2_PVP+AF269*IF($A269&lt;P3_DESDE,P3A_PVP,P3_PVP)</f>
        <v>0</v>
      </c>
      <c r="AI269" s="60" t="n">
        <f aca="false">AD269*P1_CPROD+AE269*P2_CPROD+AF269*IF($A269&lt;P3_DESDE,P3A_CPROD,P3_CPROD)</f>
        <v>0</v>
      </c>
      <c r="AJ269" s="60" t="n">
        <f aca="false">IF(ISNUMBER(L269),L269,E269*P1_LOG+F269*P2_LOG+G269*P3_LOG)+IF(ISNUMBER(M269),M269,AA269*P1_LOG+AB269*P2_LOG+AC269*P3_LOG)*TASA_USADA</f>
        <v>0</v>
      </c>
      <c r="AK269" s="60" t="n">
        <f aca="false">AG269*COSTE_DEV</f>
        <v>0</v>
      </c>
      <c r="AL269" s="60" t="n">
        <f aca="false">AD269*P1_IVAN+AE269*P2_IVAN+AF269*IF($A269&lt;P3_DESDE,P3A_IVAN,P3_IVAN)-AG269*IVA_DEV</f>
        <v>0</v>
      </c>
      <c r="AM269" s="60" t="n">
        <f aca="false">N269*(1+RECARGO_ADS)</f>
        <v>0</v>
      </c>
      <c r="AN269" s="58" t="n">
        <f aca="false">IF(ISNUMBER(L269),E269+F269+G269+AA269+AB269+AC269,0)</f>
        <v>0</v>
      </c>
      <c r="AO269" s="60" t="n">
        <f aca="false">P269*COMISION</f>
        <v>0</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B270*P1_PVP+C270*P2_PVP+D270*IF($A270&lt;P3_DESDE,P3A_PVP,P3_PVP)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E270*(P1_PVP-P1_CPROD)+F270*(P2_PVP-P2_CPROD)+G270*(IF($A270&lt;P3_DESDE,P3A_PVP,P3_PVP)-IF($A270&lt;P3_DESDE,P3A_CPROD,P3_CPROD))-IF(ISNUMBER(L270),L270,E270*P1_LOG+F270*P2_LOG+G270*P3_LOG)</f>
        <v>0</v>
      </c>
      <c r="X270" s="33" t="n">
        <f aca="false">W270-(E270*P1_IVAN+F270*P2_IVAN+G270*IF($A270&lt;P3_DESDE,P3A_IVAN,P3_IVAN))-(H270+I270+J270)*(COSTE_DEV-IVA_DEV)-AM270-AO270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E270+AA270*TASA_USADA</f>
        <v>0</v>
      </c>
      <c r="AE270" s="59" t="n">
        <f aca="false">F270+AB270*TASA_USADA</f>
        <v>0</v>
      </c>
      <c r="AF270" s="59" t="n">
        <f aca="false">G270+AC270*TASA_USADA</f>
        <v>0</v>
      </c>
      <c r="AG270" s="59" t="n">
        <f aca="false">H270+I270+J270+(AA270+AB270+AC270)*(1-TASA_USADA)</f>
        <v>0</v>
      </c>
      <c r="AH270" s="60" t="n">
        <f aca="false">AD270*P1_PVP+AE270*P2_PVP+AF270*IF($A270&lt;P3_DESDE,P3A_PVP,P3_PVP)</f>
        <v>0</v>
      </c>
      <c r="AI270" s="60" t="n">
        <f aca="false">AD270*P1_CPROD+AE270*P2_CPROD+AF270*IF($A270&lt;P3_DESDE,P3A_CPROD,P3_CPROD)</f>
        <v>0</v>
      </c>
      <c r="AJ270" s="60" t="n">
        <f aca="false">IF(ISNUMBER(L270),L270,E270*P1_LOG+F270*P2_LOG+G270*P3_LOG)+IF(ISNUMBER(M270),M270,AA270*P1_LOG+AB270*P2_LOG+AC270*P3_LOG)*TASA_USADA</f>
        <v>0</v>
      </c>
      <c r="AK270" s="60" t="n">
        <f aca="false">AG270*COSTE_DEV</f>
        <v>0</v>
      </c>
      <c r="AL270" s="60" t="n">
        <f aca="false">AD270*P1_IVAN+AE270*P2_IVAN+AF270*IF($A270&lt;P3_DESDE,P3A_IVAN,P3_IVAN)-AG270*IVA_DEV</f>
        <v>0</v>
      </c>
      <c r="AM270" s="60" t="n">
        <f aca="false">N270*(1+RECARGO_ADS)</f>
        <v>0</v>
      </c>
      <c r="AN270" s="58" t="n">
        <f aca="false">IF(ISNUMBER(L270),E270+F270+G270+AA270+AB270+AC270,0)</f>
        <v>0</v>
      </c>
      <c r="AO270" s="60" t="n">
        <f aca="false">P270*COMISION</f>
        <v>0</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B271*P1_PVP+C271*P2_PVP+D271*IF($A271&lt;P3_DESDE,P3A_PVP,P3_PVP)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E271*(P1_PVP-P1_CPROD)+F271*(P2_PVP-P2_CPROD)+G271*(IF($A271&lt;P3_DESDE,P3A_PVP,P3_PVP)-IF($A271&lt;P3_DESDE,P3A_CPROD,P3_CPROD))-IF(ISNUMBER(L271),L271,E271*P1_LOG+F271*P2_LOG+G271*P3_LOG)</f>
        <v>0</v>
      </c>
      <c r="X271" s="33" t="n">
        <f aca="false">W271-(E271*P1_IVAN+F271*P2_IVAN+G271*IF($A271&lt;P3_DESDE,P3A_IVAN,P3_IVAN))-(H271+I271+J271)*(COSTE_DEV-IVA_DEV)-AM271-AO271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E271+AA271*TASA_USADA</f>
        <v>0</v>
      </c>
      <c r="AE271" s="59" t="n">
        <f aca="false">F271+AB271*TASA_USADA</f>
        <v>0</v>
      </c>
      <c r="AF271" s="59" t="n">
        <f aca="false">G271+AC271*TASA_USADA</f>
        <v>0</v>
      </c>
      <c r="AG271" s="59" t="n">
        <f aca="false">H271+I271+J271+(AA271+AB271+AC271)*(1-TASA_USADA)</f>
        <v>0</v>
      </c>
      <c r="AH271" s="60" t="n">
        <f aca="false">AD271*P1_PVP+AE271*P2_PVP+AF271*IF($A271&lt;P3_DESDE,P3A_PVP,P3_PVP)</f>
        <v>0</v>
      </c>
      <c r="AI271" s="60" t="n">
        <f aca="false">AD271*P1_CPROD+AE271*P2_CPROD+AF271*IF($A271&lt;P3_DESDE,P3A_CPROD,P3_CPROD)</f>
        <v>0</v>
      </c>
      <c r="AJ271" s="60" t="n">
        <f aca="false">IF(ISNUMBER(L271),L271,E271*P1_LOG+F271*P2_LOG+G271*P3_LOG)+IF(ISNUMBER(M271),M271,AA271*P1_LOG+AB271*P2_LOG+AC271*P3_LOG)*TASA_USADA</f>
        <v>0</v>
      </c>
      <c r="AK271" s="60" t="n">
        <f aca="false">AG271*COSTE_DEV</f>
        <v>0</v>
      </c>
      <c r="AL271" s="60" t="n">
        <f aca="false">AD271*P1_IVAN+AE271*P2_IVAN+AF271*IF($A271&lt;P3_DESDE,P3A_IVAN,P3_IVAN)-AG271*IVA_DEV</f>
        <v>0</v>
      </c>
      <c r="AM271" s="60" t="n">
        <f aca="false">N271*(1+RECARGO_ADS)</f>
        <v>0</v>
      </c>
      <c r="AN271" s="58" t="n">
        <f aca="false">IF(ISNUMBER(L271),E271+F271+G271+AA271+AB271+AC271,0)</f>
        <v>0</v>
      </c>
      <c r="AO271" s="60" t="n">
        <f aca="false">P271*COMISION</f>
        <v>0</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B272*P1_PVP+C272*P2_PVP+D272*IF($A272&lt;P3_DESDE,P3A_PVP,P3_PVP)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E272*(P1_PVP-P1_CPROD)+F272*(P2_PVP-P2_CPROD)+G272*(IF($A272&lt;P3_DESDE,P3A_PVP,P3_PVP)-IF($A272&lt;P3_DESDE,P3A_CPROD,P3_CPROD))-IF(ISNUMBER(L272),L272,E272*P1_LOG+F272*P2_LOG+G272*P3_LOG)</f>
        <v>0</v>
      </c>
      <c r="X272" s="33" t="n">
        <f aca="false">W272-(E272*P1_IVAN+F272*P2_IVAN+G272*IF($A272&lt;P3_DESDE,P3A_IVAN,P3_IVAN))-(H272+I272+J272)*(COSTE_DEV-IVA_DEV)-AM272-AO272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E272+AA272*TASA_USADA</f>
        <v>0</v>
      </c>
      <c r="AE272" s="59" t="n">
        <f aca="false">F272+AB272*TASA_USADA</f>
        <v>0</v>
      </c>
      <c r="AF272" s="59" t="n">
        <f aca="false">G272+AC272*TASA_USADA</f>
        <v>0</v>
      </c>
      <c r="AG272" s="59" t="n">
        <f aca="false">H272+I272+J272+(AA272+AB272+AC272)*(1-TASA_USADA)</f>
        <v>0</v>
      </c>
      <c r="AH272" s="60" t="n">
        <f aca="false">AD272*P1_PVP+AE272*P2_PVP+AF272*IF($A272&lt;P3_DESDE,P3A_PVP,P3_PVP)</f>
        <v>0</v>
      </c>
      <c r="AI272" s="60" t="n">
        <f aca="false">AD272*P1_CPROD+AE272*P2_CPROD+AF272*IF($A272&lt;P3_DESDE,P3A_CPROD,P3_CPROD)</f>
        <v>0</v>
      </c>
      <c r="AJ272" s="60" t="n">
        <f aca="false">IF(ISNUMBER(L272),L272,E272*P1_LOG+F272*P2_LOG+G272*P3_LOG)+IF(ISNUMBER(M272),M272,AA272*P1_LOG+AB272*P2_LOG+AC272*P3_LOG)*TASA_USADA</f>
        <v>0</v>
      </c>
      <c r="AK272" s="60" t="n">
        <f aca="false">AG272*COSTE_DEV</f>
        <v>0</v>
      </c>
      <c r="AL272" s="60" t="n">
        <f aca="false">AD272*P1_IVAN+AE272*P2_IVAN+AF272*IF($A272&lt;P3_DESDE,P3A_IVAN,P3_IVAN)-AG272*IVA_DEV</f>
        <v>0</v>
      </c>
      <c r="AM272" s="60" t="n">
        <f aca="false">N272*(1+RECARGO_ADS)</f>
        <v>0</v>
      </c>
      <c r="AN272" s="58" t="n">
        <f aca="false">IF(ISNUMBER(L272),E272+F272+G272+AA272+AB272+AC272,0)</f>
        <v>0</v>
      </c>
      <c r="AO272" s="60" t="n">
        <f aca="false">P272*COMISION</f>
        <v>0</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B273*P1_PVP+C273*P2_PVP+D273*IF($A273&lt;P3_DESDE,P3A_PVP,P3_PVP)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E273*(P1_PVP-P1_CPROD)+F273*(P2_PVP-P2_CPROD)+G273*(IF($A273&lt;P3_DESDE,P3A_PVP,P3_PVP)-IF($A273&lt;P3_DESDE,P3A_CPROD,P3_CPROD))-IF(ISNUMBER(L273),L273,E273*P1_LOG+F273*P2_LOG+G273*P3_LOG)</f>
        <v>0</v>
      </c>
      <c r="X273" s="33" t="n">
        <f aca="false">W273-(E273*P1_IVAN+F273*P2_IVAN+G273*IF($A273&lt;P3_DESDE,P3A_IVAN,P3_IVAN))-(H273+I273+J273)*(COSTE_DEV-IVA_DEV)-AM273-AO273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E273+AA273*TASA_USADA</f>
        <v>0</v>
      </c>
      <c r="AE273" s="59" t="n">
        <f aca="false">F273+AB273*TASA_USADA</f>
        <v>0</v>
      </c>
      <c r="AF273" s="59" t="n">
        <f aca="false">G273+AC273*TASA_USADA</f>
        <v>0</v>
      </c>
      <c r="AG273" s="59" t="n">
        <f aca="false">H273+I273+J273+(AA273+AB273+AC273)*(1-TASA_USADA)</f>
        <v>0</v>
      </c>
      <c r="AH273" s="60" t="n">
        <f aca="false">AD273*P1_PVP+AE273*P2_PVP+AF273*IF($A273&lt;P3_DESDE,P3A_PVP,P3_PVP)</f>
        <v>0</v>
      </c>
      <c r="AI273" s="60" t="n">
        <f aca="false">AD273*P1_CPROD+AE273*P2_CPROD+AF273*IF($A273&lt;P3_DESDE,P3A_CPROD,P3_CPROD)</f>
        <v>0</v>
      </c>
      <c r="AJ273" s="60" t="n">
        <f aca="false">IF(ISNUMBER(L273),L273,E273*P1_LOG+F273*P2_LOG+G273*P3_LOG)+IF(ISNUMBER(M273),M273,AA273*P1_LOG+AB273*P2_LOG+AC273*P3_LOG)*TASA_USADA</f>
        <v>0</v>
      </c>
      <c r="AK273" s="60" t="n">
        <f aca="false">AG273*COSTE_DEV</f>
        <v>0</v>
      </c>
      <c r="AL273" s="60" t="n">
        <f aca="false">AD273*P1_IVAN+AE273*P2_IVAN+AF273*IF($A273&lt;P3_DESDE,P3A_IVAN,P3_IVAN)-AG273*IVA_DEV</f>
        <v>0</v>
      </c>
      <c r="AM273" s="60" t="n">
        <f aca="false">N273*(1+RECARGO_ADS)</f>
        <v>0</v>
      </c>
      <c r="AN273" s="58" t="n">
        <f aca="false">IF(ISNUMBER(L273),E273+F273+G273+AA273+AB273+AC273,0)</f>
        <v>0</v>
      </c>
      <c r="AO273" s="60" t="n">
        <f aca="false">P273*COMISION</f>
        <v>0</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B274*P1_PVP+C274*P2_PVP+D274*IF($A274&lt;P3_DESDE,P3A_PVP,P3_PVP)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E274*(P1_PVP-P1_CPROD)+F274*(P2_PVP-P2_CPROD)+G274*(IF($A274&lt;P3_DESDE,P3A_PVP,P3_PVP)-IF($A274&lt;P3_DESDE,P3A_CPROD,P3_CPROD))-IF(ISNUMBER(L274),L274,E274*P1_LOG+F274*P2_LOG+G274*P3_LOG)</f>
        <v>0</v>
      </c>
      <c r="X274" s="33" t="n">
        <f aca="false">W274-(E274*P1_IVAN+F274*P2_IVAN+G274*IF($A274&lt;P3_DESDE,P3A_IVAN,P3_IVAN))-(H274+I274+J274)*(COSTE_DEV-IVA_DEV)-AM274-AO274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E274+AA274*TASA_USADA</f>
        <v>0</v>
      </c>
      <c r="AE274" s="59" t="n">
        <f aca="false">F274+AB274*TASA_USADA</f>
        <v>0</v>
      </c>
      <c r="AF274" s="59" t="n">
        <f aca="false">G274+AC274*TASA_USADA</f>
        <v>0</v>
      </c>
      <c r="AG274" s="59" t="n">
        <f aca="false">H274+I274+J274+(AA274+AB274+AC274)*(1-TASA_USADA)</f>
        <v>0</v>
      </c>
      <c r="AH274" s="60" t="n">
        <f aca="false">AD274*P1_PVP+AE274*P2_PVP+AF274*IF($A274&lt;P3_DESDE,P3A_PVP,P3_PVP)</f>
        <v>0</v>
      </c>
      <c r="AI274" s="60" t="n">
        <f aca="false">AD274*P1_CPROD+AE274*P2_CPROD+AF274*IF($A274&lt;P3_DESDE,P3A_CPROD,P3_CPROD)</f>
        <v>0</v>
      </c>
      <c r="AJ274" s="60" t="n">
        <f aca="false">IF(ISNUMBER(L274),L274,E274*P1_LOG+F274*P2_LOG+G274*P3_LOG)+IF(ISNUMBER(M274),M274,AA274*P1_LOG+AB274*P2_LOG+AC274*P3_LOG)*TASA_USADA</f>
        <v>0</v>
      </c>
      <c r="AK274" s="60" t="n">
        <f aca="false">AG274*COSTE_DEV</f>
        <v>0</v>
      </c>
      <c r="AL274" s="60" t="n">
        <f aca="false">AD274*P1_IVAN+AE274*P2_IVAN+AF274*IF($A274&lt;P3_DESDE,P3A_IVAN,P3_IVAN)-AG274*IVA_DEV</f>
        <v>0</v>
      </c>
      <c r="AM274" s="60" t="n">
        <f aca="false">N274*(1+RECARGO_ADS)</f>
        <v>0</v>
      </c>
      <c r="AN274" s="58" t="n">
        <f aca="false">IF(ISNUMBER(L274),E274+F274+G274+AA274+AB274+AC274,0)</f>
        <v>0</v>
      </c>
      <c r="AO274" s="60" t="n">
        <f aca="false">P274*COMISION</f>
        <v>0</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B275*P1_PVP+C275*P2_PVP+D275*IF($A275&lt;P3_DESDE,P3A_PVP,P3_PVP)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E275*(P1_PVP-P1_CPROD)+F275*(P2_PVP-P2_CPROD)+G275*(IF($A275&lt;P3_DESDE,P3A_PVP,P3_PVP)-IF($A275&lt;P3_DESDE,P3A_CPROD,P3_CPROD))-IF(ISNUMBER(L275),L275,E275*P1_LOG+F275*P2_LOG+G275*P3_LOG)</f>
        <v>0</v>
      </c>
      <c r="X275" s="33" t="n">
        <f aca="false">W275-(E275*P1_IVAN+F275*P2_IVAN+G275*IF($A275&lt;P3_DESDE,P3A_IVAN,P3_IVAN))-(H275+I275+J275)*(COSTE_DEV-IVA_DEV)-AM275-AO275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E275+AA275*TASA_USADA</f>
        <v>0</v>
      </c>
      <c r="AE275" s="59" t="n">
        <f aca="false">F275+AB275*TASA_USADA</f>
        <v>0</v>
      </c>
      <c r="AF275" s="59" t="n">
        <f aca="false">G275+AC275*TASA_USADA</f>
        <v>0</v>
      </c>
      <c r="AG275" s="59" t="n">
        <f aca="false">H275+I275+J275+(AA275+AB275+AC275)*(1-TASA_USADA)</f>
        <v>0</v>
      </c>
      <c r="AH275" s="60" t="n">
        <f aca="false">AD275*P1_PVP+AE275*P2_PVP+AF275*IF($A275&lt;P3_DESDE,P3A_PVP,P3_PVP)</f>
        <v>0</v>
      </c>
      <c r="AI275" s="60" t="n">
        <f aca="false">AD275*P1_CPROD+AE275*P2_CPROD+AF275*IF($A275&lt;P3_DESDE,P3A_CPROD,P3_CPROD)</f>
        <v>0</v>
      </c>
      <c r="AJ275" s="60" t="n">
        <f aca="false">IF(ISNUMBER(L275),L275,E275*P1_LOG+F275*P2_LOG+G275*P3_LOG)+IF(ISNUMBER(M275),M275,AA275*P1_LOG+AB275*P2_LOG+AC275*P3_LOG)*TASA_USADA</f>
        <v>0</v>
      </c>
      <c r="AK275" s="60" t="n">
        <f aca="false">AG275*COSTE_DEV</f>
        <v>0</v>
      </c>
      <c r="AL275" s="60" t="n">
        <f aca="false">AD275*P1_IVAN+AE275*P2_IVAN+AF275*IF($A275&lt;P3_DESDE,P3A_IVAN,P3_IVAN)-AG275*IVA_DEV</f>
        <v>0</v>
      </c>
      <c r="AM275" s="60" t="n">
        <f aca="false">N275*(1+RECARGO_ADS)</f>
        <v>0</v>
      </c>
      <c r="AN275" s="58" t="n">
        <f aca="false">IF(ISNUMBER(L275),E275+F275+G275+AA275+AB275+AC275,0)</f>
        <v>0</v>
      </c>
      <c r="AO275" s="60" t="n">
        <f aca="false">P275*COMISION</f>
        <v>0</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B276*P1_PVP+C276*P2_PVP+D276*IF($A276&lt;P3_DESDE,P3A_PVP,P3_PVP)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E276*(P1_PVP-P1_CPROD)+F276*(P2_PVP-P2_CPROD)+G276*(IF($A276&lt;P3_DESDE,P3A_PVP,P3_PVP)-IF($A276&lt;P3_DESDE,P3A_CPROD,P3_CPROD))-IF(ISNUMBER(L276),L276,E276*P1_LOG+F276*P2_LOG+G276*P3_LOG)</f>
        <v>0</v>
      </c>
      <c r="X276" s="33" t="n">
        <f aca="false">W276-(E276*P1_IVAN+F276*P2_IVAN+G276*IF($A276&lt;P3_DESDE,P3A_IVAN,P3_IVAN))-(H276+I276+J276)*(COSTE_DEV-IVA_DEV)-AM276-AO276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E276+AA276*TASA_USADA</f>
        <v>0</v>
      </c>
      <c r="AE276" s="59" t="n">
        <f aca="false">F276+AB276*TASA_USADA</f>
        <v>0</v>
      </c>
      <c r="AF276" s="59" t="n">
        <f aca="false">G276+AC276*TASA_USADA</f>
        <v>0</v>
      </c>
      <c r="AG276" s="59" t="n">
        <f aca="false">H276+I276+J276+(AA276+AB276+AC276)*(1-TASA_USADA)</f>
        <v>0</v>
      </c>
      <c r="AH276" s="60" t="n">
        <f aca="false">AD276*P1_PVP+AE276*P2_PVP+AF276*IF($A276&lt;P3_DESDE,P3A_PVP,P3_PVP)</f>
        <v>0</v>
      </c>
      <c r="AI276" s="60" t="n">
        <f aca="false">AD276*P1_CPROD+AE276*P2_CPROD+AF276*IF($A276&lt;P3_DESDE,P3A_CPROD,P3_CPROD)</f>
        <v>0</v>
      </c>
      <c r="AJ276" s="60" t="n">
        <f aca="false">IF(ISNUMBER(L276),L276,E276*P1_LOG+F276*P2_LOG+G276*P3_LOG)+IF(ISNUMBER(M276),M276,AA276*P1_LOG+AB276*P2_LOG+AC276*P3_LOG)*TASA_USADA</f>
        <v>0</v>
      </c>
      <c r="AK276" s="60" t="n">
        <f aca="false">AG276*COSTE_DEV</f>
        <v>0</v>
      </c>
      <c r="AL276" s="60" t="n">
        <f aca="false">AD276*P1_IVAN+AE276*P2_IVAN+AF276*IF($A276&lt;P3_DESDE,P3A_IVAN,P3_IVAN)-AG276*IVA_DEV</f>
        <v>0</v>
      </c>
      <c r="AM276" s="60" t="n">
        <f aca="false">N276*(1+RECARGO_ADS)</f>
        <v>0</v>
      </c>
      <c r="AN276" s="58" t="n">
        <f aca="false">IF(ISNUMBER(L276),E276+F276+G276+AA276+AB276+AC276,0)</f>
        <v>0</v>
      </c>
      <c r="AO276" s="60" t="n">
        <f aca="false">P276*COMISION</f>
        <v>0</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B277*P1_PVP+C277*P2_PVP+D277*IF($A277&lt;P3_DESDE,P3A_PVP,P3_PVP)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E277*(P1_PVP-P1_CPROD)+F277*(P2_PVP-P2_CPROD)+G277*(IF($A277&lt;P3_DESDE,P3A_PVP,P3_PVP)-IF($A277&lt;P3_DESDE,P3A_CPROD,P3_CPROD))-IF(ISNUMBER(L277),L277,E277*P1_LOG+F277*P2_LOG+G277*P3_LOG)</f>
        <v>0</v>
      </c>
      <c r="X277" s="33" t="n">
        <f aca="false">W277-(E277*P1_IVAN+F277*P2_IVAN+G277*IF($A277&lt;P3_DESDE,P3A_IVAN,P3_IVAN))-(H277+I277+J277)*(COSTE_DEV-IVA_DEV)-AM277-AO277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E277+AA277*TASA_USADA</f>
        <v>0</v>
      </c>
      <c r="AE277" s="59" t="n">
        <f aca="false">F277+AB277*TASA_USADA</f>
        <v>0</v>
      </c>
      <c r="AF277" s="59" t="n">
        <f aca="false">G277+AC277*TASA_USADA</f>
        <v>0</v>
      </c>
      <c r="AG277" s="59" t="n">
        <f aca="false">H277+I277+J277+(AA277+AB277+AC277)*(1-TASA_USADA)</f>
        <v>0</v>
      </c>
      <c r="AH277" s="60" t="n">
        <f aca="false">AD277*P1_PVP+AE277*P2_PVP+AF277*IF($A277&lt;P3_DESDE,P3A_PVP,P3_PVP)</f>
        <v>0</v>
      </c>
      <c r="AI277" s="60" t="n">
        <f aca="false">AD277*P1_CPROD+AE277*P2_CPROD+AF277*IF($A277&lt;P3_DESDE,P3A_CPROD,P3_CPROD)</f>
        <v>0</v>
      </c>
      <c r="AJ277" s="60" t="n">
        <f aca="false">IF(ISNUMBER(L277),L277,E277*P1_LOG+F277*P2_LOG+G277*P3_LOG)+IF(ISNUMBER(M277),M277,AA277*P1_LOG+AB277*P2_LOG+AC277*P3_LOG)*TASA_USADA</f>
        <v>0</v>
      </c>
      <c r="AK277" s="60" t="n">
        <f aca="false">AG277*COSTE_DEV</f>
        <v>0</v>
      </c>
      <c r="AL277" s="60" t="n">
        <f aca="false">AD277*P1_IVAN+AE277*P2_IVAN+AF277*IF($A277&lt;P3_DESDE,P3A_IVAN,P3_IVAN)-AG277*IVA_DEV</f>
        <v>0</v>
      </c>
      <c r="AM277" s="60" t="n">
        <f aca="false">N277*(1+RECARGO_ADS)</f>
        <v>0</v>
      </c>
      <c r="AN277" s="58" t="n">
        <f aca="false">IF(ISNUMBER(L277),E277+F277+G277+AA277+AB277+AC277,0)</f>
        <v>0</v>
      </c>
      <c r="AO277" s="60" t="n">
        <f aca="false">P277*COMISION</f>
        <v>0</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B278*P1_PVP+C278*P2_PVP+D278*IF($A278&lt;P3_DESDE,P3A_PVP,P3_PVP)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E278*(P1_PVP-P1_CPROD)+F278*(P2_PVP-P2_CPROD)+G278*(IF($A278&lt;P3_DESDE,P3A_PVP,P3_PVP)-IF($A278&lt;P3_DESDE,P3A_CPROD,P3_CPROD))-IF(ISNUMBER(L278),L278,E278*P1_LOG+F278*P2_LOG+G278*P3_LOG)</f>
        <v>0</v>
      </c>
      <c r="X278" s="33" t="n">
        <f aca="false">W278-(E278*P1_IVAN+F278*P2_IVAN+G278*IF($A278&lt;P3_DESDE,P3A_IVAN,P3_IVAN))-(H278+I278+J278)*(COSTE_DEV-IVA_DEV)-AM278-AO278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E278+AA278*TASA_USADA</f>
        <v>0</v>
      </c>
      <c r="AE278" s="59" t="n">
        <f aca="false">F278+AB278*TASA_USADA</f>
        <v>0</v>
      </c>
      <c r="AF278" s="59" t="n">
        <f aca="false">G278+AC278*TASA_USADA</f>
        <v>0</v>
      </c>
      <c r="AG278" s="59" t="n">
        <f aca="false">H278+I278+J278+(AA278+AB278+AC278)*(1-TASA_USADA)</f>
        <v>0</v>
      </c>
      <c r="AH278" s="60" t="n">
        <f aca="false">AD278*P1_PVP+AE278*P2_PVP+AF278*IF($A278&lt;P3_DESDE,P3A_PVP,P3_PVP)</f>
        <v>0</v>
      </c>
      <c r="AI278" s="60" t="n">
        <f aca="false">AD278*P1_CPROD+AE278*P2_CPROD+AF278*IF($A278&lt;P3_DESDE,P3A_CPROD,P3_CPROD)</f>
        <v>0</v>
      </c>
      <c r="AJ278" s="60" t="n">
        <f aca="false">IF(ISNUMBER(L278),L278,E278*P1_LOG+F278*P2_LOG+G278*P3_LOG)+IF(ISNUMBER(M278),M278,AA278*P1_LOG+AB278*P2_LOG+AC278*P3_LOG)*TASA_USADA</f>
        <v>0</v>
      </c>
      <c r="AK278" s="60" t="n">
        <f aca="false">AG278*COSTE_DEV</f>
        <v>0</v>
      </c>
      <c r="AL278" s="60" t="n">
        <f aca="false">AD278*P1_IVAN+AE278*P2_IVAN+AF278*IF($A278&lt;P3_DESDE,P3A_IVAN,P3_IVAN)-AG278*IVA_DEV</f>
        <v>0</v>
      </c>
      <c r="AM278" s="60" t="n">
        <f aca="false">N278*(1+RECARGO_ADS)</f>
        <v>0</v>
      </c>
      <c r="AN278" s="58" t="n">
        <f aca="false">IF(ISNUMBER(L278),E278+F278+G278+AA278+AB278+AC278,0)</f>
        <v>0</v>
      </c>
      <c r="AO278" s="60" t="n">
        <f aca="false">P278*COMISION</f>
        <v>0</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B279*P1_PVP+C279*P2_PVP+D279*IF($A279&lt;P3_DESDE,P3A_PVP,P3_PVP)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E279*(P1_PVP-P1_CPROD)+F279*(P2_PVP-P2_CPROD)+G279*(IF($A279&lt;P3_DESDE,P3A_PVP,P3_PVP)-IF($A279&lt;P3_DESDE,P3A_CPROD,P3_CPROD))-IF(ISNUMBER(L279),L279,E279*P1_LOG+F279*P2_LOG+G279*P3_LOG)</f>
        <v>0</v>
      </c>
      <c r="X279" s="33" t="n">
        <f aca="false">W279-(E279*P1_IVAN+F279*P2_IVAN+G279*IF($A279&lt;P3_DESDE,P3A_IVAN,P3_IVAN))-(H279+I279+J279)*(COSTE_DEV-IVA_DEV)-AM279-AO279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E279+AA279*TASA_USADA</f>
        <v>0</v>
      </c>
      <c r="AE279" s="59" t="n">
        <f aca="false">F279+AB279*TASA_USADA</f>
        <v>0</v>
      </c>
      <c r="AF279" s="59" t="n">
        <f aca="false">G279+AC279*TASA_USADA</f>
        <v>0</v>
      </c>
      <c r="AG279" s="59" t="n">
        <f aca="false">H279+I279+J279+(AA279+AB279+AC279)*(1-TASA_USADA)</f>
        <v>0</v>
      </c>
      <c r="AH279" s="60" t="n">
        <f aca="false">AD279*P1_PVP+AE279*P2_PVP+AF279*IF($A279&lt;P3_DESDE,P3A_PVP,P3_PVP)</f>
        <v>0</v>
      </c>
      <c r="AI279" s="60" t="n">
        <f aca="false">AD279*P1_CPROD+AE279*P2_CPROD+AF279*IF($A279&lt;P3_DESDE,P3A_CPROD,P3_CPROD)</f>
        <v>0</v>
      </c>
      <c r="AJ279" s="60" t="n">
        <f aca="false">IF(ISNUMBER(L279),L279,E279*P1_LOG+F279*P2_LOG+G279*P3_LOG)+IF(ISNUMBER(M279),M279,AA279*P1_LOG+AB279*P2_LOG+AC279*P3_LOG)*TASA_USADA</f>
        <v>0</v>
      </c>
      <c r="AK279" s="60" t="n">
        <f aca="false">AG279*COSTE_DEV</f>
        <v>0</v>
      </c>
      <c r="AL279" s="60" t="n">
        <f aca="false">AD279*P1_IVAN+AE279*P2_IVAN+AF279*IF($A279&lt;P3_DESDE,P3A_IVAN,P3_IVAN)-AG279*IVA_DEV</f>
        <v>0</v>
      </c>
      <c r="AM279" s="60" t="n">
        <f aca="false">N279*(1+RECARGO_ADS)</f>
        <v>0</v>
      </c>
      <c r="AN279" s="58" t="n">
        <f aca="false">IF(ISNUMBER(L279),E279+F279+G279+AA279+AB279+AC279,0)</f>
        <v>0</v>
      </c>
      <c r="AO279" s="60" t="n">
        <f aca="false">P279*COMISION</f>
        <v>0</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B280*P1_PVP+C280*P2_PVP+D280*IF($A280&lt;P3_DESDE,P3A_PVP,P3_PVP)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E280*(P1_PVP-P1_CPROD)+F280*(P2_PVP-P2_CPROD)+G280*(IF($A280&lt;P3_DESDE,P3A_PVP,P3_PVP)-IF($A280&lt;P3_DESDE,P3A_CPROD,P3_CPROD))-IF(ISNUMBER(L280),L280,E280*P1_LOG+F280*P2_LOG+G280*P3_LOG)</f>
        <v>0</v>
      </c>
      <c r="X280" s="33" t="n">
        <f aca="false">W280-(E280*P1_IVAN+F280*P2_IVAN+G280*IF($A280&lt;P3_DESDE,P3A_IVAN,P3_IVAN))-(H280+I280+J280)*(COSTE_DEV-IVA_DEV)-AM280-AO280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E280+AA280*TASA_USADA</f>
        <v>0</v>
      </c>
      <c r="AE280" s="59" t="n">
        <f aca="false">F280+AB280*TASA_USADA</f>
        <v>0</v>
      </c>
      <c r="AF280" s="59" t="n">
        <f aca="false">G280+AC280*TASA_USADA</f>
        <v>0</v>
      </c>
      <c r="AG280" s="59" t="n">
        <f aca="false">H280+I280+J280+(AA280+AB280+AC280)*(1-TASA_USADA)</f>
        <v>0</v>
      </c>
      <c r="AH280" s="60" t="n">
        <f aca="false">AD280*P1_PVP+AE280*P2_PVP+AF280*IF($A280&lt;P3_DESDE,P3A_PVP,P3_PVP)</f>
        <v>0</v>
      </c>
      <c r="AI280" s="60" t="n">
        <f aca="false">AD280*P1_CPROD+AE280*P2_CPROD+AF280*IF($A280&lt;P3_DESDE,P3A_CPROD,P3_CPROD)</f>
        <v>0</v>
      </c>
      <c r="AJ280" s="60" t="n">
        <f aca="false">IF(ISNUMBER(L280),L280,E280*P1_LOG+F280*P2_LOG+G280*P3_LOG)+IF(ISNUMBER(M280),M280,AA280*P1_LOG+AB280*P2_LOG+AC280*P3_LOG)*TASA_USADA</f>
        <v>0</v>
      </c>
      <c r="AK280" s="60" t="n">
        <f aca="false">AG280*COSTE_DEV</f>
        <v>0</v>
      </c>
      <c r="AL280" s="60" t="n">
        <f aca="false">AD280*P1_IVAN+AE280*P2_IVAN+AF280*IF($A280&lt;P3_DESDE,P3A_IVAN,P3_IVAN)-AG280*IVA_DEV</f>
        <v>0</v>
      </c>
      <c r="AM280" s="60" t="n">
        <f aca="false">N280*(1+RECARGO_ADS)</f>
        <v>0</v>
      </c>
      <c r="AN280" s="58" t="n">
        <f aca="false">IF(ISNUMBER(L280),E280+F280+G280+AA280+AB280+AC280,0)</f>
        <v>0</v>
      </c>
      <c r="AO280" s="60" t="n">
        <f aca="false">P280*COMISION</f>
        <v>0</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B281*P1_PVP+C281*P2_PVP+D281*IF($A281&lt;P3_DESDE,P3A_PVP,P3_PVP)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E281*(P1_PVP-P1_CPROD)+F281*(P2_PVP-P2_CPROD)+G281*(IF($A281&lt;P3_DESDE,P3A_PVP,P3_PVP)-IF($A281&lt;P3_DESDE,P3A_CPROD,P3_CPROD))-IF(ISNUMBER(L281),L281,E281*P1_LOG+F281*P2_LOG+G281*P3_LOG)</f>
        <v>0</v>
      </c>
      <c r="X281" s="33" t="n">
        <f aca="false">W281-(E281*P1_IVAN+F281*P2_IVAN+G281*IF($A281&lt;P3_DESDE,P3A_IVAN,P3_IVAN))-(H281+I281+J281)*(COSTE_DEV-IVA_DEV)-AM281-AO281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E281+AA281*TASA_USADA</f>
        <v>0</v>
      </c>
      <c r="AE281" s="59" t="n">
        <f aca="false">F281+AB281*TASA_USADA</f>
        <v>0</v>
      </c>
      <c r="AF281" s="59" t="n">
        <f aca="false">G281+AC281*TASA_USADA</f>
        <v>0</v>
      </c>
      <c r="AG281" s="59" t="n">
        <f aca="false">H281+I281+J281+(AA281+AB281+AC281)*(1-TASA_USADA)</f>
        <v>0</v>
      </c>
      <c r="AH281" s="60" t="n">
        <f aca="false">AD281*P1_PVP+AE281*P2_PVP+AF281*IF($A281&lt;P3_DESDE,P3A_PVP,P3_PVP)</f>
        <v>0</v>
      </c>
      <c r="AI281" s="60" t="n">
        <f aca="false">AD281*P1_CPROD+AE281*P2_CPROD+AF281*IF($A281&lt;P3_DESDE,P3A_CPROD,P3_CPROD)</f>
        <v>0</v>
      </c>
      <c r="AJ281" s="60" t="n">
        <f aca="false">IF(ISNUMBER(L281),L281,E281*P1_LOG+F281*P2_LOG+G281*P3_LOG)+IF(ISNUMBER(M281),M281,AA281*P1_LOG+AB281*P2_LOG+AC281*P3_LOG)*TASA_USADA</f>
        <v>0</v>
      </c>
      <c r="AK281" s="60" t="n">
        <f aca="false">AG281*COSTE_DEV</f>
        <v>0</v>
      </c>
      <c r="AL281" s="60" t="n">
        <f aca="false">AD281*P1_IVAN+AE281*P2_IVAN+AF281*IF($A281&lt;P3_DESDE,P3A_IVAN,P3_IVAN)-AG281*IVA_DEV</f>
        <v>0</v>
      </c>
      <c r="AM281" s="60" t="n">
        <f aca="false">N281*(1+RECARGO_ADS)</f>
        <v>0</v>
      </c>
      <c r="AN281" s="58" t="n">
        <f aca="false">IF(ISNUMBER(L281),E281+F281+G281+AA281+AB281+AC281,0)</f>
        <v>0</v>
      </c>
      <c r="AO281" s="60" t="n">
        <f aca="false">P281*COMISION</f>
        <v>0</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B282*P1_PVP+C282*P2_PVP+D282*IF($A282&lt;P3_DESDE,P3A_PVP,P3_PVP)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E282*(P1_PVP-P1_CPROD)+F282*(P2_PVP-P2_CPROD)+G282*(IF($A282&lt;P3_DESDE,P3A_PVP,P3_PVP)-IF($A282&lt;P3_DESDE,P3A_CPROD,P3_CPROD))-IF(ISNUMBER(L282),L282,E282*P1_LOG+F282*P2_LOG+G282*P3_LOG)</f>
        <v>0</v>
      </c>
      <c r="X282" s="33" t="n">
        <f aca="false">W282-(E282*P1_IVAN+F282*P2_IVAN+G282*IF($A282&lt;P3_DESDE,P3A_IVAN,P3_IVAN))-(H282+I282+J282)*(COSTE_DEV-IVA_DEV)-AM282-AO282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E282+AA282*TASA_USADA</f>
        <v>0</v>
      </c>
      <c r="AE282" s="59" t="n">
        <f aca="false">F282+AB282*TASA_USADA</f>
        <v>0</v>
      </c>
      <c r="AF282" s="59" t="n">
        <f aca="false">G282+AC282*TASA_USADA</f>
        <v>0</v>
      </c>
      <c r="AG282" s="59" t="n">
        <f aca="false">H282+I282+J282+(AA282+AB282+AC282)*(1-TASA_USADA)</f>
        <v>0</v>
      </c>
      <c r="AH282" s="60" t="n">
        <f aca="false">AD282*P1_PVP+AE282*P2_PVP+AF282*IF($A282&lt;P3_DESDE,P3A_PVP,P3_PVP)</f>
        <v>0</v>
      </c>
      <c r="AI282" s="60" t="n">
        <f aca="false">AD282*P1_CPROD+AE282*P2_CPROD+AF282*IF($A282&lt;P3_DESDE,P3A_CPROD,P3_CPROD)</f>
        <v>0</v>
      </c>
      <c r="AJ282" s="60" t="n">
        <f aca="false">IF(ISNUMBER(L282),L282,E282*P1_LOG+F282*P2_LOG+G282*P3_LOG)+IF(ISNUMBER(M282),M282,AA282*P1_LOG+AB282*P2_LOG+AC282*P3_LOG)*TASA_USADA</f>
        <v>0</v>
      </c>
      <c r="AK282" s="60" t="n">
        <f aca="false">AG282*COSTE_DEV</f>
        <v>0</v>
      </c>
      <c r="AL282" s="60" t="n">
        <f aca="false">AD282*P1_IVAN+AE282*P2_IVAN+AF282*IF($A282&lt;P3_DESDE,P3A_IVAN,P3_IVAN)-AG282*IVA_DEV</f>
        <v>0</v>
      </c>
      <c r="AM282" s="60" t="n">
        <f aca="false">N282*(1+RECARGO_ADS)</f>
        <v>0</v>
      </c>
      <c r="AN282" s="58" t="n">
        <f aca="false">IF(ISNUMBER(L282),E282+F282+G282+AA282+AB282+AC282,0)</f>
        <v>0</v>
      </c>
      <c r="AO282" s="60" t="n">
        <f aca="false">P282*COMISION</f>
        <v>0</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B283*P1_PVP+C283*P2_PVP+D283*IF($A283&lt;P3_DESDE,P3A_PVP,P3_PVP)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E283*(P1_PVP-P1_CPROD)+F283*(P2_PVP-P2_CPROD)+G283*(IF($A283&lt;P3_DESDE,P3A_PVP,P3_PVP)-IF($A283&lt;P3_DESDE,P3A_CPROD,P3_CPROD))-IF(ISNUMBER(L283),L283,E283*P1_LOG+F283*P2_LOG+G283*P3_LOG)</f>
        <v>0</v>
      </c>
      <c r="X283" s="33" t="n">
        <f aca="false">W283-(E283*P1_IVAN+F283*P2_IVAN+G283*IF($A283&lt;P3_DESDE,P3A_IVAN,P3_IVAN))-(H283+I283+J283)*(COSTE_DEV-IVA_DEV)-AM283-AO283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E283+AA283*TASA_USADA</f>
        <v>0</v>
      </c>
      <c r="AE283" s="59" t="n">
        <f aca="false">F283+AB283*TASA_USADA</f>
        <v>0</v>
      </c>
      <c r="AF283" s="59" t="n">
        <f aca="false">G283+AC283*TASA_USADA</f>
        <v>0</v>
      </c>
      <c r="AG283" s="59" t="n">
        <f aca="false">H283+I283+J283+(AA283+AB283+AC283)*(1-TASA_USADA)</f>
        <v>0</v>
      </c>
      <c r="AH283" s="60" t="n">
        <f aca="false">AD283*P1_PVP+AE283*P2_PVP+AF283*IF($A283&lt;P3_DESDE,P3A_PVP,P3_PVP)</f>
        <v>0</v>
      </c>
      <c r="AI283" s="60" t="n">
        <f aca="false">AD283*P1_CPROD+AE283*P2_CPROD+AF283*IF($A283&lt;P3_DESDE,P3A_CPROD,P3_CPROD)</f>
        <v>0</v>
      </c>
      <c r="AJ283" s="60" t="n">
        <f aca="false">IF(ISNUMBER(L283),L283,E283*P1_LOG+F283*P2_LOG+G283*P3_LOG)+IF(ISNUMBER(M283),M283,AA283*P1_LOG+AB283*P2_LOG+AC283*P3_LOG)*TASA_USADA</f>
        <v>0</v>
      </c>
      <c r="AK283" s="60" t="n">
        <f aca="false">AG283*COSTE_DEV</f>
        <v>0</v>
      </c>
      <c r="AL283" s="60" t="n">
        <f aca="false">AD283*P1_IVAN+AE283*P2_IVAN+AF283*IF($A283&lt;P3_DESDE,P3A_IVAN,P3_IVAN)-AG283*IVA_DEV</f>
        <v>0</v>
      </c>
      <c r="AM283" s="60" t="n">
        <f aca="false">N283*(1+RECARGO_ADS)</f>
        <v>0</v>
      </c>
      <c r="AN283" s="58" t="n">
        <f aca="false">IF(ISNUMBER(L283),E283+F283+G283+AA283+AB283+AC283,0)</f>
        <v>0</v>
      </c>
      <c r="AO283" s="60" t="n">
        <f aca="false">P283*COMISION</f>
        <v>0</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B284*P1_PVP+C284*P2_PVP+D284*IF($A284&lt;P3_DESDE,P3A_PVP,P3_PVP)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E284*(P1_PVP-P1_CPROD)+F284*(P2_PVP-P2_CPROD)+G284*(IF($A284&lt;P3_DESDE,P3A_PVP,P3_PVP)-IF($A284&lt;P3_DESDE,P3A_CPROD,P3_CPROD))-IF(ISNUMBER(L284),L284,E284*P1_LOG+F284*P2_LOG+G284*P3_LOG)</f>
        <v>0</v>
      </c>
      <c r="X284" s="33" t="n">
        <f aca="false">W284-(E284*P1_IVAN+F284*P2_IVAN+G284*IF($A284&lt;P3_DESDE,P3A_IVAN,P3_IVAN))-(H284+I284+J284)*(COSTE_DEV-IVA_DEV)-AM284-AO284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E284+AA284*TASA_USADA</f>
        <v>0</v>
      </c>
      <c r="AE284" s="59" t="n">
        <f aca="false">F284+AB284*TASA_USADA</f>
        <v>0</v>
      </c>
      <c r="AF284" s="59" t="n">
        <f aca="false">G284+AC284*TASA_USADA</f>
        <v>0</v>
      </c>
      <c r="AG284" s="59" t="n">
        <f aca="false">H284+I284+J284+(AA284+AB284+AC284)*(1-TASA_USADA)</f>
        <v>0</v>
      </c>
      <c r="AH284" s="60" t="n">
        <f aca="false">AD284*P1_PVP+AE284*P2_PVP+AF284*IF($A284&lt;P3_DESDE,P3A_PVP,P3_PVP)</f>
        <v>0</v>
      </c>
      <c r="AI284" s="60" t="n">
        <f aca="false">AD284*P1_CPROD+AE284*P2_CPROD+AF284*IF($A284&lt;P3_DESDE,P3A_CPROD,P3_CPROD)</f>
        <v>0</v>
      </c>
      <c r="AJ284" s="60" t="n">
        <f aca="false">IF(ISNUMBER(L284),L284,E284*P1_LOG+F284*P2_LOG+G284*P3_LOG)+IF(ISNUMBER(M284),M284,AA284*P1_LOG+AB284*P2_LOG+AC284*P3_LOG)*TASA_USADA</f>
        <v>0</v>
      </c>
      <c r="AK284" s="60" t="n">
        <f aca="false">AG284*COSTE_DEV</f>
        <v>0</v>
      </c>
      <c r="AL284" s="60" t="n">
        <f aca="false">AD284*P1_IVAN+AE284*P2_IVAN+AF284*IF($A284&lt;P3_DESDE,P3A_IVAN,P3_IVAN)-AG284*IVA_DEV</f>
        <v>0</v>
      </c>
      <c r="AM284" s="60" t="n">
        <f aca="false">N284*(1+RECARGO_ADS)</f>
        <v>0</v>
      </c>
      <c r="AN284" s="58" t="n">
        <f aca="false">IF(ISNUMBER(L284),E284+F284+G284+AA284+AB284+AC284,0)</f>
        <v>0</v>
      </c>
      <c r="AO284" s="60" t="n">
        <f aca="false">P284*COMISION</f>
        <v>0</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B285*P1_PVP+C285*P2_PVP+D285*IF($A285&lt;P3_DESDE,P3A_PVP,P3_PVP)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E285*(P1_PVP-P1_CPROD)+F285*(P2_PVP-P2_CPROD)+G285*(IF($A285&lt;P3_DESDE,P3A_PVP,P3_PVP)-IF($A285&lt;P3_DESDE,P3A_CPROD,P3_CPROD))-IF(ISNUMBER(L285),L285,E285*P1_LOG+F285*P2_LOG+G285*P3_LOG)</f>
        <v>0</v>
      </c>
      <c r="X285" s="33" t="n">
        <f aca="false">W285-(E285*P1_IVAN+F285*P2_IVAN+G285*IF($A285&lt;P3_DESDE,P3A_IVAN,P3_IVAN))-(H285+I285+J285)*(COSTE_DEV-IVA_DEV)-AM285-AO285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E285+AA285*TASA_USADA</f>
        <v>0</v>
      </c>
      <c r="AE285" s="59" t="n">
        <f aca="false">F285+AB285*TASA_USADA</f>
        <v>0</v>
      </c>
      <c r="AF285" s="59" t="n">
        <f aca="false">G285+AC285*TASA_USADA</f>
        <v>0</v>
      </c>
      <c r="AG285" s="59" t="n">
        <f aca="false">H285+I285+J285+(AA285+AB285+AC285)*(1-TASA_USADA)</f>
        <v>0</v>
      </c>
      <c r="AH285" s="60" t="n">
        <f aca="false">AD285*P1_PVP+AE285*P2_PVP+AF285*IF($A285&lt;P3_DESDE,P3A_PVP,P3_PVP)</f>
        <v>0</v>
      </c>
      <c r="AI285" s="60" t="n">
        <f aca="false">AD285*P1_CPROD+AE285*P2_CPROD+AF285*IF($A285&lt;P3_DESDE,P3A_CPROD,P3_CPROD)</f>
        <v>0</v>
      </c>
      <c r="AJ285" s="60" t="n">
        <f aca="false">IF(ISNUMBER(L285),L285,E285*P1_LOG+F285*P2_LOG+G285*P3_LOG)+IF(ISNUMBER(M285),M285,AA285*P1_LOG+AB285*P2_LOG+AC285*P3_LOG)*TASA_USADA</f>
        <v>0</v>
      </c>
      <c r="AK285" s="60" t="n">
        <f aca="false">AG285*COSTE_DEV</f>
        <v>0</v>
      </c>
      <c r="AL285" s="60" t="n">
        <f aca="false">AD285*P1_IVAN+AE285*P2_IVAN+AF285*IF($A285&lt;P3_DESDE,P3A_IVAN,P3_IVAN)-AG285*IVA_DEV</f>
        <v>0</v>
      </c>
      <c r="AM285" s="60" t="n">
        <f aca="false">N285*(1+RECARGO_ADS)</f>
        <v>0</v>
      </c>
      <c r="AN285" s="58" t="n">
        <f aca="false">IF(ISNUMBER(L285),E285+F285+G285+AA285+AB285+AC285,0)</f>
        <v>0</v>
      </c>
      <c r="AO285" s="60" t="n">
        <f aca="false">P285*COMISION</f>
        <v>0</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B286*P1_PVP+C286*P2_PVP+D286*IF($A286&lt;P3_DESDE,P3A_PVP,P3_PVP)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E286*(P1_PVP-P1_CPROD)+F286*(P2_PVP-P2_CPROD)+G286*(IF($A286&lt;P3_DESDE,P3A_PVP,P3_PVP)-IF($A286&lt;P3_DESDE,P3A_CPROD,P3_CPROD))-IF(ISNUMBER(L286),L286,E286*P1_LOG+F286*P2_LOG+G286*P3_LOG)</f>
        <v>0</v>
      </c>
      <c r="X286" s="33" t="n">
        <f aca="false">W286-(E286*P1_IVAN+F286*P2_IVAN+G286*IF($A286&lt;P3_DESDE,P3A_IVAN,P3_IVAN))-(H286+I286+J286)*(COSTE_DEV-IVA_DEV)-AM286-AO286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E286+AA286*TASA_USADA</f>
        <v>0</v>
      </c>
      <c r="AE286" s="59" t="n">
        <f aca="false">F286+AB286*TASA_USADA</f>
        <v>0</v>
      </c>
      <c r="AF286" s="59" t="n">
        <f aca="false">G286+AC286*TASA_USADA</f>
        <v>0</v>
      </c>
      <c r="AG286" s="59" t="n">
        <f aca="false">H286+I286+J286+(AA286+AB286+AC286)*(1-TASA_USADA)</f>
        <v>0</v>
      </c>
      <c r="AH286" s="60" t="n">
        <f aca="false">AD286*P1_PVP+AE286*P2_PVP+AF286*IF($A286&lt;P3_DESDE,P3A_PVP,P3_PVP)</f>
        <v>0</v>
      </c>
      <c r="AI286" s="60" t="n">
        <f aca="false">AD286*P1_CPROD+AE286*P2_CPROD+AF286*IF($A286&lt;P3_DESDE,P3A_CPROD,P3_CPROD)</f>
        <v>0</v>
      </c>
      <c r="AJ286" s="60" t="n">
        <f aca="false">IF(ISNUMBER(L286),L286,E286*P1_LOG+F286*P2_LOG+G286*P3_LOG)+IF(ISNUMBER(M286),M286,AA286*P1_LOG+AB286*P2_LOG+AC286*P3_LOG)*TASA_USADA</f>
        <v>0</v>
      </c>
      <c r="AK286" s="60" t="n">
        <f aca="false">AG286*COSTE_DEV</f>
        <v>0</v>
      </c>
      <c r="AL286" s="60" t="n">
        <f aca="false">AD286*P1_IVAN+AE286*P2_IVAN+AF286*IF($A286&lt;P3_DESDE,P3A_IVAN,P3_IVAN)-AG286*IVA_DEV</f>
        <v>0</v>
      </c>
      <c r="AM286" s="60" t="n">
        <f aca="false">N286*(1+RECARGO_ADS)</f>
        <v>0</v>
      </c>
      <c r="AN286" s="58" t="n">
        <f aca="false">IF(ISNUMBER(L286),E286+F286+G286+AA286+AB286+AC286,0)</f>
        <v>0</v>
      </c>
      <c r="AO286" s="60" t="n">
        <f aca="false">P286*COMISION</f>
        <v>0</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B287*P1_PVP+C287*P2_PVP+D287*IF($A287&lt;P3_DESDE,P3A_PVP,P3_PVP)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E287*(P1_PVP-P1_CPROD)+F287*(P2_PVP-P2_CPROD)+G287*(IF($A287&lt;P3_DESDE,P3A_PVP,P3_PVP)-IF($A287&lt;P3_DESDE,P3A_CPROD,P3_CPROD))-IF(ISNUMBER(L287),L287,E287*P1_LOG+F287*P2_LOG+G287*P3_LOG)</f>
        <v>0</v>
      </c>
      <c r="X287" s="33" t="n">
        <f aca="false">W287-(E287*P1_IVAN+F287*P2_IVAN+G287*IF($A287&lt;P3_DESDE,P3A_IVAN,P3_IVAN))-(H287+I287+J287)*(COSTE_DEV-IVA_DEV)-AM287-AO287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E287+AA287*TASA_USADA</f>
        <v>0</v>
      </c>
      <c r="AE287" s="59" t="n">
        <f aca="false">F287+AB287*TASA_USADA</f>
        <v>0</v>
      </c>
      <c r="AF287" s="59" t="n">
        <f aca="false">G287+AC287*TASA_USADA</f>
        <v>0</v>
      </c>
      <c r="AG287" s="59" t="n">
        <f aca="false">H287+I287+J287+(AA287+AB287+AC287)*(1-TASA_USADA)</f>
        <v>0</v>
      </c>
      <c r="AH287" s="60" t="n">
        <f aca="false">AD287*P1_PVP+AE287*P2_PVP+AF287*IF($A287&lt;P3_DESDE,P3A_PVP,P3_PVP)</f>
        <v>0</v>
      </c>
      <c r="AI287" s="60" t="n">
        <f aca="false">AD287*P1_CPROD+AE287*P2_CPROD+AF287*IF($A287&lt;P3_DESDE,P3A_CPROD,P3_CPROD)</f>
        <v>0</v>
      </c>
      <c r="AJ287" s="60" t="n">
        <f aca="false">IF(ISNUMBER(L287),L287,E287*P1_LOG+F287*P2_LOG+G287*P3_LOG)+IF(ISNUMBER(M287),M287,AA287*P1_LOG+AB287*P2_LOG+AC287*P3_LOG)*TASA_USADA</f>
        <v>0</v>
      </c>
      <c r="AK287" s="60" t="n">
        <f aca="false">AG287*COSTE_DEV</f>
        <v>0</v>
      </c>
      <c r="AL287" s="60" t="n">
        <f aca="false">AD287*P1_IVAN+AE287*P2_IVAN+AF287*IF($A287&lt;P3_DESDE,P3A_IVAN,P3_IVAN)-AG287*IVA_DEV</f>
        <v>0</v>
      </c>
      <c r="AM287" s="60" t="n">
        <f aca="false">N287*(1+RECARGO_ADS)</f>
        <v>0</v>
      </c>
      <c r="AN287" s="58" t="n">
        <f aca="false">IF(ISNUMBER(L287),E287+F287+G287+AA287+AB287+AC287,0)</f>
        <v>0</v>
      </c>
      <c r="AO287" s="60" t="n">
        <f aca="false">P287*COMISION</f>
        <v>0</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B288*P1_PVP+C288*P2_PVP+D288*IF($A288&lt;P3_DESDE,P3A_PVP,P3_PVP)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E288*(P1_PVP-P1_CPROD)+F288*(P2_PVP-P2_CPROD)+G288*(IF($A288&lt;P3_DESDE,P3A_PVP,P3_PVP)-IF($A288&lt;P3_DESDE,P3A_CPROD,P3_CPROD))-IF(ISNUMBER(L288),L288,E288*P1_LOG+F288*P2_LOG+G288*P3_LOG)</f>
        <v>0</v>
      </c>
      <c r="X288" s="33" t="n">
        <f aca="false">W288-(E288*P1_IVAN+F288*P2_IVAN+G288*IF($A288&lt;P3_DESDE,P3A_IVAN,P3_IVAN))-(H288+I288+J288)*(COSTE_DEV-IVA_DEV)-AM288-AO288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E288+AA288*TASA_USADA</f>
        <v>0</v>
      </c>
      <c r="AE288" s="59" t="n">
        <f aca="false">F288+AB288*TASA_USADA</f>
        <v>0</v>
      </c>
      <c r="AF288" s="59" t="n">
        <f aca="false">G288+AC288*TASA_USADA</f>
        <v>0</v>
      </c>
      <c r="AG288" s="59" t="n">
        <f aca="false">H288+I288+J288+(AA288+AB288+AC288)*(1-TASA_USADA)</f>
        <v>0</v>
      </c>
      <c r="AH288" s="60" t="n">
        <f aca="false">AD288*P1_PVP+AE288*P2_PVP+AF288*IF($A288&lt;P3_DESDE,P3A_PVP,P3_PVP)</f>
        <v>0</v>
      </c>
      <c r="AI288" s="60" t="n">
        <f aca="false">AD288*P1_CPROD+AE288*P2_CPROD+AF288*IF($A288&lt;P3_DESDE,P3A_CPROD,P3_CPROD)</f>
        <v>0</v>
      </c>
      <c r="AJ288" s="60" t="n">
        <f aca="false">IF(ISNUMBER(L288),L288,E288*P1_LOG+F288*P2_LOG+G288*P3_LOG)+IF(ISNUMBER(M288),M288,AA288*P1_LOG+AB288*P2_LOG+AC288*P3_LOG)*TASA_USADA</f>
        <v>0</v>
      </c>
      <c r="AK288" s="60" t="n">
        <f aca="false">AG288*COSTE_DEV</f>
        <v>0</v>
      </c>
      <c r="AL288" s="60" t="n">
        <f aca="false">AD288*P1_IVAN+AE288*P2_IVAN+AF288*IF($A288&lt;P3_DESDE,P3A_IVAN,P3_IVAN)-AG288*IVA_DEV</f>
        <v>0</v>
      </c>
      <c r="AM288" s="60" t="n">
        <f aca="false">N288*(1+RECARGO_ADS)</f>
        <v>0</v>
      </c>
      <c r="AN288" s="58" t="n">
        <f aca="false">IF(ISNUMBER(L288),E288+F288+G288+AA288+AB288+AC288,0)</f>
        <v>0</v>
      </c>
      <c r="AO288" s="60" t="n">
        <f aca="false">P288*COMISION</f>
        <v>0</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B289*P1_PVP+C289*P2_PVP+D289*IF($A289&lt;P3_DESDE,P3A_PVP,P3_PVP)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E289*(P1_PVP-P1_CPROD)+F289*(P2_PVP-P2_CPROD)+G289*(IF($A289&lt;P3_DESDE,P3A_PVP,P3_PVP)-IF($A289&lt;P3_DESDE,P3A_CPROD,P3_CPROD))-IF(ISNUMBER(L289),L289,E289*P1_LOG+F289*P2_LOG+G289*P3_LOG)</f>
        <v>0</v>
      </c>
      <c r="X289" s="33" t="n">
        <f aca="false">W289-(E289*P1_IVAN+F289*P2_IVAN+G289*IF($A289&lt;P3_DESDE,P3A_IVAN,P3_IVAN))-(H289+I289+J289)*(COSTE_DEV-IVA_DEV)-AM289-AO289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E289+AA289*TASA_USADA</f>
        <v>0</v>
      </c>
      <c r="AE289" s="59" t="n">
        <f aca="false">F289+AB289*TASA_USADA</f>
        <v>0</v>
      </c>
      <c r="AF289" s="59" t="n">
        <f aca="false">G289+AC289*TASA_USADA</f>
        <v>0</v>
      </c>
      <c r="AG289" s="59" t="n">
        <f aca="false">H289+I289+J289+(AA289+AB289+AC289)*(1-TASA_USADA)</f>
        <v>0</v>
      </c>
      <c r="AH289" s="60" t="n">
        <f aca="false">AD289*P1_PVP+AE289*P2_PVP+AF289*IF($A289&lt;P3_DESDE,P3A_PVP,P3_PVP)</f>
        <v>0</v>
      </c>
      <c r="AI289" s="60" t="n">
        <f aca="false">AD289*P1_CPROD+AE289*P2_CPROD+AF289*IF($A289&lt;P3_DESDE,P3A_CPROD,P3_CPROD)</f>
        <v>0</v>
      </c>
      <c r="AJ289" s="60" t="n">
        <f aca="false">IF(ISNUMBER(L289),L289,E289*P1_LOG+F289*P2_LOG+G289*P3_LOG)+IF(ISNUMBER(M289),M289,AA289*P1_LOG+AB289*P2_LOG+AC289*P3_LOG)*TASA_USADA</f>
        <v>0</v>
      </c>
      <c r="AK289" s="60" t="n">
        <f aca="false">AG289*COSTE_DEV</f>
        <v>0</v>
      </c>
      <c r="AL289" s="60" t="n">
        <f aca="false">AD289*P1_IVAN+AE289*P2_IVAN+AF289*IF($A289&lt;P3_DESDE,P3A_IVAN,P3_IVAN)-AG289*IVA_DEV</f>
        <v>0</v>
      </c>
      <c r="AM289" s="60" t="n">
        <f aca="false">N289*(1+RECARGO_ADS)</f>
        <v>0</v>
      </c>
      <c r="AN289" s="58" t="n">
        <f aca="false">IF(ISNUMBER(L289),E289+F289+G289+AA289+AB289+AC289,0)</f>
        <v>0</v>
      </c>
      <c r="AO289" s="60" t="n">
        <f aca="false">P289*COMISION</f>
        <v>0</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B290*P1_PVP+C290*P2_PVP+D290*IF($A290&lt;P3_DESDE,P3A_PVP,P3_PVP)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E290*(P1_PVP-P1_CPROD)+F290*(P2_PVP-P2_CPROD)+G290*(IF($A290&lt;P3_DESDE,P3A_PVP,P3_PVP)-IF($A290&lt;P3_DESDE,P3A_CPROD,P3_CPROD))-IF(ISNUMBER(L290),L290,E290*P1_LOG+F290*P2_LOG+G290*P3_LOG)</f>
        <v>0</v>
      </c>
      <c r="X290" s="33" t="n">
        <f aca="false">W290-(E290*P1_IVAN+F290*P2_IVAN+G290*IF($A290&lt;P3_DESDE,P3A_IVAN,P3_IVAN))-(H290+I290+J290)*(COSTE_DEV-IVA_DEV)-AM290-AO290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E290+AA290*TASA_USADA</f>
        <v>0</v>
      </c>
      <c r="AE290" s="59" t="n">
        <f aca="false">F290+AB290*TASA_USADA</f>
        <v>0</v>
      </c>
      <c r="AF290" s="59" t="n">
        <f aca="false">G290+AC290*TASA_USADA</f>
        <v>0</v>
      </c>
      <c r="AG290" s="59" t="n">
        <f aca="false">H290+I290+J290+(AA290+AB290+AC290)*(1-TASA_USADA)</f>
        <v>0</v>
      </c>
      <c r="AH290" s="60" t="n">
        <f aca="false">AD290*P1_PVP+AE290*P2_PVP+AF290*IF($A290&lt;P3_DESDE,P3A_PVP,P3_PVP)</f>
        <v>0</v>
      </c>
      <c r="AI290" s="60" t="n">
        <f aca="false">AD290*P1_CPROD+AE290*P2_CPROD+AF290*IF($A290&lt;P3_DESDE,P3A_CPROD,P3_CPROD)</f>
        <v>0</v>
      </c>
      <c r="AJ290" s="60" t="n">
        <f aca="false">IF(ISNUMBER(L290),L290,E290*P1_LOG+F290*P2_LOG+G290*P3_LOG)+IF(ISNUMBER(M290),M290,AA290*P1_LOG+AB290*P2_LOG+AC290*P3_LOG)*TASA_USADA</f>
        <v>0</v>
      </c>
      <c r="AK290" s="60" t="n">
        <f aca="false">AG290*COSTE_DEV</f>
        <v>0</v>
      </c>
      <c r="AL290" s="60" t="n">
        <f aca="false">AD290*P1_IVAN+AE290*P2_IVAN+AF290*IF($A290&lt;P3_DESDE,P3A_IVAN,P3_IVAN)-AG290*IVA_DEV</f>
        <v>0</v>
      </c>
      <c r="AM290" s="60" t="n">
        <f aca="false">N290*(1+RECARGO_ADS)</f>
        <v>0</v>
      </c>
      <c r="AN290" s="58" t="n">
        <f aca="false">IF(ISNUMBER(L290),E290+F290+G290+AA290+AB290+AC290,0)</f>
        <v>0</v>
      </c>
      <c r="AO290" s="60" t="n">
        <f aca="false">P290*COMISION</f>
        <v>0</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B291*P1_PVP+C291*P2_PVP+D291*IF($A291&lt;P3_DESDE,P3A_PVP,P3_PVP)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E291*(P1_PVP-P1_CPROD)+F291*(P2_PVP-P2_CPROD)+G291*(IF($A291&lt;P3_DESDE,P3A_PVP,P3_PVP)-IF($A291&lt;P3_DESDE,P3A_CPROD,P3_CPROD))-IF(ISNUMBER(L291),L291,E291*P1_LOG+F291*P2_LOG+G291*P3_LOG)</f>
        <v>0</v>
      </c>
      <c r="X291" s="33" t="n">
        <f aca="false">W291-(E291*P1_IVAN+F291*P2_IVAN+G291*IF($A291&lt;P3_DESDE,P3A_IVAN,P3_IVAN))-(H291+I291+J291)*(COSTE_DEV-IVA_DEV)-AM291-AO291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E291+AA291*TASA_USADA</f>
        <v>0</v>
      </c>
      <c r="AE291" s="59" t="n">
        <f aca="false">F291+AB291*TASA_USADA</f>
        <v>0</v>
      </c>
      <c r="AF291" s="59" t="n">
        <f aca="false">G291+AC291*TASA_USADA</f>
        <v>0</v>
      </c>
      <c r="AG291" s="59" t="n">
        <f aca="false">H291+I291+J291+(AA291+AB291+AC291)*(1-TASA_USADA)</f>
        <v>0</v>
      </c>
      <c r="AH291" s="60" t="n">
        <f aca="false">AD291*P1_PVP+AE291*P2_PVP+AF291*IF($A291&lt;P3_DESDE,P3A_PVP,P3_PVP)</f>
        <v>0</v>
      </c>
      <c r="AI291" s="60" t="n">
        <f aca="false">AD291*P1_CPROD+AE291*P2_CPROD+AF291*IF($A291&lt;P3_DESDE,P3A_CPROD,P3_CPROD)</f>
        <v>0</v>
      </c>
      <c r="AJ291" s="60" t="n">
        <f aca="false">IF(ISNUMBER(L291),L291,E291*P1_LOG+F291*P2_LOG+G291*P3_LOG)+IF(ISNUMBER(M291),M291,AA291*P1_LOG+AB291*P2_LOG+AC291*P3_LOG)*TASA_USADA</f>
        <v>0</v>
      </c>
      <c r="AK291" s="60" t="n">
        <f aca="false">AG291*COSTE_DEV</f>
        <v>0</v>
      </c>
      <c r="AL291" s="60" t="n">
        <f aca="false">AD291*P1_IVAN+AE291*P2_IVAN+AF291*IF($A291&lt;P3_DESDE,P3A_IVAN,P3_IVAN)-AG291*IVA_DEV</f>
        <v>0</v>
      </c>
      <c r="AM291" s="60" t="n">
        <f aca="false">N291*(1+RECARGO_ADS)</f>
        <v>0</v>
      </c>
      <c r="AN291" s="58" t="n">
        <f aca="false">IF(ISNUMBER(L291),E291+F291+G291+AA291+AB291+AC291,0)</f>
        <v>0</v>
      </c>
      <c r="AO291" s="60" t="n">
        <f aca="false">P291*COMISION</f>
        <v>0</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B292*P1_PVP+C292*P2_PVP+D292*IF($A292&lt;P3_DESDE,P3A_PVP,P3_PVP)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E292*(P1_PVP-P1_CPROD)+F292*(P2_PVP-P2_CPROD)+G292*(IF($A292&lt;P3_DESDE,P3A_PVP,P3_PVP)-IF($A292&lt;P3_DESDE,P3A_CPROD,P3_CPROD))-IF(ISNUMBER(L292),L292,E292*P1_LOG+F292*P2_LOG+G292*P3_LOG)</f>
        <v>0</v>
      </c>
      <c r="X292" s="33" t="n">
        <f aca="false">W292-(E292*P1_IVAN+F292*P2_IVAN+G292*IF($A292&lt;P3_DESDE,P3A_IVAN,P3_IVAN))-(H292+I292+J292)*(COSTE_DEV-IVA_DEV)-AM292-AO292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E292+AA292*TASA_USADA</f>
        <v>0</v>
      </c>
      <c r="AE292" s="59" t="n">
        <f aca="false">F292+AB292*TASA_USADA</f>
        <v>0</v>
      </c>
      <c r="AF292" s="59" t="n">
        <f aca="false">G292+AC292*TASA_USADA</f>
        <v>0</v>
      </c>
      <c r="AG292" s="59" t="n">
        <f aca="false">H292+I292+J292+(AA292+AB292+AC292)*(1-TASA_USADA)</f>
        <v>0</v>
      </c>
      <c r="AH292" s="60" t="n">
        <f aca="false">AD292*P1_PVP+AE292*P2_PVP+AF292*IF($A292&lt;P3_DESDE,P3A_PVP,P3_PVP)</f>
        <v>0</v>
      </c>
      <c r="AI292" s="60" t="n">
        <f aca="false">AD292*P1_CPROD+AE292*P2_CPROD+AF292*IF($A292&lt;P3_DESDE,P3A_CPROD,P3_CPROD)</f>
        <v>0</v>
      </c>
      <c r="AJ292" s="60" t="n">
        <f aca="false">IF(ISNUMBER(L292),L292,E292*P1_LOG+F292*P2_LOG+G292*P3_LOG)+IF(ISNUMBER(M292),M292,AA292*P1_LOG+AB292*P2_LOG+AC292*P3_LOG)*TASA_USADA</f>
        <v>0</v>
      </c>
      <c r="AK292" s="60" t="n">
        <f aca="false">AG292*COSTE_DEV</f>
        <v>0</v>
      </c>
      <c r="AL292" s="60" t="n">
        <f aca="false">AD292*P1_IVAN+AE292*P2_IVAN+AF292*IF($A292&lt;P3_DESDE,P3A_IVAN,P3_IVAN)-AG292*IVA_DEV</f>
        <v>0</v>
      </c>
      <c r="AM292" s="60" t="n">
        <f aca="false">N292*(1+RECARGO_ADS)</f>
        <v>0</v>
      </c>
      <c r="AN292" s="58" t="n">
        <f aca="false">IF(ISNUMBER(L292),E292+F292+G292+AA292+AB292+AC292,0)</f>
        <v>0</v>
      </c>
      <c r="AO292" s="60" t="n">
        <f aca="false">P292*COMISION</f>
        <v>0</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B293*P1_PVP+C293*P2_PVP+D293*IF($A293&lt;P3_DESDE,P3A_PVP,P3_PVP)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E293*(P1_PVP-P1_CPROD)+F293*(P2_PVP-P2_CPROD)+G293*(IF($A293&lt;P3_DESDE,P3A_PVP,P3_PVP)-IF($A293&lt;P3_DESDE,P3A_CPROD,P3_CPROD))-IF(ISNUMBER(L293),L293,E293*P1_LOG+F293*P2_LOG+G293*P3_LOG)</f>
        <v>0</v>
      </c>
      <c r="X293" s="33" t="n">
        <f aca="false">W293-(E293*P1_IVAN+F293*P2_IVAN+G293*IF($A293&lt;P3_DESDE,P3A_IVAN,P3_IVAN))-(H293+I293+J293)*(COSTE_DEV-IVA_DEV)-AM293-AO293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E293+AA293*TASA_USADA</f>
        <v>0</v>
      </c>
      <c r="AE293" s="59" t="n">
        <f aca="false">F293+AB293*TASA_USADA</f>
        <v>0</v>
      </c>
      <c r="AF293" s="59" t="n">
        <f aca="false">G293+AC293*TASA_USADA</f>
        <v>0</v>
      </c>
      <c r="AG293" s="59" t="n">
        <f aca="false">H293+I293+J293+(AA293+AB293+AC293)*(1-TASA_USADA)</f>
        <v>0</v>
      </c>
      <c r="AH293" s="60" t="n">
        <f aca="false">AD293*P1_PVP+AE293*P2_PVP+AF293*IF($A293&lt;P3_DESDE,P3A_PVP,P3_PVP)</f>
        <v>0</v>
      </c>
      <c r="AI293" s="60" t="n">
        <f aca="false">AD293*P1_CPROD+AE293*P2_CPROD+AF293*IF($A293&lt;P3_DESDE,P3A_CPROD,P3_CPROD)</f>
        <v>0</v>
      </c>
      <c r="AJ293" s="60" t="n">
        <f aca="false">IF(ISNUMBER(L293),L293,E293*P1_LOG+F293*P2_LOG+G293*P3_LOG)+IF(ISNUMBER(M293),M293,AA293*P1_LOG+AB293*P2_LOG+AC293*P3_LOG)*TASA_USADA</f>
        <v>0</v>
      </c>
      <c r="AK293" s="60" t="n">
        <f aca="false">AG293*COSTE_DEV</f>
        <v>0</v>
      </c>
      <c r="AL293" s="60" t="n">
        <f aca="false">AD293*P1_IVAN+AE293*P2_IVAN+AF293*IF($A293&lt;P3_DESDE,P3A_IVAN,P3_IVAN)-AG293*IVA_DEV</f>
        <v>0</v>
      </c>
      <c r="AM293" s="60" t="n">
        <f aca="false">N293*(1+RECARGO_ADS)</f>
        <v>0</v>
      </c>
      <c r="AN293" s="58" t="n">
        <f aca="false">IF(ISNUMBER(L293),E293+F293+G293+AA293+AB293+AC293,0)</f>
        <v>0</v>
      </c>
      <c r="AO293" s="60" t="n">
        <f aca="false">P293*COMISION</f>
        <v>0</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B294*P1_PVP+C294*P2_PVP+D294*IF($A294&lt;P3_DESDE,P3A_PVP,P3_PVP)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E294*(P1_PVP-P1_CPROD)+F294*(P2_PVP-P2_CPROD)+G294*(IF($A294&lt;P3_DESDE,P3A_PVP,P3_PVP)-IF($A294&lt;P3_DESDE,P3A_CPROD,P3_CPROD))-IF(ISNUMBER(L294),L294,E294*P1_LOG+F294*P2_LOG+G294*P3_LOG)</f>
        <v>0</v>
      </c>
      <c r="X294" s="33" t="n">
        <f aca="false">W294-(E294*P1_IVAN+F294*P2_IVAN+G294*IF($A294&lt;P3_DESDE,P3A_IVAN,P3_IVAN))-(H294+I294+J294)*(COSTE_DEV-IVA_DEV)-AM294-AO294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E294+AA294*TASA_USADA</f>
        <v>0</v>
      </c>
      <c r="AE294" s="59" t="n">
        <f aca="false">F294+AB294*TASA_USADA</f>
        <v>0</v>
      </c>
      <c r="AF294" s="59" t="n">
        <f aca="false">G294+AC294*TASA_USADA</f>
        <v>0</v>
      </c>
      <c r="AG294" s="59" t="n">
        <f aca="false">H294+I294+J294+(AA294+AB294+AC294)*(1-TASA_USADA)</f>
        <v>0</v>
      </c>
      <c r="AH294" s="60" t="n">
        <f aca="false">AD294*P1_PVP+AE294*P2_PVP+AF294*IF($A294&lt;P3_DESDE,P3A_PVP,P3_PVP)</f>
        <v>0</v>
      </c>
      <c r="AI294" s="60" t="n">
        <f aca="false">AD294*P1_CPROD+AE294*P2_CPROD+AF294*IF($A294&lt;P3_DESDE,P3A_CPROD,P3_CPROD)</f>
        <v>0</v>
      </c>
      <c r="AJ294" s="60" t="n">
        <f aca="false">IF(ISNUMBER(L294),L294,E294*P1_LOG+F294*P2_LOG+G294*P3_LOG)+IF(ISNUMBER(M294),M294,AA294*P1_LOG+AB294*P2_LOG+AC294*P3_LOG)*TASA_USADA</f>
        <v>0</v>
      </c>
      <c r="AK294" s="60" t="n">
        <f aca="false">AG294*COSTE_DEV</f>
        <v>0</v>
      </c>
      <c r="AL294" s="60" t="n">
        <f aca="false">AD294*P1_IVAN+AE294*P2_IVAN+AF294*IF($A294&lt;P3_DESDE,P3A_IVAN,P3_IVAN)-AG294*IVA_DEV</f>
        <v>0</v>
      </c>
      <c r="AM294" s="60" t="n">
        <f aca="false">N294*(1+RECARGO_ADS)</f>
        <v>0</v>
      </c>
      <c r="AN294" s="58" t="n">
        <f aca="false">IF(ISNUMBER(L294),E294+F294+G294+AA294+AB294+AC294,0)</f>
        <v>0</v>
      </c>
      <c r="AO294" s="60" t="n">
        <f aca="false">P294*COMISION</f>
        <v>0</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B295*P1_PVP+C295*P2_PVP+D295*IF($A295&lt;P3_DESDE,P3A_PVP,P3_PVP)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E295*(P1_PVP-P1_CPROD)+F295*(P2_PVP-P2_CPROD)+G295*(IF($A295&lt;P3_DESDE,P3A_PVP,P3_PVP)-IF($A295&lt;P3_DESDE,P3A_CPROD,P3_CPROD))-IF(ISNUMBER(L295),L295,E295*P1_LOG+F295*P2_LOG+G295*P3_LOG)</f>
        <v>0</v>
      </c>
      <c r="X295" s="33" t="n">
        <f aca="false">W295-(E295*P1_IVAN+F295*P2_IVAN+G295*IF($A295&lt;P3_DESDE,P3A_IVAN,P3_IVAN))-(H295+I295+J295)*(COSTE_DEV-IVA_DEV)-AM295-AO295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E295+AA295*TASA_USADA</f>
        <v>0</v>
      </c>
      <c r="AE295" s="59" t="n">
        <f aca="false">F295+AB295*TASA_USADA</f>
        <v>0</v>
      </c>
      <c r="AF295" s="59" t="n">
        <f aca="false">G295+AC295*TASA_USADA</f>
        <v>0</v>
      </c>
      <c r="AG295" s="59" t="n">
        <f aca="false">H295+I295+J295+(AA295+AB295+AC295)*(1-TASA_USADA)</f>
        <v>0</v>
      </c>
      <c r="AH295" s="60" t="n">
        <f aca="false">AD295*P1_PVP+AE295*P2_PVP+AF295*IF($A295&lt;P3_DESDE,P3A_PVP,P3_PVP)</f>
        <v>0</v>
      </c>
      <c r="AI295" s="60" t="n">
        <f aca="false">AD295*P1_CPROD+AE295*P2_CPROD+AF295*IF($A295&lt;P3_DESDE,P3A_CPROD,P3_CPROD)</f>
        <v>0</v>
      </c>
      <c r="AJ295" s="60" t="n">
        <f aca="false">IF(ISNUMBER(L295),L295,E295*P1_LOG+F295*P2_LOG+G295*P3_LOG)+IF(ISNUMBER(M295),M295,AA295*P1_LOG+AB295*P2_LOG+AC295*P3_LOG)*TASA_USADA</f>
        <v>0</v>
      </c>
      <c r="AK295" s="60" t="n">
        <f aca="false">AG295*COSTE_DEV</f>
        <v>0</v>
      </c>
      <c r="AL295" s="60" t="n">
        <f aca="false">AD295*P1_IVAN+AE295*P2_IVAN+AF295*IF($A295&lt;P3_DESDE,P3A_IVAN,P3_IVAN)-AG295*IVA_DEV</f>
        <v>0</v>
      </c>
      <c r="AM295" s="60" t="n">
        <f aca="false">N295*(1+RECARGO_ADS)</f>
        <v>0</v>
      </c>
      <c r="AN295" s="58" t="n">
        <f aca="false">IF(ISNUMBER(L295),E295+F295+G295+AA295+AB295+AC295,0)</f>
        <v>0</v>
      </c>
      <c r="AO295" s="60" t="n">
        <f aca="false">P295*COMISION</f>
        <v>0</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B296*P1_PVP+C296*P2_PVP+D296*IF($A296&lt;P3_DESDE,P3A_PVP,P3_PVP)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E296*(P1_PVP-P1_CPROD)+F296*(P2_PVP-P2_CPROD)+G296*(IF($A296&lt;P3_DESDE,P3A_PVP,P3_PVP)-IF($A296&lt;P3_DESDE,P3A_CPROD,P3_CPROD))-IF(ISNUMBER(L296),L296,E296*P1_LOG+F296*P2_LOG+G296*P3_LOG)</f>
        <v>0</v>
      </c>
      <c r="X296" s="33" t="n">
        <f aca="false">W296-(E296*P1_IVAN+F296*P2_IVAN+G296*IF($A296&lt;P3_DESDE,P3A_IVAN,P3_IVAN))-(H296+I296+J296)*(COSTE_DEV-IVA_DEV)-AM296-AO296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E296+AA296*TASA_USADA</f>
        <v>0</v>
      </c>
      <c r="AE296" s="59" t="n">
        <f aca="false">F296+AB296*TASA_USADA</f>
        <v>0</v>
      </c>
      <c r="AF296" s="59" t="n">
        <f aca="false">G296+AC296*TASA_USADA</f>
        <v>0</v>
      </c>
      <c r="AG296" s="59" t="n">
        <f aca="false">H296+I296+J296+(AA296+AB296+AC296)*(1-TASA_USADA)</f>
        <v>0</v>
      </c>
      <c r="AH296" s="60" t="n">
        <f aca="false">AD296*P1_PVP+AE296*P2_PVP+AF296*IF($A296&lt;P3_DESDE,P3A_PVP,P3_PVP)</f>
        <v>0</v>
      </c>
      <c r="AI296" s="60" t="n">
        <f aca="false">AD296*P1_CPROD+AE296*P2_CPROD+AF296*IF($A296&lt;P3_DESDE,P3A_CPROD,P3_CPROD)</f>
        <v>0</v>
      </c>
      <c r="AJ296" s="60" t="n">
        <f aca="false">IF(ISNUMBER(L296),L296,E296*P1_LOG+F296*P2_LOG+G296*P3_LOG)+IF(ISNUMBER(M296),M296,AA296*P1_LOG+AB296*P2_LOG+AC296*P3_LOG)*TASA_USADA</f>
        <v>0</v>
      </c>
      <c r="AK296" s="60" t="n">
        <f aca="false">AG296*COSTE_DEV</f>
        <v>0</v>
      </c>
      <c r="AL296" s="60" t="n">
        <f aca="false">AD296*P1_IVAN+AE296*P2_IVAN+AF296*IF($A296&lt;P3_DESDE,P3A_IVAN,P3_IVAN)-AG296*IVA_DEV</f>
        <v>0</v>
      </c>
      <c r="AM296" s="60" t="n">
        <f aca="false">N296*(1+RECARGO_ADS)</f>
        <v>0</v>
      </c>
      <c r="AN296" s="58" t="n">
        <f aca="false">IF(ISNUMBER(L296),E296+F296+G296+AA296+AB296+AC296,0)</f>
        <v>0</v>
      </c>
      <c r="AO296" s="60" t="n">
        <f aca="false">P296*COMISION</f>
        <v>0</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B297*P1_PVP+C297*P2_PVP+D297*IF($A297&lt;P3_DESDE,P3A_PVP,P3_PVP)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E297*(P1_PVP-P1_CPROD)+F297*(P2_PVP-P2_CPROD)+G297*(IF($A297&lt;P3_DESDE,P3A_PVP,P3_PVP)-IF($A297&lt;P3_DESDE,P3A_CPROD,P3_CPROD))-IF(ISNUMBER(L297),L297,E297*P1_LOG+F297*P2_LOG+G297*P3_LOG)</f>
        <v>0</v>
      </c>
      <c r="X297" s="33" t="n">
        <f aca="false">W297-(E297*P1_IVAN+F297*P2_IVAN+G297*IF($A297&lt;P3_DESDE,P3A_IVAN,P3_IVAN))-(H297+I297+J297)*(COSTE_DEV-IVA_DEV)-AM297-AO297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E297+AA297*TASA_USADA</f>
        <v>0</v>
      </c>
      <c r="AE297" s="59" t="n">
        <f aca="false">F297+AB297*TASA_USADA</f>
        <v>0</v>
      </c>
      <c r="AF297" s="59" t="n">
        <f aca="false">G297+AC297*TASA_USADA</f>
        <v>0</v>
      </c>
      <c r="AG297" s="59" t="n">
        <f aca="false">H297+I297+J297+(AA297+AB297+AC297)*(1-TASA_USADA)</f>
        <v>0</v>
      </c>
      <c r="AH297" s="60" t="n">
        <f aca="false">AD297*P1_PVP+AE297*P2_PVP+AF297*IF($A297&lt;P3_DESDE,P3A_PVP,P3_PVP)</f>
        <v>0</v>
      </c>
      <c r="AI297" s="60" t="n">
        <f aca="false">AD297*P1_CPROD+AE297*P2_CPROD+AF297*IF($A297&lt;P3_DESDE,P3A_CPROD,P3_CPROD)</f>
        <v>0</v>
      </c>
      <c r="AJ297" s="60" t="n">
        <f aca="false">IF(ISNUMBER(L297),L297,E297*P1_LOG+F297*P2_LOG+G297*P3_LOG)+IF(ISNUMBER(M297),M297,AA297*P1_LOG+AB297*P2_LOG+AC297*P3_LOG)*TASA_USADA</f>
        <v>0</v>
      </c>
      <c r="AK297" s="60" t="n">
        <f aca="false">AG297*COSTE_DEV</f>
        <v>0</v>
      </c>
      <c r="AL297" s="60" t="n">
        <f aca="false">AD297*P1_IVAN+AE297*P2_IVAN+AF297*IF($A297&lt;P3_DESDE,P3A_IVAN,P3_IVAN)-AG297*IVA_DEV</f>
        <v>0</v>
      </c>
      <c r="AM297" s="60" t="n">
        <f aca="false">N297*(1+RECARGO_ADS)</f>
        <v>0</v>
      </c>
      <c r="AN297" s="58" t="n">
        <f aca="false">IF(ISNUMBER(L297),E297+F297+G297+AA297+AB297+AC297,0)</f>
        <v>0</v>
      </c>
      <c r="AO297" s="60" t="n">
        <f aca="false">P297*COMISION</f>
        <v>0</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B298*P1_PVP+C298*P2_PVP+D298*IF($A298&lt;P3_DESDE,P3A_PVP,P3_PVP)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E298*(P1_PVP-P1_CPROD)+F298*(P2_PVP-P2_CPROD)+G298*(IF($A298&lt;P3_DESDE,P3A_PVP,P3_PVP)-IF($A298&lt;P3_DESDE,P3A_CPROD,P3_CPROD))-IF(ISNUMBER(L298),L298,E298*P1_LOG+F298*P2_LOG+G298*P3_LOG)</f>
        <v>0</v>
      </c>
      <c r="X298" s="33" t="n">
        <f aca="false">W298-(E298*P1_IVAN+F298*P2_IVAN+G298*IF($A298&lt;P3_DESDE,P3A_IVAN,P3_IVAN))-(H298+I298+J298)*(COSTE_DEV-IVA_DEV)-AM298-AO298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E298+AA298*TASA_USADA</f>
        <v>0</v>
      </c>
      <c r="AE298" s="59" t="n">
        <f aca="false">F298+AB298*TASA_USADA</f>
        <v>0</v>
      </c>
      <c r="AF298" s="59" t="n">
        <f aca="false">G298+AC298*TASA_USADA</f>
        <v>0</v>
      </c>
      <c r="AG298" s="59" t="n">
        <f aca="false">H298+I298+J298+(AA298+AB298+AC298)*(1-TASA_USADA)</f>
        <v>0</v>
      </c>
      <c r="AH298" s="60" t="n">
        <f aca="false">AD298*P1_PVP+AE298*P2_PVP+AF298*IF($A298&lt;P3_DESDE,P3A_PVP,P3_PVP)</f>
        <v>0</v>
      </c>
      <c r="AI298" s="60" t="n">
        <f aca="false">AD298*P1_CPROD+AE298*P2_CPROD+AF298*IF($A298&lt;P3_DESDE,P3A_CPROD,P3_CPROD)</f>
        <v>0</v>
      </c>
      <c r="AJ298" s="60" t="n">
        <f aca="false">IF(ISNUMBER(L298),L298,E298*P1_LOG+F298*P2_LOG+G298*P3_LOG)+IF(ISNUMBER(M298),M298,AA298*P1_LOG+AB298*P2_LOG+AC298*P3_LOG)*TASA_USADA</f>
        <v>0</v>
      </c>
      <c r="AK298" s="60" t="n">
        <f aca="false">AG298*COSTE_DEV</f>
        <v>0</v>
      </c>
      <c r="AL298" s="60" t="n">
        <f aca="false">AD298*P1_IVAN+AE298*P2_IVAN+AF298*IF($A298&lt;P3_DESDE,P3A_IVAN,P3_IVAN)-AG298*IVA_DEV</f>
        <v>0</v>
      </c>
      <c r="AM298" s="60" t="n">
        <f aca="false">N298*(1+RECARGO_ADS)</f>
        <v>0</v>
      </c>
      <c r="AN298" s="58" t="n">
        <f aca="false">IF(ISNUMBER(L298),E298+F298+G298+AA298+AB298+AC298,0)</f>
        <v>0</v>
      </c>
      <c r="AO298" s="60" t="n">
        <f aca="false">P298*COMISION</f>
        <v>0</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B299*P1_PVP+C299*P2_PVP+D299*IF($A299&lt;P3_DESDE,P3A_PVP,P3_PVP)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E299*(P1_PVP-P1_CPROD)+F299*(P2_PVP-P2_CPROD)+G299*(IF($A299&lt;P3_DESDE,P3A_PVP,P3_PVP)-IF($A299&lt;P3_DESDE,P3A_CPROD,P3_CPROD))-IF(ISNUMBER(L299),L299,E299*P1_LOG+F299*P2_LOG+G299*P3_LOG)</f>
        <v>0</v>
      </c>
      <c r="X299" s="33" t="n">
        <f aca="false">W299-(E299*P1_IVAN+F299*P2_IVAN+G299*IF($A299&lt;P3_DESDE,P3A_IVAN,P3_IVAN))-(H299+I299+J299)*(COSTE_DEV-IVA_DEV)-AM299-AO299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E299+AA299*TASA_USADA</f>
        <v>0</v>
      </c>
      <c r="AE299" s="59" t="n">
        <f aca="false">F299+AB299*TASA_USADA</f>
        <v>0</v>
      </c>
      <c r="AF299" s="59" t="n">
        <f aca="false">G299+AC299*TASA_USADA</f>
        <v>0</v>
      </c>
      <c r="AG299" s="59" t="n">
        <f aca="false">H299+I299+J299+(AA299+AB299+AC299)*(1-TASA_USADA)</f>
        <v>0</v>
      </c>
      <c r="AH299" s="60" t="n">
        <f aca="false">AD299*P1_PVP+AE299*P2_PVP+AF299*IF($A299&lt;P3_DESDE,P3A_PVP,P3_PVP)</f>
        <v>0</v>
      </c>
      <c r="AI299" s="60" t="n">
        <f aca="false">AD299*P1_CPROD+AE299*P2_CPROD+AF299*IF($A299&lt;P3_DESDE,P3A_CPROD,P3_CPROD)</f>
        <v>0</v>
      </c>
      <c r="AJ299" s="60" t="n">
        <f aca="false">IF(ISNUMBER(L299),L299,E299*P1_LOG+F299*P2_LOG+G299*P3_LOG)+IF(ISNUMBER(M299),M299,AA299*P1_LOG+AB299*P2_LOG+AC299*P3_LOG)*TASA_USADA</f>
        <v>0</v>
      </c>
      <c r="AK299" s="60" t="n">
        <f aca="false">AG299*COSTE_DEV</f>
        <v>0</v>
      </c>
      <c r="AL299" s="60" t="n">
        <f aca="false">AD299*P1_IVAN+AE299*P2_IVAN+AF299*IF($A299&lt;P3_DESDE,P3A_IVAN,P3_IVAN)-AG299*IVA_DEV</f>
        <v>0</v>
      </c>
      <c r="AM299" s="60" t="n">
        <f aca="false">N299*(1+RECARGO_ADS)</f>
        <v>0</v>
      </c>
      <c r="AN299" s="58" t="n">
        <f aca="false">IF(ISNUMBER(L299),E299+F299+G299+AA299+AB299+AC299,0)</f>
        <v>0</v>
      </c>
      <c r="AO299" s="60" t="n">
        <f aca="false">P299*COMISION</f>
        <v>0</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B300*P1_PVP+C300*P2_PVP+D300*IF($A300&lt;P3_DESDE,P3A_PVP,P3_PVP)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E300*(P1_PVP-P1_CPROD)+F300*(P2_PVP-P2_CPROD)+G300*(IF($A300&lt;P3_DESDE,P3A_PVP,P3_PVP)-IF($A300&lt;P3_DESDE,P3A_CPROD,P3_CPROD))-IF(ISNUMBER(L300),L300,E300*P1_LOG+F300*P2_LOG+G300*P3_LOG)</f>
        <v>0</v>
      </c>
      <c r="X300" s="33" t="n">
        <f aca="false">W300-(E300*P1_IVAN+F300*P2_IVAN+G300*IF($A300&lt;P3_DESDE,P3A_IVAN,P3_IVAN))-(H300+I300+J300)*(COSTE_DEV-IVA_DEV)-AM300-AO300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E300+AA300*TASA_USADA</f>
        <v>0</v>
      </c>
      <c r="AE300" s="59" t="n">
        <f aca="false">F300+AB300*TASA_USADA</f>
        <v>0</v>
      </c>
      <c r="AF300" s="59" t="n">
        <f aca="false">G300+AC300*TASA_USADA</f>
        <v>0</v>
      </c>
      <c r="AG300" s="59" t="n">
        <f aca="false">H300+I300+J300+(AA300+AB300+AC300)*(1-TASA_USADA)</f>
        <v>0</v>
      </c>
      <c r="AH300" s="60" t="n">
        <f aca="false">AD300*P1_PVP+AE300*P2_PVP+AF300*IF($A300&lt;P3_DESDE,P3A_PVP,P3_PVP)</f>
        <v>0</v>
      </c>
      <c r="AI300" s="60" t="n">
        <f aca="false">AD300*P1_CPROD+AE300*P2_CPROD+AF300*IF($A300&lt;P3_DESDE,P3A_CPROD,P3_CPROD)</f>
        <v>0</v>
      </c>
      <c r="AJ300" s="60" t="n">
        <f aca="false">IF(ISNUMBER(L300),L300,E300*P1_LOG+F300*P2_LOG+G300*P3_LOG)+IF(ISNUMBER(M300),M300,AA300*P1_LOG+AB300*P2_LOG+AC300*P3_LOG)*TASA_USADA</f>
        <v>0</v>
      </c>
      <c r="AK300" s="60" t="n">
        <f aca="false">AG300*COSTE_DEV</f>
        <v>0</v>
      </c>
      <c r="AL300" s="60" t="n">
        <f aca="false">AD300*P1_IVAN+AE300*P2_IVAN+AF300*IF($A300&lt;P3_DESDE,P3A_IVAN,P3_IVAN)-AG300*IVA_DEV</f>
        <v>0</v>
      </c>
      <c r="AM300" s="60" t="n">
        <f aca="false">N300*(1+RECARGO_ADS)</f>
        <v>0</v>
      </c>
      <c r="AN300" s="58" t="n">
        <f aca="false">IF(ISNUMBER(L300),E300+F300+G300+AA300+AB300+AC300,0)</f>
        <v>0</v>
      </c>
      <c r="AO300" s="60" t="n">
        <f aca="false">P300*COMISION</f>
        <v>0</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B301*P1_PVP+C301*P2_PVP+D301*IF($A301&lt;P3_DESDE,P3A_PVP,P3_PVP)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E301*(P1_PVP-P1_CPROD)+F301*(P2_PVP-P2_CPROD)+G301*(IF($A301&lt;P3_DESDE,P3A_PVP,P3_PVP)-IF($A301&lt;P3_DESDE,P3A_CPROD,P3_CPROD))-IF(ISNUMBER(L301),L301,E301*P1_LOG+F301*P2_LOG+G301*P3_LOG)</f>
        <v>0</v>
      </c>
      <c r="X301" s="33" t="n">
        <f aca="false">W301-(E301*P1_IVAN+F301*P2_IVAN+G301*IF($A301&lt;P3_DESDE,P3A_IVAN,P3_IVAN))-(H301+I301+J301)*(COSTE_DEV-IVA_DEV)-AM301-AO301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E301+AA301*TASA_USADA</f>
        <v>0</v>
      </c>
      <c r="AE301" s="59" t="n">
        <f aca="false">F301+AB301*TASA_USADA</f>
        <v>0</v>
      </c>
      <c r="AF301" s="59" t="n">
        <f aca="false">G301+AC301*TASA_USADA</f>
        <v>0</v>
      </c>
      <c r="AG301" s="59" t="n">
        <f aca="false">H301+I301+J301+(AA301+AB301+AC301)*(1-TASA_USADA)</f>
        <v>0</v>
      </c>
      <c r="AH301" s="60" t="n">
        <f aca="false">AD301*P1_PVP+AE301*P2_PVP+AF301*IF($A301&lt;P3_DESDE,P3A_PVP,P3_PVP)</f>
        <v>0</v>
      </c>
      <c r="AI301" s="60" t="n">
        <f aca="false">AD301*P1_CPROD+AE301*P2_CPROD+AF301*IF($A301&lt;P3_DESDE,P3A_CPROD,P3_CPROD)</f>
        <v>0</v>
      </c>
      <c r="AJ301" s="60" t="n">
        <f aca="false">IF(ISNUMBER(L301),L301,E301*P1_LOG+F301*P2_LOG+G301*P3_LOG)+IF(ISNUMBER(M301),M301,AA301*P1_LOG+AB301*P2_LOG+AC301*P3_LOG)*TASA_USADA</f>
        <v>0</v>
      </c>
      <c r="AK301" s="60" t="n">
        <f aca="false">AG301*COSTE_DEV</f>
        <v>0</v>
      </c>
      <c r="AL301" s="60" t="n">
        <f aca="false">AD301*P1_IVAN+AE301*P2_IVAN+AF301*IF($A301&lt;P3_DESDE,P3A_IVAN,P3_IVAN)-AG301*IVA_DEV</f>
        <v>0</v>
      </c>
      <c r="AM301" s="60" t="n">
        <f aca="false">N301*(1+RECARGO_ADS)</f>
        <v>0</v>
      </c>
      <c r="AN301" s="58" t="n">
        <f aca="false">IF(ISNUMBER(L301),E301+F301+G301+AA301+AB301+AC301,0)</f>
        <v>0</v>
      </c>
      <c r="AO301" s="60" t="n">
        <f aca="false">P301*COMISION</f>
        <v>0</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B302*P1_PVP+C302*P2_PVP+D302*IF($A302&lt;P3_DESDE,P3A_PVP,P3_PVP)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E302*(P1_PVP-P1_CPROD)+F302*(P2_PVP-P2_CPROD)+G302*(IF($A302&lt;P3_DESDE,P3A_PVP,P3_PVP)-IF($A302&lt;P3_DESDE,P3A_CPROD,P3_CPROD))-IF(ISNUMBER(L302),L302,E302*P1_LOG+F302*P2_LOG+G302*P3_LOG)</f>
        <v>0</v>
      </c>
      <c r="X302" s="33" t="n">
        <f aca="false">W302-(E302*P1_IVAN+F302*P2_IVAN+G302*IF($A302&lt;P3_DESDE,P3A_IVAN,P3_IVAN))-(H302+I302+J302)*(COSTE_DEV-IVA_DEV)-AM302-AO302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E302+AA302*TASA_USADA</f>
        <v>0</v>
      </c>
      <c r="AE302" s="59" t="n">
        <f aca="false">F302+AB302*TASA_USADA</f>
        <v>0</v>
      </c>
      <c r="AF302" s="59" t="n">
        <f aca="false">G302+AC302*TASA_USADA</f>
        <v>0</v>
      </c>
      <c r="AG302" s="59" t="n">
        <f aca="false">H302+I302+J302+(AA302+AB302+AC302)*(1-TASA_USADA)</f>
        <v>0</v>
      </c>
      <c r="AH302" s="60" t="n">
        <f aca="false">AD302*P1_PVP+AE302*P2_PVP+AF302*IF($A302&lt;P3_DESDE,P3A_PVP,P3_PVP)</f>
        <v>0</v>
      </c>
      <c r="AI302" s="60" t="n">
        <f aca="false">AD302*P1_CPROD+AE302*P2_CPROD+AF302*IF($A302&lt;P3_DESDE,P3A_CPROD,P3_CPROD)</f>
        <v>0</v>
      </c>
      <c r="AJ302" s="60" t="n">
        <f aca="false">IF(ISNUMBER(L302),L302,E302*P1_LOG+F302*P2_LOG+G302*P3_LOG)+IF(ISNUMBER(M302),M302,AA302*P1_LOG+AB302*P2_LOG+AC302*P3_LOG)*TASA_USADA</f>
        <v>0</v>
      </c>
      <c r="AK302" s="60" t="n">
        <f aca="false">AG302*COSTE_DEV</f>
        <v>0</v>
      </c>
      <c r="AL302" s="60" t="n">
        <f aca="false">AD302*P1_IVAN+AE302*P2_IVAN+AF302*IF($A302&lt;P3_DESDE,P3A_IVAN,P3_IVAN)-AG302*IVA_DEV</f>
        <v>0</v>
      </c>
      <c r="AM302" s="60" t="n">
        <f aca="false">N302*(1+RECARGO_ADS)</f>
        <v>0</v>
      </c>
      <c r="AN302" s="58" t="n">
        <f aca="false">IF(ISNUMBER(L302),E302+F302+G302+AA302+AB302+AC302,0)</f>
        <v>0</v>
      </c>
      <c r="AO302" s="60" t="n">
        <f aca="false">P302*COMISION</f>
        <v>0</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B303*P1_PVP+C303*P2_PVP+D303*IF($A303&lt;P3_DESDE,P3A_PVP,P3_PVP)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E303*(P1_PVP-P1_CPROD)+F303*(P2_PVP-P2_CPROD)+G303*(IF($A303&lt;P3_DESDE,P3A_PVP,P3_PVP)-IF($A303&lt;P3_DESDE,P3A_CPROD,P3_CPROD))-IF(ISNUMBER(L303),L303,E303*P1_LOG+F303*P2_LOG+G303*P3_LOG)</f>
        <v>0</v>
      </c>
      <c r="X303" s="33" t="n">
        <f aca="false">W303-(E303*P1_IVAN+F303*P2_IVAN+G303*IF($A303&lt;P3_DESDE,P3A_IVAN,P3_IVAN))-(H303+I303+J303)*(COSTE_DEV-IVA_DEV)-AM303-AO303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E303+AA303*TASA_USADA</f>
        <v>0</v>
      </c>
      <c r="AE303" s="59" t="n">
        <f aca="false">F303+AB303*TASA_USADA</f>
        <v>0</v>
      </c>
      <c r="AF303" s="59" t="n">
        <f aca="false">G303+AC303*TASA_USADA</f>
        <v>0</v>
      </c>
      <c r="AG303" s="59" t="n">
        <f aca="false">H303+I303+J303+(AA303+AB303+AC303)*(1-TASA_USADA)</f>
        <v>0</v>
      </c>
      <c r="AH303" s="60" t="n">
        <f aca="false">AD303*P1_PVP+AE303*P2_PVP+AF303*IF($A303&lt;P3_DESDE,P3A_PVP,P3_PVP)</f>
        <v>0</v>
      </c>
      <c r="AI303" s="60" t="n">
        <f aca="false">AD303*P1_CPROD+AE303*P2_CPROD+AF303*IF($A303&lt;P3_DESDE,P3A_CPROD,P3_CPROD)</f>
        <v>0</v>
      </c>
      <c r="AJ303" s="60" t="n">
        <f aca="false">IF(ISNUMBER(L303),L303,E303*P1_LOG+F303*P2_LOG+G303*P3_LOG)+IF(ISNUMBER(M303),M303,AA303*P1_LOG+AB303*P2_LOG+AC303*P3_LOG)*TASA_USADA</f>
        <v>0</v>
      </c>
      <c r="AK303" s="60" t="n">
        <f aca="false">AG303*COSTE_DEV</f>
        <v>0</v>
      </c>
      <c r="AL303" s="60" t="n">
        <f aca="false">AD303*P1_IVAN+AE303*P2_IVAN+AF303*IF($A303&lt;P3_DESDE,P3A_IVAN,P3_IVAN)-AG303*IVA_DEV</f>
        <v>0</v>
      </c>
      <c r="AM303" s="60" t="n">
        <f aca="false">N303*(1+RECARGO_ADS)</f>
        <v>0</v>
      </c>
      <c r="AN303" s="58" t="n">
        <f aca="false">IF(ISNUMBER(L303),E303+F303+G303+AA303+AB303+AC303,0)</f>
        <v>0</v>
      </c>
      <c r="AO303" s="60" t="n">
        <f aca="false">P303*COMISION</f>
        <v>0</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B304*P1_PVP+C304*P2_PVP+D304*IF($A304&lt;P3_DESDE,P3A_PVP,P3_PVP)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E304*(P1_PVP-P1_CPROD)+F304*(P2_PVP-P2_CPROD)+G304*(IF($A304&lt;P3_DESDE,P3A_PVP,P3_PVP)-IF($A304&lt;P3_DESDE,P3A_CPROD,P3_CPROD))-IF(ISNUMBER(L304),L304,E304*P1_LOG+F304*P2_LOG+G304*P3_LOG)</f>
        <v>0</v>
      </c>
      <c r="X304" s="33" t="n">
        <f aca="false">W304-(E304*P1_IVAN+F304*P2_IVAN+G304*IF($A304&lt;P3_DESDE,P3A_IVAN,P3_IVAN))-(H304+I304+J304)*(COSTE_DEV-IVA_DEV)-AM304-AO304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E304+AA304*TASA_USADA</f>
        <v>0</v>
      </c>
      <c r="AE304" s="59" t="n">
        <f aca="false">F304+AB304*TASA_USADA</f>
        <v>0</v>
      </c>
      <c r="AF304" s="59" t="n">
        <f aca="false">G304+AC304*TASA_USADA</f>
        <v>0</v>
      </c>
      <c r="AG304" s="59" t="n">
        <f aca="false">H304+I304+J304+(AA304+AB304+AC304)*(1-TASA_USADA)</f>
        <v>0</v>
      </c>
      <c r="AH304" s="60" t="n">
        <f aca="false">AD304*P1_PVP+AE304*P2_PVP+AF304*IF($A304&lt;P3_DESDE,P3A_PVP,P3_PVP)</f>
        <v>0</v>
      </c>
      <c r="AI304" s="60" t="n">
        <f aca="false">AD304*P1_CPROD+AE304*P2_CPROD+AF304*IF($A304&lt;P3_DESDE,P3A_CPROD,P3_CPROD)</f>
        <v>0</v>
      </c>
      <c r="AJ304" s="60" t="n">
        <f aca="false">IF(ISNUMBER(L304),L304,E304*P1_LOG+F304*P2_LOG+G304*P3_LOG)+IF(ISNUMBER(M304),M304,AA304*P1_LOG+AB304*P2_LOG+AC304*P3_LOG)*TASA_USADA</f>
        <v>0</v>
      </c>
      <c r="AK304" s="60" t="n">
        <f aca="false">AG304*COSTE_DEV</f>
        <v>0</v>
      </c>
      <c r="AL304" s="60" t="n">
        <f aca="false">AD304*P1_IVAN+AE304*P2_IVAN+AF304*IF($A304&lt;P3_DESDE,P3A_IVAN,P3_IVAN)-AG304*IVA_DEV</f>
        <v>0</v>
      </c>
      <c r="AM304" s="60" t="n">
        <f aca="false">N304*(1+RECARGO_ADS)</f>
        <v>0</v>
      </c>
      <c r="AN304" s="58" t="n">
        <f aca="false">IF(ISNUMBER(L304),E304+F304+G304+AA304+AB304+AC304,0)</f>
        <v>0</v>
      </c>
      <c r="AO304" s="60" t="n">
        <f aca="false">P304*COMISION</f>
        <v>0</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B305*P1_PVP+C305*P2_PVP+D305*IF($A305&lt;P3_DESDE,P3A_PVP,P3_PVP)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E305*(P1_PVP-P1_CPROD)+F305*(P2_PVP-P2_CPROD)+G305*(IF($A305&lt;P3_DESDE,P3A_PVP,P3_PVP)-IF($A305&lt;P3_DESDE,P3A_CPROD,P3_CPROD))-IF(ISNUMBER(L305),L305,E305*P1_LOG+F305*P2_LOG+G305*P3_LOG)</f>
        <v>0</v>
      </c>
      <c r="X305" s="33" t="n">
        <f aca="false">W305-(E305*P1_IVAN+F305*P2_IVAN+G305*IF($A305&lt;P3_DESDE,P3A_IVAN,P3_IVAN))-(H305+I305+J305)*(COSTE_DEV-IVA_DEV)-AM305-AO305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E305+AA305*TASA_USADA</f>
        <v>0</v>
      </c>
      <c r="AE305" s="59" t="n">
        <f aca="false">F305+AB305*TASA_USADA</f>
        <v>0</v>
      </c>
      <c r="AF305" s="59" t="n">
        <f aca="false">G305+AC305*TASA_USADA</f>
        <v>0</v>
      </c>
      <c r="AG305" s="59" t="n">
        <f aca="false">H305+I305+J305+(AA305+AB305+AC305)*(1-TASA_USADA)</f>
        <v>0</v>
      </c>
      <c r="AH305" s="60" t="n">
        <f aca="false">AD305*P1_PVP+AE305*P2_PVP+AF305*IF($A305&lt;P3_DESDE,P3A_PVP,P3_PVP)</f>
        <v>0</v>
      </c>
      <c r="AI305" s="60" t="n">
        <f aca="false">AD305*P1_CPROD+AE305*P2_CPROD+AF305*IF($A305&lt;P3_DESDE,P3A_CPROD,P3_CPROD)</f>
        <v>0</v>
      </c>
      <c r="AJ305" s="60" t="n">
        <f aca="false">IF(ISNUMBER(L305),L305,E305*P1_LOG+F305*P2_LOG+G305*P3_LOG)+IF(ISNUMBER(M305),M305,AA305*P1_LOG+AB305*P2_LOG+AC305*P3_LOG)*TASA_USADA</f>
        <v>0</v>
      </c>
      <c r="AK305" s="60" t="n">
        <f aca="false">AG305*COSTE_DEV</f>
        <v>0</v>
      </c>
      <c r="AL305" s="60" t="n">
        <f aca="false">AD305*P1_IVAN+AE305*P2_IVAN+AF305*IF($A305&lt;P3_DESDE,P3A_IVAN,P3_IVAN)-AG305*IVA_DEV</f>
        <v>0</v>
      </c>
      <c r="AM305" s="60" t="n">
        <f aca="false">N305*(1+RECARGO_ADS)</f>
        <v>0</v>
      </c>
      <c r="AN305" s="58" t="n">
        <f aca="false">IF(ISNUMBER(L305),E305+F305+G305+AA305+AB305+AC305,0)</f>
        <v>0</v>
      </c>
      <c r="AO305" s="60" t="n">
        <f aca="false">P305*COMISION</f>
        <v>0</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B306*P1_PVP+C306*P2_PVP+D306*IF($A306&lt;P3_DESDE,P3A_PVP,P3_PVP)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E306*(P1_PVP-P1_CPROD)+F306*(P2_PVP-P2_CPROD)+G306*(IF($A306&lt;P3_DESDE,P3A_PVP,P3_PVP)-IF($A306&lt;P3_DESDE,P3A_CPROD,P3_CPROD))-IF(ISNUMBER(L306),L306,E306*P1_LOG+F306*P2_LOG+G306*P3_LOG)</f>
        <v>0</v>
      </c>
      <c r="X306" s="33" t="n">
        <f aca="false">W306-(E306*P1_IVAN+F306*P2_IVAN+G306*IF($A306&lt;P3_DESDE,P3A_IVAN,P3_IVAN))-(H306+I306+J306)*(COSTE_DEV-IVA_DEV)-AM306-AO306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E306+AA306*TASA_USADA</f>
        <v>0</v>
      </c>
      <c r="AE306" s="59" t="n">
        <f aca="false">F306+AB306*TASA_USADA</f>
        <v>0</v>
      </c>
      <c r="AF306" s="59" t="n">
        <f aca="false">G306+AC306*TASA_USADA</f>
        <v>0</v>
      </c>
      <c r="AG306" s="59" t="n">
        <f aca="false">H306+I306+J306+(AA306+AB306+AC306)*(1-TASA_USADA)</f>
        <v>0</v>
      </c>
      <c r="AH306" s="60" t="n">
        <f aca="false">AD306*P1_PVP+AE306*P2_PVP+AF306*IF($A306&lt;P3_DESDE,P3A_PVP,P3_PVP)</f>
        <v>0</v>
      </c>
      <c r="AI306" s="60" t="n">
        <f aca="false">AD306*P1_CPROD+AE306*P2_CPROD+AF306*IF($A306&lt;P3_DESDE,P3A_CPROD,P3_CPROD)</f>
        <v>0</v>
      </c>
      <c r="AJ306" s="60" t="n">
        <f aca="false">IF(ISNUMBER(L306),L306,E306*P1_LOG+F306*P2_LOG+G306*P3_LOG)+IF(ISNUMBER(M306),M306,AA306*P1_LOG+AB306*P2_LOG+AC306*P3_LOG)*TASA_USADA</f>
        <v>0</v>
      </c>
      <c r="AK306" s="60" t="n">
        <f aca="false">AG306*COSTE_DEV</f>
        <v>0</v>
      </c>
      <c r="AL306" s="60" t="n">
        <f aca="false">AD306*P1_IVAN+AE306*P2_IVAN+AF306*IF($A306&lt;P3_DESDE,P3A_IVAN,P3_IVAN)-AG306*IVA_DEV</f>
        <v>0</v>
      </c>
      <c r="AM306" s="60" t="n">
        <f aca="false">N306*(1+RECARGO_ADS)</f>
        <v>0</v>
      </c>
      <c r="AN306" s="58" t="n">
        <f aca="false">IF(ISNUMBER(L306),E306+F306+G306+AA306+AB306+AC306,0)</f>
        <v>0</v>
      </c>
      <c r="AO306" s="60" t="n">
        <f aca="false">P306*COMISION</f>
        <v>0</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B307*P1_PVP+C307*P2_PVP+D307*IF($A307&lt;P3_DESDE,P3A_PVP,P3_PVP)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E307*(P1_PVP-P1_CPROD)+F307*(P2_PVP-P2_CPROD)+G307*(IF($A307&lt;P3_DESDE,P3A_PVP,P3_PVP)-IF($A307&lt;P3_DESDE,P3A_CPROD,P3_CPROD))-IF(ISNUMBER(L307),L307,E307*P1_LOG+F307*P2_LOG+G307*P3_LOG)</f>
        <v>0</v>
      </c>
      <c r="X307" s="33" t="n">
        <f aca="false">W307-(E307*P1_IVAN+F307*P2_IVAN+G307*IF($A307&lt;P3_DESDE,P3A_IVAN,P3_IVAN))-(H307+I307+J307)*(COSTE_DEV-IVA_DEV)-AM307-AO307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E307+AA307*TASA_USADA</f>
        <v>0</v>
      </c>
      <c r="AE307" s="59" t="n">
        <f aca="false">F307+AB307*TASA_USADA</f>
        <v>0</v>
      </c>
      <c r="AF307" s="59" t="n">
        <f aca="false">G307+AC307*TASA_USADA</f>
        <v>0</v>
      </c>
      <c r="AG307" s="59" t="n">
        <f aca="false">H307+I307+J307+(AA307+AB307+AC307)*(1-TASA_USADA)</f>
        <v>0</v>
      </c>
      <c r="AH307" s="60" t="n">
        <f aca="false">AD307*P1_PVP+AE307*P2_PVP+AF307*IF($A307&lt;P3_DESDE,P3A_PVP,P3_PVP)</f>
        <v>0</v>
      </c>
      <c r="AI307" s="60" t="n">
        <f aca="false">AD307*P1_CPROD+AE307*P2_CPROD+AF307*IF($A307&lt;P3_DESDE,P3A_CPROD,P3_CPROD)</f>
        <v>0</v>
      </c>
      <c r="AJ307" s="60" t="n">
        <f aca="false">IF(ISNUMBER(L307),L307,E307*P1_LOG+F307*P2_LOG+G307*P3_LOG)+IF(ISNUMBER(M307),M307,AA307*P1_LOG+AB307*P2_LOG+AC307*P3_LOG)*TASA_USADA</f>
        <v>0</v>
      </c>
      <c r="AK307" s="60" t="n">
        <f aca="false">AG307*COSTE_DEV</f>
        <v>0</v>
      </c>
      <c r="AL307" s="60" t="n">
        <f aca="false">AD307*P1_IVAN+AE307*P2_IVAN+AF307*IF($A307&lt;P3_DESDE,P3A_IVAN,P3_IVAN)-AG307*IVA_DEV</f>
        <v>0</v>
      </c>
      <c r="AM307" s="60" t="n">
        <f aca="false">N307*(1+RECARGO_ADS)</f>
        <v>0</v>
      </c>
      <c r="AN307" s="58" t="n">
        <f aca="false">IF(ISNUMBER(L307),E307+F307+G307+AA307+AB307+AC307,0)</f>
        <v>0</v>
      </c>
      <c r="AO307" s="60" t="n">
        <f aca="false">P307*COMISION</f>
        <v>0</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B308*P1_PVP+C308*P2_PVP+D308*IF($A308&lt;P3_DESDE,P3A_PVP,P3_PVP)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E308*(P1_PVP-P1_CPROD)+F308*(P2_PVP-P2_CPROD)+G308*(IF($A308&lt;P3_DESDE,P3A_PVP,P3_PVP)-IF($A308&lt;P3_DESDE,P3A_CPROD,P3_CPROD))-IF(ISNUMBER(L308),L308,E308*P1_LOG+F308*P2_LOG+G308*P3_LOG)</f>
        <v>0</v>
      </c>
      <c r="X308" s="33" t="n">
        <f aca="false">W308-(E308*P1_IVAN+F308*P2_IVAN+G308*IF($A308&lt;P3_DESDE,P3A_IVAN,P3_IVAN))-(H308+I308+J308)*(COSTE_DEV-IVA_DEV)-AM308-AO308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E308+AA308*TASA_USADA</f>
        <v>0</v>
      </c>
      <c r="AE308" s="59" t="n">
        <f aca="false">F308+AB308*TASA_USADA</f>
        <v>0</v>
      </c>
      <c r="AF308" s="59" t="n">
        <f aca="false">G308+AC308*TASA_USADA</f>
        <v>0</v>
      </c>
      <c r="AG308" s="59" t="n">
        <f aca="false">H308+I308+J308+(AA308+AB308+AC308)*(1-TASA_USADA)</f>
        <v>0</v>
      </c>
      <c r="AH308" s="60" t="n">
        <f aca="false">AD308*P1_PVP+AE308*P2_PVP+AF308*IF($A308&lt;P3_DESDE,P3A_PVP,P3_PVP)</f>
        <v>0</v>
      </c>
      <c r="AI308" s="60" t="n">
        <f aca="false">AD308*P1_CPROD+AE308*P2_CPROD+AF308*IF($A308&lt;P3_DESDE,P3A_CPROD,P3_CPROD)</f>
        <v>0</v>
      </c>
      <c r="AJ308" s="60" t="n">
        <f aca="false">IF(ISNUMBER(L308),L308,E308*P1_LOG+F308*P2_LOG+G308*P3_LOG)+IF(ISNUMBER(M308),M308,AA308*P1_LOG+AB308*P2_LOG+AC308*P3_LOG)*TASA_USADA</f>
        <v>0</v>
      </c>
      <c r="AK308" s="60" t="n">
        <f aca="false">AG308*COSTE_DEV</f>
        <v>0</v>
      </c>
      <c r="AL308" s="60" t="n">
        <f aca="false">AD308*P1_IVAN+AE308*P2_IVAN+AF308*IF($A308&lt;P3_DESDE,P3A_IVAN,P3_IVAN)-AG308*IVA_DEV</f>
        <v>0</v>
      </c>
      <c r="AM308" s="60" t="n">
        <f aca="false">N308*(1+RECARGO_ADS)</f>
        <v>0</v>
      </c>
      <c r="AN308" s="58" t="n">
        <f aca="false">IF(ISNUMBER(L308),E308+F308+G308+AA308+AB308+AC308,0)</f>
        <v>0</v>
      </c>
      <c r="AO308" s="60" t="n">
        <f aca="false">P308*COMISION</f>
        <v>0</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B309*P1_PVP+C309*P2_PVP+D309*IF($A309&lt;P3_DESDE,P3A_PVP,P3_PVP)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E309*(P1_PVP-P1_CPROD)+F309*(P2_PVP-P2_CPROD)+G309*(IF($A309&lt;P3_DESDE,P3A_PVP,P3_PVP)-IF($A309&lt;P3_DESDE,P3A_CPROD,P3_CPROD))-IF(ISNUMBER(L309),L309,E309*P1_LOG+F309*P2_LOG+G309*P3_LOG)</f>
        <v>0</v>
      </c>
      <c r="X309" s="33" t="n">
        <f aca="false">W309-(E309*P1_IVAN+F309*P2_IVAN+G309*IF($A309&lt;P3_DESDE,P3A_IVAN,P3_IVAN))-(H309+I309+J309)*(COSTE_DEV-IVA_DEV)-AM309-AO309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E309+AA309*TASA_USADA</f>
        <v>0</v>
      </c>
      <c r="AE309" s="59" t="n">
        <f aca="false">F309+AB309*TASA_USADA</f>
        <v>0</v>
      </c>
      <c r="AF309" s="59" t="n">
        <f aca="false">G309+AC309*TASA_USADA</f>
        <v>0</v>
      </c>
      <c r="AG309" s="59" t="n">
        <f aca="false">H309+I309+J309+(AA309+AB309+AC309)*(1-TASA_USADA)</f>
        <v>0</v>
      </c>
      <c r="AH309" s="60" t="n">
        <f aca="false">AD309*P1_PVP+AE309*P2_PVP+AF309*IF($A309&lt;P3_DESDE,P3A_PVP,P3_PVP)</f>
        <v>0</v>
      </c>
      <c r="AI309" s="60" t="n">
        <f aca="false">AD309*P1_CPROD+AE309*P2_CPROD+AF309*IF($A309&lt;P3_DESDE,P3A_CPROD,P3_CPROD)</f>
        <v>0</v>
      </c>
      <c r="AJ309" s="60" t="n">
        <f aca="false">IF(ISNUMBER(L309),L309,E309*P1_LOG+F309*P2_LOG+G309*P3_LOG)+IF(ISNUMBER(M309),M309,AA309*P1_LOG+AB309*P2_LOG+AC309*P3_LOG)*TASA_USADA</f>
        <v>0</v>
      </c>
      <c r="AK309" s="60" t="n">
        <f aca="false">AG309*COSTE_DEV</f>
        <v>0</v>
      </c>
      <c r="AL309" s="60" t="n">
        <f aca="false">AD309*P1_IVAN+AE309*P2_IVAN+AF309*IF($A309&lt;P3_DESDE,P3A_IVAN,P3_IVAN)-AG309*IVA_DEV</f>
        <v>0</v>
      </c>
      <c r="AM309" s="60" t="n">
        <f aca="false">N309*(1+RECARGO_ADS)</f>
        <v>0</v>
      </c>
      <c r="AN309" s="58" t="n">
        <f aca="false">IF(ISNUMBER(L309),E309+F309+G309+AA309+AB309+AC309,0)</f>
        <v>0</v>
      </c>
      <c r="AO309" s="60" t="n">
        <f aca="false">P309*COMISION</f>
        <v>0</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B310*P1_PVP+C310*P2_PVP+D310*IF($A310&lt;P3_DESDE,P3A_PVP,P3_PVP)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E310*(P1_PVP-P1_CPROD)+F310*(P2_PVP-P2_CPROD)+G310*(IF($A310&lt;P3_DESDE,P3A_PVP,P3_PVP)-IF($A310&lt;P3_DESDE,P3A_CPROD,P3_CPROD))-IF(ISNUMBER(L310),L310,E310*P1_LOG+F310*P2_LOG+G310*P3_LOG)</f>
        <v>0</v>
      </c>
      <c r="X310" s="33" t="n">
        <f aca="false">W310-(E310*P1_IVAN+F310*P2_IVAN+G310*IF($A310&lt;P3_DESDE,P3A_IVAN,P3_IVAN))-(H310+I310+J310)*(COSTE_DEV-IVA_DEV)-AM310-AO310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E310+AA310*TASA_USADA</f>
        <v>0</v>
      </c>
      <c r="AE310" s="59" t="n">
        <f aca="false">F310+AB310*TASA_USADA</f>
        <v>0</v>
      </c>
      <c r="AF310" s="59" t="n">
        <f aca="false">G310+AC310*TASA_USADA</f>
        <v>0</v>
      </c>
      <c r="AG310" s="59" t="n">
        <f aca="false">H310+I310+J310+(AA310+AB310+AC310)*(1-TASA_USADA)</f>
        <v>0</v>
      </c>
      <c r="AH310" s="60" t="n">
        <f aca="false">AD310*P1_PVP+AE310*P2_PVP+AF310*IF($A310&lt;P3_DESDE,P3A_PVP,P3_PVP)</f>
        <v>0</v>
      </c>
      <c r="AI310" s="60" t="n">
        <f aca="false">AD310*P1_CPROD+AE310*P2_CPROD+AF310*IF($A310&lt;P3_DESDE,P3A_CPROD,P3_CPROD)</f>
        <v>0</v>
      </c>
      <c r="AJ310" s="60" t="n">
        <f aca="false">IF(ISNUMBER(L310),L310,E310*P1_LOG+F310*P2_LOG+G310*P3_LOG)+IF(ISNUMBER(M310),M310,AA310*P1_LOG+AB310*P2_LOG+AC310*P3_LOG)*TASA_USADA</f>
        <v>0</v>
      </c>
      <c r="AK310" s="60" t="n">
        <f aca="false">AG310*COSTE_DEV</f>
        <v>0</v>
      </c>
      <c r="AL310" s="60" t="n">
        <f aca="false">AD310*P1_IVAN+AE310*P2_IVAN+AF310*IF($A310&lt;P3_DESDE,P3A_IVAN,P3_IVAN)-AG310*IVA_DEV</f>
        <v>0</v>
      </c>
      <c r="AM310" s="60" t="n">
        <f aca="false">N310*(1+RECARGO_ADS)</f>
        <v>0</v>
      </c>
      <c r="AN310" s="58" t="n">
        <f aca="false">IF(ISNUMBER(L310),E310+F310+G310+AA310+AB310+AC310,0)</f>
        <v>0</v>
      </c>
      <c r="AO310" s="60" t="n">
        <f aca="false">P310*COMISION</f>
        <v>0</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B311*P1_PVP+C311*P2_PVP+D311*IF($A311&lt;P3_DESDE,P3A_PVP,P3_PVP)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E311*(P1_PVP-P1_CPROD)+F311*(P2_PVP-P2_CPROD)+G311*(IF($A311&lt;P3_DESDE,P3A_PVP,P3_PVP)-IF($A311&lt;P3_DESDE,P3A_CPROD,P3_CPROD))-IF(ISNUMBER(L311),L311,E311*P1_LOG+F311*P2_LOG+G311*P3_LOG)</f>
        <v>0</v>
      </c>
      <c r="X311" s="33" t="n">
        <f aca="false">W311-(E311*P1_IVAN+F311*P2_IVAN+G311*IF($A311&lt;P3_DESDE,P3A_IVAN,P3_IVAN))-(H311+I311+J311)*(COSTE_DEV-IVA_DEV)-AM311-AO311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E311+AA311*TASA_USADA</f>
        <v>0</v>
      </c>
      <c r="AE311" s="59" t="n">
        <f aca="false">F311+AB311*TASA_USADA</f>
        <v>0</v>
      </c>
      <c r="AF311" s="59" t="n">
        <f aca="false">G311+AC311*TASA_USADA</f>
        <v>0</v>
      </c>
      <c r="AG311" s="59" t="n">
        <f aca="false">H311+I311+J311+(AA311+AB311+AC311)*(1-TASA_USADA)</f>
        <v>0</v>
      </c>
      <c r="AH311" s="60" t="n">
        <f aca="false">AD311*P1_PVP+AE311*P2_PVP+AF311*IF($A311&lt;P3_DESDE,P3A_PVP,P3_PVP)</f>
        <v>0</v>
      </c>
      <c r="AI311" s="60" t="n">
        <f aca="false">AD311*P1_CPROD+AE311*P2_CPROD+AF311*IF($A311&lt;P3_DESDE,P3A_CPROD,P3_CPROD)</f>
        <v>0</v>
      </c>
      <c r="AJ311" s="60" t="n">
        <f aca="false">IF(ISNUMBER(L311),L311,E311*P1_LOG+F311*P2_LOG+G311*P3_LOG)+IF(ISNUMBER(M311),M311,AA311*P1_LOG+AB311*P2_LOG+AC311*P3_LOG)*TASA_USADA</f>
        <v>0</v>
      </c>
      <c r="AK311" s="60" t="n">
        <f aca="false">AG311*COSTE_DEV</f>
        <v>0</v>
      </c>
      <c r="AL311" s="60" t="n">
        <f aca="false">AD311*P1_IVAN+AE311*P2_IVAN+AF311*IF($A311&lt;P3_DESDE,P3A_IVAN,P3_IVAN)-AG311*IVA_DEV</f>
        <v>0</v>
      </c>
      <c r="AM311" s="60" t="n">
        <f aca="false">N311*(1+RECARGO_ADS)</f>
        <v>0</v>
      </c>
      <c r="AN311" s="58" t="n">
        <f aca="false">IF(ISNUMBER(L311),E311+F311+G311+AA311+AB311+AC311,0)</f>
        <v>0</v>
      </c>
      <c r="AO311" s="60" t="n">
        <f aca="false">P311*COMISION</f>
        <v>0</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B312*P1_PVP+C312*P2_PVP+D312*IF($A312&lt;P3_DESDE,P3A_PVP,P3_PVP)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E312*(P1_PVP-P1_CPROD)+F312*(P2_PVP-P2_CPROD)+G312*(IF($A312&lt;P3_DESDE,P3A_PVP,P3_PVP)-IF($A312&lt;P3_DESDE,P3A_CPROD,P3_CPROD))-IF(ISNUMBER(L312),L312,E312*P1_LOG+F312*P2_LOG+G312*P3_LOG)</f>
        <v>0</v>
      </c>
      <c r="X312" s="33" t="n">
        <f aca="false">W312-(E312*P1_IVAN+F312*P2_IVAN+G312*IF($A312&lt;P3_DESDE,P3A_IVAN,P3_IVAN))-(H312+I312+J312)*(COSTE_DEV-IVA_DEV)-AM312-AO312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E312+AA312*TASA_USADA</f>
        <v>0</v>
      </c>
      <c r="AE312" s="59" t="n">
        <f aca="false">F312+AB312*TASA_USADA</f>
        <v>0</v>
      </c>
      <c r="AF312" s="59" t="n">
        <f aca="false">G312+AC312*TASA_USADA</f>
        <v>0</v>
      </c>
      <c r="AG312" s="59" t="n">
        <f aca="false">H312+I312+J312+(AA312+AB312+AC312)*(1-TASA_USADA)</f>
        <v>0</v>
      </c>
      <c r="AH312" s="60" t="n">
        <f aca="false">AD312*P1_PVP+AE312*P2_PVP+AF312*IF($A312&lt;P3_DESDE,P3A_PVP,P3_PVP)</f>
        <v>0</v>
      </c>
      <c r="AI312" s="60" t="n">
        <f aca="false">AD312*P1_CPROD+AE312*P2_CPROD+AF312*IF($A312&lt;P3_DESDE,P3A_CPROD,P3_CPROD)</f>
        <v>0</v>
      </c>
      <c r="AJ312" s="60" t="n">
        <f aca="false">IF(ISNUMBER(L312),L312,E312*P1_LOG+F312*P2_LOG+G312*P3_LOG)+IF(ISNUMBER(M312),M312,AA312*P1_LOG+AB312*P2_LOG+AC312*P3_LOG)*TASA_USADA</f>
        <v>0</v>
      </c>
      <c r="AK312" s="60" t="n">
        <f aca="false">AG312*COSTE_DEV</f>
        <v>0</v>
      </c>
      <c r="AL312" s="60" t="n">
        <f aca="false">AD312*P1_IVAN+AE312*P2_IVAN+AF312*IF($A312&lt;P3_DESDE,P3A_IVAN,P3_IVAN)-AG312*IVA_DEV</f>
        <v>0</v>
      </c>
      <c r="AM312" s="60" t="n">
        <f aca="false">N312*(1+RECARGO_ADS)</f>
        <v>0</v>
      </c>
      <c r="AN312" s="58" t="n">
        <f aca="false">IF(ISNUMBER(L312),E312+F312+G312+AA312+AB312+AC312,0)</f>
        <v>0</v>
      </c>
      <c r="AO312" s="60" t="n">
        <f aca="false">P312*COMISION</f>
        <v>0</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B313*P1_PVP+C313*P2_PVP+D313*IF($A313&lt;P3_DESDE,P3A_PVP,P3_PVP)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E313*(P1_PVP-P1_CPROD)+F313*(P2_PVP-P2_CPROD)+G313*(IF($A313&lt;P3_DESDE,P3A_PVP,P3_PVP)-IF($A313&lt;P3_DESDE,P3A_CPROD,P3_CPROD))-IF(ISNUMBER(L313),L313,E313*P1_LOG+F313*P2_LOG+G313*P3_LOG)</f>
        <v>0</v>
      </c>
      <c r="X313" s="33" t="n">
        <f aca="false">W313-(E313*P1_IVAN+F313*P2_IVAN+G313*IF($A313&lt;P3_DESDE,P3A_IVAN,P3_IVAN))-(H313+I313+J313)*(COSTE_DEV-IVA_DEV)-AM313-AO313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E313+AA313*TASA_USADA</f>
        <v>0</v>
      </c>
      <c r="AE313" s="59" t="n">
        <f aca="false">F313+AB313*TASA_USADA</f>
        <v>0</v>
      </c>
      <c r="AF313" s="59" t="n">
        <f aca="false">G313+AC313*TASA_USADA</f>
        <v>0</v>
      </c>
      <c r="AG313" s="59" t="n">
        <f aca="false">H313+I313+J313+(AA313+AB313+AC313)*(1-TASA_USADA)</f>
        <v>0</v>
      </c>
      <c r="AH313" s="60" t="n">
        <f aca="false">AD313*P1_PVP+AE313*P2_PVP+AF313*IF($A313&lt;P3_DESDE,P3A_PVP,P3_PVP)</f>
        <v>0</v>
      </c>
      <c r="AI313" s="60" t="n">
        <f aca="false">AD313*P1_CPROD+AE313*P2_CPROD+AF313*IF($A313&lt;P3_DESDE,P3A_CPROD,P3_CPROD)</f>
        <v>0</v>
      </c>
      <c r="AJ313" s="60" t="n">
        <f aca="false">IF(ISNUMBER(L313),L313,E313*P1_LOG+F313*P2_LOG+G313*P3_LOG)+IF(ISNUMBER(M313),M313,AA313*P1_LOG+AB313*P2_LOG+AC313*P3_LOG)*TASA_USADA</f>
        <v>0</v>
      </c>
      <c r="AK313" s="60" t="n">
        <f aca="false">AG313*COSTE_DEV</f>
        <v>0</v>
      </c>
      <c r="AL313" s="60" t="n">
        <f aca="false">AD313*P1_IVAN+AE313*P2_IVAN+AF313*IF($A313&lt;P3_DESDE,P3A_IVAN,P3_IVAN)-AG313*IVA_DEV</f>
        <v>0</v>
      </c>
      <c r="AM313" s="60" t="n">
        <f aca="false">N313*(1+RECARGO_ADS)</f>
        <v>0</v>
      </c>
      <c r="AN313" s="58" t="n">
        <f aca="false">IF(ISNUMBER(L313),E313+F313+G313+AA313+AB313+AC313,0)</f>
        <v>0</v>
      </c>
      <c r="AO313" s="60" t="n">
        <f aca="false">P313*COMISION</f>
        <v>0</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B314*P1_PVP+C314*P2_PVP+D314*IF($A314&lt;P3_DESDE,P3A_PVP,P3_PVP)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E314*(P1_PVP-P1_CPROD)+F314*(P2_PVP-P2_CPROD)+G314*(IF($A314&lt;P3_DESDE,P3A_PVP,P3_PVP)-IF($A314&lt;P3_DESDE,P3A_CPROD,P3_CPROD))-IF(ISNUMBER(L314),L314,E314*P1_LOG+F314*P2_LOG+G314*P3_LOG)</f>
        <v>0</v>
      </c>
      <c r="X314" s="33" t="n">
        <f aca="false">W314-(E314*P1_IVAN+F314*P2_IVAN+G314*IF($A314&lt;P3_DESDE,P3A_IVAN,P3_IVAN))-(H314+I314+J314)*(COSTE_DEV-IVA_DEV)-AM314-AO314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E314+AA314*TASA_USADA</f>
        <v>0</v>
      </c>
      <c r="AE314" s="59" t="n">
        <f aca="false">F314+AB314*TASA_USADA</f>
        <v>0</v>
      </c>
      <c r="AF314" s="59" t="n">
        <f aca="false">G314+AC314*TASA_USADA</f>
        <v>0</v>
      </c>
      <c r="AG314" s="59" t="n">
        <f aca="false">H314+I314+J314+(AA314+AB314+AC314)*(1-TASA_USADA)</f>
        <v>0</v>
      </c>
      <c r="AH314" s="60" t="n">
        <f aca="false">AD314*P1_PVP+AE314*P2_PVP+AF314*IF($A314&lt;P3_DESDE,P3A_PVP,P3_PVP)</f>
        <v>0</v>
      </c>
      <c r="AI314" s="60" t="n">
        <f aca="false">AD314*P1_CPROD+AE314*P2_CPROD+AF314*IF($A314&lt;P3_DESDE,P3A_CPROD,P3_CPROD)</f>
        <v>0</v>
      </c>
      <c r="AJ314" s="60" t="n">
        <f aca="false">IF(ISNUMBER(L314),L314,E314*P1_LOG+F314*P2_LOG+G314*P3_LOG)+IF(ISNUMBER(M314),M314,AA314*P1_LOG+AB314*P2_LOG+AC314*P3_LOG)*TASA_USADA</f>
        <v>0</v>
      </c>
      <c r="AK314" s="60" t="n">
        <f aca="false">AG314*COSTE_DEV</f>
        <v>0</v>
      </c>
      <c r="AL314" s="60" t="n">
        <f aca="false">AD314*P1_IVAN+AE314*P2_IVAN+AF314*IF($A314&lt;P3_DESDE,P3A_IVAN,P3_IVAN)-AG314*IVA_DEV</f>
        <v>0</v>
      </c>
      <c r="AM314" s="60" t="n">
        <f aca="false">N314*(1+RECARGO_ADS)</f>
        <v>0</v>
      </c>
      <c r="AN314" s="58" t="n">
        <f aca="false">IF(ISNUMBER(L314),E314+F314+G314+AA314+AB314+AC314,0)</f>
        <v>0</v>
      </c>
      <c r="AO314" s="60" t="n">
        <f aca="false">P314*COMISION</f>
        <v>0</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B315*P1_PVP+C315*P2_PVP+D315*IF($A315&lt;P3_DESDE,P3A_PVP,P3_PVP)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E315*(P1_PVP-P1_CPROD)+F315*(P2_PVP-P2_CPROD)+G315*(IF($A315&lt;P3_DESDE,P3A_PVP,P3_PVP)-IF($A315&lt;P3_DESDE,P3A_CPROD,P3_CPROD))-IF(ISNUMBER(L315),L315,E315*P1_LOG+F315*P2_LOG+G315*P3_LOG)</f>
        <v>0</v>
      </c>
      <c r="X315" s="33" t="n">
        <f aca="false">W315-(E315*P1_IVAN+F315*P2_IVAN+G315*IF($A315&lt;P3_DESDE,P3A_IVAN,P3_IVAN))-(H315+I315+J315)*(COSTE_DEV-IVA_DEV)-AM315-AO315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E315+AA315*TASA_USADA</f>
        <v>0</v>
      </c>
      <c r="AE315" s="59" t="n">
        <f aca="false">F315+AB315*TASA_USADA</f>
        <v>0</v>
      </c>
      <c r="AF315" s="59" t="n">
        <f aca="false">G315+AC315*TASA_USADA</f>
        <v>0</v>
      </c>
      <c r="AG315" s="59" t="n">
        <f aca="false">H315+I315+J315+(AA315+AB315+AC315)*(1-TASA_USADA)</f>
        <v>0</v>
      </c>
      <c r="AH315" s="60" t="n">
        <f aca="false">AD315*P1_PVP+AE315*P2_PVP+AF315*IF($A315&lt;P3_DESDE,P3A_PVP,P3_PVP)</f>
        <v>0</v>
      </c>
      <c r="AI315" s="60" t="n">
        <f aca="false">AD315*P1_CPROD+AE315*P2_CPROD+AF315*IF($A315&lt;P3_DESDE,P3A_CPROD,P3_CPROD)</f>
        <v>0</v>
      </c>
      <c r="AJ315" s="60" t="n">
        <f aca="false">IF(ISNUMBER(L315),L315,E315*P1_LOG+F315*P2_LOG+G315*P3_LOG)+IF(ISNUMBER(M315),M315,AA315*P1_LOG+AB315*P2_LOG+AC315*P3_LOG)*TASA_USADA</f>
        <v>0</v>
      </c>
      <c r="AK315" s="60" t="n">
        <f aca="false">AG315*COSTE_DEV</f>
        <v>0</v>
      </c>
      <c r="AL315" s="60" t="n">
        <f aca="false">AD315*P1_IVAN+AE315*P2_IVAN+AF315*IF($A315&lt;P3_DESDE,P3A_IVAN,P3_IVAN)-AG315*IVA_DEV</f>
        <v>0</v>
      </c>
      <c r="AM315" s="60" t="n">
        <f aca="false">N315*(1+RECARGO_ADS)</f>
        <v>0</v>
      </c>
      <c r="AN315" s="58" t="n">
        <f aca="false">IF(ISNUMBER(L315),E315+F315+G315+AA315+AB315+AC315,0)</f>
        <v>0</v>
      </c>
      <c r="AO315" s="60" t="n">
        <f aca="false">P315*COMISION</f>
        <v>0</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B316*P1_PVP+C316*P2_PVP+D316*IF($A316&lt;P3_DESDE,P3A_PVP,P3_PVP)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E316*(P1_PVP-P1_CPROD)+F316*(P2_PVP-P2_CPROD)+G316*(IF($A316&lt;P3_DESDE,P3A_PVP,P3_PVP)-IF($A316&lt;P3_DESDE,P3A_CPROD,P3_CPROD))-IF(ISNUMBER(L316),L316,E316*P1_LOG+F316*P2_LOG+G316*P3_LOG)</f>
        <v>0</v>
      </c>
      <c r="X316" s="33" t="n">
        <f aca="false">W316-(E316*P1_IVAN+F316*P2_IVAN+G316*IF($A316&lt;P3_DESDE,P3A_IVAN,P3_IVAN))-(H316+I316+J316)*(COSTE_DEV-IVA_DEV)-AM316-AO316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E316+AA316*TASA_USADA</f>
        <v>0</v>
      </c>
      <c r="AE316" s="59" t="n">
        <f aca="false">F316+AB316*TASA_USADA</f>
        <v>0</v>
      </c>
      <c r="AF316" s="59" t="n">
        <f aca="false">G316+AC316*TASA_USADA</f>
        <v>0</v>
      </c>
      <c r="AG316" s="59" t="n">
        <f aca="false">H316+I316+J316+(AA316+AB316+AC316)*(1-TASA_USADA)</f>
        <v>0</v>
      </c>
      <c r="AH316" s="60" t="n">
        <f aca="false">AD316*P1_PVP+AE316*P2_PVP+AF316*IF($A316&lt;P3_DESDE,P3A_PVP,P3_PVP)</f>
        <v>0</v>
      </c>
      <c r="AI316" s="60" t="n">
        <f aca="false">AD316*P1_CPROD+AE316*P2_CPROD+AF316*IF($A316&lt;P3_DESDE,P3A_CPROD,P3_CPROD)</f>
        <v>0</v>
      </c>
      <c r="AJ316" s="60" t="n">
        <f aca="false">IF(ISNUMBER(L316),L316,E316*P1_LOG+F316*P2_LOG+G316*P3_LOG)+IF(ISNUMBER(M316),M316,AA316*P1_LOG+AB316*P2_LOG+AC316*P3_LOG)*TASA_USADA</f>
        <v>0</v>
      </c>
      <c r="AK316" s="60" t="n">
        <f aca="false">AG316*COSTE_DEV</f>
        <v>0</v>
      </c>
      <c r="AL316" s="60" t="n">
        <f aca="false">AD316*P1_IVAN+AE316*P2_IVAN+AF316*IF($A316&lt;P3_DESDE,P3A_IVAN,P3_IVAN)-AG316*IVA_DEV</f>
        <v>0</v>
      </c>
      <c r="AM316" s="60" t="n">
        <f aca="false">N316*(1+RECARGO_ADS)</f>
        <v>0</v>
      </c>
      <c r="AN316" s="58" t="n">
        <f aca="false">IF(ISNUMBER(L316),E316+F316+G316+AA316+AB316+AC316,0)</f>
        <v>0</v>
      </c>
      <c r="AO316" s="60" t="n">
        <f aca="false">P316*COMISION</f>
        <v>0</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B317*P1_PVP+C317*P2_PVP+D317*IF($A317&lt;P3_DESDE,P3A_PVP,P3_PVP)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E317*(P1_PVP-P1_CPROD)+F317*(P2_PVP-P2_CPROD)+G317*(IF($A317&lt;P3_DESDE,P3A_PVP,P3_PVP)-IF($A317&lt;P3_DESDE,P3A_CPROD,P3_CPROD))-IF(ISNUMBER(L317),L317,E317*P1_LOG+F317*P2_LOG+G317*P3_LOG)</f>
        <v>0</v>
      </c>
      <c r="X317" s="33" t="n">
        <f aca="false">W317-(E317*P1_IVAN+F317*P2_IVAN+G317*IF($A317&lt;P3_DESDE,P3A_IVAN,P3_IVAN))-(H317+I317+J317)*(COSTE_DEV-IVA_DEV)-AM317-AO317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E317+AA317*TASA_USADA</f>
        <v>0</v>
      </c>
      <c r="AE317" s="59" t="n">
        <f aca="false">F317+AB317*TASA_USADA</f>
        <v>0</v>
      </c>
      <c r="AF317" s="59" t="n">
        <f aca="false">G317+AC317*TASA_USADA</f>
        <v>0</v>
      </c>
      <c r="AG317" s="59" t="n">
        <f aca="false">H317+I317+J317+(AA317+AB317+AC317)*(1-TASA_USADA)</f>
        <v>0</v>
      </c>
      <c r="AH317" s="60" t="n">
        <f aca="false">AD317*P1_PVP+AE317*P2_PVP+AF317*IF($A317&lt;P3_DESDE,P3A_PVP,P3_PVP)</f>
        <v>0</v>
      </c>
      <c r="AI317" s="60" t="n">
        <f aca="false">AD317*P1_CPROD+AE317*P2_CPROD+AF317*IF($A317&lt;P3_DESDE,P3A_CPROD,P3_CPROD)</f>
        <v>0</v>
      </c>
      <c r="AJ317" s="60" t="n">
        <f aca="false">IF(ISNUMBER(L317),L317,E317*P1_LOG+F317*P2_LOG+G317*P3_LOG)+IF(ISNUMBER(M317),M317,AA317*P1_LOG+AB317*P2_LOG+AC317*P3_LOG)*TASA_USADA</f>
        <v>0</v>
      </c>
      <c r="AK317" s="60" t="n">
        <f aca="false">AG317*COSTE_DEV</f>
        <v>0</v>
      </c>
      <c r="AL317" s="60" t="n">
        <f aca="false">AD317*P1_IVAN+AE317*P2_IVAN+AF317*IF($A317&lt;P3_DESDE,P3A_IVAN,P3_IVAN)-AG317*IVA_DEV</f>
        <v>0</v>
      </c>
      <c r="AM317" s="60" t="n">
        <f aca="false">N317*(1+RECARGO_ADS)</f>
        <v>0</v>
      </c>
      <c r="AN317" s="58" t="n">
        <f aca="false">IF(ISNUMBER(L317),E317+F317+G317+AA317+AB317+AC317,0)</f>
        <v>0</v>
      </c>
      <c r="AO317" s="60" t="n">
        <f aca="false">P317*COMISION</f>
        <v>0</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B318*P1_PVP+C318*P2_PVP+D318*IF($A318&lt;P3_DESDE,P3A_PVP,P3_PVP)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E318*(P1_PVP-P1_CPROD)+F318*(P2_PVP-P2_CPROD)+G318*(IF($A318&lt;P3_DESDE,P3A_PVP,P3_PVP)-IF($A318&lt;P3_DESDE,P3A_CPROD,P3_CPROD))-IF(ISNUMBER(L318),L318,E318*P1_LOG+F318*P2_LOG+G318*P3_LOG)</f>
        <v>0</v>
      </c>
      <c r="X318" s="33" t="n">
        <f aca="false">W318-(E318*P1_IVAN+F318*P2_IVAN+G318*IF($A318&lt;P3_DESDE,P3A_IVAN,P3_IVAN))-(H318+I318+J318)*(COSTE_DEV-IVA_DEV)-AM318-AO318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E318+AA318*TASA_USADA</f>
        <v>0</v>
      </c>
      <c r="AE318" s="59" t="n">
        <f aca="false">F318+AB318*TASA_USADA</f>
        <v>0</v>
      </c>
      <c r="AF318" s="59" t="n">
        <f aca="false">G318+AC318*TASA_USADA</f>
        <v>0</v>
      </c>
      <c r="AG318" s="59" t="n">
        <f aca="false">H318+I318+J318+(AA318+AB318+AC318)*(1-TASA_USADA)</f>
        <v>0</v>
      </c>
      <c r="AH318" s="60" t="n">
        <f aca="false">AD318*P1_PVP+AE318*P2_PVP+AF318*IF($A318&lt;P3_DESDE,P3A_PVP,P3_PVP)</f>
        <v>0</v>
      </c>
      <c r="AI318" s="60" t="n">
        <f aca="false">AD318*P1_CPROD+AE318*P2_CPROD+AF318*IF($A318&lt;P3_DESDE,P3A_CPROD,P3_CPROD)</f>
        <v>0</v>
      </c>
      <c r="AJ318" s="60" t="n">
        <f aca="false">IF(ISNUMBER(L318),L318,E318*P1_LOG+F318*P2_LOG+G318*P3_LOG)+IF(ISNUMBER(M318),M318,AA318*P1_LOG+AB318*P2_LOG+AC318*P3_LOG)*TASA_USADA</f>
        <v>0</v>
      </c>
      <c r="AK318" s="60" t="n">
        <f aca="false">AG318*COSTE_DEV</f>
        <v>0</v>
      </c>
      <c r="AL318" s="60" t="n">
        <f aca="false">AD318*P1_IVAN+AE318*P2_IVAN+AF318*IF($A318&lt;P3_DESDE,P3A_IVAN,P3_IVAN)-AG318*IVA_DEV</f>
        <v>0</v>
      </c>
      <c r="AM318" s="60" t="n">
        <f aca="false">N318*(1+RECARGO_ADS)</f>
        <v>0</v>
      </c>
      <c r="AN318" s="58" t="n">
        <f aca="false">IF(ISNUMBER(L318),E318+F318+G318+AA318+AB318+AC318,0)</f>
        <v>0</v>
      </c>
      <c r="AO318" s="60" t="n">
        <f aca="false">P318*COMISION</f>
        <v>0</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B319*P1_PVP+C319*P2_PVP+D319*IF($A319&lt;P3_DESDE,P3A_PVP,P3_PVP)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E319*(P1_PVP-P1_CPROD)+F319*(P2_PVP-P2_CPROD)+G319*(IF($A319&lt;P3_DESDE,P3A_PVP,P3_PVP)-IF($A319&lt;P3_DESDE,P3A_CPROD,P3_CPROD))-IF(ISNUMBER(L319),L319,E319*P1_LOG+F319*P2_LOG+G319*P3_LOG)</f>
        <v>0</v>
      </c>
      <c r="X319" s="33" t="n">
        <f aca="false">W319-(E319*P1_IVAN+F319*P2_IVAN+G319*IF($A319&lt;P3_DESDE,P3A_IVAN,P3_IVAN))-(H319+I319+J319)*(COSTE_DEV-IVA_DEV)-AM319-AO319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E319+AA319*TASA_USADA</f>
        <v>0</v>
      </c>
      <c r="AE319" s="59" t="n">
        <f aca="false">F319+AB319*TASA_USADA</f>
        <v>0</v>
      </c>
      <c r="AF319" s="59" t="n">
        <f aca="false">G319+AC319*TASA_USADA</f>
        <v>0</v>
      </c>
      <c r="AG319" s="59" t="n">
        <f aca="false">H319+I319+J319+(AA319+AB319+AC319)*(1-TASA_USADA)</f>
        <v>0</v>
      </c>
      <c r="AH319" s="60" t="n">
        <f aca="false">AD319*P1_PVP+AE319*P2_PVP+AF319*IF($A319&lt;P3_DESDE,P3A_PVP,P3_PVP)</f>
        <v>0</v>
      </c>
      <c r="AI319" s="60" t="n">
        <f aca="false">AD319*P1_CPROD+AE319*P2_CPROD+AF319*IF($A319&lt;P3_DESDE,P3A_CPROD,P3_CPROD)</f>
        <v>0</v>
      </c>
      <c r="AJ319" s="60" t="n">
        <f aca="false">IF(ISNUMBER(L319),L319,E319*P1_LOG+F319*P2_LOG+G319*P3_LOG)+IF(ISNUMBER(M319),M319,AA319*P1_LOG+AB319*P2_LOG+AC319*P3_LOG)*TASA_USADA</f>
        <v>0</v>
      </c>
      <c r="AK319" s="60" t="n">
        <f aca="false">AG319*COSTE_DEV</f>
        <v>0</v>
      </c>
      <c r="AL319" s="60" t="n">
        <f aca="false">AD319*P1_IVAN+AE319*P2_IVAN+AF319*IF($A319&lt;P3_DESDE,P3A_IVAN,P3_IVAN)-AG319*IVA_DEV</f>
        <v>0</v>
      </c>
      <c r="AM319" s="60" t="n">
        <f aca="false">N319*(1+RECARGO_ADS)</f>
        <v>0</v>
      </c>
      <c r="AN319" s="58" t="n">
        <f aca="false">IF(ISNUMBER(L319),E319+F319+G319+AA319+AB319+AC319,0)</f>
        <v>0</v>
      </c>
      <c r="AO319" s="60" t="n">
        <f aca="false">P319*COMISION</f>
        <v>0</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B320*P1_PVP+C320*P2_PVP+D320*IF($A320&lt;P3_DESDE,P3A_PVP,P3_PVP)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E320*(P1_PVP-P1_CPROD)+F320*(P2_PVP-P2_CPROD)+G320*(IF($A320&lt;P3_DESDE,P3A_PVP,P3_PVP)-IF($A320&lt;P3_DESDE,P3A_CPROD,P3_CPROD))-IF(ISNUMBER(L320),L320,E320*P1_LOG+F320*P2_LOG+G320*P3_LOG)</f>
        <v>0</v>
      </c>
      <c r="X320" s="33" t="n">
        <f aca="false">W320-(E320*P1_IVAN+F320*P2_IVAN+G320*IF($A320&lt;P3_DESDE,P3A_IVAN,P3_IVAN))-(H320+I320+J320)*(COSTE_DEV-IVA_DEV)-AM320-AO320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E320+AA320*TASA_USADA</f>
        <v>0</v>
      </c>
      <c r="AE320" s="59" t="n">
        <f aca="false">F320+AB320*TASA_USADA</f>
        <v>0</v>
      </c>
      <c r="AF320" s="59" t="n">
        <f aca="false">G320+AC320*TASA_USADA</f>
        <v>0</v>
      </c>
      <c r="AG320" s="59" t="n">
        <f aca="false">H320+I320+J320+(AA320+AB320+AC320)*(1-TASA_USADA)</f>
        <v>0</v>
      </c>
      <c r="AH320" s="60" t="n">
        <f aca="false">AD320*P1_PVP+AE320*P2_PVP+AF320*IF($A320&lt;P3_DESDE,P3A_PVP,P3_PVP)</f>
        <v>0</v>
      </c>
      <c r="AI320" s="60" t="n">
        <f aca="false">AD320*P1_CPROD+AE320*P2_CPROD+AF320*IF($A320&lt;P3_DESDE,P3A_CPROD,P3_CPROD)</f>
        <v>0</v>
      </c>
      <c r="AJ320" s="60" t="n">
        <f aca="false">IF(ISNUMBER(L320),L320,E320*P1_LOG+F320*P2_LOG+G320*P3_LOG)+IF(ISNUMBER(M320),M320,AA320*P1_LOG+AB320*P2_LOG+AC320*P3_LOG)*TASA_USADA</f>
        <v>0</v>
      </c>
      <c r="AK320" s="60" t="n">
        <f aca="false">AG320*COSTE_DEV</f>
        <v>0</v>
      </c>
      <c r="AL320" s="60" t="n">
        <f aca="false">AD320*P1_IVAN+AE320*P2_IVAN+AF320*IF($A320&lt;P3_DESDE,P3A_IVAN,P3_IVAN)-AG320*IVA_DEV</f>
        <v>0</v>
      </c>
      <c r="AM320" s="60" t="n">
        <f aca="false">N320*(1+RECARGO_ADS)</f>
        <v>0</v>
      </c>
      <c r="AN320" s="58" t="n">
        <f aca="false">IF(ISNUMBER(L320),E320+F320+G320+AA320+AB320+AC320,0)</f>
        <v>0</v>
      </c>
      <c r="AO320" s="60" t="n">
        <f aca="false">P320*COMISION</f>
        <v>0</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B321*P1_PVP+C321*P2_PVP+D321*IF($A321&lt;P3_DESDE,P3A_PVP,P3_PVP)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E321*(P1_PVP-P1_CPROD)+F321*(P2_PVP-P2_CPROD)+G321*(IF($A321&lt;P3_DESDE,P3A_PVP,P3_PVP)-IF($A321&lt;P3_DESDE,P3A_CPROD,P3_CPROD))-IF(ISNUMBER(L321),L321,E321*P1_LOG+F321*P2_LOG+G321*P3_LOG)</f>
        <v>0</v>
      </c>
      <c r="X321" s="33" t="n">
        <f aca="false">W321-(E321*P1_IVAN+F321*P2_IVAN+G321*IF($A321&lt;P3_DESDE,P3A_IVAN,P3_IVAN))-(H321+I321+J321)*(COSTE_DEV-IVA_DEV)-AM321-AO321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E321+AA321*TASA_USADA</f>
        <v>0</v>
      </c>
      <c r="AE321" s="59" t="n">
        <f aca="false">F321+AB321*TASA_USADA</f>
        <v>0</v>
      </c>
      <c r="AF321" s="59" t="n">
        <f aca="false">G321+AC321*TASA_USADA</f>
        <v>0</v>
      </c>
      <c r="AG321" s="59" t="n">
        <f aca="false">H321+I321+J321+(AA321+AB321+AC321)*(1-TASA_USADA)</f>
        <v>0</v>
      </c>
      <c r="AH321" s="60" t="n">
        <f aca="false">AD321*P1_PVP+AE321*P2_PVP+AF321*IF($A321&lt;P3_DESDE,P3A_PVP,P3_PVP)</f>
        <v>0</v>
      </c>
      <c r="AI321" s="60" t="n">
        <f aca="false">AD321*P1_CPROD+AE321*P2_CPROD+AF321*IF($A321&lt;P3_DESDE,P3A_CPROD,P3_CPROD)</f>
        <v>0</v>
      </c>
      <c r="AJ321" s="60" t="n">
        <f aca="false">IF(ISNUMBER(L321),L321,E321*P1_LOG+F321*P2_LOG+G321*P3_LOG)+IF(ISNUMBER(M321),M321,AA321*P1_LOG+AB321*P2_LOG+AC321*P3_LOG)*TASA_USADA</f>
        <v>0</v>
      </c>
      <c r="AK321" s="60" t="n">
        <f aca="false">AG321*COSTE_DEV</f>
        <v>0</v>
      </c>
      <c r="AL321" s="60" t="n">
        <f aca="false">AD321*P1_IVAN+AE321*P2_IVAN+AF321*IF($A321&lt;P3_DESDE,P3A_IVAN,P3_IVAN)-AG321*IVA_DEV</f>
        <v>0</v>
      </c>
      <c r="AM321" s="60" t="n">
        <f aca="false">N321*(1+RECARGO_ADS)</f>
        <v>0</v>
      </c>
      <c r="AN321" s="58" t="n">
        <f aca="false">IF(ISNUMBER(L321),E321+F321+G321+AA321+AB321+AC321,0)</f>
        <v>0</v>
      </c>
      <c r="AO321" s="60" t="n">
        <f aca="false">P321*COMISION</f>
        <v>0</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B322*P1_PVP+C322*P2_PVP+D322*IF($A322&lt;P3_DESDE,P3A_PVP,P3_PVP)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E322*(P1_PVP-P1_CPROD)+F322*(P2_PVP-P2_CPROD)+G322*(IF($A322&lt;P3_DESDE,P3A_PVP,P3_PVP)-IF($A322&lt;P3_DESDE,P3A_CPROD,P3_CPROD))-IF(ISNUMBER(L322),L322,E322*P1_LOG+F322*P2_LOG+G322*P3_LOG)</f>
        <v>0</v>
      </c>
      <c r="X322" s="33" t="n">
        <f aca="false">W322-(E322*P1_IVAN+F322*P2_IVAN+G322*IF($A322&lt;P3_DESDE,P3A_IVAN,P3_IVAN))-(H322+I322+J322)*(COSTE_DEV-IVA_DEV)-AM322-AO322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E322+AA322*TASA_USADA</f>
        <v>0</v>
      </c>
      <c r="AE322" s="59" t="n">
        <f aca="false">F322+AB322*TASA_USADA</f>
        <v>0</v>
      </c>
      <c r="AF322" s="59" t="n">
        <f aca="false">G322+AC322*TASA_USADA</f>
        <v>0</v>
      </c>
      <c r="AG322" s="59" t="n">
        <f aca="false">H322+I322+J322+(AA322+AB322+AC322)*(1-TASA_USADA)</f>
        <v>0</v>
      </c>
      <c r="AH322" s="60" t="n">
        <f aca="false">AD322*P1_PVP+AE322*P2_PVP+AF322*IF($A322&lt;P3_DESDE,P3A_PVP,P3_PVP)</f>
        <v>0</v>
      </c>
      <c r="AI322" s="60" t="n">
        <f aca="false">AD322*P1_CPROD+AE322*P2_CPROD+AF322*IF($A322&lt;P3_DESDE,P3A_CPROD,P3_CPROD)</f>
        <v>0</v>
      </c>
      <c r="AJ322" s="60" t="n">
        <f aca="false">IF(ISNUMBER(L322),L322,E322*P1_LOG+F322*P2_LOG+G322*P3_LOG)+IF(ISNUMBER(M322),M322,AA322*P1_LOG+AB322*P2_LOG+AC322*P3_LOG)*TASA_USADA</f>
        <v>0</v>
      </c>
      <c r="AK322" s="60" t="n">
        <f aca="false">AG322*COSTE_DEV</f>
        <v>0</v>
      </c>
      <c r="AL322" s="60" t="n">
        <f aca="false">AD322*P1_IVAN+AE322*P2_IVAN+AF322*IF($A322&lt;P3_DESDE,P3A_IVAN,P3_IVAN)-AG322*IVA_DEV</f>
        <v>0</v>
      </c>
      <c r="AM322" s="60" t="n">
        <f aca="false">N322*(1+RECARGO_ADS)</f>
        <v>0</v>
      </c>
      <c r="AN322" s="58" t="n">
        <f aca="false">IF(ISNUMBER(L322),E322+F322+G322+AA322+AB322+AC322,0)</f>
        <v>0</v>
      </c>
      <c r="AO322" s="60" t="n">
        <f aca="false">P322*COMISION</f>
        <v>0</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B323*P1_PVP+C323*P2_PVP+D323*IF($A323&lt;P3_DESDE,P3A_PVP,P3_PVP)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E323*(P1_PVP-P1_CPROD)+F323*(P2_PVP-P2_CPROD)+G323*(IF($A323&lt;P3_DESDE,P3A_PVP,P3_PVP)-IF($A323&lt;P3_DESDE,P3A_CPROD,P3_CPROD))-IF(ISNUMBER(L323),L323,E323*P1_LOG+F323*P2_LOG+G323*P3_LOG)</f>
        <v>0</v>
      </c>
      <c r="X323" s="33" t="n">
        <f aca="false">W323-(E323*P1_IVAN+F323*P2_IVAN+G323*IF($A323&lt;P3_DESDE,P3A_IVAN,P3_IVAN))-(H323+I323+J323)*(COSTE_DEV-IVA_DEV)-AM323-AO323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E323+AA323*TASA_USADA</f>
        <v>0</v>
      </c>
      <c r="AE323" s="59" t="n">
        <f aca="false">F323+AB323*TASA_USADA</f>
        <v>0</v>
      </c>
      <c r="AF323" s="59" t="n">
        <f aca="false">G323+AC323*TASA_USADA</f>
        <v>0</v>
      </c>
      <c r="AG323" s="59" t="n">
        <f aca="false">H323+I323+J323+(AA323+AB323+AC323)*(1-TASA_USADA)</f>
        <v>0</v>
      </c>
      <c r="AH323" s="60" t="n">
        <f aca="false">AD323*P1_PVP+AE323*P2_PVP+AF323*IF($A323&lt;P3_DESDE,P3A_PVP,P3_PVP)</f>
        <v>0</v>
      </c>
      <c r="AI323" s="60" t="n">
        <f aca="false">AD323*P1_CPROD+AE323*P2_CPROD+AF323*IF($A323&lt;P3_DESDE,P3A_CPROD,P3_CPROD)</f>
        <v>0</v>
      </c>
      <c r="AJ323" s="60" t="n">
        <f aca="false">IF(ISNUMBER(L323),L323,E323*P1_LOG+F323*P2_LOG+G323*P3_LOG)+IF(ISNUMBER(M323),M323,AA323*P1_LOG+AB323*P2_LOG+AC323*P3_LOG)*TASA_USADA</f>
        <v>0</v>
      </c>
      <c r="AK323" s="60" t="n">
        <f aca="false">AG323*COSTE_DEV</f>
        <v>0</v>
      </c>
      <c r="AL323" s="60" t="n">
        <f aca="false">AD323*P1_IVAN+AE323*P2_IVAN+AF323*IF($A323&lt;P3_DESDE,P3A_IVAN,P3_IVAN)-AG323*IVA_DEV</f>
        <v>0</v>
      </c>
      <c r="AM323" s="60" t="n">
        <f aca="false">N323*(1+RECARGO_ADS)</f>
        <v>0</v>
      </c>
      <c r="AN323" s="58" t="n">
        <f aca="false">IF(ISNUMBER(L323),E323+F323+G323+AA323+AB323+AC323,0)</f>
        <v>0</v>
      </c>
      <c r="AO323" s="60" t="n">
        <f aca="false">P323*COMISION</f>
        <v>0</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B324*P1_PVP+C324*P2_PVP+D324*IF($A324&lt;P3_DESDE,P3A_PVP,P3_PVP)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E324*(P1_PVP-P1_CPROD)+F324*(P2_PVP-P2_CPROD)+G324*(IF($A324&lt;P3_DESDE,P3A_PVP,P3_PVP)-IF($A324&lt;P3_DESDE,P3A_CPROD,P3_CPROD))-IF(ISNUMBER(L324),L324,E324*P1_LOG+F324*P2_LOG+G324*P3_LOG)</f>
        <v>0</v>
      </c>
      <c r="X324" s="33" t="n">
        <f aca="false">W324-(E324*P1_IVAN+F324*P2_IVAN+G324*IF($A324&lt;P3_DESDE,P3A_IVAN,P3_IVAN))-(H324+I324+J324)*(COSTE_DEV-IVA_DEV)-AM324-AO324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E324+AA324*TASA_USADA</f>
        <v>0</v>
      </c>
      <c r="AE324" s="59" t="n">
        <f aca="false">F324+AB324*TASA_USADA</f>
        <v>0</v>
      </c>
      <c r="AF324" s="59" t="n">
        <f aca="false">G324+AC324*TASA_USADA</f>
        <v>0</v>
      </c>
      <c r="AG324" s="59" t="n">
        <f aca="false">H324+I324+J324+(AA324+AB324+AC324)*(1-TASA_USADA)</f>
        <v>0</v>
      </c>
      <c r="AH324" s="60" t="n">
        <f aca="false">AD324*P1_PVP+AE324*P2_PVP+AF324*IF($A324&lt;P3_DESDE,P3A_PVP,P3_PVP)</f>
        <v>0</v>
      </c>
      <c r="AI324" s="60" t="n">
        <f aca="false">AD324*P1_CPROD+AE324*P2_CPROD+AF324*IF($A324&lt;P3_DESDE,P3A_CPROD,P3_CPROD)</f>
        <v>0</v>
      </c>
      <c r="AJ324" s="60" t="n">
        <f aca="false">IF(ISNUMBER(L324),L324,E324*P1_LOG+F324*P2_LOG+G324*P3_LOG)+IF(ISNUMBER(M324),M324,AA324*P1_LOG+AB324*P2_LOG+AC324*P3_LOG)*TASA_USADA</f>
        <v>0</v>
      </c>
      <c r="AK324" s="60" t="n">
        <f aca="false">AG324*COSTE_DEV</f>
        <v>0</v>
      </c>
      <c r="AL324" s="60" t="n">
        <f aca="false">AD324*P1_IVAN+AE324*P2_IVAN+AF324*IF($A324&lt;P3_DESDE,P3A_IVAN,P3_IVAN)-AG324*IVA_DEV</f>
        <v>0</v>
      </c>
      <c r="AM324" s="60" t="n">
        <f aca="false">N324*(1+RECARGO_ADS)</f>
        <v>0</v>
      </c>
      <c r="AN324" s="58" t="n">
        <f aca="false">IF(ISNUMBER(L324),E324+F324+G324+AA324+AB324+AC324,0)</f>
        <v>0</v>
      </c>
      <c r="AO324" s="60" t="n">
        <f aca="false">P324*COMISION</f>
        <v>0</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B325*P1_PVP+C325*P2_PVP+D325*IF($A325&lt;P3_DESDE,P3A_PVP,P3_PVP)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E325*(P1_PVP-P1_CPROD)+F325*(P2_PVP-P2_CPROD)+G325*(IF($A325&lt;P3_DESDE,P3A_PVP,P3_PVP)-IF($A325&lt;P3_DESDE,P3A_CPROD,P3_CPROD))-IF(ISNUMBER(L325),L325,E325*P1_LOG+F325*P2_LOG+G325*P3_LOG)</f>
        <v>0</v>
      </c>
      <c r="X325" s="33" t="n">
        <f aca="false">W325-(E325*P1_IVAN+F325*P2_IVAN+G325*IF($A325&lt;P3_DESDE,P3A_IVAN,P3_IVAN))-(H325+I325+J325)*(COSTE_DEV-IVA_DEV)-AM325-AO325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E325+AA325*TASA_USADA</f>
        <v>0</v>
      </c>
      <c r="AE325" s="59" t="n">
        <f aca="false">F325+AB325*TASA_USADA</f>
        <v>0</v>
      </c>
      <c r="AF325" s="59" t="n">
        <f aca="false">G325+AC325*TASA_USADA</f>
        <v>0</v>
      </c>
      <c r="AG325" s="59" t="n">
        <f aca="false">H325+I325+J325+(AA325+AB325+AC325)*(1-TASA_USADA)</f>
        <v>0</v>
      </c>
      <c r="AH325" s="60" t="n">
        <f aca="false">AD325*P1_PVP+AE325*P2_PVP+AF325*IF($A325&lt;P3_DESDE,P3A_PVP,P3_PVP)</f>
        <v>0</v>
      </c>
      <c r="AI325" s="60" t="n">
        <f aca="false">AD325*P1_CPROD+AE325*P2_CPROD+AF325*IF($A325&lt;P3_DESDE,P3A_CPROD,P3_CPROD)</f>
        <v>0</v>
      </c>
      <c r="AJ325" s="60" t="n">
        <f aca="false">IF(ISNUMBER(L325),L325,E325*P1_LOG+F325*P2_LOG+G325*P3_LOG)+IF(ISNUMBER(M325),M325,AA325*P1_LOG+AB325*P2_LOG+AC325*P3_LOG)*TASA_USADA</f>
        <v>0</v>
      </c>
      <c r="AK325" s="60" t="n">
        <f aca="false">AG325*COSTE_DEV</f>
        <v>0</v>
      </c>
      <c r="AL325" s="60" t="n">
        <f aca="false">AD325*P1_IVAN+AE325*P2_IVAN+AF325*IF($A325&lt;P3_DESDE,P3A_IVAN,P3_IVAN)-AG325*IVA_DEV</f>
        <v>0</v>
      </c>
      <c r="AM325" s="60" t="n">
        <f aca="false">N325*(1+RECARGO_ADS)</f>
        <v>0</v>
      </c>
      <c r="AN325" s="58" t="n">
        <f aca="false">IF(ISNUMBER(L325),E325+F325+G325+AA325+AB325+AC325,0)</f>
        <v>0</v>
      </c>
      <c r="AO325" s="60" t="n">
        <f aca="false">P325*COMISION</f>
        <v>0</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B326*P1_PVP+C326*P2_PVP+D326*IF($A326&lt;P3_DESDE,P3A_PVP,P3_PVP)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E326*(P1_PVP-P1_CPROD)+F326*(P2_PVP-P2_CPROD)+G326*(IF($A326&lt;P3_DESDE,P3A_PVP,P3_PVP)-IF($A326&lt;P3_DESDE,P3A_CPROD,P3_CPROD))-IF(ISNUMBER(L326),L326,E326*P1_LOG+F326*P2_LOG+G326*P3_LOG)</f>
        <v>0</v>
      </c>
      <c r="X326" s="33" t="n">
        <f aca="false">W326-(E326*P1_IVAN+F326*P2_IVAN+G326*IF($A326&lt;P3_DESDE,P3A_IVAN,P3_IVAN))-(H326+I326+J326)*(COSTE_DEV-IVA_DEV)-AM326-AO326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E326+AA326*TASA_USADA</f>
        <v>0</v>
      </c>
      <c r="AE326" s="59" t="n">
        <f aca="false">F326+AB326*TASA_USADA</f>
        <v>0</v>
      </c>
      <c r="AF326" s="59" t="n">
        <f aca="false">G326+AC326*TASA_USADA</f>
        <v>0</v>
      </c>
      <c r="AG326" s="59" t="n">
        <f aca="false">H326+I326+J326+(AA326+AB326+AC326)*(1-TASA_USADA)</f>
        <v>0</v>
      </c>
      <c r="AH326" s="60" t="n">
        <f aca="false">AD326*P1_PVP+AE326*P2_PVP+AF326*IF($A326&lt;P3_DESDE,P3A_PVP,P3_PVP)</f>
        <v>0</v>
      </c>
      <c r="AI326" s="60" t="n">
        <f aca="false">AD326*P1_CPROD+AE326*P2_CPROD+AF326*IF($A326&lt;P3_DESDE,P3A_CPROD,P3_CPROD)</f>
        <v>0</v>
      </c>
      <c r="AJ326" s="60" t="n">
        <f aca="false">IF(ISNUMBER(L326),L326,E326*P1_LOG+F326*P2_LOG+G326*P3_LOG)+IF(ISNUMBER(M326),M326,AA326*P1_LOG+AB326*P2_LOG+AC326*P3_LOG)*TASA_USADA</f>
        <v>0</v>
      </c>
      <c r="AK326" s="60" t="n">
        <f aca="false">AG326*COSTE_DEV</f>
        <v>0</v>
      </c>
      <c r="AL326" s="60" t="n">
        <f aca="false">AD326*P1_IVAN+AE326*P2_IVAN+AF326*IF($A326&lt;P3_DESDE,P3A_IVAN,P3_IVAN)-AG326*IVA_DEV</f>
        <v>0</v>
      </c>
      <c r="AM326" s="60" t="n">
        <f aca="false">N326*(1+RECARGO_ADS)</f>
        <v>0</v>
      </c>
      <c r="AN326" s="58" t="n">
        <f aca="false">IF(ISNUMBER(L326),E326+F326+G326+AA326+AB326+AC326,0)</f>
        <v>0</v>
      </c>
      <c r="AO326" s="60" t="n">
        <f aca="false">P326*COMISION</f>
        <v>0</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B327*P1_PVP+C327*P2_PVP+D327*IF($A327&lt;P3_DESDE,P3A_PVP,P3_PVP)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E327*(P1_PVP-P1_CPROD)+F327*(P2_PVP-P2_CPROD)+G327*(IF($A327&lt;P3_DESDE,P3A_PVP,P3_PVP)-IF($A327&lt;P3_DESDE,P3A_CPROD,P3_CPROD))-IF(ISNUMBER(L327),L327,E327*P1_LOG+F327*P2_LOG+G327*P3_LOG)</f>
        <v>0</v>
      </c>
      <c r="X327" s="33" t="n">
        <f aca="false">W327-(E327*P1_IVAN+F327*P2_IVAN+G327*IF($A327&lt;P3_DESDE,P3A_IVAN,P3_IVAN))-(H327+I327+J327)*(COSTE_DEV-IVA_DEV)-AM327-AO327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E327+AA327*TASA_USADA</f>
        <v>0</v>
      </c>
      <c r="AE327" s="59" t="n">
        <f aca="false">F327+AB327*TASA_USADA</f>
        <v>0</v>
      </c>
      <c r="AF327" s="59" t="n">
        <f aca="false">G327+AC327*TASA_USADA</f>
        <v>0</v>
      </c>
      <c r="AG327" s="59" t="n">
        <f aca="false">H327+I327+J327+(AA327+AB327+AC327)*(1-TASA_USADA)</f>
        <v>0</v>
      </c>
      <c r="AH327" s="60" t="n">
        <f aca="false">AD327*P1_PVP+AE327*P2_PVP+AF327*IF($A327&lt;P3_DESDE,P3A_PVP,P3_PVP)</f>
        <v>0</v>
      </c>
      <c r="AI327" s="60" t="n">
        <f aca="false">AD327*P1_CPROD+AE327*P2_CPROD+AF327*IF($A327&lt;P3_DESDE,P3A_CPROD,P3_CPROD)</f>
        <v>0</v>
      </c>
      <c r="AJ327" s="60" t="n">
        <f aca="false">IF(ISNUMBER(L327),L327,E327*P1_LOG+F327*P2_LOG+G327*P3_LOG)+IF(ISNUMBER(M327),M327,AA327*P1_LOG+AB327*P2_LOG+AC327*P3_LOG)*TASA_USADA</f>
        <v>0</v>
      </c>
      <c r="AK327" s="60" t="n">
        <f aca="false">AG327*COSTE_DEV</f>
        <v>0</v>
      </c>
      <c r="AL327" s="60" t="n">
        <f aca="false">AD327*P1_IVAN+AE327*P2_IVAN+AF327*IF($A327&lt;P3_DESDE,P3A_IVAN,P3_IVAN)-AG327*IVA_DEV</f>
        <v>0</v>
      </c>
      <c r="AM327" s="60" t="n">
        <f aca="false">N327*(1+RECARGO_ADS)</f>
        <v>0</v>
      </c>
      <c r="AN327" s="58" t="n">
        <f aca="false">IF(ISNUMBER(L327),E327+F327+G327+AA327+AB327+AC327,0)</f>
        <v>0</v>
      </c>
      <c r="AO327" s="60" t="n">
        <f aca="false">P327*COMISION</f>
        <v>0</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B328*P1_PVP+C328*P2_PVP+D328*IF($A328&lt;P3_DESDE,P3A_PVP,P3_PVP)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E328*(P1_PVP-P1_CPROD)+F328*(P2_PVP-P2_CPROD)+G328*(IF($A328&lt;P3_DESDE,P3A_PVP,P3_PVP)-IF($A328&lt;P3_DESDE,P3A_CPROD,P3_CPROD))-IF(ISNUMBER(L328),L328,E328*P1_LOG+F328*P2_LOG+G328*P3_LOG)</f>
        <v>0</v>
      </c>
      <c r="X328" s="33" t="n">
        <f aca="false">W328-(E328*P1_IVAN+F328*P2_IVAN+G328*IF($A328&lt;P3_DESDE,P3A_IVAN,P3_IVAN))-(H328+I328+J328)*(COSTE_DEV-IVA_DEV)-AM328-AO328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E328+AA328*TASA_USADA</f>
        <v>0</v>
      </c>
      <c r="AE328" s="59" t="n">
        <f aca="false">F328+AB328*TASA_USADA</f>
        <v>0</v>
      </c>
      <c r="AF328" s="59" t="n">
        <f aca="false">G328+AC328*TASA_USADA</f>
        <v>0</v>
      </c>
      <c r="AG328" s="59" t="n">
        <f aca="false">H328+I328+J328+(AA328+AB328+AC328)*(1-TASA_USADA)</f>
        <v>0</v>
      </c>
      <c r="AH328" s="60" t="n">
        <f aca="false">AD328*P1_PVP+AE328*P2_PVP+AF328*IF($A328&lt;P3_DESDE,P3A_PVP,P3_PVP)</f>
        <v>0</v>
      </c>
      <c r="AI328" s="60" t="n">
        <f aca="false">AD328*P1_CPROD+AE328*P2_CPROD+AF328*IF($A328&lt;P3_DESDE,P3A_CPROD,P3_CPROD)</f>
        <v>0</v>
      </c>
      <c r="AJ328" s="60" t="n">
        <f aca="false">IF(ISNUMBER(L328),L328,E328*P1_LOG+F328*P2_LOG+G328*P3_LOG)+IF(ISNUMBER(M328),M328,AA328*P1_LOG+AB328*P2_LOG+AC328*P3_LOG)*TASA_USADA</f>
        <v>0</v>
      </c>
      <c r="AK328" s="60" t="n">
        <f aca="false">AG328*COSTE_DEV</f>
        <v>0</v>
      </c>
      <c r="AL328" s="60" t="n">
        <f aca="false">AD328*P1_IVAN+AE328*P2_IVAN+AF328*IF($A328&lt;P3_DESDE,P3A_IVAN,P3_IVAN)-AG328*IVA_DEV</f>
        <v>0</v>
      </c>
      <c r="AM328" s="60" t="n">
        <f aca="false">N328*(1+RECARGO_ADS)</f>
        <v>0</v>
      </c>
      <c r="AN328" s="58" t="n">
        <f aca="false">IF(ISNUMBER(L328),E328+F328+G328+AA328+AB328+AC328,0)</f>
        <v>0</v>
      </c>
      <c r="AO328" s="60" t="n">
        <f aca="false">P328*COMISION</f>
        <v>0</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B329*P1_PVP+C329*P2_PVP+D329*IF($A329&lt;P3_DESDE,P3A_PVP,P3_PVP)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E329*(P1_PVP-P1_CPROD)+F329*(P2_PVP-P2_CPROD)+G329*(IF($A329&lt;P3_DESDE,P3A_PVP,P3_PVP)-IF($A329&lt;P3_DESDE,P3A_CPROD,P3_CPROD))-IF(ISNUMBER(L329),L329,E329*P1_LOG+F329*P2_LOG+G329*P3_LOG)</f>
        <v>0</v>
      </c>
      <c r="X329" s="33" t="n">
        <f aca="false">W329-(E329*P1_IVAN+F329*P2_IVAN+G329*IF($A329&lt;P3_DESDE,P3A_IVAN,P3_IVAN))-(H329+I329+J329)*(COSTE_DEV-IVA_DEV)-AM329-AO329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E329+AA329*TASA_USADA</f>
        <v>0</v>
      </c>
      <c r="AE329" s="59" t="n">
        <f aca="false">F329+AB329*TASA_USADA</f>
        <v>0</v>
      </c>
      <c r="AF329" s="59" t="n">
        <f aca="false">G329+AC329*TASA_USADA</f>
        <v>0</v>
      </c>
      <c r="AG329" s="59" t="n">
        <f aca="false">H329+I329+J329+(AA329+AB329+AC329)*(1-TASA_USADA)</f>
        <v>0</v>
      </c>
      <c r="AH329" s="60" t="n">
        <f aca="false">AD329*P1_PVP+AE329*P2_PVP+AF329*IF($A329&lt;P3_DESDE,P3A_PVP,P3_PVP)</f>
        <v>0</v>
      </c>
      <c r="AI329" s="60" t="n">
        <f aca="false">AD329*P1_CPROD+AE329*P2_CPROD+AF329*IF($A329&lt;P3_DESDE,P3A_CPROD,P3_CPROD)</f>
        <v>0</v>
      </c>
      <c r="AJ329" s="60" t="n">
        <f aca="false">IF(ISNUMBER(L329),L329,E329*P1_LOG+F329*P2_LOG+G329*P3_LOG)+IF(ISNUMBER(M329),M329,AA329*P1_LOG+AB329*P2_LOG+AC329*P3_LOG)*TASA_USADA</f>
        <v>0</v>
      </c>
      <c r="AK329" s="60" t="n">
        <f aca="false">AG329*COSTE_DEV</f>
        <v>0</v>
      </c>
      <c r="AL329" s="60" t="n">
        <f aca="false">AD329*P1_IVAN+AE329*P2_IVAN+AF329*IF($A329&lt;P3_DESDE,P3A_IVAN,P3_IVAN)-AG329*IVA_DEV</f>
        <v>0</v>
      </c>
      <c r="AM329" s="60" t="n">
        <f aca="false">N329*(1+RECARGO_ADS)</f>
        <v>0</v>
      </c>
      <c r="AN329" s="58" t="n">
        <f aca="false">IF(ISNUMBER(L329),E329+F329+G329+AA329+AB329+AC329,0)</f>
        <v>0</v>
      </c>
      <c r="AO329" s="60" t="n">
        <f aca="false">P329*COMISION</f>
        <v>0</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B330*P1_PVP+C330*P2_PVP+D330*IF($A330&lt;P3_DESDE,P3A_PVP,P3_PVP)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E330*(P1_PVP-P1_CPROD)+F330*(P2_PVP-P2_CPROD)+G330*(IF($A330&lt;P3_DESDE,P3A_PVP,P3_PVP)-IF($A330&lt;P3_DESDE,P3A_CPROD,P3_CPROD))-IF(ISNUMBER(L330),L330,E330*P1_LOG+F330*P2_LOG+G330*P3_LOG)</f>
        <v>0</v>
      </c>
      <c r="X330" s="33" t="n">
        <f aca="false">W330-(E330*P1_IVAN+F330*P2_IVAN+G330*IF($A330&lt;P3_DESDE,P3A_IVAN,P3_IVAN))-(H330+I330+J330)*(COSTE_DEV-IVA_DEV)-AM330-AO330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E330+AA330*TASA_USADA</f>
        <v>0</v>
      </c>
      <c r="AE330" s="59" t="n">
        <f aca="false">F330+AB330*TASA_USADA</f>
        <v>0</v>
      </c>
      <c r="AF330" s="59" t="n">
        <f aca="false">G330+AC330*TASA_USADA</f>
        <v>0</v>
      </c>
      <c r="AG330" s="59" t="n">
        <f aca="false">H330+I330+J330+(AA330+AB330+AC330)*(1-TASA_USADA)</f>
        <v>0</v>
      </c>
      <c r="AH330" s="60" t="n">
        <f aca="false">AD330*P1_PVP+AE330*P2_PVP+AF330*IF($A330&lt;P3_DESDE,P3A_PVP,P3_PVP)</f>
        <v>0</v>
      </c>
      <c r="AI330" s="60" t="n">
        <f aca="false">AD330*P1_CPROD+AE330*P2_CPROD+AF330*IF($A330&lt;P3_DESDE,P3A_CPROD,P3_CPROD)</f>
        <v>0</v>
      </c>
      <c r="AJ330" s="60" t="n">
        <f aca="false">IF(ISNUMBER(L330),L330,E330*P1_LOG+F330*P2_LOG+G330*P3_LOG)+IF(ISNUMBER(M330),M330,AA330*P1_LOG+AB330*P2_LOG+AC330*P3_LOG)*TASA_USADA</f>
        <v>0</v>
      </c>
      <c r="AK330" s="60" t="n">
        <f aca="false">AG330*COSTE_DEV</f>
        <v>0</v>
      </c>
      <c r="AL330" s="60" t="n">
        <f aca="false">AD330*P1_IVAN+AE330*P2_IVAN+AF330*IF($A330&lt;P3_DESDE,P3A_IVAN,P3_IVAN)-AG330*IVA_DEV</f>
        <v>0</v>
      </c>
      <c r="AM330" s="60" t="n">
        <f aca="false">N330*(1+RECARGO_ADS)</f>
        <v>0</v>
      </c>
      <c r="AN330" s="58" t="n">
        <f aca="false">IF(ISNUMBER(L330),E330+F330+G330+AA330+AB330+AC330,0)</f>
        <v>0</v>
      </c>
      <c r="AO330" s="60" t="n">
        <f aca="false">P330*COMISION</f>
        <v>0</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B331*P1_PVP+C331*P2_PVP+D331*IF($A331&lt;P3_DESDE,P3A_PVP,P3_PVP)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E331*(P1_PVP-P1_CPROD)+F331*(P2_PVP-P2_CPROD)+G331*(IF($A331&lt;P3_DESDE,P3A_PVP,P3_PVP)-IF($A331&lt;P3_DESDE,P3A_CPROD,P3_CPROD))-IF(ISNUMBER(L331),L331,E331*P1_LOG+F331*P2_LOG+G331*P3_LOG)</f>
        <v>0</v>
      </c>
      <c r="X331" s="33" t="n">
        <f aca="false">W331-(E331*P1_IVAN+F331*P2_IVAN+G331*IF($A331&lt;P3_DESDE,P3A_IVAN,P3_IVAN))-(H331+I331+J331)*(COSTE_DEV-IVA_DEV)-AM331-AO331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E331+AA331*TASA_USADA</f>
        <v>0</v>
      </c>
      <c r="AE331" s="59" t="n">
        <f aca="false">F331+AB331*TASA_USADA</f>
        <v>0</v>
      </c>
      <c r="AF331" s="59" t="n">
        <f aca="false">G331+AC331*TASA_USADA</f>
        <v>0</v>
      </c>
      <c r="AG331" s="59" t="n">
        <f aca="false">H331+I331+J331+(AA331+AB331+AC331)*(1-TASA_USADA)</f>
        <v>0</v>
      </c>
      <c r="AH331" s="60" t="n">
        <f aca="false">AD331*P1_PVP+AE331*P2_PVP+AF331*IF($A331&lt;P3_DESDE,P3A_PVP,P3_PVP)</f>
        <v>0</v>
      </c>
      <c r="AI331" s="60" t="n">
        <f aca="false">AD331*P1_CPROD+AE331*P2_CPROD+AF331*IF($A331&lt;P3_DESDE,P3A_CPROD,P3_CPROD)</f>
        <v>0</v>
      </c>
      <c r="AJ331" s="60" t="n">
        <f aca="false">IF(ISNUMBER(L331),L331,E331*P1_LOG+F331*P2_LOG+G331*P3_LOG)+IF(ISNUMBER(M331),M331,AA331*P1_LOG+AB331*P2_LOG+AC331*P3_LOG)*TASA_USADA</f>
        <v>0</v>
      </c>
      <c r="AK331" s="60" t="n">
        <f aca="false">AG331*COSTE_DEV</f>
        <v>0</v>
      </c>
      <c r="AL331" s="60" t="n">
        <f aca="false">AD331*P1_IVAN+AE331*P2_IVAN+AF331*IF($A331&lt;P3_DESDE,P3A_IVAN,P3_IVAN)-AG331*IVA_DEV</f>
        <v>0</v>
      </c>
      <c r="AM331" s="60" t="n">
        <f aca="false">N331*(1+RECARGO_ADS)</f>
        <v>0</v>
      </c>
      <c r="AN331" s="58" t="n">
        <f aca="false">IF(ISNUMBER(L331),E331+F331+G331+AA331+AB331+AC331,0)</f>
        <v>0</v>
      </c>
      <c r="AO331" s="60" t="n">
        <f aca="false">P331*COMISION</f>
        <v>0</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B332*P1_PVP+C332*P2_PVP+D332*IF($A332&lt;P3_DESDE,P3A_PVP,P3_PVP)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E332*(P1_PVP-P1_CPROD)+F332*(P2_PVP-P2_CPROD)+G332*(IF($A332&lt;P3_DESDE,P3A_PVP,P3_PVP)-IF($A332&lt;P3_DESDE,P3A_CPROD,P3_CPROD))-IF(ISNUMBER(L332),L332,E332*P1_LOG+F332*P2_LOG+G332*P3_LOG)</f>
        <v>0</v>
      </c>
      <c r="X332" s="33" t="n">
        <f aca="false">W332-(E332*P1_IVAN+F332*P2_IVAN+G332*IF($A332&lt;P3_DESDE,P3A_IVAN,P3_IVAN))-(H332+I332+J332)*(COSTE_DEV-IVA_DEV)-AM332-AO332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E332+AA332*TASA_USADA</f>
        <v>0</v>
      </c>
      <c r="AE332" s="59" t="n">
        <f aca="false">F332+AB332*TASA_USADA</f>
        <v>0</v>
      </c>
      <c r="AF332" s="59" t="n">
        <f aca="false">G332+AC332*TASA_USADA</f>
        <v>0</v>
      </c>
      <c r="AG332" s="59" t="n">
        <f aca="false">H332+I332+J332+(AA332+AB332+AC332)*(1-TASA_USADA)</f>
        <v>0</v>
      </c>
      <c r="AH332" s="60" t="n">
        <f aca="false">AD332*P1_PVP+AE332*P2_PVP+AF332*IF($A332&lt;P3_DESDE,P3A_PVP,P3_PVP)</f>
        <v>0</v>
      </c>
      <c r="AI332" s="60" t="n">
        <f aca="false">AD332*P1_CPROD+AE332*P2_CPROD+AF332*IF($A332&lt;P3_DESDE,P3A_CPROD,P3_CPROD)</f>
        <v>0</v>
      </c>
      <c r="AJ332" s="60" t="n">
        <f aca="false">IF(ISNUMBER(L332),L332,E332*P1_LOG+F332*P2_LOG+G332*P3_LOG)+IF(ISNUMBER(M332),M332,AA332*P1_LOG+AB332*P2_LOG+AC332*P3_LOG)*TASA_USADA</f>
        <v>0</v>
      </c>
      <c r="AK332" s="60" t="n">
        <f aca="false">AG332*COSTE_DEV</f>
        <v>0</v>
      </c>
      <c r="AL332" s="60" t="n">
        <f aca="false">AD332*P1_IVAN+AE332*P2_IVAN+AF332*IF($A332&lt;P3_DESDE,P3A_IVAN,P3_IVAN)-AG332*IVA_DEV</f>
        <v>0</v>
      </c>
      <c r="AM332" s="60" t="n">
        <f aca="false">N332*(1+RECARGO_ADS)</f>
        <v>0</v>
      </c>
      <c r="AN332" s="58" t="n">
        <f aca="false">IF(ISNUMBER(L332),E332+F332+G332+AA332+AB332+AC332,0)</f>
        <v>0</v>
      </c>
      <c r="AO332" s="60" t="n">
        <f aca="false">P332*COMISION</f>
        <v>0</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B333*P1_PVP+C333*P2_PVP+D333*IF($A333&lt;P3_DESDE,P3A_PVP,P3_PVP)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E333*(P1_PVP-P1_CPROD)+F333*(P2_PVP-P2_CPROD)+G333*(IF($A333&lt;P3_DESDE,P3A_PVP,P3_PVP)-IF($A333&lt;P3_DESDE,P3A_CPROD,P3_CPROD))-IF(ISNUMBER(L333),L333,E333*P1_LOG+F333*P2_LOG+G333*P3_LOG)</f>
        <v>0</v>
      </c>
      <c r="X333" s="33" t="n">
        <f aca="false">W333-(E333*P1_IVAN+F333*P2_IVAN+G333*IF($A333&lt;P3_DESDE,P3A_IVAN,P3_IVAN))-(H333+I333+J333)*(COSTE_DEV-IVA_DEV)-AM333-AO333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E333+AA333*TASA_USADA</f>
        <v>0</v>
      </c>
      <c r="AE333" s="59" t="n">
        <f aca="false">F333+AB333*TASA_USADA</f>
        <v>0</v>
      </c>
      <c r="AF333" s="59" t="n">
        <f aca="false">G333+AC333*TASA_USADA</f>
        <v>0</v>
      </c>
      <c r="AG333" s="59" t="n">
        <f aca="false">H333+I333+J333+(AA333+AB333+AC333)*(1-TASA_USADA)</f>
        <v>0</v>
      </c>
      <c r="AH333" s="60" t="n">
        <f aca="false">AD333*P1_PVP+AE333*P2_PVP+AF333*IF($A333&lt;P3_DESDE,P3A_PVP,P3_PVP)</f>
        <v>0</v>
      </c>
      <c r="AI333" s="60" t="n">
        <f aca="false">AD333*P1_CPROD+AE333*P2_CPROD+AF333*IF($A333&lt;P3_DESDE,P3A_CPROD,P3_CPROD)</f>
        <v>0</v>
      </c>
      <c r="AJ333" s="60" t="n">
        <f aca="false">IF(ISNUMBER(L333),L333,E333*P1_LOG+F333*P2_LOG+G333*P3_LOG)+IF(ISNUMBER(M333),M333,AA333*P1_LOG+AB333*P2_LOG+AC333*P3_LOG)*TASA_USADA</f>
        <v>0</v>
      </c>
      <c r="AK333" s="60" t="n">
        <f aca="false">AG333*COSTE_DEV</f>
        <v>0</v>
      </c>
      <c r="AL333" s="60" t="n">
        <f aca="false">AD333*P1_IVAN+AE333*P2_IVAN+AF333*IF($A333&lt;P3_DESDE,P3A_IVAN,P3_IVAN)-AG333*IVA_DEV</f>
        <v>0</v>
      </c>
      <c r="AM333" s="60" t="n">
        <f aca="false">N333*(1+RECARGO_ADS)</f>
        <v>0</v>
      </c>
      <c r="AN333" s="58" t="n">
        <f aca="false">IF(ISNUMBER(L333),E333+F333+G333+AA333+AB333+AC333,0)</f>
        <v>0</v>
      </c>
      <c r="AO333" s="60" t="n">
        <f aca="false">P333*COMISION</f>
        <v>0</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B334*P1_PVP+C334*P2_PVP+D334*IF($A334&lt;P3_DESDE,P3A_PVP,P3_PVP)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E334*(P1_PVP-P1_CPROD)+F334*(P2_PVP-P2_CPROD)+G334*(IF($A334&lt;P3_DESDE,P3A_PVP,P3_PVP)-IF($A334&lt;P3_DESDE,P3A_CPROD,P3_CPROD))-IF(ISNUMBER(L334),L334,E334*P1_LOG+F334*P2_LOG+G334*P3_LOG)</f>
        <v>0</v>
      </c>
      <c r="X334" s="33" t="n">
        <f aca="false">W334-(E334*P1_IVAN+F334*P2_IVAN+G334*IF($A334&lt;P3_DESDE,P3A_IVAN,P3_IVAN))-(H334+I334+J334)*(COSTE_DEV-IVA_DEV)-AM334-AO334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E334+AA334*TASA_USADA</f>
        <v>0</v>
      </c>
      <c r="AE334" s="59" t="n">
        <f aca="false">F334+AB334*TASA_USADA</f>
        <v>0</v>
      </c>
      <c r="AF334" s="59" t="n">
        <f aca="false">G334+AC334*TASA_USADA</f>
        <v>0</v>
      </c>
      <c r="AG334" s="59" t="n">
        <f aca="false">H334+I334+J334+(AA334+AB334+AC334)*(1-TASA_USADA)</f>
        <v>0</v>
      </c>
      <c r="AH334" s="60" t="n">
        <f aca="false">AD334*P1_PVP+AE334*P2_PVP+AF334*IF($A334&lt;P3_DESDE,P3A_PVP,P3_PVP)</f>
        <v>0</v>
      </c>
      <c r="AI334" s="60" t="n">
        <f aca="false">AD334*P1_CPROD+AE334*P2_CPROD+AF334*IF($A334&lt;P3_DESDE,P3A_CPROD,P3_CPROD)</f>
        <v>0</v>
      </c>
      <c r="AJ334" s="60" t="n">
        <f aca="false">IF(ISNUMBER(L334),L334,E334*P1_LOG+F334*P2_LOG+G334*P3_LOG)+IF(ISNUMBER(M334),M334,AA334*P1_LOG+AB334*P2_LOG+AC334*P3_LOG)*TASA_USADA</f>
        <v>0</v>
      </c>
      <c r="AK334" s="60" t="n">
        <f aca="false">AG334*COSTE_DEV</f>
        <v>0</v>
      </c>
      <c r="AL334" s="60" t="n">
        <f aca="false">AD334*P1_IVAN+AE334*P2_IVAN+AF334*IF($A334&lt;P3_DESDE,P3A_IVAN,P3_IVAN)-AG334*IVA_DEV</f>
        <v>0</v>
      </c>
      <c r="AM334" s="60" t="n">
        <f aca="false">N334*(1+RECARGO_ADS)</f>
        <v>0</v>
      </c>
      <c r="AN334" s="58" t="n">
        <f aca="false">IF(ISNUMBER(L334),E334+F334+G334+AA334+AB334+AC334,0)</f>
        <v>0</v>
      </c>
      <c r="AO334" s="60" t="n">
        <f aca="false">P334*COMISION</f>
        <v>0</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B335*P1_PVP+C335*P2_PVP+D335*IF($A335&lt;P3_DESDE,P3A_PVP,P3_PVP)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E335*(P1_PVP-P1_CPROD)+F335*(P2_PVP-P2_CPROD)+G335*(IF($A335&lt;P3_DESDE,P3A_PVP,P3_PVP)-IF($A335&lt;P3_DESDE,P3A_CPROD,P3_CPROD))-IF(ISNUMBER(L335),L335,E335*P1_LOG+F335*P2_LOG+G335*P3_LOG)</f>
        <v>0</v>
      </c>
      <c r="X335" s="33" t="n">
        <f aca="false">W335-(E335*P1_IVAN+F335*P2_IVAN+G335*IF($A335&lt;P3_DESDE,P3A_IVAN,P3_IVAN))-(H335+I335+J335)*(COSTE_DEV-IVA_DEV)-AM335-AO335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E335+AA335*TASA_USADA</f>
        <v>0</v>
      </c>
      <c r="AE335" s="59" t="n">
        <f aca="false">F335+AB335*TASA_USADA</f>
        <v>0</v>
      </c>
      <c r="AF335" s="59" t="n">
        <f aca="false">G335+AC335*TASA_USADA</f>
        <v>0</v>
      </c>
      <c r="AG335" s="59" t="n">
        <f aca="false">H335+I335+J335+(AA335+AB335+AC335)*(1-TASA_USADA)</f>
        <v>0</v>
      </c>
      <c r="AH335" s="60" t="n">
        <f aca="false">AD335*P1_PVP+AE335*P2_PVP+AF335*IF($A335&lt;P3_DESDE,P3A_PVP,P3_PVP)</f>
        <v>0</v>
      </c>
      <c r="AI335" s="60" t="n">
        <f aca="false">AD335*P1_CPROD+AE335*P2_CPROD+AF335*IF($A335&lt;P3_DESDE,P3A_CPROD,P3_CPROD)</f>
        <v>0</v>
      </c>
      <c r="AJ335" s="60" t="n">
        <f aca="false">IF(ISNUMBER(L335),L335,E335*P1_LOG+F335*P2_LOG+G335*P3_LOG)+IF(ISNUMBER(M335),M335,AA335*P1_LOG+AB335*P2_LOG+AC335*P3_LOG)*TASA_USADA</f>
        <v>0</v>
      </c>
      <c r="AK335" s="60" t="n">
        <f aca="false">AG335*COSTE_DEV</f>
        <v>0</v>
      </c>
      <c r="AL335" s="60" t="n">
        <f aca="false">AD335*P1_IVAN+AE335*P2_IVAN+AF335*IF($A335&lt;P3_DESDE,P3A_IVAN,P3_IVAN)-AG335*IVA_DEV</f>
        <v>0</v>
      </c>
      <c r="AM335" s="60" t="n">
        <f aca="false">N335*(1+RECARGO_ADS)</f>
        <v>0</v>
      </c>
      <c r="AN335" s="58" t="n">
        <f aca="false">IF(ISNUMBER(L335),E335+F335+G335+AA335+AB335+AC335,0)</f>
        <v>0</v>
      </c>
      <c r="AO335" s="60" t="n">
        <f aca="false">P335*COMISION</f>
        <v>0</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B336*P1_PVP+C336*P2_PVP+D336*IF($A336&lt;P3_DESDE,P3A_PVP,P3_PVP)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E336*(P1_PVP-P1_CPROD)+F336*(P2_PVP-P2_CPROD)+G336*(IF($A336&lt;P3_DESDE,P3A_PVP,P3_PVP)-IF($A336&lt;P3_DESDE,P3A_CPROD,P3_CPROD))-IF(ISNUMBER(L336),L336,E336*P1_LOG+F336*P2_LOG+G336*P3_LOG)</f>
        <v>0</v>
      </c>
      <c r="X336" s="33" t="n">
        <f aca="false">W336-(E336*P1_IVAN+F336*P2_IVAN+G336*IF($A336&lt;P3_DESDE,P3A_IVAN,P3_IVAN))-(H336+I336+J336)*(COSTE_DEV-IVA_DEV)-AM336-AO336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E336+AA336*TASA_USADA</f>
        <v>0</v>
      </c>
      <c r="AE336" s="59" t="n">
        <f aca="false">F336+AB336*TASA_USADA</f>
        <v>0</v>
      </c>
      <c r="AF336" s="59" t="n">
        <f aca="false">G336+AC336*TASA_USADA</f>
        <v>0</v>
      </c>
      <c r="AG336" s="59" t="n">
        <f aca="false">H336+I336+J336+(AA336+AB336+AC336)*(1-TASA_USADA)</f>
        <v>0</v>
      </c>
      <c r="AH336" s="60" t="n">
        <f aca="false">AD336*P1_PVP+AE336*P2_PVP+AF336*IF($A336&lt;P3_DESDE,P3A_PVP,P3_PVP)</f>
        <v>0</v>
      </c>
      <c r="AI336" s="60" t="n">
        <f aca="false">AD336*P1_CPROD+AE336*P2_CPROD+AF336*IF($A336&lt;P3_DESDE,P3A_CPROD,P3_CPROD)</f>
        <v>0</v>
      </c>
      <c r="AJ336" s="60" t="n">
        <f aca="false">IF(ISNUMBER(L336),L336,E336*P1_LOG+F336*P2_LOG+G336*P3_LOG)+IF(ISNUMBER(M336),M336,AA336*P1_LOG+AB336*P2_LOG+AC336*P3_LOG)*TASA_USADA</f>
        <v>0</v>
      </c>
      <c r="AK336" s="60" t="n">
        <f aca="false">AG336*COSTE_DEV</f>
        <v>0</v>
      </c>
      <c r="AL336" s="60" t="n">
        <f aca="false">AD336*P1_IVAN+AE336*P2_IVAN+AF336*IF($A336&lt;P3_DESDE,P3A_IVAN,P3_IVAN)-AG336*IVA_DEV</f>
        <v>0</v>
      </c>
      <c r="AM336" s="60" t="n">
        <f aca="false">N336*(1+RECARGO_ADS)</f>
        <v>0</v>
      </c>
      <c r="AN336" s="58" t="n">
        <f aca="false">IF(ISNUMBER(L336),E336+F336+G336+AA336+AB336+AC336,0)</f>
        <v>0</v>
      </c>
      <c r="AO336" s="60" t="n">
        <f aca="false">P336*COMISION</f>
        <v>0</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B337*P1_PVP+C337*P2_PVP+D337*IF($A337&lt;P3_DESDE,P3A_PVP,P3_PVP)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E337*(P1_PVP-P1_CPROD)+F337*(P2_PVP-P2_CPROD)+G337*(IF($A337&lt;P3_DESDE,P3A_PVP,P3_PVP)-IF($A337&lt;P3_DESDE,P3A_CPROD,P3_CPROD))-IF(ISNUMBER(L337),L337,E337*P1_LOG+F337*P2_LOG+G337*P3_LOG)</f>
        <v>0</v>
      </c>
      <c r="X337" s="33" t="n">
        <f aca="false">W337-(E337*P1_IVAN+F337*P2_IVAN+G337*IF($A337&lt;P3_DESDE,P3A_IVAN,P3_IVAN))-(H337+I337+J337)*(COSTE_DEV-IVA_DEV)-AM337-AO337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E337+AA337*TASA_USADA</f>
        <v>0</v>
      </c>
      <c r="AE337" s="59" t="n">
        <f aca="false">F337+AB337*TASA_USADA</f>
        <v>0</v>
      </c>
      <c r="AF337" s="59" t="n">
        <f aca="false">G337+AC337*TASA_USADA</f>
        <v>0</v>
      </c>
      <c r="AG337" s="59" t="n">
        <f aca="false">H337+I337+J337+(AA337+AB337+AC337)*(1-TASA_USADA)</f>
        <v>0</v>
      </c>
      <c r="AH337" s="60" t="n">
        <f aca="false">AD337*P1_PVP+AE337*P2_PVP+AF337*IF($A337&lt;P3_DESDE,P3A_PVP,P3_PVP)</f>
        <v>0</v>
      </c>
      <c r="AI337" s="60" t="n">
        <f aca="false">AD337*P1_CPROD+AE337*P2_CPROD+AF337*IF($A337&lt;P3_DESDE,P3A_CPROD,P3_CPROD)</f>
        <v>0</v>
      </c>
      <c r="AJ337" s="60" t="n">
        <f aca="false">IF(ISNUMBER(L337),L337,E337*P1_LOG+F337*P2_LOG+G337*P3_LOG)+IF(ISNUMBER(M337),M337,AA337*P1_LOG+AB337*P2_LOG+AC337*P3_LOG)*TASA_USADA</f>
        <v>0</v>
      </c>
      <c r="AK337" s="60" t="n">
        <f aca="false">AG337*COSTE_DEV</f>
        <v>0</v>
      </c>
      <c r="AL337" s="60" t="n">
        <f aca="false">AD337*P1_IVAN+AE337*P2_IVAN+AF337*IF($A337&lt;P3_DESDE,P3A_IVAN,P3_IVAN)-AG337*IVA_DEV</f>
        <v>0</v>
      </c>
      <c r="AM337" s="60" t="n">
        <f aca="false">N337*(1+RECARGO_ADS)</f>
        <v>0</v>
      </c>
      <c r="AN337" s="58" t="n">
        <f aca="false">IF(ISNUMBER(L337),E337+F337+G337+AA337+AB337+AC337,0)</f>
        <v>0</v>
      </c>
      <c r="AO337" s="60" t="n">
        <f aca="false">P337*COMISION</f>
        <v>0</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B338*P1_PVP+C338*P2_PVP+D338*IF($A338&lt;P3_DESDE,P3A_PVP,P3_PVP)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E338*(P1_PVP-P1_CPROD)+F338*(P2_PVP-P2_CPROD)+G338*(IF($A338&lt;P3_DESDE,P3A_PVP,P3_PVP)-IF($A338&lt;P3_DESDE,P3A_CPROD,P3_CPROD))-IF(ISNUMBER(L338),L338,E338*P1_LOG+F338*P2_LOG+G338*P3_LOG)</f>
        <v>0</v>
      </c>
      <c r="X338" s="33" t="n">
        <f aca="false">W338-(E338*P1_IVAN+F338*P2_IVAN+G338*IF($A338&lt;P3_DESDE,P3A_IVAN,P3_IVAN))-(H338+I338+J338)*(COSTE_DEV-IVA_DEV)-AM338-AO338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E338+AA338*TASA_USADA</f>
        <v>0</v>
      </c>
      <c r="AE338" s="59" t="n">
        <f aca="false">F338+AB338*TASA_USADA</f>
        <v>0</v>
      </c>
      <c r="AF338" s="59" t="n">
        <f aca="false">G338+AC338*TASA_USADA</f>
        <v>0</v>
      </c>
      <c r="AG338" s="59" t="n">
        <f aca="false">H338+I338+J338+(AA338+AB338+AC338)*(1-TASA_USADA)</f>
        <v>0</v>
      </c>
      <c r="AH338" s="60" t="n">
        <f aca="false">AD338*P1_PVP+AE338*P2_PVP+AF338*IF($A338&lt;P3_DESDE,P3A_PVP,P3_PVP)</f>
        <v>0</v>
      </c>
      <c r="AI338" s="60" t="n">
        <f aca="false">AD338*P1_CPROD+AE338*P2_CPROD+AF338*IF($A338&lt;P3_DESDE,P3A_CPROD,P3_CPROD)</f>
        <v>0</v>
      </c>
      <c r="AJ338" s="60" t="n">
        <f aca="false">IF(ISNUMBER(L338),L338,E338*P1_LOG+F338*P2_LOG+G338*P3_LOG)+IF(ISNUMBER(M338),M338,AA338*P1_LOG+AB338*P2_LOG+AC338*P3_LOG)*TASA_USADA</f>
        <v>0</v>
      </c>
      <c r="AK338" s="60" t="n">
        <f aca="false">AG338*COSTE_DEV</f>
        <v>0</v>
      </c>
      <c r="AL338" s="60" t="n">
        <f aca="false">AD338*P1_IVAN+AE338*P2_IVAN+AF338*IF($A338&lt;P3_DESDE,P3A_IVAN,P3_IVAN)-AG338*IVA_DEV</f>
        <v>0</v>
      </c>
      <c r="AM338" s="60" t="n">
        <f aca="false">N338*(1+RECARGO_ADS)</f>
        <v>0</v>
      </c>
      <c r="AN338" s="58" t="n">
        <f aca="false">IF(ISNUMBER(L338),E338+F338+G338+AA338+AB338+AC338,0)</f>
        <v>0</v>
      </c>
      <c r="AO338" s="60" t="n">
        <f aca="false">P338*COMISION</f>
        <v>0</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B339*P1_PVP+C339*P2_PVP+D339*IF($A339&lt;P3_DESDE,P3A_PVP,P3_PVP)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E339*(P1_PVP-P1_CPROD)+F339*(P2_PVP-P2_CPROD)+G339*(IF($A339&lt;P3_DESDE,P3A_PVP,P3_PVP)-IF($A339&lt;P3_DESDE,P3A_CPROD,P3_CPROD))-IF(ISNUMBER(L339),L339,E339*P1_LOG+F339*P2_LOG+G339*P3_LOG)</f>
        <v>0</v>
      </c>
      <c r="X339" s="33" t="n">
        <f aca="false">W339-(E339*P1_IVAN+F339*P2_IVAN+G339*IF($A339&lt;P3_DESDE,P3A_IVAN,P3_IVAN))-(H339+I339+J339)*(COSTE_DEV-IVA_DEV)-AM339-AO339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E339+AA339*TASA_USADA</f>
        <v>0</v>
      </c>
      <c r="AE339" s="59" t="n">
        <f aca="false">F339+AB339*TASA_USADA</f>
        <v>0</v>
      </c>
      <c r="AF339" s="59" t="n">
        <f aca="false">G339+AC339*TASA_USADA</f>
        <v>0</v>
      </c>
      <c r="AG339" s="59" t="n">
        <f aca="false">H339+I339+J339+(AA339+AB339+AC339)*(1-TASA_USADA)</f>
        <v>0</v>
      </c>
      <c r="AH339" s="60" t="n">
        <f aca="false">AD339*P1_PVP+AE339*P2_PVP+AF339*IF($A339&lt;P3_DESDE,P3A_PVP,P3_PVP)</f>
        <v>0</v>
      </c>
      <c r="AI339" s="60" t="n">
        <f aca="false">AD339*P1_CPROD+AE339*P2_CPROD+AF339*IF($A339&lt;P3_DESDE,P3A_CPROD,P3_CPROD)</f>
        <v>0</v>
      </c>
      <c r="AJ339" s="60" t="n">
        <f aca="false">IF(ISNUMBER(L339),L339,E339*P1_LOG+F339*P2_LOG+G339*P3_LOG)+IF(ISNUMBER(M339),M339,AA339*P1_LOG+AB339*P2_LOG+AC339*P3_LOG)*TASA_USADA</f>
        <v>0</v>
      </c>
      <c r="AK339" s="60" t="n">
        <f aca="false">AG339*COSTE_DEV</f>
        <v>0</v>
      </c>
      <c r="AL339" s="60" t="n">
        <f aca="false">AD339*P1_IVAN+AE339*P2_IVAN+AF339*IF($A339&lt;P3_DESDE,P3A_IVAN,P3_IVAN)-AG339*IVA_DEV</f>
        <v>0</v>
      </c>
      <c r="AM339" s="60" t="n">
        <f aca="false">N339*(1+RECARGO_ADS)</f>
        <v>0</v>
      </c>
      <c r="AN339" s="58" t="n">
        <f aca="false">IF(ISNUMBER(L339),E339+F339+G339+AA339+AB339+AC339,0)</f>
        <v>0</v>
      </c>
      <c r="AO339" s="60" t="n">
        <f aca="false">P339*COMISION</f>
        <v>0</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B340*P1_PVP+C340*P2_PVP+D340*IF($A340&lt;P3_DESDE,P3A_PVP,P3_PVP)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E340*(P1_PVP-P1_CPROD)+F340*(P2_PVP-P2_CPROD)+G340*(IF($A340&lt;P3_DESDE,P3A_PVP,P3_PVP)-IF($A340&lt;P3_DESDE,P3A_CPROD,P3_CPROD))-IF(ISNUMBER(L340),L340,E340*P1_LOG+F340*P2_LOG+G340*P3_LOG)</f>
        <v>0</v>
      </c>
      <c r="X340" s="33" t="n">
        <f aca="false">W340-(E340*P1_IVAN+F340*P2_IVAN+G340*IF($A340&lt;P3_DESDE,P3A_IVAN,P3_IVAN))-(H340+I340+J340)*(COSTE_DEV-IVA_DEV)-AM340-AO340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E340+AA340*TASA_USADA</f>
        <v>0</v>
      </c>
      <c r="AE340" s="59" t="n">
        <f aca="false">F340+AB340*TASA_USADA</f>
        <v>0</v>
      </c>
      <c r="AF340" s="59" t="n">
        <f aca="false">G340+AC340*TASA_USADA</f>
        <v>0</v>
      </c>
      <c r="AG340" s="59" t="n">
        <f aca="false">H340+I340+J340+(AA340+AB340+AC340)*(1-TASA_USADA)</f>
        <v>0</v>
      </c>
      <c r="AH340" s="60" t="n">
        <f aca="false">AD340*P1_PVP+AE340*P2_PVP+AF340*IF($A340&lt;P3_DESDE,P3A_PVP,P3_PVP)</f>
        <v>0</v>
      </c>
      <c r="AI340" s="60" t="n">
        <f aca="false">AD340*P1_CPROD+AE340*P2_CPROD+AF340*IF($A340&lt;P3_DESDE,P3A_CPROD,P3_CPROD)</f>
        <v>0</v>
      </c>
      <c r="AJ340" s="60" t="n">
        <f aca="false">IF(ISNUMBER(L340),L340,E340*P1_LOG+F340*P2_LOG+G340*P3_LOG)+IF(ISNUMBER(M340),M340,AA340*P1_LOG+AB340*P2_LOG+AC340*P3_LOG)*TASA_USADA</f>
        <v>0</v>
      </c>
      <c r="AK340" s="60" t="n">
        <f aca="false">AG340*COSTE_DEV</f>
        <v>0</v>
      </c>
      <c r="AL340" s="60" t="n">
        <f aca="false">AD340*P1_IVAN+AE340*P2_IVAN+AF340*IF($A340&lt;P3_DESDE,P3A_IVAN,P3_IVAN)-AG340*IVA_DEV</f>
        <v>0</v>
      </c>
      <c r="AM340" s="60" t="n">
        <f aca="false">N340*(1+RECARGO_ADS)</f>
        <v>0</v>
      </c>
      <c r="AN340" s="58" t="n">
        <f aca="false">IF(ISNUMBER(L340),E340+F340+G340+AA340+AB340+AC340,0)</f>
        <v>0</v>
      </c>
      <c r="AO340" s="60" t="n">
        <f aca="false">P340*COMISION</f>
        <v>0</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B341*P1_PVP+C341*P2_PVP+D341*IF($A341&lt;P3_DESDE,P3A_PVP,P3_PVP)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E341*(P1_PVP-P1_CPROD)+F341*(P2_PVP-P2_CPROD)+G341*(IF($A341&lt;P3_DESDE,P3A_PVP,P3_PVP)-IF($A341&lt;P3_DESDE,P3A_CPROD,P3_CPROD))-IF(ISNUMBER(L341),L341,E341*P1_LOG+F341*P2_LOG+G341*P3_LOG)</f>
        <v>0</v>
      </c>
      <c r="X341" s="33" t="n">
        <f aca="false">W341-(E341*P1_IVAN+F341*P2_IVAN+G341*IF($A341&lt;P3_DESDE,P3A_IVAN,P3_IVAN))-(H341+I341+J341)*(COSTE_DEV-IVA_DEV)-AM341-AO341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E341+AA341*TASA_USADA</f>
        <v>0</v>
      </c>
      <c r="AE341" s="59" t="n">
        <f aca="false">F341+AB341*TASA_USADA</f>
        <v>0</v>
      </c>
      <c r="AF341" s="59" t="n">
        <f aca="false">G341+AC341*TASA_USADA</f>
        <v>0</v>
      </c>
      <c r="AG341" s="59" t="n">
        <f aca="false">H341+I341+J341+(AA341+AB341+AC341)*(1-TASA_USADA)</f>
        <v>0</v>
      </c>
      <c r="AH341" s="60" t="n">
        <f aca="false">AD341*P1_PVP+AE341*P2_PVP+AF341*IF($A341&lt;P3_DESDE,P3A_PVP,P3_PVP)</f>
        <v>0</v>
      </c>
      <c r="AI341" s="60" t="n">
        <f aca="false">AD341*P1_CPROD+AE341*P2_CPROD+AF341*IF($A341&lt;P3_DESDE,P3A_CPROD,P3_CPROD)</f>
        <v>0</v>
      </c>
      <c r="AJ341" s="60" t="n">
        <f aca="false">IF(ISNUMBER(L341),L341,E341*P1_LOG+F341*P2_LOG+G341*P3_LOG)+IF(ISNUMBER(M341),M341,AA341*P1_LOG+AB341*P2_LOG+AC341*P3_LOG)*TASA_USADA</f>
        <v>0</v>
      </c>
      <c r="AK341" s="60" t="n">
        <f aca="false">AG341*COSTE_DEV</f>
        <v>0</v>
      </c>
      <c r="AL341" s="60" t="n">
        <f aca="false">AD341*P1_IVAN+AE341*P2_IVAN+AF341*IF($A341&lt;P3_DESDE,P3A_IVAN,P3_IVAN)-AG341*IVA_DEV</f>
        <v>0</v>
      </c>
      <c r="AM341" s="60" t="n">
        <f aca="false">N341*(1+RECARGO_ADS)</f>
        <v>0</v>
      </c>
      <c r="AN341" s="58" t="n">
        <f aca="false">IF(ISNUMBER(L341),E341+F341+G341+AA341+AB341+AC341,0)</f>
        <v>0</v>
      </c>
      <c r="AO341" s="60" t="n">
        <f aca="false">P341*COMISION</f>
        <v>0</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B342*P1_PVP+C342*P2_PVP+D342*IF($A342&lt;P3_DESDE,P3A_PVP,P3_PVP)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E342*(P1_PVP-P1_CPROD)+F342*(P2_PVP-P2_CPROD)+G342*(IF($A342&lt;P3_DESDE,P3A_PVP,P3_PVP)-IF($A342&lt;P3_DESDE,P3A_CPROD,P3_CPROD))-IF(ISNUMBER(L342),L342,E342*P1_LOG+F342*P2_LOG+G342*P3_LOG)</f>
        <v>0</v>
      </c>
      <c r="X342" s="33" t="n">
        <f aca="false">W342-(E342*P1_IVAN+F342*P2_IVAN+G342*IF($A342&lt;P3_DESDE,P3A_IVAN,P3_IVAN))-(H342+I342+J342)*(COSTE_DEV-IVA_DEV)-AM342-AO342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E342+AA342*TASA_USADA</f>
        <v>0</v>
      </c>
      <c r="AE342" s="59" t="n">
        <f aca="false">F342+AB342*TASA_USADA</f>
        <v>0</v>
      </c>
      <c r="AF342" s="59" t="n">
        <f aca="false">G342+AC342*TASA_USADA</f>
        <v>0</v>
      </c>
      <c r="AG342" s="59" t="n">
        <f aca="false">H342+I342+J342+(AA342+AB342+AC342)*(1-TASA_USADA)</f>
        <v>0</v>
      </c>
      <c r="AH342" s="60" t="n">
        <f aca="false">AD342*P1_PVP+AE342*P2_PVP+AF342*IF($A342&lt;P3_DESDE,P3A_PVP,P3_PVP)</f>
        <v>0</v>
      </c>
      <c r="AI342" s="60" t="n">
        <f aca="false">AD342*P1_CPROD+AE342*P2_CPROD+AF342*IF($A342&lt;P3_DESDE,P3A_CPROD,P3_CPROD)</f>
        <v>0</v>
      </c>
      <c r="AJ342" s="60" t="n">
        <f aca="false">IF(ISNUMBER(L342),L342,E342*P1_LOG+F342*P2_LOG+G342*P3_LOG)+IF(ISNUMBER(M342),M342,AA342*P1_LOG+AB342*P2_LOG+AC342*P3_LOG)*TASA_USADA</f>
        <v>0</v>
      </c>
      <c r="AK342" s="60" t="n">
        <f aca="false">AG342*COSTE_DEV</f>
        <v>0</v>
      </c>
      <c r="AL342" s="60" t="n">
        <f aca="false">AD342*P1_IVAN+AE342*P2_IVAN+AF342*IF($A342&lt;P3_DESDE,P3A_IVAN,P3_IVAN)-AG342*IVA_DEV</f>
        <v>0</v>
      </c>
      <c r="AM342" s="60" t="n">
        <f aca="false">N342*(1+RECARGO_ADS)</f>
        <v>0</v>
      </c>
      <c r="AN342" s="58" t="n">
        <f aca="false">IF(ISNUMBER(L342),E342+F342+G342+AA342+AB342+AC342,0)</f>
        <v>0</v>
      </c>
      <c r="AO342" s="60" t="n">
        <f aca="false">P342*COMISION</f>
        <v>0</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B343*P1_PVP+C343*P2_PVP+D343*IF($A343&lt;P3_DESDE,P3A_PVP,P3_PVP)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E343*(P1_PVP-P1_CPROD)+F343*(P2_PVP-P2_CPROD)+G343*(IF($A343&lt;P3_DESDE,P3A_PVP,P3_PVP)-IF($A343&lt;P3_DESDE,P3A_CPROD,P3_CPROD))-IF(ISNUMBER(L343),L343,E343*P1_LOG+F343*P2_LOG+G343*P3_LOG)</f>
        <v>0</v>
      </c>
      <c r="X343" s="33" t="n">
        <f aca="false">W343-(E343*P1_IVAN+F343*P2_IVAN+G343*IF($A343&lt;P3_DESDE,P3A_IVAN,P3_IVAN))-(H343+I343+J343)*(COSTE_DEV-IVA_DEV)-AM343-AO343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E343+AA343*TASA_USADA</f>
        <v>0</v>
      </c>
      <c r="AE343" s="59" t="n">
        <f aca="false">F343+AB343*TASA_USADA</f>
        <v>0</v>
      </c>
      <c r="AF343" s="59" t="n">
        <f aca="false">G343+AC343*TASA_USADA</f>
        <v>0</v>
      </c>
      <c r="AG343" s="59" t="n">
        <f aca="false">H343+I343+J343+(AA343+AB343+AC343)*(1-TASA_USADA)</f>
        <v>0</v>
      </c>
      <c r="AH343" s="60" t="n">
        <f aca="false">AD343*P1_PVP+AE343*P2_PVP+AF343*IF($A343&lt;P3_DESDE,P3A_PVP,P3_PVP)</f>
        <v>0</v>
      </c>
      <c r="AI343" s="60" t="n">
        <f aca="false">AD343*P1_CPROD+AE343*P2_CPROD+AF343*IF($A343&lt;P3_DESDE,P3A_CPROD,P3_CPROD)</f>
        <v>0</v>
      </c>
      <c r="AJ343" s="60" t="n">
        <f aca="false">IF(ISNUMBER(L343),L343,E343*P1_LOG+F343*P2_LOG+G343*P3_LOG)+IF(ISNUMBER(M343),M343,AA343*P1_LOG+AB343*P2_LOG+AC343*P3_LOG)*TASA_USADA</f>
        <v>0</v>
      </c>
      <c r="AK343" s="60" t="n">
        <f aca="false">AG343*COSTE_DEV</f>
        <v>0</v>
      </c>
      <c r="AL343" s="60" t="n">
        <f aca="false">AD343*P1_IVAN+AE343*P2_IVAN+AF343*IF($A343&lt;P3_DESDE,P3A_IVAN,P3_IVAN)-AG343*IVA_DEV</f>
        <v>0</v>
      </c>
      <c r="AM343" s="60" t="n">
        <f aca="false">N343*(1+RECARGO_ADS)</f>
        <v>0</v>
      </c>
      <c r="AN343" s="58" t="n">
        <f aca="false">IF(ISNUMBER(L343),E343+F343+G343+AA343+AB343+AC343,0)</f>
        <v>0</v>
      </c>
      <c r="AO343" s="60" t="n">
        <f aca="false">P343*COMISION</f>
        <v>0</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B344*P1_PVP+C344*P2_PVP+D344*IF($A344&lt;P3_DESDE,P3A_PVP,P3_PVP)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E344*(P1_PVP-P1_CPROD)+F344*(P2_PVP-P2_CPROD)+G344*(IF($A344&lt;P3_DESDE,P3A_PVP,P3_PVP)-IF($A344&lt;P3_DESDE,P3A_CPROD,P3_CPROD))-IF(ISNUMBER(L344),L344,E344*P1_LOG+F344*P2_LOG+G344*P3_LOG)</f>
        <v>0</v>
      </c>
      <c r="X344" s="33" t="n">
        <f aca="false">W344-(E344*P1_IVAN+F344*P2_IVAN+G344*IF($A344&lt;P3_DESDE,P3A_IVAN,P3_IVAN))-(H344+I344+J344)*(COSTE_DEV-IVA_DEV)-AM344-AO344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E344+AA344*TASA_USADA</f>
        <v>0</v>
      </c>
      <c r="AE344" s="59" t="n">
        <f aca="false">F344+AB344*TASA_USADA</f>
        <v>0</v>
      </c>
      <c r="AF344" s="59" t="n">
        <f aca="false">G344+AC344*TASA_USADA</f>
        <v>0</v>
      </c>
      <c r="AG344" s="59" t="n">
        <f aca="false">H344+I344+J344+(AA344+AB344+AC344)*(1-TASA_USADA)</f>
        <v>0</v>
      </c>
      <c r="AH344" s="60" t="n">
        <f aca="false">AD344*P1_PVP+AE344*P2_PVP+AF344*IF($A344&lt;P3_DESDE,P3A_PVP,P3_PVP)</f>
        <v>0</v>
      </c>
      <c r="AI344" s="60" t="n">
        <f aca="false">AD344*P1_CPROD+AE344*P2_CPROD+AF344*IF($A344&lt;P3_DESDE,P3A_CPROD,P3_CPROD)</f>
        <v>0</v>
      </c>
      <c r="AJ344" s="60" t="n">
        <f aca="false">IF(ISNUMBER(L344),L344,E344*P1_LOG+F344*P2_LOG+G344*P3_LOG)+IF(ISNUMBER(M344),M344,AA344*P1_LOG+AB344*P2_LOG+AC344*P3_LOG)*TASA_USADA</f>
        <v>0</v>
      </c>
      <c r="AK344" s="60" t="n">
        <f aca="false">AG344*COSTE_DEV</f>
        <v>0</v>
      </c>
      <c r="AL344" s="60" t="n">
        <f aca="false">AD344*P1_IVAN+AE344*P2_IVAN+AF344*IF($A344&lt;P3_DESDE,P3A_IVAN,P3_IVAN)-AG344*IVA_DEV</f>
        <v>0</v>
      </c>
      <c r="AM344" s="60" t="n">
        <f aca="false">N344*(1+RECARGO_ADS)</f>
        <v>0</v>
      </c>
      <c r="AN344" s="58" t="n">
        <f aca="false">IF(ISNUMBER(L344),E344+F344+G344+AA344+AB344+AC344,0)</f>
        <v>0</v>
      </c>
      <c r="AO344" s="60" t="n">
        <f aca="false">P344*COMISION</f>
        <v>0</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B345*P1_PVP+C345*P2_PVP+D345*IF($A345&lt;P3_DESDE,P3A_PVP,P3_PVP)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E345*(P1_PVP-P1_CPROD)+F345*(P2_PVP-P2_CPROD)+G345*(IF($A345&lt;P3_DESDE,P3A_PVP,P3_PVP)-IF($A345&lt;P3_DESDE,P3A_CPROD,P3_CPROD))-IF(ISNUMBER(L345),L345,E345*P1_LOG+F345*P2_LOG+G345*P3_LOG)</f>
        <v>0</v>
      </c>
      <c r="X345" s="33" t="n">
        <f aca="false">W345-(E345*P1_IVAN+F345*P2_IVAN+G345*IF($A345&lt;P3_DESDE,P3A_IVAN,P3_IVAN))-(H345+I345+J345)*(COSTE_DEV-IVA_DEV)-AM345-AO345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E345+AA345*TASA_USADA</f>
        <v>0</v>
      </c>
      <c r="AE345" s="59" t="n">
        <f aca="false">F345+AB345*TASA_USADA</f>
        <v>0</v>
      </c>
      <c r="AF345" s="59" t="n">
        <f aca="false">G345+AC345*TASA_USADA</f>
        <v>0</v>
      </c>
      <c r="AG345" s="59" t="n">
        <f aca="false">H345+I345+J345+(AA345+AB345+AC345)*(1-TASA_USADA)</f>
        <v>0</v>
      </c>
      <c r="AH345" s="60" t="n">
        <f aca="false">AD345*P1_PVP+AE345*P2_PVP+AF345*IF($A345&lt;P3_DESDE,P3A_PVP,P3_PVP)</f>
        <v>0</v>
      </c>
      <c r="AI345" s="60" t="n">
        <f aca="false">AD345*P1_CPROD+AE345*P2_CPROD+AF345*IF($A345&lt;P3_DESDE,P3A_CPROD,P3_CPROD)</f>
        <v>0</v>
      </c>
      <c r="AJ345" s="60" t="n">
        <f aca="false">IF(ISNUMBER(L345),L345,E345*P1_LOG+F345*P2_LOG+G345*P3_LOG)+IF(ISNUMBER(M345),M345,AA345*P1_LOG+AB345*P2_LOG+AC345*P3_LOG)*TASA_USADA</f>
        <v>0</v>
      </c>
      <c r="AK345" s="60" t="n">
        <f aca="false">AG345*COSTE_DEV</f>
        <v>0</v>
      </c>
      <c r="AL345" s="60" t="n">
        <f aca="false">AD345*P1_IVAN+AE345*P2_IVAN+AF345*IF($A345&lt;P3_DESDE,P3A_IVAN,P3_IVAN)-AG345*IVA_DEV</f>
        <v>0</v>
      </c>
      <c r="AM345" s="60" t="n">
        <f aca="false">N345*(1+RECARGO_ADS)</f>
        <v>0</v>
      </c>
      <c r="AN345" s="58" t="n">
        <f aca="false">IF(ISNUMBER(L345),E345+F345+G345+AA345+AB345+AC345,0)</f>
        <v>0</v>
      </c>
      <c r="AO345" s="60" t="n">
        <f aca="false">P345*COMISION</f>
        <v>0</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B346*P1_PVP+C346*P2_PVP+D346*IF($A346&lt;P3_DESDE,P3A_PVP,P3_PVP)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E346*(P1_PVP-P1_CPROD)+F346*(P2_PVP-P2_CPROD)+G346*(IF($A346&lt;P3_DESDE,P3A_PVP,P3_PVP)-IF($A346&lt;P3_DESDE,P3A_CPROD,P3_CPROD))-IF(ISNUMBER(L346),L346,E346*P1_LOG+F346*P2_LOG+G346*P3_LOG)</f>
        <v>0</v>
      </c>
      <c r="X346" s="33" t="n">
        <f aca="false">W346-(E346*P1_IVAN+F346*P2_IVAN+G346*IF($A346&lt;P3_DESDE,P3A_IVAN,P3_IVAN))-(H346+I346+J346)*(COSTE_DEV-IVA_DEV)-AM346-AO346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E346+AA346*TASA_USADA</f>
        <v>0</v>
      </c>
      <c r="AE346" s="59" t="n">
        <f aca="false">F346+AB346*TASA_USADA</f>
        <v>0</v>
      </c>
      <c r="AF346" s="59" t="n">
        <f aca="false">G346+AC346*TASA_USADA</f>
        <v>0</v>
      </c>
      <c r="AG346" s="59" t="n">
        <f aca="false">H346+I346+J346+(AA346+AB346+AC346)*(1-TASA_USADA)</f>
        <v>0</v>
      </c>
      <c r="AH346" s="60" t="n">
        <f aca="false">AD346*P1_PVP+AE346*P2_PVP+AF346*IF($A346&lt;P3_DESDE,P3A_PVP,P3_PVP)</f>
        <v>0</v>
      </c>
      <c r="AI346" s="60" t="n">
        <f aca="false">AD346*P1_CPROD+AE346*P2_CPROD+AF346*IF($A346&lt;P3_DESDE,P3A_CPROD,P3_CPROD)</f>
        <v>0</v>
      </c>
      <c r="AJ346" s="60" t="n">
        <f aca="false">IF(ISNUMBER(L346),L346,E346*P1_LOG+F346*P2_LOG+G346*P3_LOG)+IF(ISNUMBER(M346),M346,AA346*P1_LOG+AB346*P2_LOG+AC346*P3_LOG)*TASA_USADA</f>
        <v>0</v>
      </c>
      <c r="AK346" s="60" t="n">
        <f aca="false">AG346*COSTE_DEV</f>
        <v>0</v>
      </c>
      <c r="AL346" s="60" t="n">
        <f aca="false">AD346*P1_IVAN+AE346*P2_IVAN+AF346*IF($A346&lt;P3_DESDE,P3A_IVAN,P3_IVAN)-AG346*IVA_DEV</f>
        <v>0</v>
      </c>
      <c r="AM346" s="60" t="n">
        <f aca="false">N346*(1+RECARGO_ADS)</f>
        <v>0</v>
      </c>
      <c r="AN346" s="58" t="n">
        <f aca="false">IF(ISNUMBER(L346),E346+F346+G346+AA346+AB346+AC346,0)</f>
        <v>0</v>
      </c>
      <c r="AO346" s="60" t="n">
        <f aca="false">P346*COMISION</f>
        <v>0</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B347*P1_PVP+C347*P2_PVP+D347*IF($A347&lt;P3_DESDE,P3A_PVP,P3_PVP)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E347*(P1_PVP-P1_CPROD)+F347*(P2_PVP-P2_CPROD)+G347*(IF($A347&lt;P3_DESDE,P3A_PVP,P3_PVP)-IF($A347&lt;P3_DESDE,P3A_CPROD,P3_CPROD))-IF(ISNUMBER(L347),L347,E347*P1_LOG+F347*P2_LOG+G347*P3_LOG)</f>
        <v>0</v>
      </c>
      <c r="X347" s="33" t="n">
        <f aca="false">W347-(E347*P1_IVAN+F347*P2_IVAN+G347*IF($A347&lt;P3_DESDE,P3A_IVAN,P3_IVAN))-(H347+I347+J347)*(COSTE_DEV-IVA_DEV)-AM347-AO347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E347+AA347*TASA_USADA</f>
        <v>0</v>
      </c>
      <c r="AE347" s="59" t="n">
        <f aca="false">F347+AB347*TASA_USADA</f>
        <v>0</v>
      </c>
      <c r="AF347" s="59" t="n">
        <f aca="false">G347+AC347*TASA_USADA</f>
        <v>0</v>
      </c>
      <c r="AG347" s="59" t="n">
        <f aca="false">H347+I347+J347+(AA347+AB347+AC347)*(1-TASA_USADA)</f>
        <v>0</v>
      </c>
      <c r="AH347" s="60" t="n">
        <f aca="false">AD347*P1_PVP+AE347*P2_PVP+AF347*IF($A347&lt;P3_DESDE,P3A_PVP,P3_PVP)</f>
        <v>0</v>
      </c>
      <c r="AI347" s="60" t="n">
        <f aca="false">AD347*P1_CPROD+AE347*P2_CPROD+AF347*IF($A347&lt;P3_DESDE,P3A_CPROD,P3_CPROD)</f>
        <v>0</v>
      </c>
      <c r="AJ347" s="60" t="n">
        <f aca="false">IF(ISNUMBER(L347),L347,E347*P1_LOG+F347*P2_LOG+G347*P3_LOG)+IF(ISNUMBER(M347),M347,AA347*P1_LOG+AB347*P2_LOG+AC347*P3_LOG)*TASA_USADA</f>
        <v>0</v>
      </c>
      <c r="AK347" s="60" t="n">
        <f aca="false">AG347*COSTE_DEV</f>
        <v>0</v>
      </c>
      <c r="AL347" s="60" t="n">
        <f aca="false">AD347*P1_IVAN+AE347*P2_IVAN+AF347*IF($A347&lt;P3_DESDE,P3A_IVAN,P3_IVAN)-AG347*IVA_DEV</f>
        <v>0</v>
      </c>
      <c r="AM347" s="60" t="n">
        <f aca="false">N347*(1+RECARGO_ADS)</f>
        <v>0</v>
      </c>
      <c r="AN347" s="58" t="n">
        <f aca="false">IF(ISNUMBER(L347),E347+F347+G347+AA347+AB347+AC347,0)</f>
        <v>0</v>
      </c>
      <c r="AO347" s="60" t="n">
        <f aca="false">P347*COMISION</f>
        <v>0</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B348*P1_PVP+C348*P2_PVP+D348*IF($A348&lt;P3_DESDE,P3A_PVP,P3_PVP)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E348*(P1_PVP-P1_CPROD)+F348*(P2_PVP-P2_CPROD)+G348*(IF($A348&lt;P3_DESDE,P3A_PVP,P3_PVP)-IF($A348&lt;P3_DESDE,P3A_CPROD,P3_CPROD))-IF(ISNUMBER(L348),L348,E348*P1_LOG+F348*P2_LOG+G348*P3_LOG)</f>
        <v>0</v>
      </c>
      <c r="X348" s="33" t="n">
        <f aca="false">W348-(E348*P1_IVAN+F348*P2_IVAN+G348*IF($A348&lt;P3_DESDE,P3A_IVAN,P3_IVAN))-(H348+I348+J348)*(COSTE_DEV-IVA_DEV)-AM348-AO348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E348+AA348*TASA_USADA</f>
        <v>0</v>
      </c>
      <c r="AE348" s="59" t="n">
        <f aca="false">F348+AB348*TASA_USADA</f>
        <v>0</v>
      </c>
      <c r="AF348" s="59" t="n">
        <f aca="false">G348+AC348*TASA_USADA</f>
        <v>0</v>
      </c>
      <c r="AG348" s="59" t="n">
        <f aca="false">H348+I348+J348+(AA348+AB348+AC348)*(1-TASA_USADA)</f>
        <v>0</v>
      </c>
      <c r="AH348" s="60" t="n">
        <f aca="false">AD348*P1_PVP+AE348*P2_PVP+AF348*IF($A348&lt;P3_DESDE,P3A_PVP,P3_PVP)</f>
        <v>0</v>
      </c>
      <c r="AI348" s="60" t="n">
        <f aca="false">AD348*P1_CPROD+AE348*P2_CPROD+AF348*IF($A348&lt;P3_DESDE,P3A_CPROD,P3_CPROD)</f>
        <v>0</v>
      </c>
      <c r="AJ348" s="60" t="n">
        <f aca="false">IF(ISNUMBER(L348),L348,E348*P1_LOG+F348*P2_LOG+G348*P3_LOG)+IF(ISNUMBER(M348),M348,AA348*P1_LOG+AB348*P2_LOG+AC348*P3_LOG)*TASA_USADA</f>
        <v>0</v>
      </c>
      <c r="AK348" s="60" t="n">
        <f aca="false">AG348*COSTE_DEV</f>
        <v>0</v>
      </c>
      <c r="AL348" s="60" t="n">
        <f aca="false">AD348*P1_IVAN+AE348*P2_IVAN+AF348*IF($A348&lt;P3_DESDE,P3A_IVAN,P3_IVAN)-AG348*IVA_DEV</f>
        <v>0</v>
      </c>
      <c r="AM348" s="60" t="n">
        <f aca="false">N348*(1+RECARGO_ADS)</f>
        <v>0</v>
      </c>
      <c r="AN348" s="58" t="n">
        <f aca="false">IF(ISNUMBER(L348),E348+F348+G348+AA348+AB348+AC348,0)</f>
        <v>0</v>
      </c>
      <c r="AO348" s="60" t="n">
        <f aca="false">P348*COMISION</f>
        <v>0</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B349*P1_PVP+C349*P2_PVP+D349*IF($A349&lt;P3_DESDE,P3A_PVP,P3_PVP)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E349*(P1_PVP-P1_CPROD)+F349*(P2_PVP-P2_CPROD)+G349*(IF($A349&lt;P3_DESDE,P3A_PVP,P3_PVP)-IF($A349&lt;P3_DESDE,P3A_CPROD,P3_CPROD))-IF(ISNUMBER(L349),L349,E349*P1_LOG+F349*P2_LOG+G349*P3_LOG)</f>
        <v>0</v>
      </c>
      <c r="X349" s="33" t="n">
        <f aca="false">W349-(E349*P1_IVAN+F349*P2_IVAN+G349*IF($A349&lt;P3_DESDE,P3A_IVAN,P3_IVAN))-(H349+I349+J349)*(COSTE_DEV-IVA_DEV)-AM349-AO349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E349+AA349*TASA_USADA</f>
        <v>0</v>
      </c>
      <c r="AE349" s="59" t="n">
        <f aca="false">F349+AB349*TASA_USADA</f>
        <v>0</v>
      </c>
      <c r="AF349" s="59" t="n">
        <f aca="false">G349+AC349*TASA_USADA</f>
        <v>0</v>
      </c>
      <c r="AG349" s="59" t="n">
        <f aca="false">H349+I349+J349+(AA349+AB349+AC349)*(1-TASA_USADA)</f>
        <v>0</v>
      </c>
      <c r="AH349" s="60" t="n">
        <f aca="false">AD349*P1_PVP+AE349*P2_PVP+AF349*IF($A349&lt;P3_DESDE,P3A_PVP,P3_PVP)</f>
        <v>0</v>
      </c>
      <c r="AI349" s="60" t="n">
        <f aca="false">AD349*P1_CPROD+AE349*P2_CPROD+AF349*IF($A349&lt;P3_DESDE,P3A_CPROD,P3_CPROD)</f>
        <v>0</v>
      </c>
      <c r="AJ349" s="60" t="n">
        <f aca="false">IF(ISNUMBER(L349),L349,E349*P1_LOG+F349*P2_LOG+G349*P3_LOG)+IF(ISNUMBER(M349),M349,AA349*P1_LOG+AB349*P2_LOG+AC349*P3_LOG)*TASA_USADA</f>
        <v>0</v>
      </c>
      <c r="AK349" s="60" t="n">
        <f aca="false">AG349*COSTE_DEV</f>
        <v>0</v>
      </c>
      <c r="AL349" s="60" t="n">
        <f aca="false">AD349*P1_IVAN+AE349*P2_IVAN+AF349*IF($A349&lt;P3_DESDE,P3A_IVAN,P3_IVAN)-AG349*IVA_DEV</f>
        <v>0</v>
      </c>
      <c r="AM349" s="60" t="n">
        <f aca="false">N349*(1+RECARGO_ADS)</f>
        <v>0</v>
      </c>
      <c r="AN349" s="58" t="n">
        <f aca="false">IF(ISNUMBER(L349),E349+F349+G349+AA349+AB349+AC349,0)</f>
        <v>0</v>
      </c>
      <c r="AO349" s="60" t="n">
        <f aca="false">P349*COMISION</f>
        <v>0</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B350*P1_PVP+C350*P2_PVP+D350*IF($A350&lt;P3_DESDE,P3A_PVP,P3_PVP)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E350*(P1_PVP-P1_CPROD)+F350*(P2_PVP-P2_CPROD)+G350*(IF($A350&lt;P3_DESDE,P3A_PVP,P3_PVP)-IF($A350&lt;P3_DESDE,P3A_CPROD,P3_CPROD))-IF(ISNUMBER(L350),L350,E350*P1_LOG+F350*P2_LOG+G350*P3_LOG)</f>
        <v>0</v>
      </c>
      <c r="X350" s="33" t="n">
        <f aca="false">W350-(E350*P1_IVAN+F350*P2_IVAN+G350*IF($A350&lt;P3_DESDE,P3A_IVAN,P3_IVAN))-(H350+I350+J350)*(COSTE_DEV-IVA_DEV)-AM350-AO350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E350+AA350*TASA_USADA</f>
        <v>0</v>
      </c>
      <c r="AE350" s="59" t="n">
        <f aca="false">F350+AB350*TASA_USADA</f>
        <v>0</v>
      </c>
      <c r="AF350" s="59" t="n">
        <f aca="false">G350+AC350*TASA_USADA</f>
        <v>0</v>
      </c>
      <c r="AG350" s="59" t="n">
        <f aca="false">H350+I350+J350+(AA350+AB350+AC350)*(1-TASA_USADA)</f>
        <v>0</v>
      </c>
      <c r="AH350" s="60" t="n">
        <f aca="false">AD350*P1_PVP+AE350*P2_PVP+AF350*IF($A350&lt;P3_DESDE,P3A_PVP,P3_PVP)</f>
        <v>0</v>
      </c>
      <c r="AI350" s="60" t="n">
        <f aca="false">AD350*P1_CPROD+AE350*P2_CPROD+AF350*IF($A350&lt;P3_DESDE,P3A_CPROD,P3_CPROD)</f>
        <v>0</v>
      </c>
      <c r="AJ350" s="60" t="n">
        <f aca="false">IF(ISNUMBER(L350),L350,E350*P1_LOG+F350*P2_LOG+G350*P3_LOG)+IF(ISNUMBER(M350),M350,AA350*P1_LOG+AB350*P2_LOG+AC350*P3_LOG)*TASA_USADA</f>
        <v>0</v>
      </c>
      <c r="AK350" s="60" t="n">
        <f aca="false">AG350*COSTE_DEV</f>
        <v>0</v>
      </c>
      <c r="AL350" s="60" t="n">
        <f aca="false">AD350*P1_IVAN+AE350*P2_IVAN+AF350*IF($A350&lt;P3_DESDE,P3A_IVAN,P3_IVAN)-AG350*IVA_DEV</f>
        <v>0</v>
      </c>
      <c r="AM350" s="60" t="n">
        <f aca="false">N350*(1+RECARGO_ADS)</f>
        <v>0</v>
      </c>
      <c r="AN350" s="58" t="n">
        <f aca="false">IF(ISNUMBER(L350),E350+F350+G350+AA350+AB350+AC350,0)</f>
        <v>0</v>
      </c>
      <c r="AO350" s="60" t="n">
        <f aca="false">P350*COMISION</f>
        <v>0</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B351*P1_PVP+C351*P2_PVP+D351*IF($A351&lt;P3_DESDE,P3A_PVP,P3_PVP)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E351*(P1_PVP-P1_CPROD)+F351*(P2_PVP-P2_CPROD)+G351*(IF($A351&lt;P3_DESDE,P3A_PVP,P3_PVP)-IF($A351&lt;P3_DESDE,P3A_CPROD,P3_CPROD))-IF(ISNUMBER(L351),L351,E351*P1_LOG+F351*P2_LOG+G351*P3_LOG)</f>
        <v>0</v>
      </c>
      <c r="X351" s="33" t="n">
        <f aca="false">W351-(E351*P1_IVAN+F351*P2_IVAN+G351*IF($A351&lt;P3_DESDE,P3A_IVAN,P3_IVAN))-(H351+I351+J351)*(COSTE_DEV-IVA_DEV)-AM351-AO351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E351+AA351*TASA_USADA</f>
        <v>0</v>
      </c>
      <c r="AE351" s="59" t="n">
        <f aca="false">F351+AB351*TASA_USADA</f>
        <v>0</v>
      </c>
      <c r="AF351" s="59" t="n">
        <f aca="false">G351+AC351*TASA_USADA</f>
        <v>0</v>
      </c>
      <c r="AG351" s="59" t="n">
        <f aca="false">H351+I351+J351+(AA351+AB351+AC351)*(1-TASA_USADA)</f>
        <v>0</v>
      </c>
      <c r="AH351" s="60" t="n">
        <f aca="false">AD351*P1_PVP+AE351*P2_PVP+AF351*IF($A351&lt;P3_DESDE,P3A_PVP,P3_PVP)</f>
        <v>0</v>
      </c>
      <c r="AI351" s="60" t="n">
        <f aca="false">AD351*P1_CPROD+AE351*P2_CPROD+AF351*IF($A351&lt;P3_DESDE,P3A_CPROD,P3_CPROD)</f>
        <v>0</v>
      </c>
      <c r="AJ351" s="60" t="n">
        <f aca="false">IF(ISNUMBER(L351),L351,E351*P1_LOG+F351*P2_LOG+G351*P3_LOG)+IF(ISNUMBER(M351),M351,AA351*P1_LOG+AB351*P2_LOG+AC351*P3_LOG)*TASA_USADA</f>
        <v>0</v>
      </c>
      <c r="AK351" s="60" t="n">
        <f aca="false">AG351*COSTE_DEV</f>
        <v>0</v>
      </c>
      <c r="AL351" s="60" t="n">
        <f aca="false">AD351*P1_IVAN+AE351*P2_IVAN+AF351*IF($A351&lt;P3_DESDE,P3A_IVAN,P3_IVAN)-AG351*IVA_DEV</f>
        <v>0</v>
      </c>
      <c r="AM351" s="60" t="n">
        <f aca="false">N351*(1+RECARGO_ADS)</f>
        <v>0</v>
      </c>
      <c r="AN351" s="58" t="n">
        <f aca="false">IF(ISNUMBER(L351),E351+F351+G351+AA351+AB351+AC351,0)</f>
        <v>0</v>
      </c>
      <c r="AO351" s="60" t="n">
        <f aca="false">P351*COMISION</f>
        <v>0</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B352*P1_PVP+C352*P2_PVP+D352*IF($A352&lt;P3_DESDE,P3A_PVP,P3_PVP)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E352*(P1_PVP-P1_CPROD)+F352*(P2_PVP-P2_CPROD)+G352*(IF($A352&lt;P3_DESDE,P3A_PVP,P3_PVP)-IF($A352&lt;P3_DESDE,P3A_CPROD,P3_CPROD))-IF(ISNUMBER(L352),L352,E352*P1_LOG+F352*P2_LOG+G352*P3_LOG)</f>
        <v>0</v>
      </c>
      <c r="X352" s="33" t="n">
        <f aca="false">W352-(E352*P1_IVAN+F352*P2_IVAN+G352*IF($A352&lt;P3_DESDE,P3A_IVAN,P3_IVAN))-(H352+I352+J352)*(COSTE_DEV-IVA_DEV)-AM352-AO352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E352+AA352*TASA_USADA</f>
        <v>0</v>
      </c>
      <c r="AE352" s="59" t="n">
        <f aca="false">F352+AB352*TASA_USADA</f>
        <v>0</v>
      </c>
      <c r="AF352" s="59" t="n">
        <f aca="false">G352+AC352*TASA_USADA</f>
        <v>0</v>
      </c>
      <c r="AG352" s="59" t="n">
        <f aca="false">H352+I352+J352+(AA352+AB352+AC352)*(1-TASA_USADA)</f>
        <v>0</v>
      </c>
      <c r="AH352" s="60" t="n">
        <f aca="false">AD352*P1_PVP+AE352*P2_PVP+AF352*IF($A352&lt;P3_DESDE,P3A_PVP,P3_PVP)</f>
        <v>0</v>
      </c>
      <c r="AI352" s="60" t="n">
        <f aca="false">AD352*P1_CPROD+AE352*P2_CPROD+AF352*IF($A352&lt;P3_DESDE,P3A_CPROD,P3_CPROD)</f>
        <v>0</v>
      </c>
      <c r="AJ352" s="60" t="n">
        <f aca="false">IF(ISNUMBER(L352),L352,E352*P1_LOG+F352*P2_LOG+G352*P3_LOG)+IF(ISNUMBER(M352),M352,AA352*P1_LOG+AB352*P2_LOG+AC352*P3_LOG)*TASA_USADA</f>
        <v>0</v>
      </c>
      <c r="AK352" s="60" t="n">
        <f aca="false">AG352*COSTE_DEV</f>
        <v>0</v>
      </c>
      <c r="AL352" s="60" t="n">
        <f aca="false">AD352*P1_IVAN+AE352*P2_IVAN+AF352*IF($A352&lt;P3_DESDE,P3A_IVAN,P3_IVAN)-AG352*IVA_DEV</f>
        <v>0</v>
      </c>
      <c r="AM352" s="60" t="n">
        <f aca="false">N352*(1+RECARGO_ADS)</f>
        <v>0</v>
      </c>
      <c r="AN352" s="58" t="n">
        <f aca="false">IF(ISNUMBER(L352),E352+F352+G352+AA352+AB352+AC352,0)</f>
        <v>0</v>
      </c>
      <c r="AO352" s="60" t="n">
        <f aca="false">P352*COMISION</f>
        <v>0</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B353*P1_PVP+C353*P2_PVP+D353*IF($A353&lt;P3_DESDE,P3A_PVP,P3_PVP)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E353*(P1_PVP-P1_CPROD)+F353*(P2_PVP-P2_CPROD)+G353*(IF($A353&lt;P3_DESDE,P3A_PVP,P3_PVP)-IF($A353&lt;P3_DESDE,P3A_CPROD,P3_CPROD))-IF(ISNUMBER(L353),L353,E353*P1_LOG+F353*P2_LOG+G353*P3_LOG)</f>
        <v>0</v>
      </c>
      <c r="X353" s="33" t="n">
        <f aca="false">W353-(E353*P1_IVAN+F353*P2_IVAN+G353*IF($A353&lt;P3_DESDE,P3A_IVAN,P3_IVAN))-(H353+I353+J353)*(COSTE_DEV-IVA_DEV)-AM353-AO353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E353+AA353*TASA_USADA</f>
        <v>0</v>
      </c>
      <c r="AE353" s="59" t="n">
        <f aca="false">F353+AB353*TASA_USADA</f>
        <v>0</v>
      </c>
      <c r="AF353" s="59" t="n">
        <f aca="false">G353+AC353*TASA_USADA</f>
        <v>0</v>
      </c>
      <c r="AG353" s="59" t="n">
        <f aca="false">H353+I353+J353+(AA353+AB353+AC353)*(1-TASA_USADA)</f>
        <v>0</v>
      </c>
      <c r="AH353" s="60" t="n">
        <f aca="false">AD353*P1_PVP+AE353*P2_PVP+AF353*IF($A353&lt;P3_DESDE,P3A_PVP,P3_PVP)</f>
        <v>0</v>
      </c>
      <c r="AI353" s="60" t="n">
        <f aca="false">AD353*P1_CPROD+AE353*P2_CPROD+AF353*IF($A353&lt;P3_DESDE,P3A_CPROD,P3_CPROD)</f>
        <v>0</v>
      </c>
      <c r="AJ353" s="60" t="n">
        <f aca="false">IF(ISNUMBER(L353),L353,E353*P1_LOG+F353*P2_LOG+G353*P3_LOG)+IF(ISNUMBER(M353),M353,AA353*P1_LOG+AB353*P2_LOG+AC353*P3_LOG)*TASA_USADA</f>
        <v>0</v>
      </c>
      <c r="AK353" s="60" t="n">
        <f aca="false">AG353*COSTE_DEV</f>
        <v>0</v>
      </c>
      <c r="AL353" s="60" t="n">
        <f aca="false">AD353*P1_IVAN+AE353*P2_IVAN+AF353*IF($A353&lt;P3_DESDE,P3A_IVAN,P3_IVAN)-AG353*IVA_DEV</f>
        <v>0</v>
      </c>
      <c r="AM353" s="60" t="n">
        <f aca="false">N353*(1+RECARGO_ADS)</f>
        <v>0</v>
      </c>
      <c r="AN353" s="58" t="n">
        <f aca="false">IF(ISNUMBER(L353),E353+F353+G353+AA353+AB353+AC353,0)</f>
        <v>0</v>
      </c>
      <c r="AO353" s="60" t="n">
        <f aca="false">P353*COMISION</f>
        <v>0</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B354*P1_PVP+C354*P2_PVP+D354*IF($A354&lt;P3_DESDE,P3A_PVP,P3_PVP)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E354*(P1_PVP-P1_CPROD)+F354*(P2_PVP-P2_CPROD)+G354*(IF($A354&lt;P3_DESDE,P3A_PVP,P3_PVP)-IF($A354&lt;P3_DESDE,P3A_CPROD,P3_CPROD))-IF(ISNUMBER(L354),L354,E354*P1_LOG+F354*P2_LOG+G354*P3_LOG)</f>
        <v>0</v>
      </c>
      <c r="X354" s="33" t="n">
        <f aca="false">W354-(E354*P1_IVAN+F354*P2_IVAN+G354*IF($A354&lt;P3_DESDE,P3A_IVAN,P3_IVAN))-(H354+I354+J354)*(COSTE_DEV-IVA_DEV)-AM354-AO354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E354+AA354*TASA_USADA</f>
        <v>0</v>
      </c>
      <c r="AE354" s="59" t="n">
        <f aca="false">F354+AB354*TASA_USADA</f>
        <v>0</v>
      </c>
      <c r="AF354" s="59" t="n">
        <f aca="false">G354+AC354*TASA_USADA</f>
        <v>0</v>
      </c>
      <c r="AG354" s="59" t="n">
        <f aca="false">H354+I354+J354+(AA354+AB354+AC354)*(1-TASA_USADA)</f>
        <v>0</v>
      </c>
      <c r="AH354" s="60" t="n">
        <f aca="false">AD354*P1_PVP+AE354*P2_PVP+AF354*IF($A354&lt;P3_DESDE,P3A_PVP,P3_PVP)</f>
        <v>0</v>
      </c>
      <c r="AI354" s="60" t="n">
        <f aca="false">AD354*P1_CPROD+AE354*P2_CPROD+AF354*IF($A354&lt;P3_DESDE,P3A_CPROD,P3_CPROD)</f>
        <v>0</v>
      </c>
      <c r="AJ354" s="60" t="n">
        <f aca="false">IF(ISNUMBER(L354),L354,E354*P1_LOG+F354*P2_LOG+G354*P3_LOG)+IF(ISNUMBER(M354),M354,AA354*P1_LOG+AB354*P2_LOG+AC354*P3_LOG)*TASA_USADA</f>
        <v>0</v>
      </c>
      <c r="AK354" s="60" t="n">
        <f aca="false">AG354*COSTE_DEV</f>
        <v>0</v>
      </c>
      <c r="AL354" s="60" t="n">
        <f aca="false">AD354*P1_IVAN+AE354*P2_IVAN+AF354*IF($A354&lt;P3_DESDE,P3A_IVAN,P3_IVAN)-AG354*IVA_DEV</f>
        <v>0</v>
      </c>
      <c r="AM354" s="60" t="n">
        <f aca="false">N354*(1+RECARGO_ADS)</f>
        <v>0</v>
      </c>
      <c r="AN354" s="58" t="n">
        <f aca="false">IF(ISNUMBER(L354),E354+F354+G354+AA354+AB354+AC354,0)</f>
        <v>0</v>
      </c>
      <c r="AO354" s="60" t="n">
        <f aca="false">P354*COMISION</f>
        <v>0</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B355*P1_PVP+C355*P2_PVP+D355*IF($A355&lt;P3_DESDE,P3A_PVP,P3_PVP)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E355*(P1_PVP-P1_CPROD)+F355*(P2_PVP-P2_CPROD)+G355*(IF($A355&lt;P3_DESDE,P3A_PVP,P3_PVP)-IF($A355&lt;P3_DESDE,P3A_CPROD,P3_CPROD))-IF(ISNUMBER(L355),L355,E355*P1_LOG+F355*P2_LOG+G355*P3_LOG)</f>
        <v>0</v>
      </c>
      <c r="X355" s="33" t="n">
        <f aca="false">W355-(E355*P1_IVAN+F355*P2_IVAN+G355*IF($A355&lt;P3_DESDE,P3A_IVAN,P3_IVAN))-(H355+I355+J355)*(COSTE_DEV-IVA_DEV)-AM355-AO355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E355+AA355*TASA_USADA</f>
        <v>0</v>
      </c>
      <c r="AE355" s="59" t="n">
        <f aca="false">F355+AB355*TASA_USADA</f>
        <v>0</v>
      </c>
      <c r="AF355" s="59" t="n">
        <f aca="false">G355+AC355*TASA_USADA</f>
        <v>0</v>
      </c>
      <c r="AG355" s="59" t="n">
        <f aca="false">H355+I355+J355+(AA355+AB355+AC355)*(1-TASA_USADA)</f>
        <v>0</v>
      </c>
      <c r="AH355" s="60" t="n">
        <f aca="false">AD355*P1_PVP+AE355*P2_PVP+AF355*IF($A355&lt;P3_DESDE,P3A_PVP,P3_PVP)</f>
        <v>0</v>
      </c>
      <c r="AI355" s="60" t="n">
        <f aca="false">AD355*P1_CPROD+AE355*P2_CPROD+AF355*IF($A355&lt;P3_DESDE,P3A_CPROD,P3_CPROD)</f>
        <v>0</v>
      </c>
      <c r="AJ355" s="60" t="n">
        <f aca="false">IF(ISNUMBER(L355),L355,E355*P1_LOG+F355*P2_LOG+G355*P3_LOG)+IF(ISNUMBER(M355),M355,AA355*P1_LOG+AB355*P2_LOG+AC355*P3_LOG)*TASA_USADA</f>
        <v>0</v>
      </c>
      <c r="AK355" s="60" t="n">
        <f aca="false">AG355*COSTE_DEV</f>
        <v>0</v>
      </c>
      <c r="AL355" s="60" t="n">
        <f aca="false">AD355*P1_IVAN+AE355*P2_IVAN+AF355*IF($A355&lt;P3_DESDE,P3A_IVAN,P3_IVAN)-AG355*IVA_DEV</f>
        <v>0</v>
      </c>
      <c r="AM355" s="60" t="n">
        <f aca="false">N355*(1+RECARGO_ADS)</f>
        <v>0</v>
      </c>
      <c r="AN355" s="58" t="n">
        <f aca="false">IF(ISNUMBER(L355),E355+F355+G355+AA355+AB355+AC355,0)</f>
        <v>0</v>
      </c>
      <c r="AO355" s="60" t="n">
        <f aca="false">P355*COMISION</f>
        <v>0</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B356*P1_PVP+C356*P2_PVP+D356*IF($A356&lt;P3_DESDE,P3A_PVP,P3_PVP)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E356*(P1_PVP-P1_CPROD)+F356*(P2_PVP-P2_CPROD)+G356*(IF($A356&lt;P3_DESDE,P3A_PVP,P3_PVP)-IF($A356&lt;P3_DESDE,P3A_CPROD,P3_CPROD))-IF(ISNUMBER(L356),L356,E356*P1_LOG+F356*P2_LOG+G356*P3_LOG)</f>
        <v>0</v>
      </c>
      <c r="X356" s="33" t="n">
        <f aca="false">W356-(E356*P1_IVAN+F356*P2_IVAN+G356*IF($A356&lt;P3_DESDE,P3A_IVAN,P3_IVAN))-(H356+I356+J356)*(COSTE_DEV-IVA_DEV)-AM356-AO356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E356+AA356*TASA_USADA</f>
        <v>0</v>
      </c>
      <c r="AE356" s="59" t="n">
        <f aca="false">F356+AB356*TASA_USADA</f>
        <v>0</v>
      </c>
      <c r="AF356" s="59" t="n">
        <f aca="false">G356+AC356*TASA_USADA</f>
        <v>0</v>
      </c>
      <c r="AG356" s="59" t="n">
        <f aca="false">H356+I356+J356+(AA356+AB356+AC356)*(1-TASA_USADA)</f>
        <v>0</v>
      </c>
      <c r="AH356" s="60" t="n">
        <f aca="false">AD356*P1_PVP+AE356*P2_PVP+AF356*IF($A356&lt;P3_DESDE,P3A_PVP,P3_PVP)</f>
        <v>0</v>
      </c>
      <c r="AI356" s="60" t="n">
        <f aca="false">AD356*P1_CPROD+AE356*P2_CPROD+AF356*IF($A356&lt;P3_DESDE,P3A_CPROD,P3_CPROD)</f>
        <v>0</v>
      </c>
      <c r="AJ356" s="60" t="n">
        <f aca="false">IF(ISNUMBER(L356),L356,E356*P1_LOG+F356*P2_LOG+G356*P3_LOG)+IF(ISNUMBER(M356),M356,AA356*P1_LOG+AB356*P2_LOG+AC356*P3_LOG)*TASA_USADA</f>
        <v>0</v>
      </c>
      <c r="AK356" s="60" t="n">
        <f aca="false">AG356*COSTE_DEV</f>
        <v>0</v>
      </c>
      <c r="AL356" s="60" t="n">
        <f aca="false">AD356*P1_IVAN+AE356*P2_IVAN+AF356*IF($A356&lt;P3_DESDE,P3A_IVAN,P3_IVAN)-AG356*IVA_DEV</f>
        <v>0</v>
      </c>
      <c r="AM356" s="60" t="n">
        <f aca="false">N356*(1+RECARGO_ADS)</f>
        <v>0</v>
      </c>
      <c r="AN356" s="58" t="n">
        <f aca="false">IF(ISNUMBER(L356),E356+F356+G356+AA356+AB356+AC356,0)</f>
        <v>0</v>
      </c>
      <c r="AO356" s="60" t="n">
        <f aca="false">P356*COMISION</f>
        <v>0</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B357*P1_PVP+C357*P2_PVP+D357*IF($A357&lt;P3_DESDE,P3A_PVP,P3_PVP)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E357*(P1_PVP-P1_CPROD)+F357*(P2_PVP-P2_CPROD)+G357*(IF($A357&lt;P3_DESDE,P3A_PVP,P3_PVP)-IF($A357&lt;P3_DESDE,P3A_CPROD,P3_CPROD))-IF(ISNUMBER(L357),L357,E357*P1_LOG+F357*P2_LOG+G357*P3_LOG)</f>
        <v>0</v>
      </c>
      <c r="X357" s="33" t="n">
        <f aca="false">W357-(E357*P1_IVAN+F357*P2_IVAN+G357*IF($A357&lt;P3_DESDE,P3A_IVAN,P3_IVAN))-(H357+I357+J357)*(COSTE_DEV-IVA_DEV)-AM357-AO357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E357+AA357*TASA_USADA</f>
        <v>0</v>
      </c>
      <c r="AE357" s="59" t="n">
        <f aca="false">F357+AB357*TASA_USADA</f>
        <v>0</v>
      </c>
      <c r="AF357" s="59" t="n">
        <f aca="false">G357+AC357*TASA_USADA</f>
        <v>0</v>
      </c>
      <c r="AG357" s="59" t="n">
        <f aca="false">H357+I357+J357+(AA357+AB357+AC357)*(1-TASA_USADA)</f>
        <v>0</v>
      </c>
      <c r="AH357" s="60" t="n">
        <f aca="false">AD357*P1_PVP+AE357*P2_PVP+AF357*IF($A357&lt;P3_DESDE,P3A_PVP,P3_PVP)</f>
        <v>0</v>
      </c>
      <c r="AI357" s="60" t="n">
        <f aca="false">AD357*P1_CPROD+AE357*P2_CPROD+AF357*IF($A357&lt;P3_DESDE,P3A_CPROD,P3_CPROD)</f>
        <v>0</v>
      </c>
      <c r="AJ357" s="60" t="n">
        <f aca="false">IF(ISNUMBER(L357),L357,E357*P1_LOG+F357*P2_LOG+G357*P3_LOG)+IF(ISNUMBER(M357),M357,AA357*P1_LOG+AB357*P2_LOG+AC357*P3_LOG)*TASA_USADA</f>
        <v>0</v>
      </c>
      <c r="AK357" s="60" t="n">
        <f aca="false">AG357*COSTE_DEV</f>
        <v>0</v>
      </c>
      <c r="AL357" s="60" t="n">
        <f aca="false">AD357*P1_IVAN+AE357*P2_IVAN+AF357*IF($A357&lt;P3_DESDE,P3A_IVAN,P3_IVAN)-AG357*IVA_DEV</f>
        <v>0</v>
      </c>
      <c r="AM357" s="60" t="n">
        <f aca="false">N357*(1+RECARGO_ADS)</f>
        <v>0</v>
      </c>
      <c r="AN357" s="58" t="n">
        <f aca="false">IF(ISNUMBER(L357),E357+F357+G357+AA357+AB357+AC357,0)</f>
        <v>0</v>
      </c>
      <c r="AO357" s="60" t="n">
        <f aca="false">P357*COMISION</f>
        <v>0</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B358*P1_PVP+C358*P2_PVP+D358*IF($A358&lt;P3_DESDE,P3A_PVP,P3_PVP)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E358*(P1_PVP-P1_CPROD)+F358*(P2_PVP-P2_CPROD)+G358*(IF($A358&lt;P3_DESDE,P3A_PVP,P3_PVP)-IF($A358&lt;P3_DESDE,P3A_CPROD,P3_CPROD))-IF(ISNUMBER(L358),L358,E358*P1_LOG+F358*P2_LOG+G358*P3_LOG)</f>
        <v>0</v>
      </c>
      <c r="X358" s="33" t="n">
        <f aca="false">W358-(E358*P1_IVAN+F358*P2_IVAN+G358*IF($A358&lt;P3_DESDE,P3A_IVAN,P3_IVAN))-(H358+I358+J358)*(COSTE_DEV-IVA_DEV)-AM358-AO358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E358+AA358*TASA_USADA</f>
        <v>0</v>
      </c>
      <c r="AE358" s="59" t="n">
        <f aca="false">F358+AB358*TASA_USADA</f>
        <v>0</v>
      </c>
      <c r="AF358" s="59" t="n">
        <f aca="false">G358+AC358*TASA_USADA</f>
        <v>0</v>
      </c>
      <c r="AG358" s="59" t="n">
        <f aca="false">H358+I358+J358+(AA358+AB358+AC358)*(1-TASA_USADA)</f>
        <v>0</v>
      </c>
      <c r="AH358" s="60" t="n">
        <f aca="false">AD358*P1_PVP+AE358*P2_PVP+AF358*IF($A358&lt;P3_DESDE,P3A_PVP,P3_PVP)</f>
        <v>0</v>
      </c>
      <c r="AI358" s="60" t="n">
        <f aca="false">AD358*P1_CPROD+AE358*P2_CPROD+AF358*IF($A358&lt;P3_DESDE,P3A_CPROD,P3_CPROD)</f>
        <v>0</v>
      </c>
      <c r="AJ358" s="60" t="n">
        <f aca="false">IF(ISNUMBER(L358),L358,E358*P1_LOG+F358*P2_LOG+G358*P3_LOG)+IF(ISNUMBER(M358),M358,AA358*P1_LOG+AB358*P2_LOG+AC358*P3_LOG)*TASA_USADA</f>
        <v>0</v>
      </c>
      <c r="AK358" s="60" t="n">
        <f aca="false">AG358*COSTE_DEV</f>
        <v>0</v>
      </c>
      <c r="AL358" s="60" t="n">
        <f aca="false">AD358*P1_IVAN+AE358*P2_IVAN+AF358*IF($A358&lt;P3_DESDE,P3A_IVAN,P3_IVAN)-AG358*IVA_DEV</f>
        <v>0</v>
      </c>
      <c r="AM358" s="60" t="n">
        <f aca="false">N358*(1+RECARGO_ADS)</f>
        <v>0</v>
      </c>
      <c r="AN358" s="58" t="n">
        <f aca="false">IF(ISNUMBER(L358),E358+F358+G358+AA358+AB358+AC358,0)</f>
        <v>0</v>
      </c>
      <c r="AO358" s="60" t="n">
        <f aca="false">P358*COMISION</f>
        <v>0</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B359*P1_PVP+C359*P2_PVP+D359*IF($A359&lt;P3_DESDE,P3A_PVP,P3_PVP)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E359*(P1_PVP-P1_CPROD)+F359*(P2_PVP-P2_CPROD)+G359*(IF($A359&lt;P3_DESDE,P3A_PVP,P3_PVP)-IF($A359&lt;P3_DESDE,P3A_CPROD,P3_CPROD))-IF(ISNUMBER(L359),L359,E359*P1_LOG+F359*P2_LOG+G359*P3_LOG)</f>
        <v>0</v>
      </c>
      <c r="X359" s="33" t="n">
        <f aca="false">W359-(E359*P1_IVAN+F359*P2_IVAN+G359*IF($A359&lt;P3_DESDE,P3A_IVAN,P3_IVAN))-(H359+I359+J359)*(COSTE_DEV-IVA_DEV)-AM359-AO359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E359+AA359*TASA_USADA</f>
        <v>0</v>
      </c>
      <c r="AE359" s="59" t="n">
        <f aca="false">F359+AB359*TASA_USADA</f>
        <v>0</v>
      </c>
      <c r="AF359" s="59" t="n">
        <f aca="false">G359+AC359*TASA_USADA</f>
        <v>0</v>
      </c>
      <c r="AG359" s="59" t="n">
        <f aca="false">H359+I359+J359+(AA359+AB359+AC359)*(1-TASA_USADA)</f>
        <v>0</v>
      </c>
      <c r="AH359" s="60" t="n">
        <f aca="false">AD359*P1_PVP+AE359*P2_PVP+AF359*IF($A359&lt;P3_DESDE,P3A_PVP,P3_PVP)</f>
        <v>0</v>
      </c>
      <c r="AI359" s="60" t="n">
        <f aca="false">AD359*P1_CPROD+AE359*P2_CPROD+AF359*IF($A359&lt;P3_DESDE,P3A_CPROD,P3_CPROD)</f>
        <v>0</v>
      </c>
      <c r="AJ359" s="60" t="n">
        <f aca="false">IF(ISNUMBER(L359),L359,E359*P1_LOG+F359*P2_LOG+G359*P3_LOG)+IF(ISNUMBER(M359),M359,AA359*P1_LOG+AB359*P2_LOG+AC359*P3_LOG)*TASA_USADA</f>
        <v>0</v>
      </c>
      <c r="AK359" s="60" t="n">
        <f aca="false">AG359*COSTE_DEV</f>
        <v>0</v>
      </c>
      <c r="AL359" s="60" t="n">
        <f aca="false">AD359*P1_IVAN+AE359*P2_IVAN+AF359*IF($A359&lt;P3_DESDE,P3A_IVAN,P3_IVAN)-AG359*IVA_DEV</f>
        <v>0</v>
      </c>
      <c r="AM359" s="60" t="n">
        <f aca="false">N359*(1+RECARGO_ADS)</f>
        <v>0</v>
      </c>
      <c r="AN359" s="58" t="n">
        <f aca="false">IF(ISNUMBER(L359),E359+F359+G359+AA359+AB359+AC359,0)</f>
        <v>0</v>
      </c>
      <c r="AO359" s="60" t="n">
        <f aca="false">P359*COMISION</f>
        <v>0</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B360*P1_PVP+C360*P2_PVP+D360*IF($A360&lt;P3_DESDE,P3A_PVP,P3_PVP)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E360*(P1_PVP-P1_CPROD)+F360*(P2_PVP-P2_CPROD)+G360*(IF($A360&lt;P3_DESDE,P3A_PVP,P3_PVP)-IF($A360&lt;P3_DESDE,P3A_CPROD,P3_CPROD))-IF(ISNUMBER(L360),L360,E360*P1_LOG+F360*P2_LOG+G360*P3_LOG)</f>
        <v>0</v>
      </c>
      <c r="X360" s="33" t="n">
        <f aca="false">W360-(E360*P1_IVAN+F360*P2_IVAN+G360*IF($A360&lt;P3_DESDE,P3A_IVAN,P3_IVAN))-(H360+I360+J360)*(COSTE_DEV-IVA_DEV)-AM360-AO360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E360+AA360*TASA_USADA</f>
        <v>0</v>
      </c>
      <c r="AE360" s="59" t="n">
        <f aca="false">F360+AB360*TASA_USADA</f>
        <v>0</v>
      </c>
      <c r="AF360" s="59" t="n">
        <f aca="false">G360+AC360*TASA_USADA</f>
        <v>0</v>
      </c>
      <c r="AG360" s="59" t="n">
        <f aca="false">H360+I360+J360+(AA360+AB360+AC360)*(1-TASA_USADA)</f>
        <v>0</v>
      </c>
      <c r="AH360" s="60" t="n">
        <f aca="false">AD360*P1_PVP+AE360*P2_PVP+AF360*IF($A360&lt;P3_DESDE,P3A_PVP,P3_PVP)</f>
        <v>0</v>
      </c>
      <c r="AI360" s="60" t="n">
        <f aca="false">AD360*P1_CPROD+AE360*P2_CPROD+AF360*IF($A360&lt;P3_DESDE,P3A_CPROD,P3_CPROD)</f>
        <v>0</v>
      </c>
      <c r="AJ360" s="60" t="n">
        <f aca="false">IF(ISNUMBER(L360),L360,E360*P1_LOG+F360*P2_LOG+G360*P3_LOG)+IF(ISNUMBER(M360),M360,AA360*P1_LOG+AB360*P2_LOG+AC360*P3_LOG)*TASA_USADA</f>
        <v>0</v>
      </c>
      <c r="AK360" s="60" t="n">
        <f aca="false">AG360*COSTE_DEV</f>
        <v>0</v>
      </c>
      <c r="AL360" s="60" t="n">
        <f aca="false">AD360*P1_IVAN+AE360*P2_IVAN+AF360*IF($A360&lt;P3_DESDE,P3A_IVAN,P3_IVAN)-AG360*IVA_DEV</f>
        <v>0</v>
      </c>
      <c r="AM360" s="60" t="n">
        <f aca="false">N360*(1+RECARGO_ADS)</f>
        <v>0</v>
      </c>
      <c r="AN360" s="58" t="n">
        <f aca="false">IF(ISNUMBER(L360),E360+F360+G360+AA360+AB360+AC360,0)</f>
        <v>0</v>
      </c>
      <c r="AO360" s="60" t="n">
        <f aca="false">P360*COMISION</f>
        <v>0</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B361*P1_PVP+C361*P2_PVP+D361*IF($A361&lt;P3_DESDE,P3A_PVP,P3_PVP)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E361*(P1_PVP-P1_CPROD)+F361*(P2_PVP-P2_CPROD)+G361*(IF($A361&lt;P3_DESDE,P3A_PVP,P3_PVP)-IF($A361&lt;P3_DESDE,P3A_CPROD,P3_CPROD))-IF(ISNUMBER(L361),L361,E361*P1_LOG+F361*P2_LOG+G361*P3_LOG)</f>
        <v>0</v>
      </c>
      <c r="X361" s="33" t="n">
        <f aca="false">W361-(E361*P1_IVAN+F361*P2_IVAN+G361*IF($A361&lt;P3_DESDE,P3A_IVAN,P3_IVAN))-(H361+I361+J361)*(COSTE_DEV-IVA_DEV)-AM361-AO361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E361+AA361*TASA_USADA</f>
        <v>0</v>
      </c>
      <c r="AE361" s="59" t="n">
        <f aca="false">F361+AB361*TASA_USADA</f>
        <v>0</v>
      </c>
      <c r="AF361" s="59" t="n">
        <f aca="false">G361+AC361*TASA_USADA</f>
        <v>0</v>
      </c>
      <c r="AG361" s="59" t="n">
        <f aca="false">H361+I361+J361+(AA361+AB361+AC361)*(1-TASA_USADA)</f>
        <v>0</v>
      </c>
      <c r="AH361" s="60" t="n">
        <f aca="false">AD361*P1_PVP+AE361*P2_PVP+AF361*IF($A361&lt;P3_DESDE,P3A_PVP,P3_PVP)</f>
        <v>0</v>
      </c>
      <c r="AI361" s="60" t="n">
        <f aca="false">AD361*P1_CPROD+AE361*P2_CPROD+AF361*IF($A361&lt;P3_DESDE,P3A_CPROD,P3_CPROD)</f>
        <v>0</v>
      </c>
      <c r="AJ361" s="60" t="n">
        <f aca="false">IF(ISNUMBER(L361),L361,E361*P1_LOG+F361*P2_LOG+G361*P3_LOG)+IF(ISNUMBER(M361),M361,AA361*P1_LOG+AB361*P2_LOG+AC361*P3_LOG)*TASA_USADA</f>
        <v>0</v>
      </c>
      <c r="AK361" s="60" t="n">
        <f aca="false">AG361*COSTE_DEV</f>
        <v>0</v>
      </c>
      <c r="AL361" s="60" t="n">
        <f aca="false">AD361*P1_IVAN+AE361*P2_IVAN+AF361*IF($A361&lt;P3_DESDE,P3A_IVAN,P3_IVAN)-AG361*IVA_DEV</f>
        <v>0</v>
      </c>
      <c r="AM361" s="60" t="n">
        <f aca="false">N361*(1+RECARGO_ADS)</f>
        <v>0</v>
      </c>
      <c r="AN361" s="58" t="n">
        <f aca="false">IF(ISNUMBER(L361),E361+F361+G361+AA361+AB361+AC361,0)</f>
        <v>0</v>
      </c>
      <c r="AO361" s="60" t="n">
        <f aca="false">P361*COMISION</f>
        <v>0</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B362*P1_PVP+C362*P2_PVP+D362*IF($A362&lt;P3_DESDE,P3A_PVP,P3_PVP)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E362*(P1_PVP-P1_CPROD)+F362*(P2_PVP-P2_CPROD)+G362*(IF($A362&lt;P3_DESDE,P3A_PVP,P3_PVP)-IF($A362&lt;P3_DESDE,P3A_CPROD,P3_CPROD))-IF(ISNUMBER(L362),L362,E362*P1_LOG+F362*P2_LOG+G362*P3_LOG)</f>
        <v>0</v>
      </c>
      <c r="X362" s="33" t="n">
        <f aca="false">W362-(E362*P1_IVAN+F362*P2_IVAN+G362*IF($A362&lt;P3_DESDE,P3A_IVAN,P3_IVAN))-(H362+I362+J362)*(COSTE_DEV-IVA_DEV)-AM362-AO362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E362+AA362*TASA_USADA</f>
        <v>0</v>
      </c>
      <c r="AE362" s="59" t="n">
        <f aca="false">F362+AB362*TASA_USADA</f>
        <v>0</v>
      </c>
      <c r="AF362" s="59" t="n">
        <f aca="false">G362+AC362*TASA_USADA</f>
        <v>0</v>
      </c>
      <c r="AG362" s="59" t="n">
        <f aca="false">H362+I362+J362+(AA362+AB362+AC362)*(1-TASA_USADA)</f>
        <v>0</v>
      </c>
      <c r="AH362" s="60" t="n">
        <f aca="false">AD362*P1_PVP+AE362*P2_PVP+AF362*IF($A362&lt;P3_DESDE,P3A_PVP,P3_PVP)</f>
        <v>0</v>
      </c>
      <c r="AI362" s="60" t="n">
        <f aca="false">AD362*P1_CPROD+AE362*P2_CPROD+AF362*IF($A362&lt;P3_DESDE,P3A_CPROD,P3_CPROD)</f>
        <v>0</v>
      </c>
      <c r="AJ362" s="60" t="n">
        <f aca="false">IF(ISNUMBER(L362),L362,E362*P1_LOG+F362*P2_LOG+G362*P3_LOG)+IF(ISNUMBER(M362),M362,AA362*P1_LOG+AB362*P2_LOG+AC362*P3_LOG)*TASA_USADA</f>
        <v>0</v>
      </c>
      <c r="AK362" s="60" t="n">
        <f aca="false">AG362*COSTE_DEV</f>
        <v>0</v>
      </c>
      <c r="AL362" s="60" t="n">
        <f aca="false">AD362*P1_IVAN+AE362*P2_IVAN+AF362*IF($A362&lt;P3_DESDE,P3A_IVAN,P3_IVAN)-AG362*IVA_DEV</f>
        <v>0</v>
      </c>
      <c r="AM362" s="60" t="n">
        <f aca="false">N362*(1+RECARGO_ADS)</f>
        <v>0</v>
      </c>
      <c r="AN362" s="58" t="n">
        <f aca="false">IF(ISNUMBER(L362),E362+F362+G362+AA362+AB362+AC362,0)</f>
        <v>0</v>
      </c>
      <c r="AO362" s="60" t="n">
        <f aca="false">P362*COMISION</f>
        <v>0</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B363*P1_PVP+C363*P2_PVP+D363*IF($A363&lt;P3_DESDE,P3A_PVP,P3_PVP)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E363*(P1_PVP-P1_CPROD)+F363*(P2_PVP-P2_CPROD)+G363*(IF($A363&lt;P3_DESDE,P3A_PVP,P3_PVP)-IF($A363&lt;P3_DESDE,P3A_CPROD,P3_CPROD))-IF(ISNUMBER(L363),L363,E363*P1_LOG+F363*P2_LOG+G363*P3_LOG)</f>
        <v>0</v>
      </c>
      <c r="X363" s="33" t="n">
        <f aca="false">W363-(E363*P1_IVAN+F363*P2_IVAN+G363*IF($A363&lt;P3_DESDE,P3A_IVAN,P3_IVAN))-(H363+I363+J363)*(COSTE_DEV-IVA_DEV)-AM363-AO363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E363+AA363*TASA_USADA</f>
        <v>0</v>
      </c>
      <c r="AE363" s="59" t="n">
        <f aca="false">F363+AB363*TASA_USADA</f>
        <v>0</v>
      </c>
      <c r="AF363" s="59" t="n">
        <f aca="false">G363+AC363*TASA_USADA</f>
        <v>0</v>
      </c>
      <c r="AG363" s="59" t="n">
        <f aca="false">H363+I363+J363+(AA363+AB363+AC363)*(1-TASA_USADA)</f>
        <v>0</v>
      </c>
      <c r="AH363" s="60" t="n">
        <f aca="false">AD363*P1_PVP+AE363*P2_PVP+AF363*IF($A363&lt;P3_DESDE,P3A_PVP,P3_PVP)</f>
        <v>0</v>
      </c>
      <c r="AI363" s="60" t="n">
        <f aca="false">AD363*P1_CPROD+AE363*P2_CPROD+AF363*IF($A363&lt;P3_DESDE,P3A_CPROD,P3_CPROD)</f>
        <v>0</v>
      </c>
      <c r="AJ363" s="60" t="n">
        <f aca="false">IF(ISNUMBER(L363),L363,E363*P1_LOG+F363*P2_LOG+G363*P3_LOG)+IF(ISNUMBER(M363),M363,AA363*P1_LOG+AB363*P2_LOG+AC363*P3_LOG)*TASA_USADA</f>
        <v>0</v>
      </c>
      <c r="AK363" s="60" t="n">
        <f aca="false">AG363*COSTE_DEV</f>
        <v>0</v>
      </c>
      <c r="AL363" s="60" t="n">
        <f aca="false">AD363*P1_IVAN+AE363*P2_IVAN+AF363*IF($A363&lt;P3_DESDE,P3A_IVAN,P3_IVAN)-AG363*IVA_DEV</f>
        <v>0</v>
      </c>
      <c r="AM363" s="60" t="n">
        <f aca="false">N363*(1+RECARGO_ADS)</f>
        <v>0</v>
      </c>
      <c r="AN363" s="58" t="n">
        <f aca="false">IF(ISNUMBER(L363),E363+F363+G363+AA363+AB363+AC363,0)</f>
        <v>0</v>
      </c>
      <c r="AO363" s="60" t="n">
        <f aca="false">P363*COMISION</f>
        <v>0</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B364*P1_PVP+C364*P2_PVP+D364*IF($A364&lt;P3_DESDE,P3A_PVP,P3_PVP)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E364*(P1_PVP-P1_CPROD)+F364*(P2_PVP-P2_CPROD)+G364*(IF($A364&lt;P3_DESDE,P3A_PVP,P3_PVP)-IF($A364&lt;P3_DESDE,P3A_CPROD,P3_CPROD))-IF(ISNUMBER(L364),L364,E364*P1_LOG+F364*P2_LOG+G364*P3_LOG)</f>
        <v>0</v>
      </c>
      <c r="X364" s="33" t="n">
        <f aca="false">W364-(E364*P1_IVAN+F364*P2_IVAN+G364*IF($A364&lt;P3_DESDE,P3A_IVAN,P3_IVAN))-(H364+I364+J364)*(COSTE_DEV-IVA_DEV)-AM364-AO364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E364+AA364*TASA_USADA</f>
        <v>0</v>
      </c>
      <c r="AE364" s="59" t="n">
        <f aca="false">F364+AB364*TASA_USADA</f>
        <v>0</v>
      </c>
      <c r="AF364" s="59" t="n">
        <f aca="false">G364+AC364*TASA_USADA</f>
        <v>0</v>
      </c>
      <c r="AG364" s="59" t="n">
        <f aca="false">H364+I364+J364+(AA364+AB364+AC364)*(1-TASA_USADA)</f>
        <v>0</v>
      </c>
      <c r="AH364" s="60" t="n">
        <f aca="false">AD364*P1_PVP+AE364*P2_PVP+AF364*IF($A364&lt;P3_DESDE,P3A_PVP,P3_PVP)</f>
        <v>0</v>
      </c>
      <c r="AI364" s="60" t="n">
        <f aca="false">AD364*P1_CPROD+AE364*P2_CPROD+AF364*IF($A364&lt;P3_DESDE,P3A_CPROD,P3_CPROD)</f>
        <v>0</v>
      </c>
      <c r="AJ364" s="60" t="n">
        <f aca="false">IF(ISNUMBER(L364),L364,E364*P1_LOG+F364*P2_LOG+G364*P3_LOG)+IF(ISNUMBER(M364),M364,AA364*P1_LOG+AB364*P2_LOG+AC364*P3_LOG)*TASA_USADA</f>
        <v>0</v>
      </c>
      <c r="AK364" s="60" t="n">
        <f aca="false">AG364*COSTE_DEV</f>
        <v>0</v>
      </c>
      <c r="AL364" s="60" t="n">
        <f aca="false">AD364*P1_IVAN+AE364*P2_IVAN+AF364*IF($A364&lt;P3_DESDE,P3A_IVAN,P3_IVAN)-AG364*IVA_DEV</f>
        <v>0</v>
      </c>
      <c r="AM364" s="60" t="n">
        <f aca="false">N364*(1+RECARGO_ADS)</f>
        <v>0</v>
      </c>
      <c r="AN364" s="58" t="n">
        <f aca="false">IF(ISNUMBER(L364),E364+F364+G364+AA364+AB364+AC364,0)</f>
        <v>0</v>
      </c>
      <c r="AO364" s="60" t="n">
        <f aca="false">P364*COMISION</f>
        <v>0</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B365*P1_PVP+C365*P2_PVP+D365*IF($A365&lt;P3_DESDE,P3A_PVP,P3_PVP)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E365*(P1_PVP-P1_CPROD)+F365*(P2_PVP-P2_CPROD)+G365*(IF($A365&lt;P3_DESDE,P3A_PVP,P3_PVP)-IF($A365&lt;P3_DESDE,P3A_CPROD,P3_CPROD))-IF(ISNUMBER(L365),L365,E365*P1_LOG+F365*P2_LOG+G365*P3_LOG)</f>
        <v>0</v>
      </c>
      <c r="X365" s="33" t="n">
        <f aca="false">W365-(E365*P1_IVAN+F365*P2_IVAN+G365*IF($A365&lt;P3_DESDE,P3A_IVAN,P3_IVAN))-(H365+I365+J365)*(COSTE_DEV-IVA_DEV)-AM365-AO365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E365+AA365*TASA_USADA</f>
        <v>0</v>
      </c>
      <c r="AE365" s="59" t="n">
        <f aca="false">F365+AB365*TASA_USADA</f>
        <v>0</v>
      </c>
      <c r="AF365" s="59" t="n">
        <f aca="false">G365+AC365*TASA_USADA</f>
        <v>0</v>
      </c>
      <c r="AG365" s="59" t="n">
        <f aca="false">H365+I365+J365+(AA365+AB365+AC365)*(1-TASA_USADA)</f>
        <v>0</v>
      </c>
      <c r="AH365" s="60" t="n">
        <f aca="false">AD365*P1_PVP+AE365*P2_PVP+AF365*IF($A365&lt;P3_DESDE,P3A_PVP,P3_PVP)</f>
        <v>0</v>
      </c>
      <c r="AI365" s="60" t="n">
        <f aca="false">AD365*P1_CPROD+AE365*P2_CPROD+AF365*IF($A365&lt;P3_DESDE,P3A_CPROD,P3_CPROD)</f>
        <v>0</v>
      </c>
      <c r="AJ365" s="60" t="n">
        <f aca="false">IF(ISNUMBER(L365),L365,E365*P1_LOG+F365*P2_LOG+G365*P3_LOG)+IF(ISNUMBER(M365),M365,AA365*P1_LOG+AB365*P2_LOG+AC365*P3_LOG)*TASA_USADA</f>
        <v>0</v>
      </c>
      <c r="AK365" s="60" t="n">
        <f aca="false">AG365*COSTE_DEV</f>
        <v>0</v>
      </c>
      <c r="AL365" s="60" t="n">
        <f aca="false">AD365*P1_IVAN+AE365*P2_IVAN+AF365*IF($A365&lt;P3_DESDE,P3A_IVAN,P3_IVAN)-AG365*IVA_DEV</f>
        <v>0</v>
      </c>
      <c r="AM365" s="60" t="n">
        <f aca="false">N365*(1+RECARGO_ADS)</f>
        <v>0</v>
      </c>
      <c r="AN365" s="58" t="n">
        <f aca="false">IF(ISNUMBER(L365),E365+F365+G365+AA365+AB365+AC365,0)</f>
        <v>0</v>
      </c>
      <c r="AO365" s="60" t="n">
        <f aca="false">P365*COMISION</f>
        <v>0</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B366*P1_PVP+C366*P2_PVP+D366*IF($A366&lt;P3_DESDE,P3A_PVP,P3_PVP)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E366*(P1_PVP-P1_CPROD)+F366*(P2_PVP-P2_CPROD)+G366*(IF($A366&lt;P3_DESDE,P3A_PVP,P3_PVP)-IF($A366&lt;P3_DESDE,P3A_CPROD,P3_CPROD))-IF(ISNUMBER(L366),L366,E366*P1_LOG+F366*P2_LOG+G366*P3_LOG)</f>
        <v>0</v>
      </c>
      <c r="X366" s="33" t="n">
        <f aca="false">W366-(E366*P1_IVAN+F366*P2_IVAN+G366*IF($A366&lt;P3_DESDE,P3A_IVAN,P3_IVAN))-(H366+I366+J366)*(COSTE_DEV-IVA_DEV)-AM366-AO366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E366+AA366*TASA_USADA</f>
        <v>0</v>
      </c>
      <c r="AE366" s="59" t="n">
        <f aca="false">F366+AB366*TASA_USADA</f>
        <v>0</v>
      </c>
      <c r="AF366" s="59" t="n">
        <f aca="false">G366+AC366*TASA_USADA</f>
        <v>0</v>
      </c>
      <c r="AG366" s="59" t="n">
        <f aca="false">H366+I366+J366+(AA366+AB366+AC366)*(1-TASA_USADA)</f>
        <v>0</v>
      </c>
      <c r="AH366" s="60" t="n">
        <f aca="false">AD366*P1_PVP+AE366*P2_PVP+AF366*IF($A366&lt;P3_DESDE,P3A_PVP,P3_PVP)</f>
        <v>0</v>
      </c>
      <c r="AI366" s="60" t="n">
        <f aca="false">AD366*P1_CPROD+AE366*P2_CPROD+AF366*IF($A366&lt;P3_DESDE,P3A_CPROD,P3_CPROD)</f>
        <v>0</v>
      </c>
      <c r="AJ366" s="60" t="n">
        <f aca="false">IF(ISNUMBER(L366),L366,E366*P1_LOG+F366*P2_LOG+G366*P3_LOG)+IF(ISNUMBER(M366),M366,AA366*P1_LOG+AB366*P2_LOG+AC366*P3_LOG)*TASA_USADA</f>
        <v>0</v>
      </c>
      <c r="AK366" s="60" t="n">
        <f aca="false">AG366*COSTE_DEV</f>
        <v>0</v>
      </c>
      <c r="AL366" s="60" t="n">
        <f aca="false">AD366*P1_IVAN+AE366*P2_IVAN+AF366*IF($A366&lt;P3_DESDE,P3A_IVAN,P3_IVAN)-AG366*IVA_DEV</f>
        <v>0</v>
      </c>
      <c r="AM366" s="60" t="n">
        <f aca="false">N366*(1+RECARGO_ADS)</f>
        <v>0</v>
      </c>
      <c r="AN366" s="58" t="n">
        <f aca="false">IF(ISNUMBER(L366),E366+F366+G366+AA366+AB366+AC366,0)</f>
        <v>0</v>
      </c>
      <c r="AO366" s="60" t="n">
        <f aca="false">P366*COMISION</f>
        <v>0</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B367*P1_PVP+C367*P2_PVP+D367*IF($A367&lt;P3_DESDE,P3A_PVP,P3_PVP)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E367*(P1_PVP-P1_CPROD)+F367*(P2_PVP-P2_CPROD)+G367*(IF($A367&lt;P3_DESDE,P3A_PVP,P3_PVP)-IF($A367&lt;P3_DESDE,P3A_CPROD,P3_CPROD))-IF(ISNUMBER(L367),L367,E367*P1_LOG+F367*P2_LOG+G367*P3_LOG)</f>
        <v>0</v>
      </c>
      <c r="X367" s="33" t="n">
        <f aca="false">W367-(E367*P1_IVAN+F367*P2_IVAN+G367*IF($A367&lt;P3_DESDE,P3A_IVAN,P3_IVAN))-(H367+I367+J367)*(COSTE_DEV-IVA_DEV)-AM367-AO367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E367+AA367*TASA_USADA</f>
        <v>0</v>
      </c>
      <c r="AE367" s="59" t="n">
        <f aca="false">F367+AB367*TASA_USADA</f>
        <v>0</v>
      </c>
      <c r="AF367" s="59" t="n">
        <f aca="false">G367+AC367*TASA_USADA</f>
        <v>0</v>
      </c>
      <c r="AG367" s="59" t="n">
        <f aca="false">H367+I367+J367+(AA367+AB367+AC367)*(1-TASA_USADA)</f>
        <v>0</v>
      </c>
      <c r="AH367" s="60" t="n">
        <f aca="false">AD367*P1_PVP+AE367*P2_PVP+AF367*IF($A367&lt;P3_DESDE,P3A_PVP,P3_PVP)</f>
        <v>0</v>
      </c>
      <c r="AI367" s="60" t="n">
        <f aca="false">AD367*P1_CPROD+AE367*P2_CPROD+AF367*IF($A367&lt;P3_DESDE,P3A_CPROD,P3_CPROD)</f>
        <v>0</v>
      </c>
      <c r="AJ367" s="60" t="n">
        <f aca="false">IF(ISNUMBER(L367),L367,E367*P1_LOG+F367*P2_LOG+G367*P3_LOG)+IF(ISNUMBER(M367),M367,AA367*P1_LOG+AB367*P2_LOG+AC367*P3_LOG)*TASA_USADA</f>
        <v>0</v>
      </c>
      <c r="AK367" s="60" t="n">
        <f aca="false">AG367*COSTE_DEV</f>
        <v>0</v>
      </c>
      <c r="AL367" s="60" t="n">
        <f aca="false">AD367*P1_IVAN+AE367*P2_IVAN+AF367*IF($A367&lt;P3_DESDE,P3A_IVAN,P3_IVAN)-AG367*IVA_DEV</f>
        <v>0</v>
      </c>
      <c r="AM367" s="60" t="n">
        <f aca="false">N367*(1+RECARGO_ADS)</f>
        <v>0</v>
      </c>
      <c r="AN367" s="58" t="n">
        <f aca="false">IF(ISNUMBER(L367),E367+F367+G367+AA367+AB367+AC367,0)</f>
        <v>0</v>
      </c>
      <c r="AO367" s="60" t="n">
        <f aca="false">P367*COMISION</f>
        <v>0</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B368*P1_PVP+C368*P2_PVP+D368*IF($A368&lt;P3_DESDE,P3A_PVP,P3_PVP)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E368*(P1_PVP-P1_CPROD)+F368*(P2_PVP-P2_CPROD)+G368*(IF($A368&lt;P3_DESDE,P3A_PVP,P3_PVP)-IF($A368&lt;P3_DESDE,P3A_CPROD,P3_CPROD))-IF(ISNUMBER(L368),L368,E368*P1_LOG+F368*P2_LOG+G368*P3_LOG)</f>
        <v>0</v>
      </c>
      <c r="X368" s="33" t="n">
        <f aca="false">W368-(E368*P1_IVAN+F368*P2_IVAN+G368*IF($A368&lt;P3_DESDE,P3A_IVAN,P3_IVAN))-(H368+I368+J368)*(COSTE_DEV-IVA_DEV)-AM368-AO368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E368+AA368*TASA_USADA</f>
        <v>0</v>
      </c>
      <c r="AE368" s="59" t="n">
        <f aca="false">F368+AB368*TASA_USADA</f>
        <v>0</v>
      </c>
      <c r="AF368" s="59" t="n">
        <f aca="false">G368+AC368*TASA_USADA</f>
        <v>0</v>
      </c>
      <c r="AG368" s="59" t="n">
        <f aca="false">H368+I368+J368+(AA368+AB368+AC368)*(1-TASA_USADA)</f>
        <v>0</v>
      </c>
      <c r="AH368" s="60" t="n">
        <f aca="false">AD368*P1_PVP+AE368*P2_PVP+AF368*IF($A368&lt;P3_DESDE,P3A_PVP,P3_PVP)</f>
        <v>0</v>
      </c>
      <c r="AI368" s="60" t="n">
        <f aca="false">AD368*P1_CPROD+AE368*P2_CPROD+AF368*IF($A368&lt;P3_DESDE,P3A_CPROD,P3_CPROD)</f>
        <v>0</v>
      </c>
      <c r="AJ368" s="60" t="n">
        <f aca="false">IF(ISNUMBER(L368),L368,E368*P1_LOG+F368*P2_LOG+G368*P3_LOG)+IF(ISNUMBER(M368),M368,AA368*P1_LOG+AB368*P2_LOG+AC368*P3_LOG)*TASA_USADA</f>
        <v>0</v>
      </c>
      <c r="AK368" s="60" t="n">
        <f aca="false">AG368*COSTE_DEV</f>
        <v>0</v>
      </c>
      <c r="AL368" s="60" t="n">
        <f aca="false">AD368*P1_IVAN+AE368*P2_IVAN+AF368*IF($A368&lt;P3_DESDE,P3A_IVAN,P3_IVAN)-AG368*IVA_DEV</f>
        <v>0</v>
      </c>
      <c r="AM368" s="60" t="n">
        <f aca="false">N368*(1+RECARGO_ADS)</f>
        <v>0</v>
      </c>
      <c r="AN368" s="58" t="n">
        <f aca="false">IF(ISNUMBER(L368),E368+F368+G368+AA368+AB368+AC368,0)</f>
        <v>0</v>
      </c>
      <c r="AO368" s="60" t="n">
        <f aca="false">P368*COMISION</f>
        <v>0</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B369*P1_PVP+C369*P2_PVP+D369*IF($A369&lt;P3_DESDE,P3A_PVP,P3_PVP)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E369*(P1_PVP-P1_CPROD)+F369*(P2_PVP-P2_CPROD)+G369*(IF($A369&lt;P3_DESDE,P3A_PVP,P3_PVP)-IF($A369&lt;P3_DESDE,P3A_CPROD,P3_CPROD))-IF(ISNUMBER(L369),L369,E369*P1_LOG+F369*P2_LOG+G369*P3_LOG)</f>
        <v>0</v>
      </c>
      <c r="X369" s="33" t="n">
        <f aca="false">W369-(E369*P1_IVAN+F369*P2_IVAN+G369*IF($A369&lt;P3_DESDE,P3A_IVAN,P3_IVAN))-(H369+I369+J369)*(COSTE_DEV-IVA_DEV)-AM369-AO369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E369+AA369*TASA_USADA</f>
        <v>0</v>
      </c>
      <c r="AE369" s="59" t="n">
        <f aca="false">F369+AB369*TASA_USADA</f>
        <v>0</v>
      </c>
      <c r="AF369" s="59" t="n">
        <f aca="false">G369+AC369*TASA_USADA</f>
        <v>0</v>
      </c>
      <c r="AG369" s="59" t="n">
        <f aca="false">H369+I369+J369+(AA369+AB369+AC369)*(1-TASA_USADA)</f>
        <v>0</v>
      </c>
      <c r="AH369" s="60" t="n">
        <f aca="false">AD369*P1_PVP+AE369*P2_PVP+AF369*IF($A369&lt;P3_DESDE,P3A_PVP,P3_PVP)</f>
        <v>0</v>
      </c>
      <c r="AI369" s="60" t="n">
        <f aca="false">AD369*P1_CPROD+AE369*P2_CPROD+AF369*IF($A369&lt;P3_DESDE,P3A_CPROD,P3_CPROD)</f>
        <v>0</v>
      </c>
      <c r="AJ369" s="60" t="n">
        <f aca="false">IF(ISNUMBER(L369),L369,E369*P1_LOG+F369*P2_LOG+G369*P3_LOG)+IF(ISNUMBER(M369),M369,AA369*P1_LOG+AB369*P2_LOG+AC369*P3_LOG)*TASA_USADA</f>
        <v>0</v>
      </c>
      <c r="AK369" s="60" t="n">
        <f aca="false">AG369*COSTE_DEV</f>
        <v>0</v>
      </c>
      <c r="AL369" s="60" t="n">
        <f aca="false">AD369*P1_IVAN+AE369*P2_IVAN+AF369*IF($A369&lt;P3_DESDE,P3A_IVAN,P3_IVAN)-AG369*IVA_DEV</f>
        <v>0</v>
      </c>
      <c r="AM369" s="60" t="n">
        <f aca="false">N369*(1+RECARGO_ADS)</f>
        <v>0</v>
      </c>
      <c r="AN369" s="58" t="n">
        <f aca="false">IF(ISNUMBER(L369),E369+F369+G369+AA369+AB369+AC369,0)</f>
        <v>0</v>
      </c>
      <c r="AO369" s="60" t="n">
        <f aca="false">P369*COMISION</f>
        <v>0</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B370*P1_PVP+C370*P2_PVP+D370*IF($A370&lt;P3_DESDE,P3A_PVP,P3_PVP)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E370*(P1_PVP-P1_CPROD)+F370*(P2_PVP-P2_CPROD)+G370*(IF($A370&lt;P3_DESDE,P3A_PVP,P3_PVP)-IF($A370&lt;P3_DESDE,P3A_CPROD,P3_CPROD))-IF(ISNUMBER(L370),L370,E370*P1_LOG+F370*P2_LOG+G370*P3_LOG)</f>
        <v>0</v>
      </c>
      <c r="X370" s="33" t="n">
        <f aca="false">W370-(E370*P1_IVAN+F370*P2_IVAN+G370*IF($A370&lt;P3_DESDE,P3A_IVAN,P3_IVAN))-(H370+I370+J370)*(COSTE_DEV-IVA_DEV)-AM370-AO370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E370+AA370*TASA_USADA</f>
        <v>0</v>
      </c>
      <c r="AE370" s="59" t="n">
        <f aca="false">F370+AB370*TASA_USADA</f>
        <v>0</v>
      </c>
      <c r="AF370" s="59" t="n">
        <f aca="false">G370+AC370*TASA_USADA</f>
        <v>0</v>
      </c>
      <c r="AG370" s="59" t="n">
        <f aca="false">H370+I370+J370+(AA370+AB370+AC370)*(1-TASA_USADA)</f>
        <v>0</v>
      </c>
      <c r="AH370" s="60" t="n">
        <f aca="false">AD370*P1_PVP+AE370*P2_PVP+AF370*IF($A370&lt;P3_DESDE,P3A_PVP,P3_PVP)</f>
        <v>0</v>
      </c>
      <c r="AI370" s="60" t="n">
        <f aca="false">AD370*P1_CPROD+AE370*P2_CPROD+AF370*IF($A370&lt;P3_DESDE,P3A_CPROD,P3_CPROD)</f>
        <v>0</v>
      </c>
      <c r="AJ370" s="60" t="n">
        <f aca="false">IF(ISNUMBER(L370),L370,E370*P1_LOG+F370*P2_LOG+G370*P3_LOG)+IF(ISNUMBER(M370),M370,AA370*P1_LOG+AB370*P2_LOG+AC370*P3_LOG)*TASA_USADA</f>
        <v>0</v>
      </c>
      <c r="AK370" s="60" t="n">
        <f aca="false">AG370*COSTE_DEV</f>
        <v>0</v>
      </c>
      <c r="AL370" s="60" t="n">
        <f aca="false">AD370*P1_IVAN+AE370*P2_IVAN+AF370*IF($A370&lt;P3_DESDE,P3A_IVAN,P3_IVAN)-AG370*IVA_DEV</f>
        <v>0</v>
      </c>
      <c r="AM370" s="60" t="n">
        <f aca="false">N370*(1+RECARGO_ADS)</f>
        <v>0</v>
      </c>
      <c r="AN370" s="58" t="n">
        <f aca="false">IF(ISNUMBER(L370),E370+F370+G370+AA370+AB370+AC370,0)</f>
        <v>0</v>
      </c>
      <c r="AO370" s="60" t="n">
        <f aca="false">P370*COMISION</f>
        <v>0</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108</v>
      </c>
    </row>
    <row r="3" customFormat="false" ht="15" hidden="false" customHeight="false" outlineLevel="0" collapsed="false">
      <c r="A3" s="2" t="s">
        <v>109</v>
      </c>
    </row>
    <row r="4" customFormat="false" ht="15" hidden="false" customHeight="false" outlineLevel="0" collapsed="false">
      <c r="A4" s="52" t="s">
        <v>49</v>
      </c>
      <c r="B4" s="52" t="s">
        <v>110</v>
      </c>
      <c r="C4" s="52" t="s">
        <v>111</v>
      </c>
      <c r="D4" s="52" t="s">
        <v>112</v>
      </c>
      <c r="E4" s="52" t="s">
        <v>84</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 collapsed="false" customWidth="true" hidden="false" outlineLevel="0" max="7" min="7" style="0" width="17"/>
  </cols>
  <sheetData>
    <row r="1" customFormat="false" ht="19.7" hidden="false" customHeight="false" outlineLevel="0" collapsed="false">
      <c r="B1" s="1" t="s">
        <v>113</v>
      </c>
    </row>
    <row r="2" customFormat="false" ht="15" hidden="false" customHeight="false" outlineLevel="0" collapsed="false">
      <c r="B2" s="2" t="s">
        <v>114</v>
      </c>
    </row>
    <row r="4" customFormat="false" ht="22.35" hidden="false" customHeight="false" outlineLevel="0" collapsed="false">
      <c r="B4" s="62" t="s">
        <v>115</v>
      </c>
      <c r="C4" s="29" t="s">
        <v>116</v>
      </c>
      <c r="D4" s="29" t="s">
        <v>117</v>
      </c>
      <c r="E4" s="29" t="s">
        <v>118</v>
      </c>
      <c r="F4" s="29" t="s">
        <v>119</v>
      </c>
      <c r="G4" s="29" t="s">
        <v>120</v>
      </c>
    </row>
    <row r="5" customFormat="false" ht="15" hidden="false" customHeight="false" outlineLevel="0" collapsed="false">
      <c r="B5" s="63" t="s">
        <v>121</v>
      </c>
      <c r="C5" s="64" t="n">
        <v>29.99</v>
      </c>
      <c r="D5" s="64" t="n">
        <v>39.99</v>
      </c>
      <c r="E5" s="64" t="n">
        <v>59.99</v>
      </c>
      <c r="F5" s="65" t="s">
        <v>122</v>
      </c>
      <c r="G5" s="64" t="n">
        <v>49.99</v>
      </c>
    </row>
    <row r="6" customFormat="false" ht="15" hidden="false" customHeight="false" outlineLevel="0" collapsed="false">
      <c r="B6" s="63" t="s">
        <v>123</v>
      </c>
      <c r="C6" s="66" t="n">
        <v>1</v>
      </c>
      <c r="D6" s="66" t="n">
        <v>2</v>
      </c>
      <c r="E6" s="66" t="n">
        <v>3</v>
      </c>
      <c r="F6" s="65" t="s">
        <v>124</v>
      </c>
      <c r="G6" s="66" t="n">
        <v>3</v>
      </c>
    </row>
    <row r="7" customFormat="false" ht="22.35" hidden="false" customHeight="false" outlineLevel="0" collapsed="false">
      <c r="B7" s="63" t="s">
        <v>125</v>
      </c>
      <c r="C7" s="64" t="n">
        <v>1.99</v>
      </c>
      <c r="D7" s="64" t="n">
        <v>1.99</v>
      </c>
      <c r="E7" s="64" t="n">
        <v>3.3867</v>
      </c>
      <c r="F7" s="65" t="s">
        <v>126</v>
      </c>
      <c r="G7" s="64" t="n">
        <v>1.99</v>
      </c>
    </row>
    <row r="8" customFormat="false" ht="22.35" hidden="false" customHeight="false" outlineLevel="0" collapsed="false">
      <c r="B8" s="63" t="s">
        <v>127</v>
      </c>
      <c r="C8" s="64" t="n">
        <v>8.06</v>
      </c>
      <c r="D8" s="64" t="n">
        <v>8.06</v>
      </c>
      <c r="E8" s="64" t="n">
        <v>8.06</v>
      </c>
      <c r="F8" s="65" t="s">
        <v>128</v>
      </c>
      <c r="G8" s="64" t="n">
        <v>8.06</v>
      </c>
    </row>
    <row r="9" customFormat="false" ht="15" hidden="false" customHeight="false" outlineLevel="0" collapsed="false">
      <c r="B9" s="63" t="s">
        <v>129</v>
      </c>
      <c r="C9" s="32" t="n">
        <f aca="false">C6*C7*(1+IVA_PROD)</f>
        <v>2.4079</v>
      </c>
      <c r="D9" s="32" t="n">
        <f aca="false">D6*D7*(1+IVA_PROD)</f>
        <v>4.8158</v>
      </c>
      <c r="E9" s="32" t="n">
        <f aca="false">E6*E7*(1+IVA_PROD)</f>
        <v>12.293721</v>
      </c>
      <c r="F9" s="67" t="s">
        <v>130</v>
      </c>
      <c r="G9" s="32" t="n">
        <f aca="false">G6*G7*(1+IVA_PROD)</f>
        <v>7.2237</v>
      </c>
    </row>
    <row r="10" customFormat="false" ht="15" hidden="false" customHeight="false" outlineLevel="0" collapsed="false">
      <c r="B10" s="63" t="s">
        <v>131</v>
      </c>
      <c r="C10" s="32" t="n">
        <f aca="false">C9+C8</f>
        <v>10.4679</v>
      </c>
      <c r="D10" s="32" t="n">
        <f aca="false">D9+D8</f>
        <v>12.8758</v>
      </c>
      <c r="E10" s="32" t="n">
        <f aca="false">E9+E8</f>
        <v>20.353721</v>
      </c>
      <c r="F10" s="67" t="s">
        <v>132</v>
      </c>
      <c r="G10" s="32" t="n">
        <f aca="false">G9+G8</f>
        <v>15.2837</v>
      </c>
    </row>
    <row r="11" customFormat="false" ht="15" hidden="false" customHeight="false" outlineLevel="0" collapsed="false">
      <c r="B11" s="68" t="s">
        <v>133</v>
      </c>
      <c r="C11" s="33" t="n">
        <f aca="false">C5-C10</f>
        <v>19.5221</v>
      </c>
      <c r="D11" s="33" t="n">
        <f aca="false">D5-D10</f>
        <v>27.1142</v>
      </c>
      <c r="E11" s="33" t="n">
        <f aca="false">E5-E10</f>
        <v>39.636279</v>
      </c>
      <c r="F11" s="67" t="s">
        <v>134</v>
      </c>
      <c r="G11" s="33" t="n">
        <f aca="false">G5-G10</f>
        <v>34.7063</v>
      </c>
    </row>
    <row r="12" customFormat="false" ht="15" hidden="false" customHeight="false" outlineLevel="0" collapsed="false">
      <c r="B12" s="63" t="s">
        <v>135</v>
      </c>
      <c r="C12" s="32" t="n">
        <f aca="false">C5*IVA_VENTAS/(1+IVA_VENTAS)</f>
        <v>5.20487603305785</v>
      </c>
      <c r="D12" s="32" t="n">
        <f aca="false">D5*IVA_VENTAS/(1+IVA_VENTAS)</f>
        <v>6.9404132231405</v>
      </c>
      <c r="E12" s="32" t="n">
        <f aca="false">E5*IVA_VENTAS/(1+IVA_VENTAS)</f>
        <v>10.4114876033058</v>
      </c>
      <c r="F12" s="67" t="s">
        <v>136</v>
      </c>
      <c r="G12" s="32" t="n">
        <f aca="false">G5*IVA_VENTAS/(1+IVA_VENTAS)</f>
        <v>8.67595041322314</v>
      </c>
    </row>
    <row r="13" customFormat="false" ht="15" hidden="false" customHeight="false" outlineLevel="0" collapsed="false">
      <c r="B13" s="63" t="s">
        <v>137</v>
      </c>
      <c r="C13" s="32" t="n">
        <f aca="false">C6*C7*IVA_PROD+IF(LOG_IVA=1,C8*IVA_VENTAS/(1+IVA_VENTAS),0)</f>
        <v>0.4179</v>
      </c>
      <c r="D13" s="32" t="n">
        <f aca="false">D6*D7*IVA_PROD+IF(LOG_IVA=1,D8*IVA_VENTAS/(1+IVA_VENTAS),0)</f>
        <v>0.8358</v>
      </c>
      <c r="E13" s="32" t="n">
        <f aca="false">E6*E7*IVA_PROD+IF(LOG_IVA=1,E8*IVA_VENTAS/(1+IVA_VENTAS),0)</f>
        <v>2.133621</v>
      </c>
      <c r="F13" s="67" t="s">
        <v>138</v>
      </c>
      <c r="G13" s="32" t="n">
        <f aca="false">G6*G7*IVA_PROD+IF(LOG_IVA=1,G8*IVA_VENTAS/(1+IVA_VENTAS),0)</f>
        <v>1.2537</v>
      </c>
    </row>
    <row r="14" customFormat="false" ht="15" hidden="false" customHeight="false" outlineLevel="0" collapsed="false">
      <c r="B14" s="63" t="s">
        <v>139</v>
      </c>
      <c r="C14" s="32" t="n">
        <f aca="false">IF(APLICA_IVA=1,C12-C13,0)</f>
        <v>4.78697603305785</v>
      </c>
      <c r="D14" s="32" t="n">
        <f aca="false">IF(APLICA_IVA=1,D12-D13,0)</f>
        <v>6.1046132231405</v>
      </c>
      <c r="E14" s="32" t="n">
        <f aca="false">IF(APLICA_IVA=1,E12-E13,0)</f>
        <v>8.27786660330579</v>
      </c>
      <c r="F14" s="67" t="s">
        <v>140</v>
      </c>
      <c r="G14" s="32" t="n">
        <f aca="false">IF(APLICA_IVA=1,G12-G13,0)</f>
        <v>7.42225041322314</v>
      </c>
    </row>
    <row r="15" customFormat="false" ht="15" hidden="false" customHeight="false" outlineLevel="0" collapsed="false">
      <c r="B15" s="68" t="s">
        <v>141</v>
      </c>
      <c r="C15" s="33" t="n">
        <f aca="false">C11-C14</f>
        <v>14.7351239669421</v>
      </c>
      <c r="D15" s="33" t="n">
        <f aca="false">D11-D14</f>
        <v>21.0095867768595</v>
      </c>
      <c r="E15" s="33" t="n">
        <f aca="false">E11-E14</f>
        <v>31.3584123966942</v>
      </c>
      <c r="F15" s="67" t="s">
        <v>142</v>
      </c>
      <c r="G15" s="33" t="n">
        <f aca="false">G11-G14</f>
        <v>27.2840495867769</v>
      </c>
    </row>
    <row r="16" customFormat="false" ht="15" hidden="false" customHeight="false" outlineLevel="0" collapsed="false">
      <c r="B16" s="63" t="s">
        <v>143</v>
      </c>
      <c r="C16" s="4" t="n">
        <v>46310</v>
      </c>
    </row>
    <row r="17" customFormat="false" ht="15" hidden="false" customHeight="false" outlineLevel="0" collapsed="false">
      <c r="B17" s="62" t="s">
        <v>144</v>
      </c>
      <c r="C17" s="29" t="s">
        <v>145</v>
      </c>
      <c r="D17" s="29"/>
      <c r="E17" s="29"/>
      <c r="F17" s="29" t="s">
        <v>146</v>
      </c>
    </row>
    <row r="18" customFormat="false" ht="15" hidden="false" customHeight="false" outlineLevel="0" collapsed="false">
      <c r="B18" s="63" t="s">
        <v>147</v>
      </c>
      <c r="C18" s="69" t="n">
        <v>0.21</v>
      </c>
      <c r="F18" s="65" t="s">
        <v>148</v>
      </c>
    </row>
    <row r="19" customFormat="false" ht="15" hidden="false" customHeight="false" outlineLevel="0" collapsed="false">
      <c r="B19" s="63" t="s">
        <v>149</v>
      </c>
      <c r="C19" s="69" t="n">
        <v>0.21</v>
      </c>
      <c r="F19" s="65" t="s">
        <v>150</v>
      </c>
    </row>
    <row r="20" customFormat="false" ht="22.35" hidden="false" customHeight="false" outlineLevel="0" collapsed="false">
      <c r="B20" s="63" t="s">
        <v>151</v>
      </c>
      <c r="C20" s="70" t="s">
        <v>152</v>
      </c>
      <c r="F20" s="65" t="s">
        <v>153</v>
      </c>
    </row>
    <row r="21" customFormat="false" ht="22.35" hidden="false" customHeight="false" outlineLevel="0" collapsed="false">
      <c r="B21" s="63" t="s">
        <v>154</v>
      </c>
      <c r="C21" s="70" t="s">
        <v>155</v>
      </c>
      <c r="F21" s="65" t="s">
        <v>156</v>
      </c>
    </row>
    <row r="22" customFormat="false" ht="22.35" hidden="false" customHeight="false" outlineLevel="0" collapsed="false">
      <c r="B22" s="63" t="s">
        <v>157</v>
      </c>
      <c r="C22" s="64" t="n">
        <v>8.06</v>
      </c>
      <c r="F22" s="65" t="s">
        <v>158</v>
      </c>
    </row>
    <row r="23" customFormat="false" ht="15" hidden="false" customHeight="false" outlineLevel="0" collapsed="false">
      <c r="B23" s="63" t="s">
        <v>159</v>
      </c>
      <c r="C23" s="69" t="n">
        <v>0</v>
      </c>
      <c r="F23" s="65" t="s">
        <v>160</v>
      </c>
    </row>
    <row r="24" customFormat="false" ht="15" hidden="false" customHeight="false" outlineLevel="0" collapsed="false">
      <c r="B24" s="63" t="s">
        <v>161</v>
      </c>
      <c r="C24" s="69" t="n">
        <v>0.8</v>
      </c>
      <c r="F24" s="65" t="s">
        <v>162</v>
      </c>
    </row>
    <row r="25" customFormat="false" ht="15" hidden="false" customHeight="false" outlineLevel="0" collapsed="false">
      <c r="B25" s="63" t="s">
        <v>163</v>
      </c>
      <c r="C25" s="66" t="n">
        <v>30</v>
      </c>
      <c r="F25" s="65" t="s">
        <v>164</v>
      </c>
    </row>
    <row r="26" customFormat="false" ht="15" hidden="false" customHeight="false" outlineLevel="0" collapsed="false">
      <c r="B26" s="63" t="s">
        <v>165</v>
      </c>
      <c r="C26" s="69" t="n">
        <v>0.3</v>
      </c>
      <c r="D26" s="69" t="n">
        <v>0.05</v>
      </c>
      <c r="F26" s="65" t="s">
        <v>166</v>
      </c>
    </row>
    <row r="27" customFormat="false" ht="15" hidden="false" customHeight="false" outlineLevel="0" collapsed="false">
      <c r="B27" s="63" t="s">
        <v>29</v>
      </c>
      <c r="C27" s="71" t="n">
        <v>10000</v>
      </c>
      <c r="F27" s="65" t="s">
        <v>167</v>
      </c>
    </row>
    <row r="28" customFormat="false" ht="15" hidden="false" customHeight="false" outlineLevel="0" collapsed="false">
      <c r="B28" s="63" t="s">
        <v>168</v>
      </c>
      <c r="C28" s="4" t="n">
        <v>46300</v>
      </c>
      <c r="F28" s="65" t="s">
        <v>169</v>
      </c>
    </row>
    <row r="29" customFormat="false" ht="15" hidden="false" customHeight="false" outlineLevel="0" collapsed="false">
      <c r="B29" s="63" t="s">
        <v>170</v>
      </c>
      <c r="C29" s="70" t="s">
        <v>171</v>
      </c>
      <c r="F29" s="65" t="s">
        <v>172</v>
      </c>
    </row>
    <row r="30" customFormat="false" ht="15" hidden="false" customHeight="false" outlineLevel="0" collapsed="false">
      <c r="B30" s="63" t="s">
        <v>173</v>
      </c>
      <c r="C30" s="70" t="s">
        <v>174</v>
      </c>
      <c r="F30" s="65" t="s">
        <v>175</v>
      </c>
    </row>
    <row r="31" customFormat="false" ht="15" hidden="false" customHeight="false" outlineLevel="0" collapsed="false">
      <c r="B31" s="63" t="s">
        <v>176</v>
      </c>
      <c r="C31" s="64" t="n">
        <v>0.95</v>
      </c>
      <c r="F31" s="65" t="s">
        <v>177</v>
      </c>
    </row>
    <row r="32" customFormat="false" ht="19.5" hidden="false" customHeight="true" outlineLevel="0" collapsed="false">
      <c r="B32" s="62" t="s">
        <v>178</v>
      </c>
      <c r="C32" s="29" t="s">
        <v>145</v>
      </c>
      <c r="D32" s="29"/>
      <c r="E32" s="29"/>
      <c r="F32" s="29" t="s">
        <v>179</v>
      </c>
    </row>
    <row r="33" customFormat="false" ht="15" hidden="false" customHeight="false" outlineLevel="0" collapsed="false">
      <c r="B33" s="63" t="s">
        <v>180</v>
      </c>
      <c r="C33" s="31" t="n">
        <f aca="false">IF(C20="SÍ",1,0)</f>
        <v>1</v>
      </c>
      <c r="F33" s="67"/>
    </row>
    <row r="34" customFormat="false" ht="15" hidden="false" customHeight="false" outlineLevel="0" collapsed="false">
      <c r="B34" s="63" t="s">
        <v>181</v>
      </c>
      <c r="C34" s="31" t="n">
        <f aca="false">IF(C21="SÍ",1,0)</f>
        <v>0</v>
      </c>
      <c r="F34" s="67"/>
    </row>
    <row r="35" customFormat="false" ht="15" hidden="false" customHeight="false" outlineLevel="0" collapsed="false">
      <c r="B35" s="63" t="s">
        <v>182</v>
      </c>
      <c r="C35" s="32" t="n">
        <f aca="false">IF(AND(APLICA_IVA=1,LOG_IVA=1),C22*IVA_VENTAS/(1+IVA_VENTAS),0)</f>
        <v>0</v>
      </c>
      <c r="F35" s="67"/>
    </row>
    <row r="36" customFormat="false" ht="15" hidden="false" customHeight="false" outlineLevel="0" collapsed="false">
      <c r="B36" s="63" t="s">
        <v>183</v>
      </c>
      <c r="C36" s="32" t="n">
        <f aca="false">C22-C35</f>
        <v>8.06</v>
      </c>
      <c r="F36" s="67"/>
    </row>
    <row r="37" customFormat="false" ht="15" hidden="false" customHeight="false" outlineLevel="0" collapsed="false">
      <c r="B37" s="63" t="s">
        <v>184</v>
      </c>
      <c r="C37" s="31" t="n">
        <f aca="false">(SUM(Diario!$E$6:$E$370)+SUM(Diario!$F$6:$F$370)+SUM(Diario!$G$6:$G$370))+(SUM(Diario!$H$6:$H$370)+SUM(Diario!$I$6:$I$370)+SUM(Diario!$J$6:$J$370))</f>
        <v>42</v>
      </c>
      <c r="F37" s="67" t="s">
        <v>185</v>
      </c>
    </row>
    <row r="38" customFormat="false" ht="15" hidden="false" customHeight="false" outlineLevel="0" collapsed="false">
      <c r="B38" s="63" t="s">
        <v>186</v>
      </c>
      <c r="C38" s="34" t="n">
        <f aca="false">IF(C37&gt;0,(SUM(Diario!$E$6:$E$370)+SUM(Diario!$F$6:$F$370)+SUM(Diario!$G$6:$G$370))/C37,"")</f>
        <v>0.857142857142857</v>
      </c>
      <c r="F38" s="67" t="s">
        <v>187</v>
      </c>
    </row>
    <row r="39" customFormat="false" ht="15" hidden="false" customHeight="false" outlineLevel="0" collapsed="false">
      <c r="B39" s="63" t="s">
        <v>188</v>
      </c>
      <c r="C39" s="34" t="n">
        <f aca="false">IF(AND(C37&gt;=C25,C38&lt;&gt;""),C38,C24)</f>
        <v>0.857142857142857</v>
      </c>
      <c r="F39" s="67" t="s">
        <v>189</v>
      </c>
    </row>
    <row r="40" customFormat="false" ht="15" hidden="false" customHeight="false" outlineLevel="0" collapsed="false">
      <c r="B40" s="63" t="s">
        <v>190</v>
      </c>
      <c r="C40" s="34" t="n">
        <f aca="false">IF(SUM(Diario!$P$6:$P$370)&gt;0,SUM(Diario!$C$6:$C$370)/SUM(Diario!$P$6:$P$370),"")</f>
        <v>0.298969072164948</v>
      </c>
      <c r="D40" s="34" t="n">
        <f aca="false">IF(SUM(Diario!$P$6:$P$370)&gt;0,SUM(Diario!$D$6:$D$370)/SUM(Diario!$P$6:$P$370),"")</f>
        <v>0.0515463917525773</v>
      </c>
      <c r="F40" s="67" t="s">
        <v>191</v>
      </c>
    </row>
    <row r="41" customFormat="false" ht="15" hidden="false" customHeight="false" outlineLevel="0" collapsed="false">
      <c r="B41" s="63" t="s">
        <v>192</v>
      </c>
      <c r="C41" s="34" t="n">
        <f aca="false">IF(C40="",C26,C40)</f>
        <v>0.298969072164948</v>
      </c>
      <c r="D41" s="34" t="n">
        <f aca="false">IF(D40="",D26,D40)</f>
        <v>0.0515463917525773</v>
      </c>
      <c r="F41" s="67"/>
    </row>
    <row r="42" customFormat="false" ht="15" hidden="false" customHeight="false" outlineLevel="0" collapsed="false">
      <c r="B42" s="63" t="s">
        <v>193</v>
      </c>
      <c r="C42" s="32" t="n">
        <f aca="false">IF(SUM(Diario!$AN$6:$AN$370)&gt;0,(SUM(Diario!$L$6:$L$370)+SUM(Diario!$M$6:$M$370))/SUM(Diario!$AN$6:$AN$370),"")</f>
        <v>7.51307692307692</v>
      </c>
      <c r="F42" s="67" t="s">
        <v>194</v>
      </c>
    </row>
    <row r="43" customFormat="false" ht="15" hidden="false" customHeight="false" outlineLevel="0" collapsed="false">
      <c r="B43" s="63" t="s">
        <v>195</v>
      </c>
      <c r="C43" s="32" t="n">
        <f aca="false">(1-C41-D41)*C5+C41*D5+D41*E5</f>
        <v>34.5260824742268</v>
      </c>
      <c r="F43" s="67"/>
    </row>
    <row r="44" customFormat="false" ht="15" hidden="false" customHeight="false" outlineLevel="0" collapsed="false">
      <c r="B44" s="63" t="s">
        <v>196</v>
      </c>
      <c r="C44" s="32" t="n">
        <f aca="false">(1-C41-D41)*(C5-C9-IF(C42="",C8,C42)-C14)+C41*(D5-D9-IF(C42="",D8,C42)-D14)+D41*(E5-E9-IF(C42="",E8,C42)-E14)</f>
        <v>18.0147879060958</v>
      </c>
      <c r="F44" s="67" t="s">
        <v>197</v>
      </c>
    </row>
    <row r="45" customFormat="false" ht="15" hidden="false" customHeight="false" outlineLevel="0" collapsed="false">
      <c r="B45" s="63" t="s">
        <v>198</v>
      </c>
      <c r="C45" s="32" t="n">
        <f aca="false">C39*C44-(1-C39)*C36-COMISION</f>
        <v>13.339818205225</v>
      </c>
      <c r="F45" s="67" t="s">
        <v>199</v>
      </c>
    </row>
    <row r="46" customFormat="false" ht="15" hidden="false" customHeight="false" outlineLevel="0" collapsed="false">
      <c r="B46" s="68" t="s">
        <v>200</v>
      </c>
      <c r="C46" s="33" t="n">
        <f aca="false">C45/(1+RECARGO_ADS)</f>
        <v>13.339818205225</v>
      </c>
      <c r="F46" s="67" t="s">
        <v>201</v>
      </c>
    </row>
    <row r="47" customFormat="false" ht="15" hidden="false" customHeight="false" outlineLevel="0" collapsed="false">
      <c r="B47" s="68" t="s">
        <v>202</v>
      </c>
      <c r="C47" s="72" t="n">
        <f aca="false">IF(C46&gt;0,C43/C46,"")</f>
        <v>2.58819737593602</v>
      </c>
      <c r="F47" s="67" t="s">
        <v>203</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204</v>
      </c>
    </row>
    <row r="4" customFormat="false" ht="15" hidden="false" customHeight="false" outlineLevel="0" collapsed="false">
      <c r="B4" s="73" t="s">
        <v>205</v>
      </c>
    </row>
    <row r="5" customFormat="false" ht="15" hidden="false" customHeight="false" outlineLevel="0" collapsed="false">
      <c r="B5" s="74" t="s">
        <v>206</v>
      </c>
    </row>
    <row r="6" customFormat="false" ht="15" hidden="false" customHeight="false" outlineLevel="0" collapsed="false">
      <c r="B6" s="74" t="s">
        <v>207</v>
      </c>
    </row>
    <row r="7" customFormat="false" ht="15" hidden="false" customHeight="false" outlineLevel="0" collapsed="false">
      <c r="B7" s="74" t="s">
        <v>208</v>
      </c>
    </row>
    <row r="8" customFormat="false" ht="15" hidden="false" customHeight="false" outlineLevel="0" collapsed="false">
      <c r="B8" s="74" t="s">
        <v>209</v>
      </c>
    </row>
    <row r="10" customFormat="false" ht="15" hidden="false" customHeight="false" outlineLevel="0" collapsed="false">
      <c r="B10" s="73" t="s">
        <v>210</v>
      </c>
    </row>
    <row r="11" customFormat="false" ht="23.85" hidden="false" customHeight="false" outlineLevel="0" collapsed="false">
      <c r="B11" s="74" t="s">
        <v>211</v>
      </c>
    </row>
    <row r="12" customFormat="false" ht="15" hidden="false" customHeight="false" outlineLevel="0" collapsed="false">
      <c r="B12" s="74" t="s">
        <v>212</v>
      </c>
    </row>
    <row r="13" customFormat="false" ht="15" hidden="false" customHeight="false" outlineLevel="0" collapsed="false">
      <c r="B13" s="74" t="s">
        <v>213</v>
      </c>
    </row>
    <row r="15" customFormat="false" ht="15" hidden="false" customHeight="false" outlineLevel="0" collapsed="false">
      <c r="B15" s="73" t="s">
        <v>214</v>
      </c>
    </row>
    <row r="16" customFormat="false" ht="15" hidden="false" customHeight="false" outlineLevel="0" collapsed="false">
      <c r="B16" s="74" t="s">
        <v>215</v>
      </c>
    </row>
    <row r="17" customFormat="false" ht="23.85" hidden="false" customHeight="false" outlineLevel="0" collapsed="false">
      <c r="B17" s="74" t="s">
        <v>216</v>
      </c>
    </row>
    <row r="18" customFormat="false" ht="15" hidden="false" customHeight="false" outlineLevel="0" collapsed="false">
      <c r="B18" s="74" t="s">
        <v>217</v>
      </c>
    </row>
    <row r="20" customFormat="false" ht="15" hidden="false" customHeight="false" outlineLevel="0" collapsed="false">
      <c r="B20" s="73" t="s">
        <v>218</v>
      </c>
    </row>
    <row r="21" customFormat="false" ht="15" hidden="false" customHeight="false" outlineLevel="0" collapsed="false">
      <c r="B21" s="74" t="s">
        <v>219</v>
      </c>
    </row>
    <row r="22" customFormat="false" ht="23.85" hidden="false" customHeight="false" outlineLevel="0" collapsed="false">
      <c r="B22" s="74" t="s">
        <v>220</v>
      </c>
    </row>
    <row r="23" customFormat="false" ht="15" hidden="false" customHeight="false" outlineLevel="0" collapsed="false">
      <c r="B23" s="74" t="s">
        <v>221</v>
      </c>
    </row>
    <row r="25" customFormat="false" ht="15" hidden="false" customHeight="false" outlineLevel="0" collapsed="false">
      <c r="B25" s="73" t="s">
        <v>222</v>
      </c>
    </row>
    <row r="26" customFormat="false" ht="15" hidden="false" customHeight="false" outlineLevel="0" collapsed="false">
      <c r="B26" s="74" t="s">
        <v>223</v>
      </c>
    </row>
    <row r="27" customFormat="false" ht="15" hidden="false" customHeight="false" outlineLevel="0" collapsed="false">
      <c r="B27" s="74" t="s">
        <v>224</v>
      </c>
    </row>
    <row r="28" customFormat="false" ht="15" hidden="false" customHeight="false" outlineLevel="0" collapsed="false">
      <c r="B28" s="74" t="s">
        <v>225</v>
      </c>
    </row>
    <row r="30" customFormat="false" ht="15" hidden="false" customHeight="false" outlineLevel="0" collapsed="false">
      <c r="B30" s="73" t="s">
        <v>226</v>
      </c>
    </row>
    <row r="31" customFormat="false" ht="15" hidden="false" customHeight="false" outlineLevel="0" collapsed="false">
      <c r="B31" s="74" t="s">
        <v>227</v>
      </c>
    </row>
    <row r="32" customFormat="false" ht="15" hidden="false" customHeight="false" outlineLevel="0" collapsed="false">
      <c r="B32" s="74" t="s">
        <v>228</v>
      </c>
    </row>
    <row r="33" customFormat="false" ht="15" hidden="false" customHeight="false" outlineLevel="0" collapsed="false">
      <c r="B33" s="74" t="s">
        <v>229</v>
      </c>
    </row>
    <row r="34" customFormat="false" ht="23.85" hidden="false" customHeight="false" outlineLevel="0" collapsed="false">
      <c r="B34" s="74" t="s">
        <v>230</v>
      </c>
    </row>
    <row r="36" customFormat="false" ht="15" hidden="false" customHeight="false" outlineLevel="0" collapsed="false">
      <c r="B36" s="73" t="s">
        <v>231</v>
      </c>
    </row>
    <row r="37" customFormat="false" ht="15" hidden="false" customHeight="false" outlineLevel="0" collapsed="false">
      <c r="B37" s="74" t="s">
        <v>232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2026-10-15T17:40:31Z</dcterms:created>
  <dc:creator>openpyxl</dc:creator>
  <dc:description/>
  <dc:language>en-US</dc:language>
  <cp:lastModifiedBy/>
  <dcterms:modified xsi:type="dcterms:W3CDTF">2026-10-15T17:40:46Z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