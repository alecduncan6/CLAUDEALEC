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DF_INC" vbProcedure="false">Config!$C$63:$G$63</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EXPORT" vbProcedure="false">Config!$C$62</definedName>
    <definedName function="false" hidden="false" name="FECHA_INICIO" vbProcedure="false">Config!$C$28</definedName>
    <definedName function="false" hidden="false" name="FESTIVOS" vbProcedure="false">Config!$C$64:$L$64</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Q_INC" vbProcedure="false">Config!$C$61</definedName>
    <definedName function="false" hidden="false" name="RECARGO_ADS" vbProcedure="false">Config!$C$23</definedName>
    <definedName function="false" hidden="false" name="ROAS_BE" vbProcedure="false">Config!$C$47</definedName>
    <definedName function="false" hidden="false" name="TASA_BE" vbProcedure="false">Config!$C$58</definedName>
    <definedName function="false" hidden="false" name="TASA_INC" vbProcedure="false">Config!$C$54</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con la tasa de Config: los normales a la de sin incidencia y las incidencias a la suya.</t>
        </r>
      </text>
    </comment>
  </commentList>
</comments>
</file>

<file path=xl/sharedStrings.xml><?xml version="1.0" encoding="utf-8"?>
<sst xmlns="http://schemas.openxmlformats.org/spreadsheetml/2006/main" count="281" uniqueCount="262">
  <si>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</si>
  <si>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</si>
  <si>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</si>
  <si>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</si>
  <si>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</si>
  <si>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esperada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</si>
  <si>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</si>
  <si>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</si>
  <si>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</si>
  <si>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</si>
  <si>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</si>
  <si>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</si>
  <si>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</si>
  <si>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</si>
  <si>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</si>
  <si>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</si>
  <si>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</si>
  <si>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</si>
  <si>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</si>
  <si>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</si>
  <si>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</si>
  <si>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</si>
  <si>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</si>
  <si>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</si>
  <si>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</si>
  <si>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</si>
  <si>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</si>
  <si>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</si>
  <si>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</si>
  <si>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</si>
  <si>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</si>
  <si>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</si>
  <si>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</si>
  <si>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</si>
  <si>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</si>
  <si>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</si>
  <si>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</si>
  <si>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</si>
  <si>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</si>
  <si>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</si>
  <si>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</si>
  <si>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</si>
  <si>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</si>
  <si>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</si>
  <si>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</si>
  <si>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</si>
  <si>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</si>
  <si>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</si>
  <si>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</si>
  <si>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</si>
  <si>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</si>
  <si>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</si>
  <si>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</si>
  <si>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</si>
  <si>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</si>
  <si>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</si>
  <si>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</si>
  <si>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</si>
  <si>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</si>
  <si>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</si>
  <si>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</si>
  <si>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</si>
  <si>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</si>
  <si>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</si>
  <si>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</si>
  <si>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</si>
  <si>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</si>
  <si>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</si>
  <si>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</si>
  <si>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</si>
  <si>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</si>
  <si>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</si>
  <si>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</si>
  <si>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</si>
  <si>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</si>
  <si>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</si>
  <si>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</si>
  <si>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</si>
  <si>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</si>
  <si>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</si>
  <si>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</si>
  <si>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</si>
  <si>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</si>
  <si>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</si>
  <si>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</si>
  <si>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</si>
  <si>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</si>
  <si>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</si>
  <si>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</si>
  <si>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</si>
  <si>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</si>
  <si>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</si>
  <si>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</si>
  <si>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</si>
  <si>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</si>
  <si>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</si>
  <si>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</si>
  <si>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</si>
  <si>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</si>
  <si>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</si>
  <si>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</si>
  <si>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</si>
  <si>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</si>
  <si>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</si>
  <si>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</si>
  <si>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</si>
  <si>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Pendientes en incidencia</t>
  </si>
  <si>
    <t xml:space="preserve">Tasa de entrega de sus pendientes</t>
  </si>
  <si>
    <t xml:space="preserve">Días laborables desde el pedido</t>
  </si>
  <si>
    <t xml:space="preserve">Incidencias ya visibles</t>
  </si>
  <si>
    <t xml:space="preserve">Tasa de sus pendientes sin incidencia</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</si>
  <si>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</si>
  <si>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</si>
  <si>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</si>
  <si>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</si>
  <si>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</si>
  <si>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</si>
  <si>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</si>
  <si>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</si>
  <si>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</si>
  <si>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</si>
  <si>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</si>
  <si>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</si>
  <si>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</si>
  <si>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</si>
  <si>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</si>
  <si>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</si>
  <si>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</si>
  <si>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</si>
  <si>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</si>
  <si>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</si>
  <si>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</si>
  <si>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</si>
  <si>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Envío medio que te cobra Dropi al confirmar (7,55 € según la cartera). Si el día tiene envío real del export, se usa el real (6,75-8,06 €).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</si>
  <si>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</si>
  <si>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</si>
  <si>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</si>
  <si>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</si>
  <si>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</si>
  <si>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</si>
  <si>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</si>
  <si>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</si>
  <si>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</si>
  <si>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</si>
  <si>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</si>
  <si>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</si>
  <si>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</si>
  <si>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</si>
  <si>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</si>
  <si>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</si>
  <si>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</si>
  <si>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</si>
  <si>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</si>
  <si>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</si>
  <si>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</si>
  <si>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</si>
  <si>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</si>
  <si>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NO</t>
  </si>
  <si>
    <t xml:space="preserve">SÍ si facturas como autónomo o SL (Hacienda se queda ~4,8 € por Pack 1 entregado). NO solo para ver el bruto.</t>
  </si>
  <si>
    <t xml:space="preserve">¿El envío lleva IVA deducible?</t>
  </si>
  <si>
    <t xml:space="preserve">NO: el export dice 'Coste de envío (SIN IVA)' y el coste total no le suma IVA, así que no hay IVA que deducir.</t>
  </si>
  <si>
    <t xml:space="preserve">Coste por pedido devuelto</t>
  </si>
  <si>
    <t xml:space="preserve">El envío que ya pagaste al confirmar (7,55 € de media): la vuelta no se cobra aparte y el producto vuelve.</t>
  </si>
  <si>
    <t xml:space="preserve">Recargo sobre el gasto en Ads</t>
  </si>
  <si>
    <t xml:space="preserve">0% si Meta factura sin IVA (alta en ROI) o lo deduces. 21% si te cobran IVA y no lo recuperas.</t>
  </si>
  <si>
    <t xml:space="preserve">Tasa de entrega estimada (pedidos sin incidencia)</t>
  </si>
  <si>
    <t xml:space="preserve">Para proyectar los pendientes normales mientras no tengas datos propios.</t>
  </si>
  <si>
    <t xml:space="preserve">Pedidos resueltos para usar tu tasa real</t>
  </si>
  <si>
    <t xml:space="preserve">Con estos entregados + devueltos SIN incidencia, el libro pasa a usar tu tasa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</si>
  <si>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</si>
  <si>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</si>
  <si>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</si>
  <si>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</si>
  <si>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</si>
  <si>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</si>
  <si>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</si>
  <si>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</si>
  <si>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</si>
  <si>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</si>
  <si>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</si>
  <si>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</si>
  <si>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</si>
  <si>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</si>
  <si>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</si>
  <si>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</si>
  <si>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</si>
  <si>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</si>
  <si>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</si>
  <si>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</si>
  <si>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</si>
  <si>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</si>
  <si>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</si>
  <si>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(pendientes sin incidencia)</t>
  </si>
  <si>
    <t xml:space="preserve">La real sin incidencias si hay suficientes resueltos; si no, la estimada. Las incidencias van con la suya (C54).</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</si>
  <si>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</si>
  <si>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</si>
  <si>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</si>
  <si>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</si>
  <si>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</si>
  <si>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</si>
  <si>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</si>
  <si>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</si>
  <si>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</si>
  <si>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final esperada (C58)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</si>
  <si>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</si>
  <si>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</si>
  <si>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</si>
  <si>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</si>
  <si>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Incidencias (tablero del equipo)</t>
  </si>
  <si>
    <t xml:space="preserve">Tasa de entrega estimada de las incidencias</t>
  </si>
  <si>
    <t xml:space="preserve">Punto de partida (35%). Se va corrigiendo con las incidencias que el equipo cierra.</t>
  </si>
  <si>
    <t xml:space="preserve">Peso de la estimación (en incidencias)</t>
  </si>
  <si>
    <t xml:space="preserve">La estimación cuenta como 10 incidencias: con pocas cerradas manda ella, con muchas manda lo real.</t>
  </si>
  <si>
    <t xml:space="preserve">Incidencias cerradas (entregadas + devueltas)</t>
  </si>
  <si>
    <t xml:space="preserve">Del tablero de Incidencias del dashboard (lo rellena Claude al regenerar).</t>
  </si>
  <si>
    <t xml:space="preserve">… de ellas entregadas</t>
  </si>
  <si>
    <t xml:space="preserve">Tasa de entrega USADA para incidencias</t>
  </si>
  <si>
    <t xml:space="preserve">(entregadas + estimada × peso) ÷ (cerradas + peso).</t>
  </si>
  <si>
    <t xml:space="preserve">Tasa de entrega real sin incidencias</t>
  </si>
  <si>
    <t xml:space="preserve">(Entregados − incidencias entregadas) ÷ (resueltos − incidencias cerradas).</t>
  </si>
  <si>
    <t xml:space="preserve">Pendientes ahora</t>
  </si>
  <si>
    <t xml:space="preserve">… de ellos en incidencia</t>
  </si>
  <si>
    <t xml:space="preserve">Tasa final esperada (la del break-even)</t>
  </si>
  <si>
    <t xml:space="preserve">(Entregados + pendientes × su tasa) ÷ todo lo enviado. Es la que manda en el CPA break-even.</t>
  </si>
  <si>
    <t xml:space="preserve">Pedidos recientes</t>
  </si>
  <si>
    <t xml:space="preserve">% de pedidos que acaban en incidencia</t>
  </si>
  <si>
    <t xml:space="preserve">Incidencias del tablero ÷ pedidos (corrigiendo los días recientes). Lo rellena Claude al regenerar.</t>
  </si>
  <si>
    <t xml:space="preserve">Fecha del último Excel del almacén</t>
  </si>
  <si>
    <t xml:space="preserve">La edad de cada pedido se cuenta hasta aquí.</t>
  </si>
  <si>
    <t xml:space="preserve">Incidencias ya visibles a 0 / 1 / 2 / 3 / 4 días laborables</t>
  </si>
  <si>
    <t xml:space="preserve">Festivos nacionales (sin entregas ni abonos)</t>
  </si>
  <si>
    <t xml:space="preserve">Tasa de entrega de un pedido nuevo</t>
  </si>
  <si>
    <t xml:space="preserve">(1 − % incidencia) × tasa sin incidencia + % incidencia × tasa de incidencias.</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</si>
  <si>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</si>
  <si>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</si>
  <si>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</si>
  <si>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</si>
  <si>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</si>
  <si>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</si>
  <si>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</si>
  <si>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</si>
  <si>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</si>
  <si>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</si>
  <si>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</si>
  <si>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</si>
  <si>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</si>
  <si>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</si>
  <si>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</si>
  <si>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</si>
  <si>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</si>
  <si>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normales se entregan a tu tasa sin incidencia y los que están en incidencia a la de incidencias (Config, filas 49-58).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</si>
  <si>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</si>
  <si>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</si>
  <si>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</si>
  <si>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</si>
  <si>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</si>
  <si>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el envío que ya pagaste (7,55 € de media según la cartera de Dropi).</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</si>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</sst>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7"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09/10</c:v>
                </c:pt>
                <c:pt idx="1">
                  <c:v>Sat 10/10</c:v>
                </c:pt>
                <c:pt idx="2">
                  <c:v>Sun 11/10</c:v>
                </c:pt>
                <c:pt idx="3">
                  <c:v>Mon 12/10</c:v>
                </c:pt>
                <c:pt idx="4">
                  <c:v>Tue 13/10</c:v>
                </c:pt>
                <c:pt idx="5">
                  <c:v>Wed 14/10</c:v>
                </c:pt>
                <c:pt idx="6">
                  <c:v>Thu 15/10</c:v>
                </c:pt>
                <c:pt idx="7">
                  <c:v>Fri 16/10</c:v>
                </c:pt>
                <c:pt idx="8">
                  <c:v>Sat 17/10</c:v>
                </c:pt>
                <c:pt idx="9">
                  <c:v>Sun 18/10</c:v>
                </c:pt>
                <c:pt idx="10">
                  <c:v>Mon 19/10</c:v>
                </c:pt>
                <c:pt idx="11">
                  <c:v>Tue 20/10</c:v>
                </c:pt>
                <c:pt idx="12">
                  <c:v>Wed 21/10</c:v>
                </c:pt>
                <c:pt idx="13">
                  <c:v>Thu 22/10</c:v>
                </c:pt>
              </c:strCache>
            </c:strRef>
          </c:cat>
          <c:val>
            <c:numRef>
              <c:f>Dashboard!$F$29:$F$42</c:f>
              <c:numCache>
                <c:formatCode>#,##0.00" €";[RED]\-#,##0.00" €";\-</c:formatCode>
                <c:ptCount val="14"/>
                <c:pt idx="0">
                  <c:v>49.4247</c:v>
                </c:pt>
                <c:pt idx="1">
                  <c:v>-5.28674186046512</c:v>
                </c:pt>
                <c:pt idx="2">
                  <c:v>-104.808501162791</c:v>
                </c:pt>
                <c:pt idx="3">
                  <c:v>65.5429813953489</c:v>
                </c:pt>
                <c:pt idx="4">
                  <c:v>26.9241290697675</c:v>
                </c:pt>
                <c:pt idx="5">
                  <c:v>56.9775151162791</c:v>
                </c:pt>
                <c:pt idx="6">
                  <c:v>37.3949127906977</c:v>
                </c:pt>
                <c:pt idx="7">
                  <c:v>64.6326162654163</c:v>
                </c:pt>
                <c:pt idx="8">
                  <c:v>63.4619697272196</c:v>
                </c:pt>
                <c:pt idx="9">
                  <c:v>78.0128504836301</c:v>
                </c:pt>
                <c:pt idx="10">
                  <c:v>100.137730504673</c:v>
                </c:pt>
                <c:pt idx="11">
                  <c:v>23.3165779935137</c:v>
                </c:pt>
                <c:pt idx="12">
                  <c:v>5.15387004650368</c:v>
                </c:pt>
                <c:pt idx="13">
                  <c:v>46.5328093203284</c:v>
                </c:pt>
              </c:numCache>
            </c:numRef>
          </c:val>
        </c:ser>
        <c:gapWidth val="150"/>
        <c:overlap val="0"/>
        <c:axId val="12139984"/>
        <c:axId val="58635947"/>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Fri 09/10</c:v>
                </c:pt>
                <c:pt idx="1">
                  <c:v>Sat 10/10</c:v>
                </c:pt>
                <c:pt idx="2">
                  <c:v>Sun 11/10</c:v>
                </c:pt>
                <c:pt idx="3">
                  <c:v>Mon 12/10</c:v>
                </c:pt>
                <c:pt idx="4">
                  <c:v>Tue 13/10</c:v>
                </c:pt>
                <c:pt idx="5">
                  <c:v>Wed 14/10</c:v>
                </c:pt>
                <c:pt idx="6">
                  <c:v>Thu 15/10</c:v>
                </c:pt>
                <c:pt idx="7">
                  <c:v>Fri 16/10</c:v>
                </c:pt>
                <c:pt idx="8">
                  <c:v>Sat 17/10</c:v>
                </c:pt>
                <c:pt idx="9">
                  <c:v>Sun 18/10</c:v>
                </c:pt>
                <c:pt idx="10">
                  <c:v>Mon 19/10</c:v>
                </c:pt>
                <c:pt idx="11">
                  <c:v>Tue 20/10</c:v>
                </c:pt>
                <c:pt idx="12">
                  <c:v>Wed 21/10</c:v>
                </c:pt>
                <c:pt idx="13">
                  <c:v>Thu 22/10</c:v>
                </c:pt>
              </c:strCache>
            </c:strRef>
          </c:cat>
          <c:val>
            <c:numRef>
              <c:f>Dashboard!$D$29:$D$42</c:f>
              <c:numCache>
                <c:formatCode>#,##0.00" €";[RED]\-#,##0.00" €";\-</c:formatCode>
                <c:ptCount val="14"/>
                <c:pt idx="0">
                  <c:v>41.21</c:v>
                </c:pt>
                <c:pt idx="1">
                  <c:v>64.81</c:v>
                </c:pt>
                <c:pt idx="2">
                  <c:v>89.51</c:v>
                </c:pt>
                <c:pt idx="3">
                  <c:v>78.33</c:v>
                </c:pt>
                <c:pt idx="4">
                  <c:v>68.05</c:v>
                </c:pt>
                <c:pt idx="5">
                  <c:v>73.35</c:v>
                </c:pt>
                <c:pt idx="6">
                  <c:v>60.8</c:v>
                </c:pt>
                <c:pt idx="7">
                  <c:v>100.4</c:v>
                </c:pt>
                <c:pt idx="8">
                  <c:v>81.87</c:v>
                </c:pt>
                <c:pt idx="9">
                  <c:v>149.88</c:v>
                </c:pt>
                <c:pt idx="10">
                  <c:v>85.31</c:v>
                </c:pt>
                <c:pt idx="11">
                  <c:v>71.96</c:v>
                </c:pt>
                <c:pt idx="12">
                  <c:v>79.53</c:v>
                </c:pt>
                <c:pt idx="13">
                  <c:v>22.01</c:v>
                </c:pt>
              </c:numCache>
            </c:numRef>
          </c:val>
          <c:smooth val="0"/>
        </c:ser>
        <c:hiLowLines>
          <c:spPr>
            <a:ln w="0">
              <a:noFill/>
            </a:ln>
          </c:spPr>
        </c:hiLowLines>
        <c:marker val="0"/>
        <c:axId val="12139984"/>
        <c:axId val="58635947"/>
      </c:lineChart>
      <c:catAx>
        <c:axId val="12139984"/>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635947"/>
        <c:crosses val="autoZero"/>
        <c:auto val="1"/>
        <c:lblAlgn val="ctr"/>
        <c:lblOffset val="100"/>
        <c:noMultiLvlLbl val="0"/>
      </c:catAx>
      <c:valAx>
        <c:axId val="58635947"/>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13998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529.283528992448</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7557710"/>
        <c:axId val="98759113"/>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7557710"/>
        <c:axId val="98759113"/>
      </c:lineChart>
      <c:catAx>
        <c:axId val="7557710"/>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759113"/>
        <c:crosses val="autoZero"/>
        <c:auto val="1"/>
        <c:lblAlgn val="ctr"/>
        <c:lblOffset val="100"/>
        <c:noMultiLvlLbl val="0"/>
      </c:catAx>
      <c:valAx>
        <c:axId val="98759113"/>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5771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46317</v>
      </c>
      <c r="G3" s="4"/>
      <c r="H3" s="3" t="s">
        <v>4</v>
      </c>
      <c r="I3" s="5" t="n">
        <f aca="false">MAX(1,$F$3-$C$3+1)</f>
        <v>22</v>
      </c>
      <c r="J3" s="6" t="s">
        <v>5</v>
      </c>
      <c r="K3" s="6"/>
      <c r="L3" s="7" t="n">
        <f aca="false">TASA_BE</f>
        <v>0.627503825761936</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529.283528992448</v>
      </c>
      <c r="C7" s="10"/>
      <c r="D7" s="10" t="n">
        <f aca="false">SUMIFS(Diario!$W$6:$W$370,Diario!$A$6:$A$370,"&gt;="&amp;$C$3,Diario!$A$6:$A$370,"&lt;="&amp;$F$3)</f>
        <v>1550.563679</v>
      </c>
      <c r="E7" s="10"/>
      <c r="F7" s="10" t="n">
        <f aca="false">SUMIFS(Diario!$X$6:$X$370,Diario!$A$6:$A$370,"&gt;="&amp;$C$3,Diario!$A$6:$A$370,"&lt;="&amp;$F$3)+F24</f>
        <v>-116.846321</v>
      </c>
      <c r="G7" s="10"/>
      <c r="H7" s="11" t="n">
        <f aca="false">SUMIFS(Diario!$P$6:$P$370,Diario!$A$6:$A$370,"&gt;="&amp;$C$3,Diario!$A$6:$A$370,"&lt;="&amp;$F$3)</f>
        <v>153</v>
      </c>
      <c r="I7" s="11"/>
      <c r="J7" s="10" t="n">
        <f aca="false">SUMIFS(Diario!$R$6:$R$370,Diario!$A$6:$A$370,"&gt;="&amp;$C$3,Diario!$A$6:$A$370,"&lt;="&amp;$F$3)</f>
        <v>5488.47</v>
      </c>
      <c r="K7" s="10"/>
      <c r="L7" s="10" t="n">
        <f aca="false">SUMIFS(Diario!$N$6:$N$370,Diario!$A$6:$A$370,"&gt;="&amp;$C$3,Diario!$A$6:$A$370,"&lt;="&amp;$F$3)</f>
        <v>1303.11</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8.51705882352941</v>
      </c>
      <c r="C10" s="10"/>
      <c r="D10" s="10" t="n">
        <f aca="false">CPA_BE</f>
        <v>11.7834261276648</v>
      </c>
      <c r="E10" s="10"/>
      <c r="F10" s="12" t="n">
        <f aca="false">IF(L7&gt;0,J7/L7,"")</f>
        <v>4.21182402099593</v>
      </c>
      <c r="G10" s="12"/>
      <c r="H10" s="12" t="n">
        <f aca="false">ROAS_BE</f>
        <v>3.0720394844934</v>
      </c>
      <c r="I10" s="12"/>
      <c r="J10" s="10" t="n">
        <f aca="false">IF(H7&gt;0,J7/H7,"")</f>
        <v>35.8723529411765</v>
      </c>
      <c r="K10" s="10"/>
      <c r="L10" s="13" t="n">
        <f aca="false">IF(H7&gt;0,(SUMIFS(Diario!$C$6:$C$370,Diario!$A$6:$A$370,"&gt;="&amp;$C$3,Diario!$A$6:$A$370,"&lt;="&amp;$F$3)+SUMIFS(Diario!$D$6:$D$370,Diario!$A$6:$A$370,"&gt;="&amp;$C$3,Diario!$A$6:$A$370,"&lt;="&amp;$F$3))/H7,"")</f>
        <v>0.450980392156863</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64</v>
      </c>
      <c r="C13" s="11"/>
      <c r="D13" s="11" t="n">
        <f aca="false">SUMIFS(Diario!$Q$6:$Q$370,Diario!$A$6:$A$370,"&gt;="&amp;$C$3,Diario!$A$6:$A$370,"&lt;="&amp;$F$3)</f>
        <v>60</v>
      </c>
      <c r="E13" s="11"/>
      <c r="F13" s="11" t="n">
        <f aca="false">SUMIFS(Diario!$K$6:$K$370,Diario!$A$6:$A$370,"&gt;="&amp;$C$3,Diario!$A$6:$A$370,"&lt;="&amp;$F$3)</f>
        <v>31</v>
      </c>
      <c r="G13" s="11"/>
      <c r="H13" s="11" t="n">
        <f aca="false">SUMIFS(Diario!$H$6:$H$370,Diario!$A$6:$A$370,"&gt;="&amp;$C$3,Diario!$A$6:$A$370,"&lt;="&amp;$F$3)+SUMIFS(Diario!$I$6:$I$370,Diario!$A$6:$A$370,"&gt;="&amp;$C$3,Diario!$A$6:$A$370,"&lt;="&amp;$F$3)+SUMIFS(Diario!$J$6:$J$370,Diario!$A$6:$A$370,"&gt;="&amp;$C$3,Diario!$A$6:$A$370,"&lt;="&amp;$F$3)</f>
        <v>29</v>
      </c>
      <c r="I13" s="11"/>
      <c r="J13" s="13" t="n">
        <f aca="false">IF(B13+H13&gt;0,B13/(B13+H13),"")</f>
        <v>0.688172043010753</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3499.79503639758</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-0.113148139354226</v>
      </c>
      <c r="F17" s="17" t="n">
        <f aca="false">-SUMIFS(Diario!$AI$6:$AI$370,Diario!$A$6:$A$370,"&gt;="&amp;$C$3,Diario!$A$6:$A$370,"&lt;="&amp;$F$3)</f>
        <v>-395.995296489543</v>
      </c>
      <c r="H17" s="15" t="s">
        <v>31</v>
      </c>
      <c r="I17" s="15"/>
      <c r="J17" s="15"/>
      <c r="K17" s="15"/>
      <c r="L17" s="20" t="n">
        <f aca="false">F25/I3</f>
        <v>24.0583422269294</v>
      </c>
      <c r="M17" s="20"/>
    </row>
    <row r="18" customFormat="false" ht="15" hidden="false" customHeight="false" outlineLevel="0" collapsed="false">
      <c r="B18" s="15" t="s">
        <v>32</v>
      </c>
      <c r="C18" s="15"/>
      <c r="D18" s="15"/>
      <c r="E18" s="19" t="n">
        <f aca="false">IF($F$16&gt;0,F18/$F$16,"")</f>
        <v>-0.198802286422081</v>
      </c>
      <c r="F18" s="17" t="n">
        <f aca="false">-SUMIFS(Diario!$AJ$6:$AJ$370,Diario!$A$6:$A$370,"&gt;="&amp;$C$3,Diario!$A$6:$A$370,"&lt;="&amp;$F$3)</f>
        <v>-695.767255244489</v>
      </c>
      <c r="H18" s="15" t="s">
        <v>33</v>
      </c>
      <c r="I18" s="15"/>
      <c r="J18" s="15"/>
      <c r="K18" s="15"/>
      <c r="L18" s="18" t="n">
        <f aca="false">L17*30</f>
        <v>721.750266807884</v>
      </c>
      <c r="M18" s="18"/>
    </row>
    <row r="19" customFormat="false" ht="15" hidden="false" customHeight="false" outlineLevel="0" collapsed="false">
      <c r="B19" s="15" t="s">
        <v>34</v>
      </c>
      <c r="C19" s="15"/>
      <c r="D19" s="15"/>
      <c r="E19" s="19" t="n">
        <f aca="false">IF($F$16&gt;0,F19/$F$16,"")</f>
        <v>-0.122946901517412</v>
      </c>
      <c r="F19" s="17" t="n">
        <f aca="false">-SUMIFS(Diario!$AK$6:$AK$370,Diario!$A$6:$A$370,"&gt;="&amp;$C$3,Diario!$A$6:$A$370,"&lt;="&amp;$F$3)</f>
        <v>-430.288955671099</v>
      </c>
      <c r="H19" s="21" t="s">
        <v>35</v>
      </c>
      <c r="I19" s="21"/>
      <c r="J19" s="21"/>
      <c r="K19" s="21"/>
      <c r="L19" s="22" t="n">
        <f aca="false">IF(L16&gt;0,L18/L16,"")</f>
        <v>0.0721750266807884</v>
      </c>
      <c r="M19" s="22"/>
    </row>
    <row r="20" customFormat="false" ht="15" hidden="false" customHeight="false" outlineLevel="0" collapsed="false">
      <c r="B20" s="15" t="s">
        <v>36</v>
      </c>
      <c r="C20" s="15"/>
      <c r="D20" s="15"/>
      <c r="E20" s="19" t="n">
        <f aca="false">IF($F$16&gt;0,F20/$F$16,"")</f>
        <v>-0.0415310035268843</v>
      </c>
      <c r="F20" s="17" t="n">
        <f aca="false">-SUMIFS(Diario!$AO$6:$AO$370,Diario!$A$6:$A$370,"&gt;="&amp;$C$3,Diario!$A$6:$A$370,"&lt;="&amp;$F$3)</f>
        <v>-145.35</v>
      </c>
      <c r="H20" s="15" t="s">
        <v>37</v>
      </c>
      <c r="I20" s="15"/>
      <c r="J20" s="15"/>
      <c r="K20" s="15"/>
      <c r="L20" s="20" t="n">
        <f aca="false">BEN_PEDIDO</f>
        <v>11.7834261276648</v>
      </c>
      <c r="M20" s="20"/>
    </row>
    <row r="21" customFormat="false" ht="15" hidden="false" customHeight="false" outlineLevel="0" collapsed="false">
      <c r="B21" s="15" t="s">
        <v>38</v>
      </c>
      <c r="C21" s="15"/>
      <c r="D21" s="15"/>
      <c r="E21" s="19" t="n">
        <f aca="false">IF($F$16&gt;0,F21/$F$16,"")</f>
        <v>-0</v>
      </c>
      <c r="F21" s="17" t="n">
        <f aca="false">-SUMIFS(Diario!$AL$6:$AL$370,Diario!$A$6:$A$370,"&gt;="&amp;$C$3,Diario!$A$6:$A$370,"&lt;="&amp;$F$3)</f>
        <v>-0</v>
      </c>
      <c r="H21" s="15" t="s">
        <v>39</v>
      </c>
      <c r="I21" s="15"/>
      <c r="J21" s="15"/>
      <c r="K21" s="15"/>
      <c r="L21" s="20" t="n">
        <f aca="false">B10</f>
        <v>8.51705882352941</v>
      </c>
      <c r="M21" s="20"/>
    </row>
    <row r="22" customFormat="false" ht="15" hidden="false" customHeight="false" outlineLevel="0" collapsed="false">
      <c r="B22" s="15" t="s">
        <v>40</v>
      </c>
      <c r="C22" s="15"/>
      <c r="D22" s="15"/>
      <c r="E22" s="19" t="n">
        <f aca="false">IF($F$16&gt;0,F22/$F$16,"")</f>
        <v>-0.372338947409138</v>
      </c>
      <c r="F22" s="17" t="n">
        <f aca="false">-SUMIFS(Diario!$AM$6:$AM$370,Diario!$A$6:$A$370,"&gt;="&amp;$C$3,Diario!$A$6:$A$370,"&lt;="&amp;$F$3)</f>
        <v>-1303.11</v>
      </c>
      <c r="H22" s="15" t="s">
        <v>41</v>
      </c>
      <c r="I22" s="15"/>
      <c r="J22" s="15"/>
      <c r="K22" s="15"/>
      <c r="L22" s="20" t="n">
        <f aca="false">IF(ISNUMBER(L21),L20-L21*(1+RECARGO_ADS),"")</f>
        <v>3.26636730413536</v>
      </c>
      <c r="M22" s="20"/>
    </row>
    <row r="23" customFormat="false" ht="15" hidden="false" customHeight="false" outlineLevel="0" collapsed="false">
      <c r="B23" s="23" t="s">
        <v>42</v>
      </c>
      <c r="C23" s="23"/>
      <c r="D23" s="23"/>
      <c r="E23" s="24" t="n">
        <f aca="false">IF($F$16&gt;0,F23/$F$16,"")</f>
        <v>0.151232721770259</v>
      </c>
      <c r="F23" s="25" t="n">
        <f aca="false">SUM(F16:F22)</f>
        <v>529.283528992448</v>
      </c>
      <c r="H23" s="21" t="s">
        <v>43</v>
      </c>
      <c r="I23" s="21"/>
      <c r="J23" s="21"/>
      <c r="K23" s="21"/>
      <c r="L23" s="26" t="n">
        <f aca="false">IF(NOT(ISNUMBER(L22)),"",IF(L22&lt;=0,"Baja el CPA",ROUNDUP((L16-F24/I3*30)/30/L22,0)))</f>
        <v>103</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877.257058823529</v>
      </c>
      <c r="M24" s="18"/>
    </row>
    <row r="25" customFormat="false" ht="15" hidden="false" customHeight="false" outlineLevel="0" collapsed="false">
      <c r="B25" s="23" t="s">
        <v>46</v>
      </c>
      <c r="C25" s="23"/>
      <c r="D25" s="23"/>
      <c r="E25" s="24" t="n">
        <f aca="false">IF($F$16&gt;0,F25/$F$16,"")</f>
        <v>0.151232721770259</v>
      </c>
      <c r="F25" s="25" t="n">
        <f aca="false">F23+F24</f>
        <v>529.283528992448</v>
      </c>
    </row>
    <row r="26" customFormat="false" ht="15" hidden="false" customHeight="false" outlineLevel="0" collapsed="false">
      <c r="B26" s="27" t="s">
        <v>47</v>
      </c>
      <c r="C26" s="27"/>
      <c r="D26" s="27"/>
      <c r="F26" s="28" t="n">
        <f aca="false">IF(F16&gt;0,F25/F16,"")</f>
        <v>0.151232721770259</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46304</v>
      </c>
      <c r="C29" s="31" t="n">
        <f aca="false">SUMIFS(Diario!$P$6:$P$370,Diario!$A$6:$A$370,$B29)</f>
        <v>5</v>
      </c>
      <c r="D29" s="32" t="n">
        <f aca="false">SUMIFS(Diario!$N$6:$N$370,Diario!$A$6:$A$370,$B29)</f>
        <v>41.21</v>
      </c>
      <c r="E29" s="32" t="n">
        <f aca="false">IF(C29&gt;0,D29/C29,"")</f>
        <v>8.242</v>
      </c>
      <c r="F29" s="33" t="n">
        <f aca="false">SUMIFS(Diario!$Y$6:$Y$370,Diario!$A$6:$A$370,$B29)</f>
        <v>49.4247</v>
      </c>
      <c r="G29" s="34" t="n">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0.8</v>
      </c>
    </row>
    <row r="30" customFormat="false" ht="15" hidden="false" customHeight="false" outlineLevel="0" collapsed="false">
      <c r="B30" s="30" t="n">
        <f aca="false">$F$3-12</f>
        <v>46305</v>
      </c>
      <c r="C30" s="31" t="n">
        <f aca="false">SUMIFS(Diario!$P$6:$P$370,Diario!$A$6:$A$370,$B30)</f>
        <v>9</v>
      </c>
      <c r="D30" s="32" t="n">
        <f aca="false">SUMIFS(Diario!$N$6:$N$370,Diario!$A$6:$A$370,$B30)</f>
        <v>64.81</v>
      </c>
      <c r="E30" s="32" t="n">
        <f aca="false">IF(C30&gt;0,D30/C30,"")</f>
        <v>7.20111111111111</v>
      </c>
      <c r="F30" s="33" t="n">
        <f aca="false">SUMIFS(Diario!$Y$6:$Y$370,Diario!$A$6:$A$370,$B30)</f>
        <v>-5.28674186046512</v>
      </c>
      <c r="G30" s="34" t="n">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0.5</v>
      </c>
    </row>
    <row r="31" customFormat="false" ht="15" hidden="false" customHeight="false" outlineLevel="0" collapsed="false">
      <c r="B31" s="30" t="n">
        <f aca="false">$F$3-11</f>
        <v>46306</v>
      </c>
      <c r="C31" s="31" t="n">
        <f aca="false">SUMIFS(Diario!$P$6:$P$370,Diario!$A$6:$A$370,$B31)</f>
        <v>6</v>
      </c>
      <c r="D31" s="32" t="n">
        <f aca="false">SUMIFS(Diario!$N$6:$N$370,Diario!$A$6:$A$370,$B31)</f>
        <v>89.51</v>
      </c>
      <c r="E31" s="32" t="n">
        <f aca="false">IF(C31&gt;0,D31/C31,"")</f>
        <v>14.9183333333333</v>
      </c>
      <c r="F31" s="33" t="n">
        <f aca="false">SUMIFS(Diario!$Y$6:$Y$370,Diario!$A$6:$A$370,$B31)</f>
        <v>-104.808501162791</v>
      </c>
      <c r="G31" s="34" t="n">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0.2</v>
      </c>
    </row>
    <row r="32" customFormat="false" ht="15" hidden="false" customHeight="false" outlineLevel="0" collapsed="false">
      <c r="B32" s="30" t="n">
        <f aca="false">$F$3-10</f>
        <v>46307</v>
      </c>
      <c r="C32" s="31" t="n">
        <f aca="false">SUMIFS(Diario!$P$6:$P$370,Diario!$A$6:$A$370,$B32)</f>
        <v>14</v>
      </c>
      <c r="D32" s="32" t="n">
        <f aca="false">SUMIFS(Diario!$N$6:$N$370,Diario!$A$6:$A$370,$B32)</f>
        <v>78.33</v>
      </c>
      <c r="E32" s="32" t="n">
        <f aca="false">IF(C32&gt;0,D32/C32,"")</f>
        <v>5.595</v>
      </c>
      <c r="F32" s="33" t="n">
        <f aca="false">SUMIFS(Diario!$Y$6:$Y$370,Diario!$A$6:$A$370,$B32)</f>
        <v>65.5429813953489</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0.777777777777778</v>
      </c>
    </row>
    <row r="33" customFormat="false" ht="15" hidden="false" customHeight="false" outlineLevel="0" collapsed="false">
      <c r="B33" s="30" t="n">
        <f aca="false">$F$3-9</f>
        <v>46308</v>
      </c>
      <c r="C33" s="31" t="n">
        <f aca="false">SUMIFS(Diario!$P$6:$P$370,Diario!$A$6:$A$370,$B33)</f>
        <v>9</v>
      </c>
      <c r="D33" s="32" t="n">
        <f aca="false">SUMIFS(Diario!$N$6:$N$370,Diario!$A$6:$A$370,$B33)</f>
        <v>68.05</v>
      </c>
      <c r="E33" s="32" t="n">
        <f aca="false">IF(C33&gt;0,D33/C33,"")</f>
        <v>7.56111111111111</v>
      </c>
      <c r="F33" s="33" t="n">
        <f aca="false">SUMIFS(Diario!$Y$6:$Y$370,Diario!$A$6:$A$370,$B33)</f>
        <v>26.9241290697675</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0.833333333333333</v>
      </c>
    </row>
    <row r="34" customFormat="false" ht="15" hidden="false" customHeight="false" outlineLevel="0" collapsed="false">
      <c r="B34" s="30" t="n">
        <f aca="false">$F$3-8</f>
        <v>46309</v>
      </c>
      <c r="C34" s="31" t="n">
        <f aca="false">SUMIFS(Diario!$P$6:$P$370,Diario!$A$6:$A$370,$B34)</f>
        <v>9</v>
      </c>
      <c r="D34" s="32" t="n">
        <f aca="false">SUMIFS(Diario!$N$6:$N$370,Diario!$A$6:$A$370,$B34)</f>
        <v>73.35</v>
      </c>
      <c r="E34" s="32" t="n">
        <f aca="false">IF(C34&gt;0,D34/C34,"")</f>
        <v>8.15</v>
      </c>
      <c r="F34" s="33" t="n">
        <f aca="false">SUMIFS(Diario!$Y$6:$Y$370,Diario!$A$6:$A$370,$B34)</f>
        <v>56.9775151162791</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1</v>
      </c>
    </row>
    <row r="35" customFormat="false" ht="15" hidden="false" customHeight="false" outlineLevel="0" collapsed="false">
      <c r="B35" s="30" t="n">
        <f aca="false">$F$3-7</f>
        <v>46310</v>
      </c>
      <c r="C35" s="31" t="n">
        <f aca="false">SUMIFS(Diario!$P$6:$P$370,Diario!$A$6:$A$370,$B35)</f>
        <v>5</v>
      </c>
      <c r="D35" s="32" t="n">
        <f aca="false">SUMIFS(Diario!$N$6:$N$370,Diario!$A$6:$A$370,$B35)</f>
        <v>60.8</v>
      </c>
      <c r="E35" s="32" t="n">
        <f aca="false">IF(C35&gt;0,D35/C35,"")</f>
        <v>12.16</v>
      </c>
      <c r="F35" s="33" t="n">
        <f aca="false">SUMIFS(Diario!$Y$6:$Y$370,Diario!$A$6:$A$370,$B35)</f>
        <v>37.3949127906977</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46311</v>
      </c>
      <c r="C36" s="31" t="n">
        <f aca="false">SUMIFS(Diario!$P$6:$P$370,Diario!$A$6:$A$370,$B36)</f>
        <v>12</v>
      </c>
      <c r="D36" s="32" t="n">
        <f aca="false">SUMIFS(Diario!$N$6:$N$370,Diario!$A$6:$A$370,$B36)</f>
        <v>100.4</v>
      </c>
      <c r="E36" s="32" t="n">
        <f aca="false">IF(C36&gt;0,D36/C36,"")</f>
        <v>8.36666666666667</v>
      </c>
      <c r="F36" s="33" t="n">
        <f aca="false">SUMIFS(Diario!$Y$6:$Y$370,Diario!$A$6:$A$370,$B36)</f>
        <v>64.6326162654163</v>
      </c>
      <c r="G36" s="34" t="n">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1</v>
      </c>
    </row>
    <row r="37" customFormat="false" ht="15" hidden="false" customHeight="false" outlineLevel="0" collapsed="false">
      <c r="B37" s="30" t="n">
        <f aca="false">$F$3-5</f>
        <v>46312</v>
      </c>
      <c r="C37" s="31" t="n">
        <f aca="false">SUMIFS(Diario!$P$6:$P$370,Diario!$A$6:$A$370,$B37)</f>
        <v>9</v>
      </c>
      <c r="D37" s="32" t="n">
        <f aca="false">SUMIFS(Diario!$N$6:$N$370,Diario!$A$6:$A$370,$B37)</f>
        <v>81.87</v>
      </c>
      <c r="E37" s="32" t="n">
        <f aca="false">IF(C37&gt;0,D37/C37,"")</f>
        <v>9.09666666666667</v>
      </c>
      <c r="F37" s="33" t="n">
        <f aca="false">SUMIFS(Diario!$Y$6:$Y$370,Diario!$A$6:$A$370,$B37)</f>
        <v>63.4619697272196</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46313</v>
      </c>
      <c r="C38" s="31" t="n">
        <f aca="false">SUMIFS(Diario!$P$6:$P$370,Diario!$A$6:$A$370,$B38)</f>
        <v>12</v>
      </c>
      <c r="D38" s="32" t="n">
        <f aca="false">SUMIFS(Diario!$N$6:$N$370,Diario!$A$6:$A$370,$B38)</f>
        <v>149.88</v>
      </c>
      <c r="E38" s="32" t="n">
        <f aca="false">IF(C38&gt;0,D38/C38,"")</f>
        <v>12.49</v>
      </c>
      <c r="F38" s="33" t="n">
        <f aca="false">SUMIFS(Diario!$Y$6:$Y$370,Diario!$A$6:$A$370,$B38)</f>
        <v>78.0128504836301</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46314</v>
      </c>
      <c r="C39" s="31" t="n">
        <f aca="false">SUMIFS(Diario!$P$6:$P$370,Diario!$A$6:$A$370,$B39)</f>
        <v>8</v>
      </c>
      <c r="D39" s="32" t="n">
        <f aca="false">SUMIFS(Diario!$N$6:$N$370,Diario!$A$6:$A$370,$B39)</f>
        <v>85.31</v>
      </c>
      <c r="E39" s="32" t="n">
        <f aca="false">IF(C39&gt;0,D39/C39,"")</f>
        <v>10.66375</v>
      </c>
      <c r="F39" s="33" t="n">
        <f aca="false">SUMIFS(Diario!$Y$6:$Y$370,Diario!$A$6:$A$370,$B39)</f>
        <v>100.137730504673</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46315</v>
      </c>
      <c r="C40" s="31" t="n">
        <f aca="false">SUMIFS(Diario!$P$6:$P$370,Diario!$A$6:$A$370,$B40)</f>
        <v>6</v>
      </c>
      <c r="D40" s="32" t="n">
        <f aca="false">SUMIFS(Diario!$N$6:$N$370,Diario!$A$6:$A$370,$B40)</f>
        <v>71.96</v>
      </c>
      <c r="E40" s="32" t="n">
        <f aca="false">IF(C40&gt;0,D40/C40,"")</f>
        <v>11.9933333333333</v>
      </c>
      <c r="F40" s="33" t="n">
        <f aca="false">SUMIFS(Diario!$Y$6:$Y$370,Diario!$A$6:$A$370,$B40)</f>
        <v>23.3165779935137</v>
      </c>
      <c r="G40" s="34" t="str">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
      </c>
    </row>
    <row r="41" customFormat="false" ht="15" hidden="false" customHeight="false" outlineLevel="0" collapsed="false">
      <c r="B41" s="30" t="n">
        <f aca="false">$F$3-1</f>
        <v>46316</v>
      </c>
      <c r="C41" s="31" t="n">
        <f aca="false">SUMIFS(Diario!$P$6:$P$370,Diario!$A$6:$A$370,$B41)</f>
        <v>5</v>
      </c>
      <c r="D41" s="32" t="n">
        <f aca="false">SUMIFS(Diario!$N$6:$N$370,Diario!$A$6:$A$370,$B41)</f>
        <v>79.53</v>
      </c>
      <c r="E41" s="32" t="n">
        <f aca="false">IF(C41&gt;0,D41/C41,"")</f>
        <v>15.906</v>
      </c>
      <c r="F41" s="33" t="n">
        <f aca="false">SUMIFS(Diario!$Y$6:$Y$370,Diario!$A$6:$A$370,$B41)</f>
        <v>5.15387004650368</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46317</v>
      </c>
      <c r="C42" s="31" t="n">
        <f aca="false">SUMIFS(Diario!$P$6:$P$370,Diario!$A$6:$A$370,$B42)</f>
        <v>4</v>
      </c>
      <c r="D42" s="32" t="n">
        <f aca="false">SUMIFS(Diario!$N$6:$N$370,Diario!$A$6:$A$370,$B42)</f>
        <v>22.01</v>
      </c>
      <c r="E42" s="32" t="n">
        <f aca="false">IF(C42&gt;0,D42/C42,"")</f>
        <v>5.5025</v>
      </c>
      <c r="F42" s="33" t="n">
        <f aca="false">SUMIFS(Diario!$Y$6:$Y$370,Diario!$A$6:$A$370,$B42)</f>
        <v>46.5328093203284</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153</v>
      </c>
      <c r="D47" s="37" t="n">
        <f aca="false">SUMIFS(Diario!$N$6:$N$370,Diario!$A$6:$A$370,"&gt;="&amp;$B47,Diario!$A$6:$A$370,"&lt;="&amp;EOMONTH($B47,0))</f>
        <v>1303.11</v>
      </c>
      <c r="E47" s="32" t="n">
        <f aca="false">IF(C47&gt;0,D47/C47,"")</f>
        <v>8.51705882352941</v>
      </c>
      <c r="F47" s="37" t="n">
        <f aca="false">SUMIFS(Diario!$R$6:$R$370,Diario!$A$6:$A$370,"&gt;="&amp;$B47,Diario!$A$6:$A$370,"&lt;="&amp;EOMONTH($B47,0))</f>
        <v>5488.47</v>
      </c>
      <c r="G47" s="31" t="n">
        <f aca="false">SUMIFS(Diario!$E$6:$E$370,Diario!$A$6:$A$370,"&gt;="&amp;$B47,Diario!$A$6:$A$370,"&lt;="&amp;EOMONTH($B47,0))+SUMIFS(Diario!$F$6:$F$370,Diario!$A$6:$A$370,"&gt;="&amp;$B47,Diario!$A$6:$A$370,"&lt;="&amp;EOMONTH($B47,0))+SUMIFS(Diario!$G$6:$G$370,Diario!$A$6:$A$370,"&gt;="&amp;$B47,Diario!$A$6:$A$370,"&lt;="&amp;EOMONTH($B47,0))</f>
        <v>64</v>
      </c>
      <c r="H47" s="31" t="n">
        <f aca="false">SUMIFS(Diario!$H$6:$H$370,Diario!$A$6:$A$370,"&gt;="&amp;$B47,Diario!$A$6:$A$370,"&lt;="&amp;EOMONTH($B47,0))+SUMIFS(Diario!$I$6:$I$370,Diario!$A$6:$A$370,"&gt;="&amp;$B47,Diario!$A$6:$A$370,"&lt;="&amp;EOMONTH($B47,0))+SUMIFS(Diario!$J$6:$J$370,Diario!$A$6:$A$370,"&gt;="&amp;$B47,Diario!$A$6:$A$370,"&lt;="&amp;EOMONTH($B47,0))</f>
        <v>29</v>
      </c>
      <c r="I47" s="34" t="n">
        <f aca="false">IF(G47+H47&gt;0,G47/(G47+H47),"")</f>
        <v>0.688172043010753</v>
      </c>
      <c r="J47" s="37" t="n">
        <f aca="false">SUMIFS(Diario!$Y$6:$Y$370,Diario!$A$6:$A$370,"&gt;="&amp;$B47,Diario!$A$6:$A$370,"&lt;="&amp;EOMONTH($B47,0))</f>
        <v>529.283528992448</v>
      </c>
      <c r="K47" s="37" t="n">
        <f aca="false">-SUMIFS(Gastos!$D$5:$D$304,Gastos!$A$5:$A$304,"&gt;="&amp;$B47,Gastos!$A$5:$A$304,"&lt;="&amp;EOMONTH($B47,0))</f>
        <v>-0</v>
      </c>
      <c r="L47" s="38" t="n">
        <f aca="false">J47+K47</f>
        <v>529.283528992448</v>
      </c>
      <c r="M47" s="34" t="n">
        <f aca="false">IF(OBJETIVO_MES&gt;0,L47/OBJETIVO_MES,"")</f>
        <v>0.0529283528992448</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153</v>
      </c>
      <c r="D59" s="42" t="n">
        <f aca="false">SUM(D47:D58)</f>
        <v>1303.11</v>
      </c>
      <c r="E59" s="43" t="n">
        <f aca="false">IF(C59&gt;0,D59/C59,"")</f>
        <v>8.51705882352941</v>
      </c>
      <c r="F59" s="42" t="n">
        <f aca="false">SUM(F47:F58)</f>
        <v>5488.47</v>
      </c>
      <c r="G59" s="41" t="n">
        <f aca="false">SUM(G47:G58)</f>
        <v>64</v>
      </c>
      <c r="H59" s="41" t="n">
        <f aca="false">SUM(H47:H58)</f>
        <v>29</v>
      </c>
      <c r="I59" s="44" t="n">
        <f aca="false">IF(G59+H59&gt;0,G59/(G59+H59),"")</f>
        <v>0.688172043010753</v>
      </c>
      <c r="J59" s="42" t="n">
        <f aca="false">SUM(J47:J58)</f>
        <v>529.283528992448</v>
      </c>
      <c r="K59" s="42" t="n">
        <f aca="false">SUM(K47:K58)</f>
        <v>0</v>
      </c>
      <c r="L59" s="42" t="n">
        <f aca="false">SUM(L47:L58)</f>
        <v>529.283528992448</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6"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84</v>
      </c>
      <c r="C4" s="47" t="n">
        <f aca="false">SUM(C6:C370)</f>
        <v>56</v>
      </c>
      <c r="D4" s="47" t="n">
        <f aca="false">SUM(D6:D370)</f>
        <v>13</v>
      </c>
      <c r="E4" s="47" t="n">
        <f aca="false">SUM(E6:E370)</f>
        <v>35</v>
      </c>
      <c r="F4" s="47" t="n">
        <f aca="false">SUM(F6:F370)</f>
        <v>25</v>
      </c>
      <c r="G4" s="47" t="n">
        <f aca="false">SUM(G6:G370)</f>
        <v>4</v>
      </c>
      <c r="H4" s="47" t="n">
        <f aca="false">SUM(H6:H370)</f>
        <v>21</v>
      </c>
      <c r="I4" s="47" t="n">
        <f aca="false">SUM(I6:I370)</f>
        <v>7</v>
      </c>
      <c r="J4" s="47" t="n">
        <f aca="false">SUM(J6:J370)</f>
        <v>1</v>
      </c>
      <c r="K4" s="47" t="n">
        <f aca="false">SUM(K6:K370)</f>
        <v>31</v>
      </c>
      <c r="L4" s="48" t="n">
        <f aca="false">SUM(L6:L370)</f>
        <v>470.16</v>
      </c>
      <c r="M4" s="48" t="n">
        <f aca="false">SUM(M6:M370)</f>
        <v>434.54</v>
      </c>
      <c r="N4" s="48" t="n">
        <f aca="false">SUM(N6:N370)</f>
        <v>1303.11</v>
      </c>
      <c r="P4" s="47" t="n">
        <f aca="false">SUM(P6:P370)</f>
        <v>153</v>
      </c>
      <c r="Q4" s="47" t="n">
        <f aca="false">SUM(Q6:Q370)</f>
        <v>60</v>
      </c>
      <c r="R4" s="48" t="n">
        <f aca="false">SUM(R6:R370)</f>
        <v>5488.47</v>
      </c>
      <c r="S4" s="48" t="n">
        <f aca="false">IF(P4&gt;0,R4/P4,"")</f>
        <v>35.8723529411765</v>
      </c>
      <c r="T4" s="48" t="n">
        <f aca="false">IF(P4&gt;0,N4/P4,"")</f>
        <v>8.51705882352941</v>
      </c>
      <c r="U4" s="49" t="n">
        <f aca="false">IF(N4&gt;0,R4/N4,"")</f>
        <v>4.21182402099593</v>
      </c>
      <c r="V4" s="50" t="n">
        <f aca="false">IF(E4+F4+G4+H4+I4+J4&gt;0,(E4+F4+G4)/(E4+F4+G4+H4+I4+J4),"")</f>
        <v>0.688172043010753</v>
      </c>
      <c r="W4" s="48" t="n">
        <f aca="false">SUM(W6:W370)</f>
        <v>1550.563679</v>
      </c>
      <c r="X4" s="48" t="n">
        <f aca="false">SUM(X6:X370)</f>
        <v>-116.846321</v>
      </c>
      <c r="Y4" s="48" t="n">
        <f aca="false">SUM(Y6:Y370)</f>
        <v>529.283528992448</v>
      </c>
      <c r="AA4" s="47" t="n">
        <f aca="false">SUM(AA6:AA370)</f>
        <v>28</v>
      </c>
      <c r="AB4" s="47" t="n">
        <f aca="false">SUM(AB6:AB370)</f>
        <v>24</v>
      </c>
      <c r="AC4" s="47" t="n">
        <f aca="false">SUM(AC6:AC370)</f>
        <v>8</v>
      </c>
      <c r="AD4" s="51" t="n">
        <f aca="false">SUM(AD6:AD370)</f>
        <v>48.7971558255904</v>
      </c>
      <c r="AE4" s="51" t="n">
        <f aca="false">SUM(AE6:AE370)</f>
        <v>38.1570454935609</v>
      </c>
      <c r="AF4" s="51" t="n">
        <f aca="false">SUM(AF6:AF370)</f>
        <v>9.05388402242497</v>
      </c>
      <c r="AG4" s="51" t="n">
        <f aca="false">SUM(AG6:AG370)</f>
        <v>56.9919146584237</v>
      </c>
      <c r="AH4" s="48" t="n">
        <f aca="false">SUM(AH6:AH370)</f>
        <v>3499.79503639758</v>
      </c>
      <c r="AI4" s="48" t="n">
        <f aca="false">SUM(AI6:AI370)</f>
        <v>395.995296489543</v>
      </c>
      <c r="AJ4" s="48" t="n">
        <f aca="false">SUM(AJ6:AJ370)</f>
        <v>695.767255244489</v>
      </c>
      <c r="AK4" s="48" t="n">
        <f aca="false">SUM(AK6:AK370)</f>
        <v>430.288955671099</v>
      </c>
      <c r="AL4" s="48" t="n">
        <f aca="false">SUM(AL6:AL370)</f>
        <v>0</v>
      </c>
      <c r="AM4" s="48" t="n">
        <f aca="false">SUM(AM6:AM370)</f>
        <v>1303.11</v>
      </c>
      <c r="AN4" s="47" t="n">
        <f aca="false">SUM(AN6:AN370)</f>
        <v>124</v>
      </c>
      <c r="AO4" s="48" t="n">
        <f aca="false">SUM(AO6:AO370)</f>
        <v>145.35</v>
      </c>
      <c r="AP4" s="47" t="n">
        <f aca="false">SUM(AP6:AP370)</f>
        <v>31</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c r="AP5" s="29" t="s">
        <v>106</v>
      </c>
      <c r="AQ5" s="29" t="s">
        <v>107</v>
      </c>
      <c r="AR5" s="29" t="s">
        <v>108</v>
      </c>
      <c r="AS5" s="29" t="s">
        <v>109</v>
      </c>
      <c r="AT5" s="29" t="s">
        <v>110</v>
      </c>
    </row>
    <row r="6" customFormat="false" ht="15" hidden="false" customHeight="false" outlineLevel="0" collapsed="false">
      <c r="A6" s="53" t="n">
        <v>46300</v>
      </c>
      <c r="B6" s="54" t="n">
        <v>5</v>
      </c>
      <c r="C6" s="54" t="n">
        <v>4</v>
      </c>
      <c r="D6" s="54" t="n">
        <v>0</v>
      </c>
      <c r="E6" s="54" t="n">
        <v>3</v>
      </c>
      <c r="F6" s="54" t="n">
        <v>2</v>
      </c>
      <c r="G6" s="54"/>
      <c r="H6" s="54" t="n">
        <v>1</v>
      </c>
      <c r="I6" s="54" t="n">
        <v>2</v>
      </c>
      <c r="J6" s="54"/>
      <c r="K6" s="54" t="n">
        <v>1</v>
      </c>
      <c r="L6" s="55" t="n">
        <v>38.42</v>
      </c>
      <c r="M6" s="55" t="n">
        <v>8.06</v>
      </c>
      <c r="N6" s="55" t="n">
        <v>67.67</v>
      </c>
      <c r="O6" s="56" t="s">
        <v>111</v>
      </c>
      <c r="P6" s="31" t="n">
        <f aca="false">B6+C6+D6</f>
        <v>9</v>
      </c>
      <c r="Q6" s="31" t="n">
        <f aca="false">AA6+AB6+AC6</f>
        <v>1</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0.625</v>
      </c>
      <c r="W6" s="33" t="n">
        <f aca="false">E6*(P1_PVP-P1_CPROD)+F6*(P2_PVP-P2_CPROD)+G6*(IF($A6&lt;P3_DESDE,P3A_PVP,P3_PVP)-IF($A6&lt;P3_DESDE,P3A_CPROD,P3_CPROD))-IF(ISNUMBER(L6),L6,E6*P1_LOG+F6*P2_LOG+G6*P3_LOG)</f>
        <v>114.6747</v>
      </c>
      <c r="X6" s="33" t="n">
        <f aca="false">W6-(E6*P1_IVAN+F6*P2_IVAN+G6*IF($A6&lt;P3_DESDE,P3A_IVAN,P3_IVAN))-(H6+I6+J6)*(COSTE_DEV-IVA_DEV)-AM6-AO6</f>
        <v>15.8047</v>
      </c>
      <c r="Y6" s="33" t="n">
        <f aca="false">AH6-AI6-AJ6-AK6-AL6-AM6-AO6</f>
        <v>15.4949127906977</v>
      </c>
      <c r="AA6" s="58" t="n">
        <f aca="false">MAX(0,B6-E6-H6)</f>
        <v>1</v>
      </c>
      <c r="AB6" s="58" t="n">
        <f aca="false">MAX(0,C6-F6-I6)</f>
        <v>0</v>
      </c>
      <c r="AC6" s="58" t="n">
        <f aca="false">MAX(0,D6-G6-J6)</f>
        <v>0</v>
      </c>
      <c r="AD6" s="59" t="n">
        <f aca="false">E6+AA6*AQ6</f>
        <v>3.26744186046512</v>
      </c>
      <c r="AE6" s="59" t="n">
        <f aca="false">F6+AB6*AQ6</f>
        <v>2</v>
      </c>
      <c r="AF6" s="59" t="n">
        <f aca="false">G6+AC6*AQ6</f>
        <v>0</v>
      </c>
      <c r="AG6" s="59" t="n">
        <f aca="false">H6+I6+J6+(AA6+AB6+AC6)*(1-AQ6)</f>
        <v>3.73255813953488</v>
      </c>
      <c r="AH6" s="60" t="n">
        <f aca="false">AD6*P1_PVP+AE6*P2_PVP+AF6*IF($A6&lt;P3_DESDE,P3A_PVP,P3_PVP)</f>
        <v>177.970581395349</v>
      </c>
      <c r="AI6" s="60" t="n">
        <f aca="false">AD6*P1_CPROD+AE6*P2_CPROD+AF6*IF($A6&lt;P3_DESDE,P3A_CPROD,P3_CPROD)</f>
        <v>17.499273255814</v>
      </c>
      <c r="AJ6" s="60" t="n">
        <f aca="false">IF(ISNUMBER(L6),L6,E6*P1_LOG+F6*P2_LOG+G6*P3_LOG)+IF(ISNUMBER(M6),M6,AA6*P1_LOG+AB6*P2_LOG+AC6*P3_LOG)*AQ6</f>
        <v>40.5755813953488</v>
      </c>
      <c r="AK6" s="60" t="n">
        <f aca="false">AG6*COSTE_DEV</f>
        <v>28.1808139534884</v>
      </c>
      <c r="AL6" s="60" t="n">
        <f aca="false">AD6*P1_IVAN+AE6*P2_IVAN+AF6*IF($A6&lt;P3_DESDE,P3A_IVAN,P3_IVAN)-AG6*IVA_DEV</f>
        <v>0</v>
      </c>
      <c r="AM6" s="60" t="n">
        <f aca="false">N6*(1+RECARGO_ADS)</f>
        <v>67.67</v>
      </c>
      <c r="AN6" s="58" t="n">
        <f aca="false">IF(ISNUMBER(L6),E6+F6+G6+AA6+AB6+AC6,0)</f>
        <v>6</v>
      </c>
      <c r="AO6" s="60" t="n">
        <f aca="false">P6*COMISION</f>
        <v>8.55</v>
      </c>
      <c r="AP6" s="58" t="n">
        <f aca="false">MIN(N(K6),Q6)</f>
        <v>1</v>
      </c>
      <c r="AQ6" s="61" t="n">
        <f aca="false">IF(Q6&gt;0,((Q6-AP6)*AT6+AP6*TASA_INC)/Q6,AT6)</f>
        <v>0.267441860465116</v>
      </c>
      <c r="AR6" s="58" t="n">
        <f aca="false">IF($A6&lt;FECHA_EXPORT,NETWORKDAYS($A6+1,FECHA_EXPORT,FESTIVOS),0)</f>
        <v>12</v>
      </c>
      <c r="AS6" s="61" t="n">
        <f aca="false">IF(AR6&gt;=5,1,INDEX(CDF_INC,1,AR6+1))</f>
        <v>1</v>
      </c>
      <c r="AT6" s="61" t="n">
        <f aca="false">TASA_USADA+(TASA_INC-TASA_USADA)*Q_INC*(1-AS6)/(1-Q_INC*AS6)</f>
        <v>0.933333333333333</v>
      </c>
    </row>
    <row r="7" customFormat="false" ht="15" hidden="false" customHeight="false" outlineLevel="0" collapsed="false">
      <c r="A7" s="53" t="n">
        <v>46301</v>
      </c>
      <c r="B7" s="54" t="n">
        <v>7</v>
      </c>
      <c r="C7" s="54" t="n">
        <v>1</v>
      </c>
      <c r="D7" s="54" t="n">
        <v>0</v>
      </c>
      <c r="E7" s="54" t="n">
        <v>2</v>
      </c>
      <c r="F7" s="54" t="n">
        <v>1</v>
      </c>
      <c r="G7" s="54"/>
      <c r="H7" s="54" t="n">
        <v>5</v>
      </c>
      <c r="I7" s="54"/>
      <c r="J7" s="54"/>
      <c r="K7" s="54"/>
      <c r="L7" s="55" t="n">
        <v>22.11</v>
      </c>
      <c r="M7" s="55" t="n">
        <v>0</v>
      </c>
      <c r="N7" s="55" t="n">
        <v>70.18</v>
      </c>
      <c r="O7" s="56"/>
      <c r="P7" s="31" t="n">
        <f aca="false">B7+C7+D7</f>
        <v>8</v>
      </c>
      <c r="Q7" s="31" t="n">
        <f aca="false">AA7+AB7+AC7</f>
        <v>0</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0.375</v>
      </c>
      <c r="W7" s="33" t="n">
        <f aca="false">E7*(P1_PVP-P1_CPROD)+F7*(P2_PVP-P2_CPROD)+G7*(IF($A7&lt;P3_DESDE,P3A_PVP,P3_PVP)-IF($A7&lt;P3_DESDE,P3A_CPROD,P3_CPROD))-IF(ISNUMBER(L7),L7,E7*P1_LOG+F7*P2_LOG+G7*P3_LOG)</f>
        <v>68.2284</v>
      </c>
      <c r="X7" s="33" t="n">
        <f aca="false">W7-(E7*P1_IVAN+F7*P2_IVAN+G7*IF($A7&lt;P3_DESDE,P3A_IVAN,P3_IVAN))-(H7+I7+J7)*(COSTE_DEV-IVA_DEV)-AM7-AO7</f>
        <v>-47.3016</v>
      </c>
      <c r="Y7" s="33" t="n">
        <f aca="false">AH7-AI7-AJ7-AK7-AL7-AM7-AO7</f>
        <v>-47.3016</v>
      </c>
      <c r="AA7" s="58" t="n">
        <f aca="false">MAX(0,B7-E7-H7)</f>
        <v>0</v>
      </c>
      <c r="AB7" s="58" t="n">
        <f aca="false">MAX(0,C7-F7-I7)</f>
        <v>0</v>
      </c>
      <c r="AC7" s="58" t="n">
        <f aca="false">MAX(0,D7-G7-J7)</f>
        <v>0</v>
      </c>
      <c r="AD7" s="59" t="n">
        <f aca="false">E7+AA7*AQ7</f>
        <v>2</v>
      </c>
      <c r="AE7" s="59" t="n">
        <f aca="false">F7+AB7*AQ7</f>
        <v>1</v>
      </c>
      <c r="AF7" s="59" t="n">
        <f aca="false">G7+AC7*AQ7</f>
        <v>0</v>
      </c>
      <c r="AG7" s="59" t="n">
        <f aca="false">H7+I7+J7+(AA7+AB7+AC7)*(1-AQ7)</f>
        <v>5</v>
      </c>
      <c r="AH7" s="60" t="n">
        <f aca="false">AD7*P1_PVP+AE7*P2_PVP+AF7*IF($A7&lt;P3_DESDE,P3A_PVP,P3_PVP)</f>
        <v>99.97</v>
      </c>
      <c r="AI7" s="60" t="n">
        <f aca="false">AD7*P1_CPROD+AE7*P2_CPROD+AF7*IF($A7&lt;P3_DESDE,P3A_CPROD,P3_CPROD)</f>
        <v>9.6316</v>
      </c>
      <c r="AJ7" s="60" t="n">
        <f aca="false">IF(ISNUMBER(L7),L7,E7*P1_LOG+F7*P2_LOG+G7*P3_LOG)+IF(ISNUMBER(M7),M7,AA7*P1_LOG+AB7*P2_LOG+AC7*P3_LOG)*AQ7</f>
        <v>22.11</v>
      </c>
      <c r="AK7" s="60" t="n">
        <f aca="false">AG7*COSTE_DEV</f>
        <v>37.75</v>
      </c>
      <c r="AL7" s="60" t="n">
        <f aca="false">AD7*P1_IVAN+AE7*P2_IVAN+AF7*IF($A7&lt;P3_DESDE,P3A_IVAN,P3_IVAN)-AG7*IVA_DEV</f>
        <v>0</v>
      </c>
      <c r="AM7" s="60" t="n">
        <f aca="false">N7*(1+RECARGO_ADS)</f>
        <v>70.18</v>
      </c>
      <c r="AN7" s="58" t="n">
        <f aca="false">IF(ISNUMBER(L7),E7+F7+G7+AA7+AB7+AC7,0)</f>
        <v>3</v>
      </c>
      <c r="AO7" s="60" t="n">
        <f aca="false">P7*COMISION</f>
        <v>7.6</v>
      </c>
      <c r="AP7" s="58" t="n">
        <f aca="false">MIN(N(K7),Q7)</f>
        <v>0</v>
      </c>
      <c r="AQ7" s="61" t="n">
        <f aca="false">IF(Q7&gt;0,((Q7-AP7)*AT7+AP7*TASA_INC)/Q7,AT7)</f>
        <v>0.933333333333333</v>
      </c>
      <c r="AR7" s="58" t="n">
        <f aca="false">IF($A7&lt;FECHA_EXPORT,NETWORKDAYS($A7+1,FECHA_EXPORT,FESTIVOS),0)</f>
        <v>11</v>
      </c>
      <c r="AS7" s="61" t="n">
        <f aca="false">IF(AR7&gt;=5,1,INDEX(CDF_INC,1,AR7+1))</f>
        <v>1</v>
      </c>
      <c r="AT7" s="61" t="n">
        <f aca="false">TASA_USADA+(TASA_INC-TASA_USADA)*Q_INC*(1-AS7)/(1-Q_INC*AS7)</f>
        <v>0.933333333333333</v>
      </c>
    </row>
    <row r="8" customFormat="false" ht="15" hidden="false" customHeight="false" outlineLevel="0" collapsed="false">
      <c r="A8" s="53" t="n">
        <v>46302</v>
      </c>
      <c r="B8" s="54" t="n">
        <v>6</v>
      </c>
      <c r="C8" s="54" t="n">
        <v>1</v>
      </c>
      <c r="D8" s="54" t="n">
        <v>0</v>
      </c>
      <c r="E8" s="54" t="n">
        <v>2</v>
      </c>
      <c r="F8" s="54" t="n">
        <v>1</v>
      </c>
      <c r="G8" s="54"/>
      <c r="H8" s="54" t="n">
        <v>4</v>
      </c>
      <c r="I8" s="54"/>
      <c r="J8" s="54"/>
      <c r="K8" s="54"/>
      <c r="L8" s="55" t="n">
        <v>22.65</v>
      </c>
      <c r="M8" s="55" t="n">
        <v>0</v>
      </c>
      <c r="N8" s="55" t="n">
        <v>47.78</v>
      </c>
      <c r="O8" s="56"/>
      <c r="P8" s="31" t="n">
        <f aca="false">B8+C8+D8</f>
        <v>7</v>
      </c>
      <c r="Q8" s="31" t="n">
        <f aca="false">AA8+AB8+AC8</f>
        <v>0</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0.428571428571429</v>
      </c>
      <c r="W8" s="33" t="n">
        <f aca="false">E8*(P1_PVP-P1_CPROD)+F8*(P2_PVP-P2_CPROD)+G8*(IF($A8&lt;P3_DESDE,P3A_PVP,P3_PVP)-IF($A8&lt;P3_DESDE,P3A_CPROD,P3_CPROD))-IF(ISNUMBER(L8),L8,E8*P1_LOG+F8*P2_LOG+G8*P3_LOG)</f>
        <v>67.6884</v>
      </c>
      <c r="X8" s="33" t="n">
        <f aca="false">W8-(E8*P1_IVAN+F8*P2_IVAN+G8*IF($A8&lt;P3_DESDE,P3A_IVAN,P3_IVAN))-(H8+I8+J8)*(COSTE_DEV-IVA_DEV)-AM8-AO8</f>
        <v>-16.9416</v>
      </c>
      <c r="Y8" s="33" t="n">
        <f aca="false">AH8-AI8-AJ8-AK8-AL8-AM8-AO8</f>
        <v>-16.9416</v>
      </c>
      <c r="AA8" s="58" t="n">
        <f aca="false">MAX(0,B8-E8-H8)</f>
        <v>0</v>
      </c>
      <c r="AB8" s="58" t="n">
        <f aca="false">MAX(0,C8-F8-I8)</f>
        <v>0</v>
      </c>
      <c r="AC8" s="58" t="n">
        <f aca="false">MAX(0,D8-G8-J8)</f>
        <v>0</v>
      </c>
      <c r="AD8" s="59" t="n">
        <f aca="false">E8+AA8*AQ8</f>
        <v>2</v>
      </c>
      <c r="AE8" s="59" t="n">
        <f aca="false">F8+AB8*AQ8</f>
        <v>1</v>
      </c>
      <c r="AF8" s="59" t="n">
        <f aca="false">G8+AC8*AQ8</f>
        <v>0</v>
      </c>
      <c r="AG8" s="59" t="n">
        <f aca="false">H8+I8+J8+(AA8+AB8+AC8)*(1-AQ8)</f>
        <v>4</v>
      </c>
      <c r="AH8" s="60" t="n">
        <f aca="false">AD8*P1_PVP+AE8*P2_PVP+AF8*IF($A8&lt;P3_DESDE,P3A_PVP,P3_PVP)</f>
        <v>99.97</v>
      </c>
      <c r="AI8" s="60" t="n">
        <f aca="false">AD8*P1_CPROD+AE8*P2_CPROD+AF8*IF($A8&lt;P3_DESDE,P3A_CPROD,P3_CPROD)</f>
        <v>9.6316</v>
      </c>
      <c r="AJ8" s="60" t="n">
        <f aca="false">IF(ISNUMBER(L8),L8,E8*P1_LOG+F8*P2_LOG+G8*P3_LOG)+IF(ISNUMBER(M8),M8,AA8*P1_LOG+AB8*P2_LOG+AC8*P3_LOG)*AQ8</f>
        <v>22.65</v>
      </c>
      <c r="AK8" s="60" t="n">
        <f aca="false">AG8*COSTE_DEV</f>
        <v>30.2</v>
      </c>
      <c r="AL8" s="60" t="n">
        <f aca="false">AD8*P1_IVAN+AE8*P2_IVAN+AF8*IF($A8&lt;P3_DESDE,P3A_IVAN,P3_IVAN)-AG8*IVA_DEV</f>
        <v>0</v>
      </c>
      <c r="AM8" s="60" t="n">
        <f aca="false">N8*(1+RECARGO_ADS)</f>
        <v>47.78</v>
      </c>
      <c r="AN8" s="58" t="n">
        <f aca="false">IF(ISNUMBER(L8),E8+F8+G8+AA8+AB8+AC8,0)</f>
        <v>3</v>
      </c>
      <c r="AO8" s="60" t="n">
        <f aca="false">P8*COMISION</f>
        <v>6.65</v>
      </c>
      <c r="AP8" s="58" t="n">
        <f aca="false">MIN(N(K8),Q8)</f>
        <v>0</v>
      </c>
      <c r="AQ8" s="61" t="n">
        <f aca="false">IF(Q8&gt;0,((Q8-AP8)*AT8+AP8*TASA_INC)/Q8,AT8)</f>
        <v>0.933333333333333</v>
      </c>
      <c r="AR8" s="58" t="n">
        <f aca="false">IF($A8&lt;FECHA_EXPORT,NETWORKDAYS($A8+1,FECHA_EXPORT,FESTIVOS),0)</f>
        <v>10</v>
      </c>
      <c r="AS8" s="61" t="n">
        <f aca="false">IF(AR8&gt;=5,1,INDEX(CDF_INC,1,AR8+1))</f>
        <v>1</v>
      </c>
      <c r="AT8" s="61" t="n">
        <f aca="false">TASA_USADA+(TASA_INC-TASA_USADA)*Q_INC*(1-AS8)/(1-Q_INC*AS8)</f>
        <v>0.933333333333333</v>
      </c>
    </row>
    <row r="9" customFormat="false" ht="15" hidden="false" customHeight="false" outlineLevel="0" collapsed="false">
      <c r="A9" s="53" t="n">
        <v>46303</v>
      </c>
      <c r="B9" s="54" t="n">
        <v>9</v>
      </c>
      <c r="C9" s="54" t="n">
        <v>6</v>
      </c>
      <c r="D9" s="54" t="n">
        <v>1</v>
      </c>
      <c r="E9" s="54" t="n">
        <v>4</v>
      </c>
      <c r="F9" s="54" t="n">
        <v>2</v>
      </c>
      <c r="G9" s="54" t="n">
        <v>1</v>
      </c>
      <c r="H9" s="54" t="n">
        <v>2</v>
      </c>
      <c r="I9" s="54" t="n">
        <v>3</v>
      </c>
      <c r="J9" s="54"/>
      <c r="K9" s="54" t="n">
        <v>4</v>
      </c>
      <c r="L9" s="55" t="n">
        <v>50.21</v>
      </c>
      <c r="M9" s="55" t="n">
        <v>32.24</v>
      </c>
      <c r="N9" s="55" t="n">
        <v>50.46</v>
      </c>
      <c r="O9" s="56" t="s">
        <v>112</v>
      </c>
      <c r="P9" s="31" t="n">
        <f aca="false">B9+C9+D9</f>
        <v>16</v>
      </c>
      <c r="Q9" s="31" t="n">
        <f aca="false">AA9+AB9+AC9</f>
        <v>4</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0.583333333333333</v>
      </c>
      <c r="W9" s="33" t="n">
        <f aca="false">E9*(P1_PVP-P1_CPROD)+F9*(P2_PVP-P2_CPROD)+G9*(IF($A9&lt;P3_DESDE,P3A_PVP,P3_PVP)-IF($A9&lt;P3_DESDE,P3A_CPROD,P3_CPROD))-IF(ISNUMBER(L9),L9,E9*P1_LOG+F9*P2_LOG+G9*P3_LOG)</f>
        <v>173.2331</v>
      </c>
      <c r="X9" s="33" t="n">
        <f aca="false">W9-(E9*P1_IVAN+F9*P2_IVAN+G9*IF($A9&lt;P3_DESDE,P3A_IVAN,P3_IVAN))-(H9+I9+J9)*(COSTE_DEV-IVA_DEV)-AM9-AO9</f>
        <v>69.8231</v>
      </c>
      <c r="Y9" s="33" t="n">
        <f aca="false">AH9-AI9-AJ9-AK9-AL9-AM9-AO9</f>
        <v>70.6143965116279</v>
      </c>
      <c r="AA9" s="58" t="n">
        <f aca="false">MAX(0,B9-E9-H9)</f>
        <v>3</v>
      </c>
      <c r="AB9" s="58" t="n">
        <f aca="false">MAX(0,C9-F9-I9)</f>
        <v>1</v>
      </c>
      <c r="AC9" s="58" t="n">
        <f aca="false">MAX(0,D9-G9-J9)</f>
        <v>0</v>
      </c>
      <c r="AD9" s="59" t="n">
        <f aca="false">E9+AA9*AQ9</f>
        <v>4.80232558139535</v>
      </c>
      <c r="AE9" s="59" t="n">
        <f aca="false">F9+AB9*AQ9</f>
        <v>2.26744186046512</v>
      </c>
      <c r="AF9" s="59" t="n">
        <f aca="false">G9+AC9*AQ9</f>
        <v>1</v>
      </c>
      <c r="AG9" s="59" t="n">
        <f aca="false">H9+I9+J9+(AA9+AB9+AC9)*(1-AQ9)</f>
        <v>7.93023255813954</v>
      </c>
      <c r="AH9" s="60" t="n">
        <f aca="false">AD9*P1_PVP+AE9*P2_PVP+AF9*IF($A9&lt;P3_DESDE,P3A_PVP,P3_PVP)</f>
        <v>284.686744186047</v>
      </c>
      <c r="AI9" s="60" t="n">
        <f aca="false">AD9*P1_CPROD+AE9*P2_CPROD+AF9*IF($A9&lt;P3_DESDE,P3A_CPROD,P3_CPROD)</f>
        <v>29.7067662790698</v>
      </c>
      <c r="AJ9" s="60" t="n">
        <f aca="false">IF(ISNUMBER(L9),L9,E9*P1_LOG+F9*P2_LOG+G9*P3_LOG)+IF(ISNUMBER(M9),M9,AA9*P1_LOG+AB9*P2_LOG+AC9*P3_LOG)*AQ9</f>
        <v>58.8323255813954</v>
      </c>
      <c r="AK9" s="60" t="n">
        <f aca="false">AG9*COSTE_DEV</f>
        <v>59.8732558139535</v>
      </c>
      <c r="AL9" s="60" t="n">
        <f aca="false">AD9*P1_IVAN+AE9*P2_IVAN+AF9*IF($A9&lt;P3_DESDE,P3A_IVAN,P3_IVAN)-AG9*IVA_DEV</f>
        <v>0</v>
      </c>
      <c r="AM9" s="60" t="n">
        <f aca="false">N9*(1+RECARGO_ADS)</f>
        <v>50.46</v>
      </c>
      <c r="AN9" s="58" t="n">
        <f aca="false">IF(ISNUMBER(L9),E9+F9+G9+AA9+AB9+AC9,0)</f>
        <v>11</v>
      </c>
      <c r="AO9" s="60" t="n">
        <f aca="false">P9*COMISION</f>
        <v>15.2</v>
      </c>
      <c r="AP9" s="58" t="n">
        <f aca="false">MIN(N(K9),Q9)</f>
        <v>4</v>
      </c>
      <c r="AQ9" s="61" t="n">
        <f aca="false">IF(Q9&gt;0,((Q9-AP9)*AT9+AP9*TASA_INC)/Q9,AT9)</f>
        <v>0.267441860465116</v>
      </c>
      <c r="AR9" s="58" t="n">
        <f aca="false">IF($A9&lt;FECHA_EXPORT,NETWORKDAYS($A9+1,FECHA_EXPORT,FESTIVOS),0)</f>
        <v>9</v>
      </c>
      <c r="AS9" s="61" t="n">
        <f aca="false">IF(AR9&gt;=5,1,INDEX(CDF_INC,1,AR9+1))</f>
        <v>1</v>
      </c>
      <c r="AT9" s="61" t="n">
        <f aca="false">TASA_USADA+(TASA_INC-TASA_USADA)*Q_INC*(1-AS9)/(1-Q_INC*AS9)</f>
        <v>0.933333333333333</v>
      </c>
    </row>
    <row r="10" customFormat="false" ht="15" hidden="false" customHeight="false" outlineLevel="0" collapsed="false">
      <c r="A10" s="53" t="n">
        <v>46304</v>
      </c>
      <c r="B10" s="54" t="n">
        <v>2</v>
      </c>
      <c r="C10" s="54" t="n">
        <v>3</v>
      </c>
      <c r="D10" s="54" t="n">
        <v>0</v>
      </c>
      <c r="E10" s="54" t="n">
        <v>1</v>
      </c>
      <c r="F10" s="54" t="n">
        <v>3</v>
      </c>
      <c r="G10" s="54"/>
      <c r="H10" s="54" t="n">
        <v>1</v>
      </c>
      <c r="I10" s="54"/>
      <c r="J10" s="54"/>
      <c r="K10" s="54"/>
      <c r="L10" s="55" t="n">
        <v>30.17</v>
      </c>
      <c r="M10" s="55" t="n">
        <v>0</v>
      </c>
      <c r="N10" s="55" t="n">
        <v>41.21</v>
      </c>
      <c r="O10" s="56"/>
      <c r="P10" s="31" t="n">
        <f aca="false">B10+C10+D10</f>
        <v>5</v>
      </c>
      <c r="Q10" s="31" t="n">
        <f aca="false">AA10+AB10+AC10</f>
        <v>0</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0.8</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49.4247</v>
      </c>
      <c r="Y10" s="33" t="n">
        <f aca="false">AH10-AI10-AJ10-AK10-AL10-AM10-AO10</f>
        <v>49.4247</v>
      </c>
      <c r="AA10" s="58" t="n">
        <f aca="false">MAX(0,B10-E10-H10)</f>
        <v>0</v>
      </c>
      <c r="AB10" s="58" t="n">
        <f aca="false">MAX(0,C10-F10-I10)</f>
        <v>0</v>
      </c>
      <c r="AC10" s="58" t="n">
        <f aca="false">MAX(0,D10-G10-J10)</f>
        <v>0</v>
      </c>
      <c r="AD10" s="59" t="n">
        <f aca="false">E10+AA10*AQ10</f>
        <v>1</v>
      </c>
      <c r="AE10" s="59" t="n">
        <f aca="false">F10+AB10*AQ10</f>
        <v>3</v>
      </c>
      <c r="AF10" s="59" t="n">
        <f aca="false">G10+AC10*AQ10</f>
        <v>0</v>
      </c>
      <c r="AG10" s="59" t="n">
        <f aca="false">H10+I10+J10+(AA10+AB10+AC10)*(1-AQ10)</f>
        <v>1</v>
      </c>
      <c r="AH10" s="60" t="n">
        <f aca="false">AD10*P1_PVP+AE10*P2_PVP+AF10*IF($A10&lt;P3_DESDE,P3A_PVP,P3_PVP)</f>
        <v>149.96</v>
      </c>
      <c r="AI10" s="60" t="n">
        <f aca="false">AD10*P1_CPROD+AE10*P2_CPROD+AF10*IF($A10&lt;P3_DESDE,P3A_CPROD,P3_CPROD)</f>
        <v>16.8553</v>
      </c>
      <c r="AJ10" s="60" t="n">
        <f aca="false">IF(ISNUMBER(L10),L10,E10*P1_LOG+F10*P2_LOG+G10*P3_LOG)+IF(ISNUMBER(M10),M10,AA10*P1_LOG+AB10*P2_LOG+AC10*P3_LOG)*AQ10</f>
        <v>30.17</v>
      </c>
      <c r="AK10" s="60" t="n">
        <f aca="false">AG10*COSTE_DEV</f>
        <v>7.55</v>
      </c>
      <c r="AL10" s="60" t="n">
        <f aca="false">AD10*P1_IVAN+AE10*P2_IVAN+AF10*IF($A10&lt;P3_DESDE,P3A_IVAN,P3_IVAN)-AG10*IVA_DEV</f>
        <v>0</v>
      </c>
      <c r="AM10" s="60" t="n">
        <f aca="false">N10*(1+RECARGO_ADS)</f>
        <v>41.21</v>
      </c>
      <c r="AN10" s="58" t="n">
        <f aca="false">IF(ISNUMBER(L10),E10+F10+G10+AA10+AB10+AC10,0)</f>
        <v>4</v>
      </c>
      <c r="AO10" s="60" t="n">
        <f aca="false">P10*COMISION</f>
        <v>4.75</v>
      </c>
      <c r="AP10" s="58" t="n">
        <f aca="false">MIN(N(K10),Q10)</f>
        <v>0</v>
      </c>
      <c r="AQ10" s="61" t="n">
        <f aca="false">IF(Q10&gt;0,((Q10-AP10)*AT10+AP10*TASA_INC)/Q10,AT10)</f>
        <v>0.933333333333333</v>
      </c>
      <c r="AR10" s="58" t="n">
        <f aca="false">IF($A10&lt;FECHA_EXPORT,NETWORKDAYS($A10+1,FECHA_EXPORT,FESTIVOS),0)</f>
        <v>8</v>
      </c>
      <c r="AS10" s="61" t="n">
        <f aca="false">IF(AR10&gt;=5,1,INDEX(CDF_INC,1,AR10+1))</f>
        <v>1</v>
      </c>
      <c r="AT10" s="61" t="n">
        <f aca="false">TASA_USADA+(TASA_INC-TASA_USADA)*Q_INC*(1-AS10)/(1-Q_INC*AS10)</f>
        <v>0.933333333333333</v>
      </c>
    </row>
    <row r="11" customFormat="false" ht="15" hidden="false" customHeight="false" outlineLevel="0" collapsed="false">
      <c r="A11" s="53" t="n">
        <v>46305</v>
      </c>
      <c r="B11" s="54" t="n">
        <v>6</v>
      </c>
      <c r="C11" s="54" t="n">
        <v>2</v>
      </c>
      <c r="D11" s="54" t="n">
        <v>1</v>
      </c>
      <c r="E11" s="54" t="n">
        <v>3</v>
      </c>
      <c r="F11" s="54"/>
      <c r="G11" s="54" t="n">
        <v>1</v>
      </c>
      <c r="H11" s="54" t="n">
        <v>3</v>
      </c>
      <c r="I11" s="54" t="n">
        <v>1</v>
      </c>
      <c r="J11" s="54"/>
      <c r="K11" s="54" t="n">
        <v>1</v>
      </c>
      <c r="L11" s="55" t="n">
        <v>28.96</v>
      </c>
      <c r="M11" s="55" t="n">
        <v>8.06</v>
      </c>
      <c r="N11" s="55" t="n">
        <v>64.81</v>
      </c>
      <c r="O11" s="56"/>
      <c r="P11" s="31" t="n">
        <f aca="false">B11+C11+D11</f>
        <v>9</v>
      </c>
      <c r="Q11" s="31" t="n">
        <f aca="false">AA11+AB11+AC11</f>
        <v>1</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0.5</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-7.00740000000002</v>
      </c>
      <c r="Y11" s="33" t="n">
        <f aca="false">AH11-AI11-AJ11-AK11-AL11-AM11-AO11</f>
        <v>-5.28674186046512</v>
      </c>
      <c r="AA11" s="58" t="n">
        <f aca="false">MAX(0,B11-E11-H11)</f>
        <v>0</v>
      </c>
      <c r="AB11" s="58" t="n">
        <f aca="false">MAX(0,C11-F11-I11)</f>
        <v>1</v>
      </c>
      <c r="AC11" s="58" t="n">
        <f aca="false">MAX(0,D11-G11-J11)</f>
        <v>0</v>
      </c>
      <c r="AD11" s="59" t="n">
        <f aca="false">E11+AA11*AQ11</f>
        <v>3</v>
      </c>
      <c r="AE11" s="59" t="n">
        <f aca="false">F11+AB11*AQ11</f>
        <v>0.267441860465116</v>
      </c>
      <c r="AF11" s="59" t="n">
        <f aca="false">G11+AC11*AQ11</f>
        <v>1</v>
      </c>
      <c r="AG11" s="59" t="n">
        <f aca="false">H11+I11+J11+(AA11+AB11+AC11)*(1-AQ11)</f>
        <v>4.73255813953488</v>
      </c>
      <c r="AH11" s="60" t="n">
        <f aca="false">AD11*P1_PVP+AE11*P2_PVP+AF11*IF($A11&lt;P3_DESDE,P3A_PVP,P3_PVP)</f>
        <v>150.655</v>
      </c>
      <c r="AI11" s="60" t="n">
        <f aca="false">AD11*P1_CPROD+AE11*P2_CPROD+AF11*IF($A11&lt;P3_DESDE,P3A_CPROD,P3_CPROD)</f>
        <v>15.7353465116279</v>
      </c>
      <c r="AJ11" s="60" t="n">
        <f aca="false">IF(ISNUMBER(L11),L11,E11*P1_LOG+F11*P2_LOG+G11*P3_LOG)+IF(ISNUMBER(M11),M11,AA11*P1_LOG+AB11*P2_LOG+AC11*P3_LOG)*AQ11</f>
        <v>31.1155813953488</v>
      </c>
      <c r="AK11" s="60" t="n">
        <f aca="false">AG11*COSTE_DEV</f>
        <v>35.7308139534884</v>
      </c>
      <c r="AL11" s="60" t="n">
        <f aca="false">AD11*P1_IVAN+AE11*P2_IVAN+AF11*IF($A11&lt;P3_DESDE,P3A_IVAN,P3_IVAN)-AG11*IVA_DEV</f>
        <v>0</v>
      </c>
      <c r="AM11" s="60" t="n">
        <f aca="false">N11*(1+RECARGO_ADS)</f>
        <v>64.81</v>
      </c>
      <c r="AN11" s="58" t="n">
        <f aca="false">IF(ISNUMBER(L11),E11+F11+G11+AA11+AB11+AC11,0)</f>
        <v>5</v>
      </c>
      <c r="AO11" s="60" t="n">
        <f aca="false">P11*COMISION</f>
        <v>8.55</v>
      </c>
      <c r="AP11" s="58" t="n">
        <f aca="false">MIN(N(K11),Q11)</f>
        <v>1</v>
      </c>
      <c r="AQ11" s="61" t="n">
        <f aca="false">IF(Q11&gt;0,((Q11-AP11)*AT11+AP11*TASA_INC)/Q11,AT11)</f>
        <v>0.267441860465116</v>
      </c>
      <c r="AR11" s="58" t="n">
        <f aca="false">IF($A11&lt;FECHA_EXPORT,NETWORKDAYS($A11+1,FECHA_EXPORT,FESTIVOS),0)</f>
        <v>8</v>
      </c>
      <c r="AS11" s="61" t="n">
        <f aca="false">IF(AR11&gt;=5,1,INDEX(CDF_INC,1,AR11+1))</f>
        <v>1</v>
      </c>
      <c r="AT11" s="61" t="n">
        <f aca="false">TASA_USADA+(TASA_INC-TASA_USADA)*Q_INC*(1-AS11)/(1-Q_INC*AS11)</f>
        <v>0.933333333333333</v>
      </c>
    </row>
    <row r="12" customFormat="false" ht="15" hidden="false" customHeight="false" outlineLevel="0" collapsed="false">
      <c r="A12" s="53" t="n">
        <v>46306</v>
      </c>
      <c r="B12" s="54" t="n">
        <v>5</v>
      </c>
      <c r="C12" s="54" t="n">
        <v>1</v>
      </c>
      <c r="D12" s="54" t="n">
        <v>0</v>
      </c>
      <c r="E12" s="54" t="n">
        <v>1</v>
      </c>
      <c r="F12" s="54"/>
      <c r="G12" s="54"/>
      <c r="H12" s="54" t="n">
        <v>3</v>
      </c>
      <c r="I12" s="54" t="n">
        <v>1</v>
      </c>
      <c r="J12" s="54"/>
      <c r="K12" s="54" t="n">
        <v>1</v>
      </c>
      <c r="L12" s="55" t="n">
        <v>6.85</v>
      </c>
      <c r="M12" s="55" t="n">
        <v>7.39</v>
      </c>
      <c r="N12" s="55" t="n">
        <v>89.51</v>
      </c>
      <c r="O12" s="56"/>
      <c r="P12" s="31" t="n">
        <f aca="false">B12+C12+D12</f>
        <v>6</v>
      </c>
      <c r="Q12" s="31" t="n">
        <f aca="false">AA12+AB12+AC12</f>
        <v>1</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n">
        <f aca="false">IF(E12+F12+G12+H12+I12+J12&gt;0,(E12+F12+G12)/(E12+F12+G12+H12+I12+J12),"")</f>
        <v>0.2</v>
      </c>
      <c r="W12" s="33" t="n">
        <f aca="false">E12*(P1_PVP-P1_CPROD)+F12*(P2_PVP-P2_CPROD)+G12*(IF($A12&lt;P3_DESDE,P3A_PVP,P3_PVP)-IF($A12&lt;P3_DESDE,P3A_CPROD,P3_CPROD))-IF(ISNUMBER(L12),L12,E12*P1_LOG+F12*P2_LOG+G12*P3_LOG)</f>
        <v>20.7321</v>
      </c>
      <c r="X12" s="33" t="n">
        <f aca="false">W12-(E12*P1_IVAN+F12*P2_IVAN+G12*IF($A12&lt;P3_DESDE,P3A_IVAN,P3_IVAN))-(H12+I12+J12)*(COSTE_DEV-IVA_DEV)-AM12-AO12</f>
        <v>-104.6779</v>
      </c>
      <c r="Y12" s="33" t="n">
        <f aca="false">AH12-AI12-AJ12-AK12-AL12-AM12-AO12</f>
        <v>-104.808501162791</v>
      </c>
      <c r="AA12" s="58" t="n">
        <f aca="false">MAX(0,B12-E12-H12)</f>
        <v>1</v>
      </c>
      <c r="AB12" s="58" t="n">
        <f aca="false">MAX(0,C12-F12-I12)</f>
        <v>0</v>
      </c>
      <c r="AC12" s="58" t="n">
        <f aca="false">MAX(0,D12-G12-J12)</f>
        <v>0</v>
      </c>
      <c r="AD12" s="59" t="n">
        <f aca="false">E12+AA12*AQ12</f>
        <v>1.26744186046512</v>
      </c>
      <c r="AE12" s="59" t="n">
        <f aca="false">F12+AB12*AQ12</f>
        <v>0</v>
      </c>
      <c r="AF12" s="59" t="n">
        <f aca="false">G12+AC12*AQ12</f>
        <v>0</v>
      </c>
      <c r="AG12" s="59" t="n">
        <f aca="false">H12+I12+J12+(AA12+AB12+AC12)*(1-AQ12)</f>
        <v>4.73255813953488</v>
      </c>
      <c r="AH12" s="60" t="n">
        <f aca="false">AD12*P1_PVP+AE12*P2_PVP+AF12*IF($A12&lt;P3_DESDE,P3A_PVP,P3_PVP)</f>
        <v>38.0105813953488</v>
      </c>
      <c r="AI12" s="60" t="n">
        <f aca="false">AD12*P1_CPROD+AE12*P2_CPROD+AF12*IF($A12&lt;P3_DESDE,P3A_CPROD,P3_CPROD)</f>
        <v>3.05187325581395</v>
      </c>
      <c r="AJ12" s="60" t="n">
        <f aca="false">IF(ISNUMBER(L12),L12,E12*P1_LOG+F12*P2_LOG+G12*P3_LOG)+IF(ISNUMBER(M12),M12,AA12*P1_LOG+AB12*P2_LOG+AC12*P3_LOG)*AQ12</f>
        <v>8.82639534883721</v>
      </c>
      <c r="AK12" s="60" t="n">
        <f aca="false">AG12*COSTE_DEV</f>
        <v>35.7308139534884</v>
      </c>
      <c r="AL12" s="60" t="n">
        <f aca="false">AD12*P1_IVAN+AE12*P2_IVAN+AF12*IF($A12&lt;P3_DESDE,P3A_IVAN,P3_IVAN)-AG12*IVA_DEV</f>
        <v>0</v>
      </c>
      <c r="AM12" s="60" t="n">
        <f aca="false">N12*(1+RECARGO_ADS)</f>
        <v>89.51</v>
      </c>
      <c r="AN12" s="58" t="n">
        <f aca="false">IF(ISNUMBER(L12),E12+F12+G12+AA12+AB12+AC12,0)</f>
        <v>2</v>
      </c>
      <c r="AO12" s="60" t="n">
        <f aca="false">P12*COMISION</f>
        <v>5.7</v>
      </c>
      <c r="AP12" s="58" t="n">
        <f aca="false">MIN(N(K12),Q12)</f>
        <v>1</v>
      </c>
      <c r="AQ12" s="61" t="n">
        <f aca="false">IF(Q12&gt;0,((Q12-AP12)*AT12+AP12*TASA_INC)/Q12,AT12)</f>
        <v>0.267441860465116</v>
      </c>
      <c r="AR12" s="58" t="n">
        <f aca="false">IF($A12&lt;FECHA_EXPORT,NETWORKDAYS($A12+1,FECHA_EXPORT,FESTIVOS),0)</f>
        <v>8</v>
      </c>
      <c r="AS12" s="61" t="n">
        <f aca="false">IF(AR12&gt;=5,1,INDEX(CDF_INC,1,AR12+1))</f>
        <v>1</v>
      </c>
      <c r="AT12" s="61" t="n">
        <f aca="false">TASA_USADA+(TASA_INC-TASA_USADA)*Q_INC*(1-AS12)/(1-Q_INC*AS12)</f>
        <v>0.933333333333333</v>
      </c>
    </row>
    <row r="13" customFormat="false" ht="15" hidden="false" customHeight="false" outlineLevel="0" collapsed="false">
      <c r="A13" s="53" t="n">
        <v>46307</v>
      </c>
      <c r="B13" s="54" t="n">
        <v>9</v>
      </c>
      <c r="C13" s="54" t="n">
        <v>3</v>
      </c>
      <c r="D13" s="54" t="n">
        <v>2</v>
      </c>
      <c r="E13" s="54" t="n">
        <v>4</v>
      </c>
      <c r="F13" s="54" t="n">
        <v>2</v>
      </c>
      <c r="G13" s="54" t="n">
        <v>1</v>
      </c>
      <c r="H13" s="54" t="n">
        <v>1</v>
      </c>
      <c r="I13" s="54"/>
      <c r="J13" s="54" t="n">
        <v>1</v>
      </c>
      <c r="K13" s="54" t="n">
        <v>5</v>
      </c>
      <c r="L13" s="55" t="n">
        <v>52.47</v>
      </c>
      <c r="M13" s="55" t="n">
        <v>37.24</v>
      </c>
      <c r="N13" s="55" t="n">
        <v>78.33</v>
      </c>
      <c r="O13" s="56"/>
      <c r="P13" s="31" t="n">
        <f aca="false">B13+C13+D13</f>
        <v>14</v>
      </c>
      <c r="Q13" s="31" t="n">
        <f aca="false">AA13+AB13+AC13</f>
        <v>5</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0.777777777777778</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64.2431</v>
      </c>
      <c r="Y13" s="33" t="n">
        <f aca="false">AH13-AI13-AJ13-AK13-AL13-AM13-AO13</f>
        <v>65.5429813953489</v>
      </c>
      <c r="AA13" s="58" t="n">
        <f aca="false">MAX(0,B13-E13-H13)</f>
        <v>4</v>
      </c>
      <c r="AB13" s="58" t="n">
        <f aca="false">MAX(0,C13-F13-I13)</f>
        <v>1</v>
      </c>
      <c r="AC13" s="58" t="n">
        <f aca="false">MAX(0,D13-G13-J13)</f>
        <v>0</v>
      </c>
      <c r="AD13" s="59" t="n">
        <f aca="false">E13+AA13*AQ13</f>
        <v>5.06976744186047</v>
      </c>
      <c r="AE13" s="59" t="n">
        <f aca="false">F13+AB13*AQ13</f>
        <v>2.26744186046512</v>
      </c>
      <c r="AF13" s="59" t="n">
        <f aca="false">G13+AC13*AQ13</f>
        <v>1</v>
      </c>
      <c r="AG13" s="59" t="n">
        <f aca="false">H13+I13+J13+(AA13+AB13+AC13)*(1-AQ13)</f>
        <v>5.66279069767442</v>
      </c>
      <c r="AH13" s="60" t="n">
        <f aca="false">AD13*P1_PVP+AE13*P2_PVP+AF13*IF($A13&lt;P3_DESDE,P3A_PVP,P3_PVP)</f>
        <v>292.707325581395</v>
      </c>
      <c r="AI13" s="60" t="n">
        <f aca="false">AD13*P1_CPROD+AE13*P2_CPROD+AF13*IF($A13&lt;P3_DESDE,P3A_CPROD,P3_CPROD)</f>
        <v>30.3507395348837</v>
      </c>
      <c r="AJ13" s="60" t="n">
        <f aca="false">IF(ISNUMBER(L13),L13,E13*P1_LOG+F13*P2_LOG+G13*P3_LOG)+IF(ISNUMBER(M13),M13,AA13*P1_LOG+AB13*P2_LOG+AC13*P3_LOG)*AQ13</f>
        <v>62.4295348837209</v>
      </c>
      <c r="AK13" s="60" t="n">
        <f aca="false">AG13*COSTE_DEV</f>
        <v>42.7540697674419</v>
      </c>
      <c r="AL13" s="60" t="n">
        <f aca="false">AD13*P1_IVAN+AE13*P2_IVAN+AF13*IF($A13&lt;P3_DESDE,P3A_IVAN,P3_IVAN)-AG13*IVA_DEV</f>
        <v>0</v>
      </c>
      <c r="AM13" s="60" t="n">
        <f aca="false">N13*(1+RECARGO_ADS)</f>
        <v>78.33</v>
      </c>
      <c r="AN13" s="58" t="n">
        <f aca="false">IF(ISNUMBER(L13),E13+F13+G13+AA13+AB13+AC13,0)</f>
        <v>12</v>
      </c>
      <c r="AO13" s="60" t="n">
        <f aca="false">P13*COMISION</f>
        <v>13.3</v>
      </c>
      <c r="AP13" s="58" t="n">
        <f aca="false">MIN(N(K13),Q13)</f>
        <v>5</v>
      </c>
      <c r="AQ13" s="61" t="n">
        <f aca="false">IF(Q13&gt;0,((Q13-AP13)*AT13+AP13*TASA_INC)/Q13,AT13)</f>
        <v>0.267441860465116</v>
      </c>
      <c r="AR13" s="58" t="n">
        <f aca="false">IF($A13&lt;FECHA_EXPORT,NETWORKDAYS($A13+1,FECHA_EXPORT,FESTIVOS),0)</f>
        <v>8</v>
      </c>
      <c r="AS13" s="61" t="n">
        <f aca="false">IF(AR13&gt;=5,1,INDEX(CDF_INC,1,AR13+1))</f>
        <v>1</v>
      </c>
      <c r="AT13" s="61" t="n">
        <f aca="false">TASA_USADA+(TASA_INC-TASA_USADA)*Q_INC*(1-AS13)/(1-Q_INC*AS13)</f>
        <v>0.933333333333333</v>
      </c>
    </row>
    <row r="14" customFormat="false" ht="15" hidden="false" customHeight="false" outlineLevel="0" collapsed="false">
      <c r="A14" s="53" t="n">
        <v>46308</v>
      </c>
      <c r="B14" s="54" t="n">
        <v>7</v>
      </c>
      <c r="C14" s="54" t="n">
        <v>1</v>
      </c>
      <c r="D14" s="54" t="n">
        <v>1</v>
      </c>
      <c r="E14" s="54" t="n">
        <v>4</v>
      </c>
      <c r="F14" s="54" t="n">
        <v>1</v>
      </c>
      <c r="G14" s="54"/>
      <c r="H14" s="54" t="n">
        <v>1</v>
      </c>
      <c r="I14" s="54"/>
      <c r="J14" s="54"/>
      <c r="K14" s="54" t="n">
        <v>3</v>
      </c>
      <c r="L14" s="55" t="n">
        <v>37.56</v>
      </c>
      <c r="M14" s="55" t="n">
        <v>24.18</v>
      </c>
      <c r="N14" s="55" t="n">
        <v>68.05</v>
      </c>
      <c r="O14" s="56"/>
      <c r="P14" s="31" t="n">
        <f aca="false">B14+C14+D14</f>
        <v>9</v>
      </c>
      <c r="Q14" s="31" t="n">
        <f aca="false">AA14+AB14+AC14</f>
        <v>3</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0.833333333333333</v>
      </c>
      <c r="W14" s="33" t="n">
        <f aca="false">E14*(P1_PVP-P1_CPROD)+F14*(P2_PVP-P2_CPROD)+G14*(IF($A14&lt;P3_DESDE,P3A_PVP,P3_PVP)-IF($A14&lt;P3_DESDE,P3A_CPROD,P3_CPROD))-IF(ISNUMBER(L14),L14,E14*P1_LOG+F14*P2_LOG+G14*P3_LOG)</f>
        <v>107.9426</v>
      </c>
      <c r="X14" s="33" t="n">
        <f aca="false">W14-(E14*P1_IVAN+F14*P2_IVAN+G14*IF($A14&lt;P3_DESDE,P3A_IVAN,P3_IVAN))-(H14+I14+J14)*(COSTE_DEV-IVA_DEV)-AM14-AO14</f>
        <v>23.7926</v>
      </c>
      <c r="Y14" s="33" t="n">
        <f aca="false">AH14-AI14-AJ14-AK14-AL14-AM14-AO14</f>
        <v>26.9241290697675</v>
      </c>
      <c r="AA14" s="58" t="n">
        <f aca="false">MAX(0,B14-E14-H14)</f>
        <v>2</v>
      </c>
      <c r="AB14" s="58" t="n">
        <f aca="false">MAX(0,C14-F14-I14)</f>
        <v>0</v>
      </c>
      <c r="AC14" s="58" t="n">
        <f aca="false">MAX(0,D14-G14-J14)</f>
        <v>1</v>
      </c>
      <c r="AD14" s="59" t="n">
        <f aca="false">E14+AA14*AQ14</f>
        <v>4.53488372093023</v>
      </c>
      <c r="AE14" s="59" t="n">
        <f aca="false">F14+AB14*AQ14</f>
        <v>1</v>
      </c>
      <c r="AF14" s="59" t="n">
        <f aca="false">G14+AC14*AQ14</f>
        <v>0.267441860465116</v>
      </c>
      <c r="AG14" s="59" t="n">
        <f aca="false">H14+I14+J14+(AA14+AB14+AC14)*(1-AQ14)</f>
        <v>3.19767441860465</v>
      </c>
      <c r="AH14" s="60" t="n">
        <f aca="false">AD14*P1_PVP+AE14*P2_PVP+AF14*IF($A14&lt;P3_DESDE,P3A_PVP,P3_PVP)</f>
        <v>189.360581395349</v>
      </c>
      <c r="AI14" s="60" t="n">
        <f aca="false">AD14*P1_CPROD+AE14*P2_CPROD+AF14*IF($A14&lt;P3_DESDE,P3A_CPROD,P3_CPROD)</f>
        <v>17.6672662790698</v>
      </c>
      <c r="AJ14" s="60" t="n">
        <f aca="false">IF(ISNUMBER(L14),L14,E14*P1_LOG+F14*P2_LOG+G14*P3_LOG)+IF(ISNUMBER(M14),M14,AA14*P1_LOG+AB14*P2_LOG+AC14*P3_LOG)*AQ14</f>
        <v>44.0267441860465</v>
      </c>
      <c r="AK14" s="60" t="n">
        <f aca="false">AG14*COSTE_DEV</f>
        <v>24.1424418604651</v>
      </c>
      <c r="AL14" s="60" t="n">
        <f aca="false">AD14*P1_IVAN+AE14*P2_IVAN+AF14*IF($A14&lt;P3_DESDE,P3A_IVAN,P3_IVAN)-AG14*IVA_DEV</f>
        <v>0</v>
      </c>
      <c r="AM14" s="60" t="n">
        <f aca="false">N14*(1+RECARGO_ADS)</f>
        <v>68.05</v>
      </c>
      <c r="AN14" s="58" t="n">
        <f aca="false">IF(ISNUMBER(L14),E14+F14+G14+AA14+AB14+AC14,0)</f>
        <v>8</v>
      </c>
      <c r="AO14" s="60" t="n">
        <f aca="false">P14*COMISION</f>
        <v>8.55</v>
      </c>
      <c r="AP14" s="58" t="n">
        <f aca="false">MIN(N(K14),Q14)</f>
        <v>3</v>
      </c>
      <c r="AQ14" s="61" t="n">
        <f aca="false">IF(Q14&gt;0,((Q14-AP14)*AT14+AP14*TASA_INC)/Q14,AT14)</f>
        <v>0.267441860465116</v>
      </c>
      <c r="AR14" s="58" t="n">
        <f aca="false">IF($A14&lt;FECHA_EXPORT,NETWORKDAYS($A14+1,FECHA_EXPORT,FESTIVOS),0)</f>
        <v>7</v>
      </c>
      <c r="AS14" s="61" t="n">
        <f aca="false">IF(AR14&gt;=5,1,INDEX(CDF_INC,1,AR14+1))</f>
        <v>1</v>
      </c>
      <c r="AT14" s="61" t="n">
        <f aca="false">TASA_USADA+(TASA_INC-TASA_USADA)*Q_INC*(1-AS14)/(1-Q_INC*AS14)</f>
        <v>0.933333333333333</v>
      </c>
    </row>
    <row r="15" customFormat="false" ht="15" hidden="false" customHeight="false" outlineLevel="0" collapsed="false">
      <c r="A15" s="53" t="n">
        <v>46309</v>
      </c>
      <c r="B15" s="54" t="n">
        <v>5</v>
      </c>
      <c r="C15" s="54" t="n">
        <v>4</v>
      </c>
      <c r="D15" s="54" t="n">
        <v>0</v>
      </c>
      <c r="E15" s="54" t="n">
        <v>4</v>
      </c>
      <c r="F15" s="54" t="n">
        <v>2</v>
      </c>
      <c r="G15" s="54"/>
      <c r="H15" s="54"/>
      <c r="I15" s="54"/>
      <c r="J15" s="54"/>
      <c r="K15" s="54" t="n">
        <v>3</v>
      </c>
      <c r="L15" s="55" t="n">
        <v>45.11</v>
      </c>
      <c r="M15" s="55" t="n">
        <v>23.51</v>
      </c>
      <c r="N15" s="55" t="n">
        <v>73.35</v>
      </c>
      <c r="O15" s="56"/>
      <c r="P15" s="31" t="n">
        <f aca="false">B15+C15+D15</f>
        <v>9</v>
      </c>
      <c r="Q15" s="31" t="n">
        <f aca="false">AA15+AB15+AC15</f>
        <v>3</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135.5668</v>
      </c>
      <c r="X15" s="33" t="n">
        <f aca="false">W15-(E15*P1_IVAN+F15*P2_IVAN+G15*IF($A15&lt;P3_DESDE,P3A_IVAN,P3_IVAN))-(H15+I15+J15)*(COSTE_DEV-IVA_DEV)-AM15-AO15</f>
        <v>53.6668</v>
      </c>
      <c r="Y15" s="33" t="n">
        <f aca="false">AH15-AI15-AJ15-AK15-AL15-AM15-AO15</f>
        <v>56.9775151162791</v>
      </c>
      <c r="AA15" s="58" t="n">
        <f aca="false">MAX(0,B15-E15-H15)</f>
        <v>1</v>
      </c>
      <c r="AB15" s="58" t="n">
        <f aca="false">MAX(0,C15-F15-I15)</f>
        <v>2</v>
      </c>
      <c r="AC15" s="58" t="n">
        <f aca="false">MAX(0,D15-G15-J15)</f>
        <v>0</v>
      </c>
      <c r="AD15" s="59" t="n">
        <f aca="false">E15+AA15*AQ15</f>
        <v>4.26744186046512</v>
      </c>
      <c r="AE15" s="59" t="n">
        <f aca="false">F15+AB15*AQ15</f>
        <v>2.53488372093023</v>
      </c>
      <c r="AF15" s="59" t="n">
        <f aca="false">G15+AC15*AQ15</f>
        <v>0</v>
      </c>
      <c r="AG15" s="59" t="n">
        <f aca="false">H15+I15+J15+(AA15+AB15+AC15)*(1-AQ15)</f>
        <v>2.19767441860465</v>
      </c>
      <c r="AH15" s="60" t="n">
        <f aca="false">AD15*P1_PVP+AE15*P2_PVP+AF15*IF($A15&lt;P3_DESDE,P3A_PVP,P3_PVP)</f>
        <v>229.350581395349</v>
      </c>
      <c r="AI15" s="60" t="n">
        <f aca="false">AD15*P1_CPROD+AE15*P2_CPROD+AF15*IF($A15&lt;P3_DESDE,P3A_CPROD,P3_CPROD)</f>
        <v>22.4830662790698</v>
      </c>
      <c r="AJ15" s="60" t="n">
        <f aca="false">IF(ISNUMBER(L15),L15,E15*P1_LOG+F15*P2_LOG+G15*P3_LOG)+IF(ISNUMBER(M15),M15,AA15*P1_LOG+AB15*P2_LOG+AC15*P3_LOG)*AQ15</f>
        <v>51.3975581395349</v>
      </c>
      <c r="AK15" s="60" t="n">
        <f aca="false">AG15*COSTE_DEV</f>
        <v>16.5924418604651</v>
      </c>
      <c r="AL15" s="60" t="n">
        <f aca="false">AD15*P1_IVAN+AE15*P2_IVAN+AF15*IF($A15&lt;P3_DESDE,P3A_IVAN,P3_IVAN)-AG15*IVA_DEV</f>
        <v>0</v>
      </c>
      <c r="AM15" s="60" t="n">
        <f aca="false">N15*(1+RECARGO_ADS)</f>
        <v>73.35</v>
      </c>
      <c r="AN15" s="58" t="n">
        <f aca="false">IF(ISNUMBER(L15),E15+F15+G15+AA15+AB15+AC15,0)</f>
        <v>9</v>
      </c>
      <c r="AO15" s="60" t="n">
        <f aca="false">P15*COMISION</f>
        <v>8.55</v>
      </c>
      <c r="AP15" s="58" t="n">
        <f aca="false">MIN(N(K15),Q15)</f>
        <v>3</v>
      </c>
      <c r="AQ15" s="61" t="n">
        <f aca="false">IF(Q15&gt;0,((Q15-AP15)*AT15+AP15*TASA_INC)/Q15,AT15)</f>
        <v>0.267441860465116</v>
      </c>
      <c r="AR15" s="58" t="n">
        <f aca="false">IF($A15&lt;FECHA_EXPORT,NETWORKDAYS($A15+1,FECHA_EXPORT,FESTIVOS),0)</f>
        <v>6</v>
      </c>
      <c r="AS15" s="61" t="n">
        <f aca="false">IF(AR15&gt;=5,1,INDEX(CDF_INC,1,AR15+1))</f>
        <v>1</v>
      </c>
      <c r="AT15" s="61" t="n">
        <f aca="false">TASA_USADA+(TASA_INC-TASA_USADA)*Q_INC*(1-AS15)/(1-Q_INC*AS15)</f>
        <v>0.933333333333333</v>
      </c>
    </row>
    <row r="16" customFormat="false" ht="15" hidden="false" customHeight="false" outlineLevel="0" collapsed="false">
      <c r="A16" s="53" t="n">
        <v>46310</v>
      </c>
      <c r="B16" s="54" t="n">
        <v>2</v>
      </c>
      <c r="C16" s="54" t="n">
        <v>3</v>
      </c>
      <c r="D16" s="54" t="n">
        <v>0</v>
      </c>
      <c r="E16" s="54" t="n">
        <v>1</v>
      </c>
      <c r="F16" s="54" t="n">
        <v>3</v>
      </c>
      <c r="G16" s="54"/>
      <c r="H16" s="54"/>
      <c r="I16" s="54"/>
      <c r="J16" s="54"/>
      <c r="K16" s="54" t="n">
        <v>1</v>
      </c>
      <c r="L16" s="55" t="n">
        <v>29.85</v>
      </c>
      <c r="M16" s="55" t="n">
        <v>8.06</v>
      </c>
      <c r="N16" s="55" t="n">
        <v>60.8</v>
      </c>
      <c r="O16" s="56"/>
      <c r="P16" s="31" t="n">
        <f aca="false">B16+C16+D16</f>
        <v>5</v>
      </c>
      <c r="Q16" s="31" t="n">
        <f aca="false">AA16+AB16+AC16</f>
        <v>1</v>
      </c>
      <c r="R16" s="32" t="n">
        <f aca="false">B16*P1_PVP+C16*P2_PVP+D16*IF($A16&lt;P3_DESDE,P3A_PVP,P3_PVP)</f>
        <v>179.95</v>
      </c>
      <c r="S16" s="32" t="n">
        <f aca="false">IF(P16&gt;0,R16/P16,"")</f>
        <v>35.99</v>
      </c>
      <c r="T16" s="32" t="n">
        <f aca="false">IF(P16&gt;0,N16/P16,"")</f>
        <v>12.16</v>
      </c>
      <c r="U16" s="57" t="n">
        <f aca="false">IF(N16&gt;0,R16/N16,"")</f>
        <v>2.95970394736842</v>
      </c>
      <c r="V16" s="34" t="n">
        <f aca="false">IF(E16+F16+G16+H16+I16+J16&gt;0,(E16+F16+G16)/(E16+F16+G16+H16+I16+J16),"")</f>
        <v>1</v>
      </c>
      <c r="W16" s="33" t="n">
        <f aca="false">E16*(P1_PVP-P1_CPROD)+F16*(P2_PVP-P2_CPROD)+G16*(IF($A16&lt;P3_DESDE,P3A_PVP,P3_PVP)-IF($A16&lt;P3_DESDE,P3A_CPROD,P3_CPROD))-IF(ISNUMBER(L16),L16,E16*P1_LOG+F16*P2_LOG+G16*P3_LOG)</f>
        <v>103.2547</v>
      </c>
      <c r="X16" s="33" t="n">
        <f aca="false">W16-(E16*P1_IVAN+F16*P2_IVAN+G16*IF($A16&lt;P3_DESDE,P3A_IVAN,P3_IVAN))-(H16+I16+J16)*(COSTE_DEV-IVA_DEV)-AM16-AO16</f>
        <v>37.7047</v>
      </c>
      <c r="Y16" s="33" t="n">
        <f aca="false">AH16-AI16-AJ16-AK16-AL16-AM16-AO16</f>
        <v>37.3949127906977</v>
      </c>
      <c r="AA16" s="58" t="n">
        <f aca="false">MAX(0,B16-E16-H16)</f>
        <v>1</v>
      </c>
      <c r="AB16" s="58" t="n">
        <f aca="false">MAX(0,C16-F16-I16)</f>
        <v>0</v>
      </c>
      <c r="AC16" s="58" t="n">
        <f aca="false">MAX(0,D16-G16-J16)</f>
        <v>0</v>
      </c>
      <c r="AD16" s="59" t="n">
        <f aca="false">E16+AA16*AQ16</f>
        <v>1.26744186046512</v>
      </c>
      <c r="AE16" s="59" t="n">
        <f aca="false">F16+AB16*AQ16</f>
        <v>3</v>
      </c>
      <c r="AF16" s="59" t="n">
        <f aca="false">G16+AC16*AQ16</f>
        <v>0</v>
      </c>
      <c r="AG16" s="59" t="n">
        <f aca="false">H16+I16+J16+(AA16+AB16+AC16)*(1-AQ16)</f>
        <v>0.732558139534884</v>
      </c>
      <c r="AH16" s="60" t="n">
        <f aca="false">AD16*P1_PVP+AE16*P2_PVP+AF16*IF($A16&lt;P3_DESDE,P3A_PVP,P3_PVP)</f>
        <v>157.980581395349</v>
      </c>
      <c r="AI16" s="60" t="n">
        <f aca="false">AD16*P1_CPROD+AE16*P2_CPROD+AF16*IF($A16&lt;P3_DESDE,P3A_CPROD,P3_CPROD)</f>
        <v>17.499273255814</v>
      </c>
      <c r="AJ16" s="60" t="n">
        <f aca="false">IF(ISNUMBER(L16),L16,E16*P1_LOG+F16*P2_LOG+G16*P3_LOG)+IF(ISNUMBER(M16),M16,AA16*P1_LOG+AB16*P2_LOG+AC16*P3_LOG)*AQ16</f>
        <v>32.0055813953488</v>
      </c>
      <c r="AK16" s="60" t="n">
        <f aca="false">AG16*COSTE_DEV</f>
        <v>5.53081395348837</v>
      </c>
      <c r="AL16" s="60" t="n">
        <f aca="false">AD16*P1_IVAN+AE16*P2_IVAN+AF16*IF($A16&lt;P3_DESDE,P3A_IVAN,P3_IVAN)-AG16*IVA_DEV</f>
        <v>0</v>
      </c>
      <c r="AM16" s="60" t="n">
        <f aca="false">N16*(1+RECARGO_ADS)</f>
        <v>60.8</v>
      </c>
      <c r="AN16" s="58" t="n">
        <f aca="false">IF(ISNUMBER(L16),E16+F16+G16+AA16+AB16+AC16,0)</f>
        <v>5</v>
      </c>
      <c r="AO16" s="60" t="n">
        <f aca="false">P16*COMISION</f>
        <v>4.75</v>
      </c>
      <c r="AP16" s="58" t="n">
        <f aca="false">MIN(N(K16),Q16)</f>
        <v>1</v>
      </c>
      <c r="AQ16" s="61" t="n">
        <f aca="false">IF(Q16&gt;0,((Q16-AP16)*AT16+AP16*TASA_INC)/Q16,AT16)</f>
        <v>0.267441860465116</v>
      </c>
      <c r="AR16" s="58" t="n">
        <f aca="false">IF($A16&lt;FECHA_EXPORT,NETWORKDAYS($A16+1,FECHA_EXPORT,FESTIVOS),0)</f>
        <v>5</v>
      </c>
      <c r="AS16" s="61" t="n">
        <f aca="false">IF(AR16&gt;=5,1,INDEX(CDF_INC,1,AR16+1))</f>
        <v>1</v>
      </c>
      <c r="AT16" s="61" t="n">
        <f aca="false">TASA_USADA+(TASA_INC-TASA_USADA)*Q_INC*(1-AS16)/(1-Q_INC*AS16)</f>
        <v>0.933333333333333</v>
      </c>
    </row>
    <row r="17" customFormat="false" ht="15" hidden="false" customHeight="false" outlineLevel="0" collapsed="false">
      <c r="A17" s="53" t="n">
        <v>46311</v>
      </c>
      <c r="B17" s="54" t="n">
        <v>5</v>
      </c>
      <c r="C17" s="54" t="n">
        <v>7</v>
      </c>
      <c r="D17" s="54" t="n">
        <v>0</v>
      </c>
      <c r="E17" s="54" t="n">
        <v>1</v>
      </c>
      <c r="F17" s="54" t="n">
        <v>4</v>
      </c>
      <c r="G17" s="54"/>
      <c r="H17" s="54"/>
      <c r="I17" s="54"/>
      <c r="J17" s="54"/>
      <c r="K17" s="54" t="n">
        <v>5</v>
      </c>
      <c r="L17" s="55" t="n">
        <v>36.35</v>
      </c>
      <c r="M17" s="55" t="n">
        <v>54.54</v>
      </c>
      <c r="N17" s="55" t="n">
        <v>100.4</v>
      </c>
      <c r="O17" s="56"/>
      <c r="P17" s="31" t="n">
        <f aca="false">B17+C17+D17</f>
        <v>12</v>
      </c>
      <c r="Q17" s="31" t="n">
        <f aca="false">AA17+AB17+AC17</f>
        <v>7</v>
      </c>
      <c r="R17" s="32" t="n">
        <f aca="false">B17*P1_PVP+C17*P2_PVP+D17*IF($A17&lt;P3_DESDE,P3A_PVP,P3_PVP)</f>
        <v>429.88</v>
      </c>
      <c r="S17" s="32" t="n">
        <f aca="false">IF(P17&gt;0,R17/P17,"")</f>
        <v>35.8233333333333</v>
      </c>
      <c r="T17" s="32" t="n">
        <f aca="false">IF(P17&gt;0,N17/P17,"")</f>
        <v>8.36666666666667</v>
      </c>
      <c r="U17" s="57" t="n">
        <f aca="false">IF(N17&gt;0,R17/N17,"")</f>
        <v>4.28167330677291</v>
      </c>
      <c r="V17" s="34" t="n">
        <f aca="false">IF(E17+F17+G17+H17+I17+J17&gt;0,(E17+F17+G17)/(E17+F17+G17+H17+I17+J17),"")</f>
        <v>1</v>
      </c>
      <c r="W17" s="33" t="n">
        <f aca="false">E17*(P1_PVP-P1_CPROD)+F17*(P2_PVP-P2_CPROD)+G17*(IF($A17&lt;P3_DESDE,P3A_PVP,P3_PVP)-IF($A17&lt;P3_DESDE,P3A_CPROD,P3_CPROD))-IF(ISNUMBER(L17),L17,E17*P1_LOG+F17*P2_LOG+G17*P3_LOG)</f>
        <v>131.9289</v>
      </c>
      <c r="X17" s="33" t="n">
        <f aca="false">W17-(E17*P1_IVAN+F17*P2_IVAN+G17*IF($A17&lt;P3_DESDE,P3A_IVAN,P3_IVAN))-(H17+I17+J17)*(COSTE_DEV-IVA_DEV)-AM17-AO17</f>
        <v>20.1289</v>
      </c>
      <c r="Y17" s="33" t="n">
        <f aca="false">AH17-AI17-AJ17-AK17-AL17-AM17-AO17</f>
        <v>64.6326162654163</v>
      </c>
      <c r="AA17" s="58" t="n">
        <f aca="false">MAX(0,B17-E17-H17)</f>
        <v>4</v>
      </c>
      <c r="AB17" s="58" t="n">
        <f aca="false">MAX(0,C17-F17-I17)</f>
        <v>3</v>
      </c>
      <c r="AC17" s="58" t="n">
        <f aca="false">MAX(0,D17-G17-J17)</f>
        <v>0</v>
      </c>
      <c r="AD17" s="59" t="n">
        <f aca="false">E17+AA17*AQ17</f>
        <v>2.81832763697249</v>
      </c>
      <c r="AE17" s="59" t="n">
        <f aca="false">F17+AB17*AQ17</f>
        <v>5.36374572772937</v>
      </c>
      <c r="AF17" s="59" t="n">
        <f aca="false">G17+AC17*AQ17</f>
        <v>0</v>
      </c>
      <c r="AG17" s="59" t="n">
        <f aca="false">H17+I17+J17+(AA17+AB17+AC17)*(1-AQ17)</f>
        <v>3.81792663529814</v>
      </c>
      <c r="AH17" s="60" t="n">
        <f aca="false">AD17*P1_PVP+AE17*P2_PVP+AF17*IF($A17&lt;P3_DESDE,P3A_PVP,P3_PVP)</f>
        <v>299.017837484702</v>
      </c>
      <c r="AI17" s="60" t="n">
        <f aca="false">AD17*P1_CPROD+AE17*P2_CPROD+AF17*IF($A17&lt;P3_DESDE,P3A_CPROD,P3_CPROD)</f>
        <v>32.6169777926651</v>
      </c>
      <c r="AJ17" s="60" t="n">
        <f aca="false">IF(ISNUMBER(L17),L17,E17*P1_LOG+F17*P2_LOG+G17*P3_LOG)+IF(ISNUMBER(M17),M17,AA17*P1_LOG+AB17*P2_LOG+AC17*P3_LOG)*AQ17</f>
        <v>61.1428973301199</v>
      </c>
      <c r="AK17" s="60" t="n">
        <f aca="false">AG17*COSTE_DEV</f>
        <v>28.825346096501</v>
      </c>
      <c r="AL17" s="60" t="n">
        <f aca="false">AD17*P1_IVAN+AE17*P2_IVAN+AF17*IF($A17&lt;P3_DESDE,P3A_IVAN,P3_IVAN)-AG17*IVA_DEV</f>
        <v>0</v>
      </c>
      <c r="AM17" s="60" t="n">
        <f aca="false">N17*(1+RECARGO_ADS)</f>
        <v>100.4</v>
      </c>
      <c r="AN17" s="58" t="n">
        <f aca="false">IF(ISNUMBER(L17),E17+F17+G17+AA17+AB17+AC17,0)</f>
        <v>12</v>
      </c>
      <c r="AO17" s="60" t="n">
        <f aca="false">P17*COMISION</f>
        <v>11.4</v>
      </c>
      <c r="AP17" s="58" t="n">
        <f aca="false">MIN(N(K17),Q17)</f>
        <v>5</v>
      </c>
      <c r="AQ17" s="61" t="n">
        <f aca="false">IF(Q17&gt;0,((Q17-AP17)*AT17+AP17*TASA_INC)/Q17,AT17)</f>
        <v>0.454581909243122</v>
      </c>
      <c r="AR17" s="58" t="n">
        <f aca="false">IF($A17&lt;FECHA_EXPORT,NETWORKDAYS($A17+1,FECHA_EXPORT,FESTIVOS),0)</f>
        <v>4</v>
      </c>
      <c r="AS17" s="61" t="n">
        <f aca="false">IF(AR17&gt;=5,1,INDEX(CDF_INC,1,AR17+1))</f>
        <v>0.98</v>
      </c>
      <c r="AT17" s="61" t="n">
        <f aca="false">TASA_USADA+(TASA_INC-TASA_USADA)*Q_INC*(1-AS17)/(1-Q_INC*AS17)</f>
        <v>0.922432031188137</v>
      </c>
    </row>
    <row r="18" customFormat="false" ht="15" hidden="false" customHeight="false" outlineLevel="0" collapsed="false">
      <c r="A18" s="53" t="n">
        <v>46312</v>
      </c>
      <c r="B18" s="54" t="n">
        <v>3</v>
      </c>
      <c r="C18" s="54" t="n">
        <v>5</v>
      </c>
      <c r="D18" s="54" t="n">
        <v>1</v>
      </c>
      <c r="E18" s="54" t="n">
        <v>3</v>
      </c>
      <c r="F18" s="54" t="n">
        <v>2</v>
      </c>
      <c r="G18" s="54"/>
      <c r="H18" s="54"/>
      <c r="I18" s="54"/>
      <c r="J18" s="54"/>
      <c r="K18" s="54" t="n">
        <v>3</v>
      </c>
      <c r="L18" s="55" t="n">
        <v>35.7</v>
      </c>
      <c r="M18" s="55" t="n">
        <v>28.76</v>
      </c>
      <c r="N18" s="55" t="n">
        <v>81.87</v>
      </c>
      <c r="O18" s="56"/>
      <c r="P18" s="31" t="n">
        <f aca="false">B18+C18+D18</f>
        <v>9</v>
      </c>
      <c r="Q18" s="31" t="n">
        <f aca="false">AA18+AB18+AC18</f>
        <v>4</v>
      </c>
      <c r="R18" s="32" t="n">
        <f aca="false">B18*P1_PVP+C18*P2_PVP+D18*IF($A18&lt;P3_DESDE,P3A_PVP,P3_PVP)</f>
        <v>349.91</v>
      </c>
      <c r="S18" s="32" t="n">
        <f aca="false">IF(P18&gt;0,R18/P18,"")</f>
        <v>38.8788888888889</v>
      </c>
      <c r="T18" s="32" t="n">
        <f aca="false">IF(P18&gt;0,N18/P18,"")</f>
        <v>9.09666666666667</v>
      </c>
      <c r="U18" s="57" t="n">
        <f aca="false">IF(N18&gt;0,R18/N18,"")</f>
        <v>4.27397092952241</v>
      </c>
      <c r="V18" s="34" t="n">
        <f aca="false">IF(E18+F18+G18+H18+I18+J18&gt;0,(E18+F18+G18)/(E18+F18+G18+H18+I18+J18),"")</f>
        <v>1</v>
      </c>
      <c r="W18" s="33" t="n">
        <f aca="false">E18*(P1_PVP-P1_CPROD)+F18*(P2_PVP-P2_CPROD)+G18*(IF($A18&lt;P3_DESDE,P3A_PVP,P3_PVP)-IF($A18&lt;P3_DESDE,P3A_CPROD,P3_CPROD))-IF(ISNUMBER(L18),L18,E18*P1_LOG+F18*P2_LOG+G18*P3_LOG)</f>
        <v>117.3947</v>
      </c>
      <c r="X18" s="33" t="n">
        <f aca="false">W18-(E18*P1_IVAN+F18*P2_IVAN+G18*IF($A18&lt;P3_DESDE,P3A_IVAN,P3_IVAN))-(H18+I18+J18)*(COSTE_DEV-IVA_DEV)-AM18-AO18</f>
        <v>26.9747</v>
      </c>
      <c r="Y18" s="33" t="n">
        <f aca="false">AH18-AI18-AJ18-AK18-AL18-AM18-AO18</f>
        <v>63.4619697272196</v>
      </c>
      <c r="AA18" s="58" t="n">
        <f aca="false">MAX(0,B18-E18-H18)</f>
        <v>0</v>
      </c>
      <c r="AB18" s="58" t="n">
        <f aca="false">MAX(0,C18-F18-I18)</f>
        <v>3</v>
      </c>
      <c r="AC18" s="58" t="n">
        <f aca="false">MAX(0,D18-G18-J18)</f>
        <v>1</v>
      </c>
      <c r="AD18" s="59" t="n">
        <f aca="false">E18+AA18*AQ18</f>
        <v>3</v>
      </c>
      <c r="AE18" s="59" t="n">
        <f aca="false">F18+AB18*AQ18</f>
        <v>3.29356820943761</v>
      </c>
      <c r="AF18" s="59" t="n">
        <f aca="false">G18+AC18*AQ18</f>
        <v>0.431189403145872</v>
      </c>
      <c r="AG18" s="59" t="n">
        <f aca="false">H18+I18+J18+(AA18+AB18+AC18)*(1-AQ18)</f>
        <v>2.27524238741651</v>
      </c>
      <c r="AH18" s="60" t="n">
        <f aca="false">AD18*P1_PVP+AE18*P2_PVP+AF18*IF($A18&lt;P3_DESDE,P3A_PVP,P3_PVP)</f>
        <v>247.546844990131</v>
      </c>
      <c r="AI18" s="60" t="n">
        <f aca="false">AD18*P1_CPROD+AE18*P2_CPROD+AF18*IF($A18&lt;P3_DESDE,P3A_CPROD,P3_CPROD)</f>
        <v>28.3857880034415</v>
      </c>
      <c r="AJ18" s="60" t="n">
        <f aca="false">IF(ISNUMBER(L18),L18,E18*P1_LOG+F18*P2_LOG+G18*P3_LOG)+IF(ISNUMBER(M18),M18,AA18*P1_LOG+AB18*P2_LOG+AC18*P3_LOG)*AQ18</f>
        <v>48.1010072344753</v>
      </c>
      <c r="AK18" s="60" t="n">
        <f aca="false">AG18*COSTE_DEV</f>
        <v>17.1780800249947</v>
      </c>
      <c r="AL18" s="60" t="n">
        <f aca="false">AD18*P1_IVAN+AE18*P2_IVAN+AF18*IF($A18&lt;P3_DESDE,P3A_IVAN,P3_IVAN)-AG18*IVA_DEV</f>
        <v>0</v>
      </c>
      <c r="AM18" s="60" t="n">
        <f aca="false">N18*(1+RECARGO_ADS)</f>
        <v>81.87</v>
      </c>
      <c r="AN18" s="58" t="n">
        <f aca="false">IF(ISNUMBER(L18),E18+F18+G18+AA18+AB18+AC18,0)</f>
        <v>9</v>
      </c>
      <c r="AO18" s="60" t="n">
        <f aca="false">P18*COMISION</f>
        <v>8.55</v>
      </c>
      <c r="AP18" s="58" t="n">
        <f aca="false">MIN(N(K18),Q18)</f>
        <v>3</v>
      </c>
      <c r="AQ18" s="61" t="n">
        <f aca="false">IF(Q18&gt;0,((Q18-AP18)*AT18+AP18*TASA_INC)/Q18,AT18)</f>
        <v>0.431189403145872</v>
      </c>
      <c r="AR18" s="58" t="n">
        <f aca="false">IF($A18&lt;FECHA_EXPORT,NETWORKDAYS($A18+1,FECHA_EXPORT,FESTIVOS),0)</f>
        <v>4</v>
      </c>
      <c r="AS18" s="61" t="n">
        <f aca="false">IF(AR18&gt;=5,1,INDEX(CDF_INC,1,AR18+1))</f>
        <v>0.98</v>
      </c>
      <c r="AT18" s="61" t="n">
        <f aca="false">TASA_USADA+(TASA_INC-TASA_USADA)*Q_INC*(1-AS18)/(1-Q_INC*AS18)</f>
        <v>0.922432031188137</v>
      </c>
    </row>
    <row r="19" customFormat="false" ht="15" hidden="false" customHeight="false" outlineLevel="0" collapsed="false">
      <c r="A19" s="53" t="n">
        <v>46313</v>
      </c>
      <c r="B19" s="54" t="n">
        <v>4</v>
      </c>
      <c r="C19" s="54" t="n">
        <v>6</v>
      </c>
      <c r="D19" s="54" t="n">
        <v>2</v>
      </c>
      <c r="E19" s="54" t="n">
        <v>1</v>
      </c>
      <c r="F19" s="54" t="n">
        <v>2</v>
      </c>
      <c r="G19" s="54"/>
      <c r="H19" s="54"/>
      <c r="I19" s="54"/>
      <c r="J19" s="54"/>
      <c r="K19" s="54" t="n">
        <v>3</v>
      </c>
      <c r="L19" s="55" t="n">
        <v>20.25</v>
      </c>
      <c r="M19" s="55" t="n">
        <v>60.75</v>
      </c>
      <c r="N19" s="55" t="n">
        <v>149.88</v>
      </c>
      <c r="O19" s="56"/>
      <c r="P19" s="31" t="n">
        <f aca="false">B19+C19+D19</f>
        <v>12</v>
      </c>
      <c r="Q19" s="31" t="n">
        <f aca="false">AA19+AB19+AC19</f>
        <v>9</v>
      </c>
      <c r="R19" s="32" t="n">
        <f aca="false">B19*P1_PVP+C19*P2_PVP+D19*IF($A19&lt;P3_DESDE,P3A_PVP,P3_PVP)</f>
        <v>479.88</v>
      </c>
      <c r="S19" s="32" t="n">
        <f aca="false">IF(P19&gt;0,R19/P19,"")</f>
        <v>39.99</v>
      </c>
      <c r="T19" s="32" t="n">
        <f aca="false">IF(P19&gt;0,N19/P19,"")</f>
        <v>12.49</v>
      </c>
      <c r="U19" s="57" t="n">
        <f aca="false">IF(N19&gt;0,R19/N19,"")</f>
        <v>3.2017614091273</v>
      </c>
      <c r="V19" s="34" t="n">
        <f aca="false">IF(E19+F19+G19+H19+I19+J19&gt;0,(E19+F19+G19)/(E19+F19+G19+H19+I19+J19),"")</f>
        <v>1</v>
      </c>
      <c r="W19" s="33" t="n">
        <f aca="false">E19*(P1_PVP-P1_CPROD)+F19*(P2_PVP-P2_CPROD)+G19*(IF($A19&lt;P3_DESDE,P3A_PVP,P3_PVP)-IF($A19&lt;P3_DESDE,P3A_CPROD,P3_CPROD))-IF(ISNUMBER(L19),L19,E19*P1_LOG+F19*P2_LOG+G19*P3_LOG)</f>
        <v>77.6805</v>
      </c>
      <c r="X19" s="33" t="n">
        <f aca="false">W19-(E19*P1_IVAN+F19*P2_IVAN+G19*IF($A19&lt;P3_DESDE,P3A_IVAN,P3_IVAN))-(H19+I19+J19)*(COSTE_DEV-IVA_DEV)-AM19-AO19</f>
        <v>-83.5995</v>
      </c>
      <c r="Y19" s="33" t="n">
        <f aca="false">AH19-AI19-AJ19-AK19-AL19-AM19-AO19</f>
        <v>78.0128504836301</v>
      </c>
      <c r="AA19" s="58" t="n">
        <f aca="false">MAX(0,B19-E19-H19)</f>
        <v>3</v>
      </c>
      <c r="AB19" s="58" t="n">
        <f aca="false">MAX(0,C19-F19-I19)</f>
        <v>4</v>
      </c>
      <c r="AC19" s="58" t="n">
        <f aca="false">MAX(0,D19-G19-J19)</f>
        <v>2</v>
      </c>
      <c r="AD19" s="59" t="n">
        <f aca="false">E19+AA19*AQ19</f>
        <v>3.11230592284139</v>
      </c>
      <c r="AE19" s="59" t="n">
        <f aca="false">F19+AB19*AQ19</f>
        <v>4.81640789712185</v>
      </c>
      <c r="AF19" s="59" t="n">
        <f aca="false">G19+AC19*AQ19</f>
        <v>1.40820394856093</v>
      </c>
      <c r="AG19" s="59" t="n">
        <f aca="false">H19+I19+J19+(AA19+AB19+AC19)*(1-AQ19)</f>
        <v>2.66308223147583</v>
      </c>
      <c r="AH19" s="60" t="n">
        <f aca="false">AD19*P1_PVP+AE19*P2_PVP+AF19*IF($A19&lt;P3_DESDE,P3A_PVP,P3_PVP)</f>
        <v>370.424361306086</v>
      </c>
      <c r="AI19" s="60" t="n">
        <f aca="false">AD19*P1_CPROD+AE19*P2_CPROD+AF19*IF($A19&lt;P3_DESDE,P3A_CPROD,P3_CPROD)</f>
        <v>48.0010450372756</v>
      </c>
      <c r="AJ19" s="60" t="n">
        <f aca="false">IF(ISNUMBER(L19),L19,E19*P1_LOG+F19*P2_LOG+G19*P3_LOG)+IF(ISNUMBER(M19),M19,AA19*P1_LOG+AB19*P2_LOG+AC19*P3_LOG)*AQ19</f>
        <v>63.0241949375382</v>
      </c>
      <c r="AK19" s="60" t="n">
        <f aca="false">AG19*COSTE_DEV</f>
        <v>20.1062708476425</v>
      </c>
      <c r="AL19" s="60" t="n">
        <f aca="false">AD19*P1_IVAN+AE19*P2_IVAN+AF19*IF($A19&lt;P3_DESDE,P3A_IVAN,P3_IVAN)-AG19*IVA_DEV</f>
        <v>0</v>
      </c>
      <c r="AM19" s="60" t="n">
        <f aca="false">N19*(1+RECARGO_ADS)</f>
        <v>149.88</v>
      </c>
      <c r="AN19" s="58" t="n">
        <f aca="false">IF(ISNUMBER(L19),E19+F19+G19+AA19+AB19+AC19,0)</f>
        <v>12</v>
      </c>
      <c r="AO19" s="60" t="n">
        <f aca="false">P19*COMISION</f>
        <v>11.4</v>
      </c>
      <c r="AP19" s="58" t="n">
        <f aca="false">MIN(N(K19),Q19)</f>
        <v>3</v>
      </c>
      <c r="AQ19" s="61" t="n">
        <f aca="false">IF(Q19&gt;0,((Q19-AP19)*AT19+AP19*TASA_INC)/Q19,AT19)</f>
        <v>0.704101974280464</v>
      </c>
      <c r="AR19" s="58" t="n">
        <f aca="false">IF($A19&lt;FECHA_EXPORT,NETWORKDAYS($A19+1,FECHA_EXPORT,FESTIVOS),0)</f>
        <v>4</v>
      </c>
      <c r="AS19" s="61" t="n">
        <f aca="false">IF(AR19&gt;=5,1,INDEX(CDF_INC,1,AR19+1))</f>
        <v>0.98</v>
      </c>
      <c r="AT19" s="61" t="n">
        <f aca="false">TASA_USADA+(TASA_INC-TASA_USADA)*Q_INC*(1-AS19)/(1-Q_INC*AS19)</f>
        <v>0.922432031188137</v>
      </c>
    </row>
    <row r="20" customFormat="false" ht="15" hidden="false" customHeight="false" outlineLevel="0" collapsed="false">
      <c r="A20" s="53" t="n">
        <v>46314</v>
      </c>
      <c r="B20" s="54" t="n">
        <v>5</v>
      </c>
      <c r="C20" s="54" t="n">
        <v>1</v>
      </c>
      <c r="D20" s="54" t="n">
        <v>2</v>
      </c>
      <c r="E20" s="54" t="n">
        <v>1</v>
      </c>
      <c r="F20" s="54"/>
      <c r="G20" s="54" t="n">
        <v>1</v>
      </c>
      <c r="H20" s="54"/>
      <c r="I20" s="54"/>
      <c r="J20" s="54"/>
      <c r="K20" s="54"/>
      <c r="L20" s="55" t="n">
        <v>13.5</v>
      </c>
      <c r="M20" s="55" t="n">
        <v>40.5</v>
      </c>
      <c r="N20" s="55" t="n">
        <v>85.31</v>
      </c>
      <c r="O20" s="56"/>
      <c r="P20" s="31" t="n">
        <f aca="false">B20+C20+D20</f>
        <v>8</v>
      </c>
      <c r="Q20" s="31" t="n">
        <f aca="false">AA20+AB20+AC20</f>
        <v>6</v>
      </c>
      <c r="R20" s="32" t="n">
        <f aca="false">B20*P1_PVP+C20*P2_PVP+D20*IF($A20&lt;P3_DESDE,P3A_PVP,P3_PVP)</f>
        <v>309.92</v>
      </c>
      <c r="S20" s="32" t="n">
        <f aca="false">IF(P20&gt;0,R20/P20,"")</f>
        <v>38.74</v>
      </c>
      <c r="T20" s="32" t="n">
        <f aca="false">IF(P20&gt;0,N20/P20,"")</f>
        <v>10.66375</v>
      </c>
      <c r="U20" s="57" t="n">
        <f aca="false">IF(N20&gt;0,R20/N20,"")</f>
        <v>3.63286836244286</v>
      </c>
      <c r="V20" s="34" t="n">
        <f aca="false">IF(E20+F20+G20+H20+I20+J20&gt;0,(E20+F20+G20)/(E20+F20+G20+H20+I20+J20),"")</f>
        <v>1</v>
      </c>
      <c r="W20" s="33" t="n">
        <f aca="false">E20*(P1_PVP-P1_CPROD)+F20*(P2_PVP-P2_CPROD)+G20*(IF($A20&lt;P3_DESDE,P3A_PVP,P3_PVP)-IF($A20&lt;P3_DESDE,P3A_CPROD,P3_CPROD))-IF(ISNUMBER(L20),L20,E20*P1_LOG+F20*P2_LOG+G20*P3_LOG)</f>
        <v>61.778379</v>
      </c>
      <c r="X20" s="33" t="n">
        <f aca="false">W20-(E20*P1_IVAN+F20*P2_IVAN+G20*IF($A20&lt;P3_DESDE,P3A_IVAN,P3_IVAN))-(H20+I20+J20)*(COSTE_DEV-IVA_DEV)-AM20-AO20</f>
        <v>-31.131621</v>
      </c>
      <c r="Y20" s="33" t="n">
        <f aca="false">AH20-AI20-AJ20-AK20-AL20-AM20-AO20</f>
        <v>100.137730504673</v>
      </c>
      <c r="AA20" s="58" t="n">
        <f aca="false">MAX(0,B20-E20-H20)</f>
        <v>4</v>
      </c>
      <c r="AB20" s="58" t="n">
        <f aca="false">MAX(0,C20-F20-I20)</f>
        <v>1</v>
      </c>
      <c r="AC20" s="58" t="n">
        <f aca="false">MAX(0,D20-G20-J20)</f>
        <v>1</v>
      </c>
      <c r="AD20" s="59" t="n">
        <f aca="false">E20+AA20*AQ20</f>
        <v>4.56707780158035</v>
      </c>
      <c r="AE20" s="59" t="n">
        <f aca="false">F20+AB20*AQ20</f>
        <v>0.891769450395086</v>
      </c>
      <c r="AF20" s="59" t="n">
        <f aca="false">G20+AC20*AQ20</f>
        <v>1.89176945039509</v>
      </c>
      <c r="AG20" s="59" t="n">
        <f aca="false">H20+I20+J20+(AA20+AB20+AC20)*(1-AQ20)</f>
        <v>0.649383297629484</v>
      </c>
      <c r="AH20" s="60" t="n">
        <f aca="false">AD20*P1_PVP+AE20*P2_PVP+AF20*IF($A20&lt;P3_DESDE,P3A_PVP,P3_PVP)</f>
        <v>286.115772919895</v>
      </c>
      <c r="AI20" s="60" t="n">
        <f aca="false">AD20*P1_CPROD+AE20*P2_CPROD+AF20*IF($A20&lt;P3_DESDE,P3A_CPROD,P3_CPROD)</f>
        <v>38.5485357771185</v>
      </c>
      <c r="AJ20" s="60" t="n">
        <f aca="false">IF(ISNUMBER(L20),L20,E20*P1_LOG+F20*P2_LOG+G20*P3_LOG)+IF(ISNUMBER(M20),M20,AA20*P1_LOG+AB20*P2_LOG+AC20*P3_LOG)*AQ20</f>
        <v>49.616662741001</v>
      </c>
      <c r="AK20" s="60" t="n">
        <f aca="false">AG20*COSTE_DEV</f>
        <v>4.9028438971026</v>
      </c>
      <c r="AL20" s="60" t="n">
        <f aca="false">AD20*P1_IVAN+AE20*P2_IVAN+AF20*IF($A20&lt;P3_DESDE,P3A_IVAN,P3_IVAN)-AG20*IVA_DEV</f>
        <v>0</v>
      </c>
      <c r="AM20" s="60" t="n">
        <f aca="false">N20*(1+RECARGO_ADS)</f>
        <v>85.31</v>
      </c>
      <c r="AN20" s="58" t="n">
        <f aca="false">IF(ISNUMBER(L20),E20+F20+G20+AA20+AB20+AC20,0)</f>
        <v>8</v>
      </c>
      <c r="AO20" s="60" t="n">
        <f aca="false">P20*COMISION</f>
        <v>7.6</v>
      </c>
      <c r="AP20" s="58" t="n">
        <f aca="false">MIN(N(K20),Q20)</f>
        <v>0</v>
      </c>
      <c r="AQ20" s="61" t="n">
        <f aca="false">IF(Q20&gt;0,((Q20-AP20)*AT20+AP20*TASA_INC)/Q20,AT20)</f>
        <v>0.891769450395086</v>
      </c>
      <c r="AR20" s="58" t="n">
        <f aca="false">IF($A20&lt;FECHA_EXPORT,NETWORKDAYS($A20+1,FECHA_EXPORT,FESTIVOS),0)</f>
        <v>3</v>
      </c>
      <c r="AS20" s="61" t="n">
        <f aca="false">IF(AR20&gt;=5,1,INDEX(CDF_INC,1,AR20+1))</f>
        <v>0.92</v>
      </c>
      <c r="AT20" s="61" t="n">
        <f aca="false">TASA_USADA+(TASA_INC-TASA_USADA)*Q_INC*(1-AS20)/(1-Q_INC*AS20)</f>
        <v>0.891769450395086</v>
      </c>
    </row>
    <row r="21" customFormat="false" ht="15" hidden="false" customHeight="false" outlineLevel="0" collapsed="false">
      <c r="A21" s="53" t="n">
        <v>46315</v>
      </c>
      <c r="B21" s="54" t="n">
        <v>3</v>
      </c>
      <c r="C21" s="54" t="n">
        <v>2</v>
      </c>
      <c r="D21" s="54" t="n">
        <v>1</v>
      </c>
      <c r="E21" s="54"/>
      <c r="F21" s="54"/>
      <c r="G21" s="54"/>
      <c r="H21" s="54"/>
      <c r="I21" s="54"/>
      <c r="J21" s="54"/>
      <c r="K21" s="54" t="n">
        <v>1</v>
      </c>
      <c r="L21" s="55" t="n">
        <v>0</v>
      </c>
      <c r="M21" s="55" t="n">
        <v>40.5</v>
      </c>
      <c r="N21" s="55" t="n">
        <v>71.96</v>
      </c>
      <c r="O21" s="56"/>
      <c r="P21" s="31" t="n">
        <f aca="false">B21+C21+D21</f>
        <v>6</v>
      </c>
      <c r="Q21" s="31" t="n">
        <f aca="false">AA21+AB21+AC21</f>
        <v>6</v>
      </c>
      <c r="R21" s="32" t="n">
        <f aca="false">B21*P1_PVP+C21*P2_PVP+D21*IF($A21&lt;P3_DESDE,P3A_PVP,P3_PVP)</f>
        <v>229.94</v>
      </c>
      <c r="S21" s="32" t="n">
        <f aca="false">IF(P21&gt;0,R21/P21,"")</f>
        <v>38.3233333333333</v>
      </c>
      <c r="T21" s="32" t="n">
        <f aca="false">IF(P21&gt;0,N21/P21,"")</f>
        <v>11.9933333333333</v>
      </c>
      <c r="U21" s="57" t="n">
        <f aca="false">IF(N21&gt;0,R21/N21,"")</f>
        <v>3.19538632573652</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-77.66</v>
      </c>
      <c r="Y21" s="33" t="n">
        <f aca="false">AH21-AI21-AJ21-AK21-AL21-AM21-AO21</f>
        <v>23.3165779935137</v>
      </c>
      <c r="AA21" s="58" t="n">
        <f aca="false">MAX(0,B21-E21-H21)</f>
        <v>3</v>
      </c>
      <c r="AB21" s="58" t="n">
        <f aca="false">MAX(0,C21-F21-I21)</f>
        <v>2</v>
      </c>
      <c r="AC21" s="58" t="n">
        <f aca="false">MAX(0,D21-G21-J21)</f>
        <v>1</v>
      </c>
      <c r="AD21" s="59" t="n">
        <f aca="false">E21+AA21*AQ21</f>
        <v>2.13447951906752</v>
      </c>
      <c r="AE21" s="59" t="n">
        <f aca="false">F21+AB21*AQ21</f>
        <v>1.42298634604501</v>
      </c>
      <c r="AF21" s="59" t="n">
        <f aca="false">G21+AC21*AQ21</f>
        <v>0.711493173022507</v>
      </c>
      <c r="AG21" s="59" t="n">
        <f aca="false">H21+I21+J21+(AA21+AB21+AC21)*(1-AQ21)</f>
        <v>1.73104096186496</v>
      </c>
      <c r="AH21" s="60" t="n">
        <f aca="false">AD21*P1_PVP+AE21*P2_PVP+AF21*IF($A21&lt;P3_DESDE,P3A_PVP,P3_PVP)</f>
        <v>163.600740204795</v>
      </c>
      <c r="AI21" s="60" t="n">
        <f aca="false">AD21*P1_CPROD+AE21*P2_CPROD+AF21*IF($A21&lt;P3_DESDE,P3A_CPROD,P3_CPROD)</f>
        <v>20.7393294417897</v>
      </c>
      <c r="AJ21" s="60" t="n">
        <f aca="false">IF(ISNUMBER(L21),L21,E21*P1_LOG+F21*P2_LOG+G21*P3_LOG)+IF(ISNUMBER(M21),M21,AA21*P1_LOG+AB21*P2_LOG+AC21*P3_LOG)*AQ21</f>
        <v>28.8154735074115</v>
      </c>
      <c r="AK21" s="60" t="n">
        <f aca="false">AG21*COSTE_DEV</f>
        <v>13.0693592620804</v>
      </c>
      <c r="AL21" s="60" t="n">
        <f aca="false">AD21*P1_IVAN+AE21*P2_IVAN+AF21*IF($A21&lt;P3_DESDE,P3A_IVAN,P3_IVAN)-AG21*IVA_DEV</f>
        <v>0</v>
      </c>
      <c r="AM21" s="60" t="n">
        <f aca="false">N21*(1+RECARGO_ADS)</f>
        <v>71.96</v>
      </c>
      <c r="AN21" s="58" t="n">
        <f aca="false">IF(ISNUMBER(L21),E21+F21+G21+AA21+AB21+AC21,0)</f>
        <v>6</v>
      </c>
      <c r="AO21" s="60" t="n">
        <f aca="false">P21*COMISION</f>
        <v>5.7</v>
      </c>
      <c r="AP21" s="58" t="n">
        <f aca="false">MIN(N(K21),Q21)</f>
        <v>1</v>
      </c>
      <c r="AQ21" s="61" t="n">
        <f aca="false">IF(Q21&gt;0,((Q21-AP21)*AT21+AP21*TASA_INC)/Q21,AT21)</f>
        <v>0.711493173022507</v>
      </c>
      <c r="AR21" s="58" t="n">
        <f aca="false">IF($A21&lt;FECHA_EXPORT,NETWORKDAYS($A21+1,FECHA_EXPORT,FESTIVOS),0)</f>
        <v>2</v>
      </c>
      <c r="AS21" s="61" t="n">
        <f aca="false">IF(AR21&gt;=5,1,INDEX(CDF_INC,1,AR21+1))</f>
        <v>0.7</v>
      </c>
      <c r="AT21" s="61" t="n">
        <f aca="false">TASA_USADA+(TASA_INC-TASA_USADA)*Q_INC*(1-AS21)/(1-Q_INC*AS21)</f>
        <v>0.800303435533985</v>
      </c>
    </row>
    <row r="22" customFormat="false" ht="15" hidden="false" customHeight="false" outlineLevel="0" collapsed="false">
      <c r="A22" s="53" t="n">
        <v>46316</v>
      </c>
      <c r="B22" s="54" t="n">
        <v>1</v>
      </c>
      <c r="C22" s="54" t="n">
        <v>3</v>
      </c>
      <c r="D22" s="54" t="n">
        <v>1</v>
      </c>
      <c r="E22" s="54"/>
      <c r="F22" s="54"/>
      <c r="G22" s="54"/>
      <c r="H22" s="54"/>
      <c r="I22" s="54"/>
      <c r="J22" s="54"/>
      <c r="K22" s="54"/>
      <c r="L22" s="55" t="n">
        <v>0</v>
      </c>
      <c r="M22" s="55" t="n">
        <v>33.75</v>
      </c>
      <c r="N22" s="55" t="n">
        <v>79.53</v>
      </c>
      <c r="O22" s="56"/>
      <c r="P22" s="31" t="n">
        <f aca="false">B22+C22+D22</f>
        <v>5</v>
      </c>
      <c r="Q22" s="31" t="n">
        <f aca="false">AA22+AB22+AC22</f>
        <v>5</v>
      </c>
      <c r="R22" s="32" t="n">
        <f aca="false">B22*P1_PVP+C22*P2_PVP+D22*IF($A22&lt;P3_DESDE,P3A_PVP,P3_PVP)</f>
        <v>209.95</v>
      </c>
      <c r="S22" s="32" t="n">
        <f aca="false">IF(P22&gt;0,R22/P22,"")</f>
        <v>41.99</v>
      </c>
      <c r="T22" s="32" t="n">
        <f aca="false">IF(P22&gt;0,N22/P22,"")</f>
        <v>15.906</v>
      </c>
      <c r="U22" s="57" t="n">
        <f aca="false">IF(N22&gt;0,R22/N22,"")</f>
        <v>2.63988432038225</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-84.28</v>
      </c>
      <c r="Y22" s="33" t="n">
        <f aca="false">AH22-AI22-AJ22-AK22-AL22-AM22-AO22</f>
        <v>5.15387004650368</v>
      </c>
      <c r="AA22" s="58" t="n">
        <f aca="false">MAX(0,B22-E22-H22)</f>
        <v>1</v>
      </c>
      <c r="AB22" s="58" t="n">
        <f aca="false">MAX(0,C22-F22-I22)</f>
        <v>3</v>
      </c>
      <c r="AC22" s="58" t="n">
        <f aca="false">MAX(0,D22-G22-J22)</f>
        <v>1</v>
      </c>
      <c r="AD22" s="59" t="n">
        <f aca="false">E22+AA22*AQ22</f>
        <v>0.688220759082146</v>
      </c>
      <c r="AE22" s="59" t="n">
        <f aca="false">F22+AB22*AQ22</f>
        <v>2.06466227724644</v>
      </c>
      <c r="AF22" s="59" t="n">
        <f aca="false">G22+AC22*AQ22</f>
        <v>0.688220759082146</v>
      </c>
      <c r="AG22" s="59" t="n">
        <f aca="false">H22+I22+J22+(AA22+AB22+AC22)*(1-AQ22)</f>
        <v>1.55889620458927</v>
      </c>
      <c r="AH22" s="60" t="n">
        <f aca="false">AD22*P1_PVP+AE22*P2_PVP+AF22*IF($A22&lt;P3_DESDE,P3A_PVP,P3_PVP)</f>
        <v>144.491948369297</v>
      </c>
      <c r="AI22" s="60" t="n">
        <f aca="false">AD22*P1_CPROD+AE22*P2_CPROD+AF22*IF($A22&lt;P3_DESDE,P3A_CPROD,P3_CPROD)</f>
        <v>20.0609613591214</v>
      </c>
      <c r="AJ22" s="60" t="n">
        <f aca="false">IF(ISNUMBER(L22),L22,E22*P1_LOG+F22*P2_LOG+G22*P3_LOG)+IF(ISNUMBER(M22),M22,AA22*P1_LOG+AB22*P2_LOG+AC22*P3_LOG)*AQ22</f>
        <v>23.2274506190224</v>
      </c>
      <c r="AK22" s="60" t="n">
        <f aca="false">AG22*COSTE_DEV</f>
        <v>11.769666344649</v>
      </c>
      <c r="AL22" s="60" t="n">
        <f aca="false">AD22*P1_IVAN+AE22*P2_IVAN+AF22*IF($A22&lt;P3_DESDE,P3A_IVAN,P3_IVAN)-AG22*IVA_DEV</f>
        <v>0</v>
      </c>
      <c r="AM22" s="60" t="n">
        <f aca="false">N22*(1+RECARGO_ADS)</f>
        <v>79.53</v>
      </c>
      <c r="AN22" s="58" t="n">
        <f aca="false">IF(ISNUMBER(L22),E22+F22+G22+AA22+AB22+AC22,0)</f>
        <v>5</v>
      </c>
      <c r="AO22" s="60" t="n">
        <f aca="false">P22*COMISION</f>
        <v>4.75</v>
      </c>
      <c r="AP22" s="58" t="n">
        <f aca="false">MIN(N(K22),Q22)</f>
        <v>0</v>
      </c>
      <c r="AQ22" s="61" t="n">
        <f aca="false">IF(Q22&gt;0,((Q22-AP22)*AT22+AP22*TASA_INC)/Q22,AT22)</f>
        <v>0.688220759082146</v>
      </c>
      <c r="AR22" s="58" t="n">
        <f aca="false">IF($A22&lt;FECHA_EXPORT,NETWORKDAYS($A22+1,FECHA_EXPORT,FESTIVOS),0)</f>
        <v>1</v>
      </c>
      <c r="AS22" s="61" t="n">
        <f aca="false">IF(AR22&gt;=5,1,INDEX(CDF_INC,1,AR22+1))</f>
        <v>0.3</v>
      </c>
      <c r="AT22" s="61" t="n">
        <f aca="false">TASA_USADA+(TASA_INC-TASA_USADA)*Q_INC*(1-AS22)/(1-Q_INC*AS22)</f>
        <v>0.688220759082146</v>
      </c>
    </row>
    <row r="23" customFormat="false" ht="15" hidden="false" customHeight="false" outlineLevel="0" collapsed="false">
      <c r="A23" s="53" t="n">
        <v>46317</v>
      </c>
      <c r="B23" s="54" t="n">
        <v>0</v>
      </c>
      <c r="C23" s="54" t="n">
        <v>3</v>
      </c>
      <c r="D23" s="54" t="n">
        <v>1</v>
      </c>
      <c r="E23" s="54"/>
      <c r="F23" s="54"/>
      <c r="G23" s="54"/>
      <c r="H23" s="54"/>
      <c r="I23" s="54"/>
      <c r="J23" s="54"/>
      <c r="K23" s="54"/>
      <c r="L23" s="55" t="n">
        <v>0</v>
      </c>
      <c r="M23" s="55" t="n">
        <v>27</v>
      </c>
      <c r="N23" s="55" t="n">
        <v>22.01</v>
      </c>
      <c r="O23" s="56"/>
      <c r="P23" s="31" t="n">
        <f aca="false">B23+C23+D23</f>
        <v>4</v>
      </c>
      <c r="Q23" s="31" t="n">
        <f aca="false">AA23+AB23+AC23</f>
        <v>4</v>
      </c>
      <c r="R23" s="32" t="n">
        <f aca="false">B23*P1_PVP+C23*P2_PVP+D23*IF($A23&lt;P3_DESDE,P3A_PVP,P3_PVP)</f>
        <v>179.96</v>
      </c>
      <c r="S23" s="32" t="n">
        <f aca="false">IF(P23&gt;0,R23/P23,"")</f>
        <v>44.99</v>
      </c>
      <c r="T23" s="32" t="n">
        <f aca="false">IF(P23&gt;0,N23/P23,"")</f>
        <v>5.5025</v>
      </c>
      <c r="U23" s="57" t="n">
        <f aca="false">IF(N23&gt;0,R23/N23,"")</f>
        <v>8.17628350749659</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-25.81</v>
      </c>
      <c r="Y23" s="33" t="n">
        <f aca="false">AH23-AI23-AJ23-AK23-AL23-AM23-AO23</f>
        <v>46.5328093203284</v>
      </c>
      <c r="AA23" s="58" t="n">
        <f aca="false">MAX(0,B23-E23-H23)</f>
        <v>0</v>
      </c>
      <c r="AB23" s="58" t="n">
        <f aca="false">MAX(0,C23-F23-I23)</f>
        <v>3</v>
      </c>
      <c r="AC23" s="58" t="n">
        <f aca="false">MAX(0,D23-G23-J23)</f>
        <v>1</v>
      </c>
      <c r="AD23" s="59" t="n">
        <f aca="false">E23+AA23*AQ23</f>
        <v>0</v>
      </c>
      <c r="AE23" s="59" t="n">
        <f aca="false">F23+AB23*AQ23</f>
        <v>1.96669628325993</v>
      </c>
      <c r="AF23" s="59" t="n">
        <f aca="false">G23+AC23*AQ23</f>
        <v>0.655565427753311</v>
      </c>
      <c r="AG23" s="59" t="n">
        <f aca="false">H23+I23+J23+(AA23+AB23+AC23)*(1-AQ23)</f>
        <v>1.37773828898676</v>
      </c>
      <c r="AH23" s="60" t="n">
        <f aca="false">AD23*P1_PVP+AE23*P2_PVP+AF23*IF($A23&lt;P3_DESDE,P3A_PVP,P3_PVP)</f>
        <v>117.975554378486</v>
      </c>
      <c r="AI23" s="60" t="n">
        <f aca="false">AD23*P1_CPROD+AE23*P2_CPROD+AF23*IF($A23&lt;P3_DESDE,P3A_CPROD,P3_CPROD)</f>
        <v>17.530554426968</v>
      </c>
      <c r="AJ23" s="60" t="n">
        <f aca="false">IF(ISNUMBER(L23),L23,E23*P1_LOG+F23*P2_LOG+G23*P3_LOG)+IF(ISNUMBER(M23),M23,AA23*P1_LOG+AB23*P2_LOG+AC23*P3_LOG)*AQ23</f>
        <v>17.7002665493394</v>
      </c>
      <c r="AK23" s="60" t="n">
        <f aca="false">AG23*COSTE_DEV</f>
        <v>10.40192408185</v>
      </c>
      <c r="AL23" s="60" t="n">
        <f aca="false">AD23*P1_IVAN+AE23*P2_IVAN+AF23*IF($A23&lt;P3_DESDE,P3A_IVAN,P3_IVAN)-AG23*IVA_DEV</f>
        <v>0</v>
      </c>
      <c r="AM23" s="60" t="n">
        <f aca="false">N23*(1+RECARGO_ADS)</f>
        <v>22.01</v>
      </c>
      <c r="AN23" s="58" t="n">
        <f aca="false">IF(ISNUMBER(L23),E23+F23+G23+AA23+AB23+AC23,0)</f>
        <v>4</v>
      </c>
      <c r="AO23" s="60" t="n">
        <f aca="false">P23*COMISION</f>
        <v>3.8</v>
      </c>
      <c r="AP23" s="58" t="n">
        <f aca="false">MIN(N(K23),Q23)</f>
        <v>0</v>
      </c>
      <c r="AQ23" s="61" t="n">
        <f aca="false">IF(Q23&gt;0,((Q23-AP23)*AT23+AP23*TASA_INC)/Q23,AT23)</f>
        <v>0.655565427753311</v>
      </c>
      <c r="AR23" s="58" t="n">
        <f aca="false">IF($A23&lt;FECHA_EXPORT,NETWORKDAYS($A23+1,FECHA_EXPORT,FESTIVOS),0)</f>
        <v>0</v>
      </c>
      <c r="AS23" s="61" t="n">
        <f aca="false">IF(AR23&gt;=5,1,INDEX(CDF_INC,1,AR23+1))</f>
        <v>0.14</v>
      </c>
      <c r="AT23" s="61" t="n">
        <f aca="false">TASA_USADA+(TASA_INC-TASA_USADA)*Q_INC*(1-AS23)/(1-Q_INC*AS23)</f>
        <v>0.655565427753311</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E24+AA24*AQ24</f>
        <v>0</v>
      </c>
      <c r="AE24" s="59" t="n">
        <f aca="false">F24+AB24*AQ24</f>
        <v>0</v>
      </c>
      <c r="AF24" s="59" t="n">
        <f aca="false">G24+AC24*AQ24</f>
        <v>0</v>
      </c>
      <c r="AG24" s="59" t="n">
        <f aca="false">H24+I24+J24+(AA24+AB24+AC24)*(1-AQ24)</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IF(ISNUMBER(L24),L24,E24*P1_LOG+F24*P2_LOG+G24*P3_LOG)+IF(ISNUMBER(M24),M24,AA24*P1_LOG+AB24*P2_LOG+AC24*P3_LOG)*AQ24</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c r="AP24" s="58" t="n">
        <f aca="false">MIN(N(K24),Q24)</f>
        <v>0</v>
      </c>
      <c r="AQ24" s="61" t="n">
        <f aca="false">IF(Q24&gt;0,((Q24-AP24)*AT24+AP24*TASA_INC)/Q24,AT24)</f>
        <v>0.655565427753311</v>
      </c>
      <c r="AR24" s="58" t="n">
        <f aca="false">IF($A24&lt;FECHA_EXPORT,NETWORKDAYS($A24+1,FECHA_EXPORT,FESTIVOS),0)</f>
        <v>0</v>
      </c>
      <c r="AS24" s="61" t="n">
        <f aca="false">IF(AR24&gt;=5,1,INDEX(CDF_INC,1,AR24+1))</f>
        <v>0.14</v>
      </c>
      <c r="AT24" s="61" t="n">
        <f aca="false">TASA_USADA+(TASA_INC-TASA_USADA)*Q_INC*(1-AS24)/(1-Q_INC*AS24)</f>
        <v>0.655565427753311</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E25+AA25*AQ25</f>
        <v>0</v>
      </c>
      <c r="AE25" s="59" t="n">
        <f aca="false">F25+AB25*AQ25</f>
        <v>0</v>
      </c>
      <c r="AF25" s="59" t="n">
        <f aca="false">G25+AC25*AQ25</f>
        <v>0</v>
      </c>
      <c r="AG25" s="59" t="n">
        <f aca="false">H25+I25+J25+(AA25+AB25+AC25)*(1-AQ25)</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IF(ISNUMBER(L25),L25,E25*P1_LOG+F25*P2_LOG+G25*P3_LOG)+IF(ISNUMBER(M25),M25,AA25*P1_LOG+AB25*P2_LOG+AC25*P3_LOG)*AQ25</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c r="AP25" s="58" t="n">
        <f aca="false">MIN(N(K25),Q25)</f>
        <v>0</v>
      </c>
      <c r="AQ25" s="61" t="n">
        <f aca="false">IF(Q25&gt;0,((Q25-AP25)*AT25+AP25*TASA_INC)/Q25,AT25)</f>
        <v>0.655565427753311</v>
      </c>
      <c r="AR25" s="58" t="n">
        <f aca="false">IF($A25&lt;FECHA_EXPORT,NETWORKDAYS($A25+1,FECHA_EXPORT,FESTIVOS),0)</f>
        <v>0</v>
      </c>
      <c r="AS25" s="61" t="n">
        <f aca="false">IF(AR25&gt;=5,1,INDEX(CDF_INC,1,AR25+1))</f>
        <v>0.14</v>
      </c>
      <c r="AT25" s="61" t="n">
        <f aca="false">TASA_USADA+(TASA_INC-TASA_USADA)*Q_INC*(1-AS25)/(1-Q_INC*AS25)</f>
        <v>0.655565427753311</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E26+AA26*AQ26</f>
        <v>0</v>
      </c>
      <c r="AE26" s="59" t="n">
        <f aca="false">F26+AB26*AQ26</f>
        <v>0</v>
      </c>
      <c r="AF26" s="59" t="n">
        <f aca="false">G26+AC26*AQ26</f>
        <v>0</v>
      </c>
      <c r="AG26" s="59" t="n">
        <f aca="false">H26+I26+J26+(AA26+AB26+AC26)*(1-AQ26)</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IF(ISNUMBER(L26),L26,E26*P1_LOG+F26*P2_LOG+G26*P3_LOG)+IF(ISNUMBER(M26),M26,AA26*P1_LOG+AB26*P2_LOG+AC26*P3_LOG)*AQ26</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c r="AP26" s="58" t="n">
        <f aca="false">MIN(N(K26),Q26)</f>
        <v>0</v>
      </c>
      <c r="AQ26" s="61" t="n">
        <f aca="false">IF(Q26&gt;0,((Q26-AP26)*AT26+AP26*TASA_INC)/Q26,AT26)</f>
        <v>0.655565427753311</v>
      </c>
      <c r="AR26" s="58" t="n">
        <f aca="false">IF($A26&lt;FECHA_EXPORT,NETWORKDAYS($A26+1,FECHA_EXPORT,FESTIVOS),0)</f>
        <v>0</v>
      </c>
      <c r="AS26" s="61" t="n">
        <f aca="false">IF(AR26&gt;=5,1,INDEX(CDF_INC,1,AR26+1))</f>
        <v>0.14</v>
      </c>
      <c r="AT26" s="61" t="n">
        <f aca="false">TASA_USADA+(TASA_INC-TASA_USADA)*Q_INC*(1-AS26)/(1-Q_INC*AS26)</f>
        <v>0.655565427753311</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E27+AA27*AQ27</f>
        <v>0</v>
      </c>
      <c r="AE27" s="59" t="n">
        <f aca="false">F27+AB27*AQ27</f>
        <v>0</v>
      </c>
      <c r="AF27" s="59" t="n">
        <f aca="false">G27+AC27*AQ27</f>
        <v>0</v>
      </c>
      <c r="AG27" s="59" t="n">
        <f aca="false">H27+I27+J27+(AA27+AB27+AC27)*(1-AQ27)</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IF(ISNUMBER(L27),L27,E27*P1_LOG+F27*P2_LOG+G27*P3_LOG)+IF(ISNUMBER(M27),M27,AA27*P1_LOG+AB27*P2_LOG+AC27*P3_LOG)*AQ27</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c r="AP27" s="58" t="n">
        <f aca="false">MIN(N(K27),Q27)</f>
        <v>0</v>
      </c>
      <c r="AQ27" s="61" t="n">
        <f aca="false">IF(Q27&gt;0,((Q27-AP27)*AT27+AP27*TASA_INC)/Q27,AT27)</f>
        <v>0.655565427753311</v>
      </c>
      <c r="AR27" s="58" t="n">
        <f aca="false">IF($A27&lt;FECHA_EXPORT,NETWORKDAYS($A27+1,FECHA_EXPORT,FESTIVOS),0)</f>
        <v>0</v>
      </c>
      <c r="AS27" s="61" t="n">
        <f aca="false">IF(AR27&gt;=5,1,INDEX(CDF_INC,1,AR27+1))</f>
        <v>0.14</v>
      </c>
      <c r="AT27" s="61" t="n">
        <f aca="false">TASA_USADA+(TASA_INC-TASA_USADA)*Q_INC*(1-AS27)/(1-Q_INC*AS27)</f>
        <v>0.655565427753311</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E28+AA28*AQ28</f>
        <v>0</v>
      </c>
      <c r="AE28" s="59" t="n">
        <f aca="false">F28+AB28*AQ28</f>
        <v>0</v>
      </c>
      <c r="AF28" s="59" t="n">
        <f aca="false">G28+AC28*AQ28</f>
        <v>0</v>
      </c>
      <c r="AG28" s="59" t="n">
        <f aca="false">H28+I28+J28+(AA28+AB28+AC28)*(1-AQ28)</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IF(ISNUMBER(L28),L28,E28*P1_LOG+F28*P2_LOG+G28*P3_LOG)+IF(ISNUMBER(M28),M28,AA28*P1_LOG+AB28*P2_LOG+AC28*P3_LOG)*AQ28</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c r="AP28" s="58" t="n">
        <f aca="false">MIN(N(K28),Q28)</f>
        <v>0</v>
      </c>
      <c r="AQ28" s="61" t="n">
        <f aca="false">IF(Q28&gt;0,((Q28-AP28)*AT28+AP28*TASA_INC)/Q28,AT28)</f>
        <v>0.655565427753311</v>
      </c>
      <c r="AR28" s="58" t="n">
        <f aca="false">IF($A28&lt;FECHA_EXPORT,NETWORKDAYS($A28+1,FECHA_EXPORT,FESTIVOS),0)</f>
        <v>0</v>
      </c>
      <c r="AS28" s="61" t="n">
        <f aca="false">IF(AR28&gt;=5,1,INDEX(CDF_INC,1,AR28+1))</f>
        <v>0.14</v>
      </c>
      <c r="AT28" s="61" t="n">
        <f aca="false">TASA_USADA+(TASA_INC-TASA_USADA)*Q_INC*(1-AS28)/(1-Q_INC*AS28)</f>
        <v>0.655565427753311</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E29+AA29*AQ29</f>
        <v>0</v>
      </c>
      <c r="AE29" s="59" t="n">
        <f aca="false">F29+AB29*AQ29</f>
        <v>0</v>
      </c>
      <c r="AF29" s="59" t="n">
        <f aca="false">G29+AC29*AQ29</f>
        <v>0</v>
      </c>
      <c r="AG29" s="59" t="n">
        <f aca="false">H29+I29+J29+(AA29+AB29+AC29)*(1-AQ29)</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IF(ISNUMBER(L29),L29,E29*P1_LOG+F29*P2_LOG+G29*P3_LOG)+IF(ISNUMBER(M29),M29,AA29*P1_LOG+AB29*P2_LOG+AC29*P3_LOG)*AQ29</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c r="AP29" s="58" t="n">
        <f aca="false">MIN(N(K29),Q29)</f>
        <v>0</v>
      </c>
      <c r="AQ29" s="61" t="n">
        <f aca="false">IF(Q29&gt;0,((Q29-AP29)*AT29+AP29*TASA_INC)/Q29,AT29)</f>
        <v>0.655565427753311</v>
      </c>
      <c r="AR29" s="58" t="n">
        <f aca="false">IF($A29&lt;FECHA_EXPORT,NETWORKDAYS($A29+1,FECHA_EXPORT,FESTIVOS),0)</f>
        <v>0</v>
      </c>
      <c r="AS29" s="61" t="n">
        <f aca="false">IF(AR29&gt;=5,1,INDEX(CDF_INC,1,AR29+1))</f>
        <v>0.14</v>
      </c>
      <c r="AT29" s="61" t="n">
        <f aca="false">TASA_USADA+(TASA_INC-TASA_USADA)*Q_INC*(1-AS29)/(1-Q_INC*AS29)</f>
        <v>0.655565427753311</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E30+AA30*AQ30</f>
        <v>0</v>
      </c>
      <c r="AE30" s="59" t="n">
        <f aca="false">F30+AB30*AQ30</f>
        <v>0</v>
      </c>
      <c r="AF30" s="59" t="n">
        <f aca="false">G30+AC30*AQ30</f>
        <v>0</v>
      </c>
      <c r="AG30" s="59" t="n">
        <f aca="false">H30+I30+J30+(AA30+AB30+AC30)*(1-AQ30)</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IF(ISNUMBER(L30),L30,E30*P1_LOG+F30*P2_LOG+G30*P3_LOG)+IF(ISNUMBER(M30),M30,AA30*P1_LOG+AB30*P2_LOG+AC30*P3_LOG)*AQ30</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c r="AP30" s="58" t="n">
        <f aca="false">MIN(N(K30),Q30)</f>
        <v>0</v>
      </c>
      <c r="AQ30" s="61" t="n">
        <f aca="false">IF(Q30&gt;0,((Q30-AP30)*AT30+AP30*TASA_INC)/Q30,AT30)</f>
        <v>0.655565427753311</v>
      </c>
      <c r="AR30" s="58" t="n">
        <f aca="false">IF($A30&lt;FECHA_EXPORT,NETWORKDAYS($A30+1,FECHA_EXPORT,FESTIVOS),0)</f>
        <v>0</v>
      </c>
      <c r="AS30" s="61" t="n">
        <f aca="false">IF(AR30&gt;=5,1,INDEX(CDF_INC,1,AR30+1))</f>
        <v>0.14</v>
      </c>
      <c r="AT30" s="61" t="n">
        <f aca="false">TASA_USADA+(TASA_INC-TASA_USADA)*Q_INC*(1-AS30)/(1-Q_INC*AS30)</f>
        <v>0.655565427753311</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E31+AA31*AQ31</f>
        <v>0</v>
      </c>
      <c r="AE31" s="59" t="n">
        <f aca="false">F31+AB31*AQ31</f>
        <v>0</v>
      </c>
      <c r="AF31" s="59" t="n">
        <f aca="false">G31+AC31*AQ31</f>
        <v>0</v>
      </c>
      <c r="AG31" s="59" t="n">
        <f aca="false">H31+I31+J31+(AA31+AB31+AC31)*(1-AQ31)</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IF(ISNUMBER(L31),L31,E31*P1_LOG+F31*P2_LOG+G31*P3_LOG)+IF(ISNUMBER(M31),M31,AA31*P1_LOG+AB31*P2_LOG+AC31*P3_LOG)*AQ31</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c r="AP31" s="58" t="n">
        <f aca="false">MIN(N(K31),Q31)</f>
        <v>0</v>
      </c>
      <c r="AQ31" s="61" t="n">
        <f aca="false">IF(Q31&gt;0,((Q31-AP31)*AT31+AP31*TASA_INC)/Q31,AT31)</f>
        <v>0.655565427753311</v>
      </c>
      <c r="AR31" s="58" t="n">
        <f aca="false">IF($A31&lt;FECHA_EXPORT,NETWORKDAYS($A31+1,FECHA_EXPORT,FESTIVOS),0)</f>
        <v>0</v>
      </c>
      <c r="AS31" s="61" t="n">
        <f aca="false">IF(AR31&gt;=5,1,INDEX(CDF_INC,1,AR31+1))</f>
        <v>0.14</v>
      </c>
      <c r="AT31" s="61" t="n">
        <f aca="false">TASA_USADA+(TASA_INC-TASA_USADA)*Q_INC*(1-AS31)/(1-Q_INC*AS31)</f>
        <v>0.655565427753311</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E32+AA32*AQ32</f>
        <v>0</v>
      </c>
      <c r="AE32" s="59" t="n">
        <f aca="false">F32+AB32*AQ32</f>
        <v>0</v>
      </c>
      <c r="AF32" s="59" t="n">
        <f aca="false">G32+AC32*AQ32</f>
        <v>0</v>
      </c>
      <c r="AG32" s="59" t="n">
        <f aca="false">H32+I32+J32+(AA32+AB32+AC32)*(1-AQ32)</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IF(ISNUMBER(L32),L32,E32*P1_LOG+F32*P2_LOG+G32*P3_LOG)+IF(ISNUMBER(M32),M32,AA32*P1_LOG+AB32*P2_LOG+AC32*P3_LOG)*AQ32</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c r="AP32" s="58" t="n">
        <f aca="false">MIN(N(K32),Q32)</f>
        <v>0</v>
      </c>
      <c r="AQ32" s="61" t="n">
        <f aca="false">IF(Q32&gt;0,((Q32-AP32)*AT32+AP32*TASA_INC)/Q32,AT32)</f>
        <v>0.655565427753311</v>
      </c>
      <c r="AR32" s="58" t="n">
        <f aca="false">IF($A32&lt;FECHA_EXPORT,NETWORKDAYS($A32+1,FECHA_EXPORT,FESTIVOS),0)</f>
        <v>0</v>
      </c>
      <c r="AS32" s="61" t="n">
        <f aca="false">IF(AR32&gt;=5,1,INDEX(CDF_INC,1,AR32+1))</f>
        <v>0.14</v>
      </c>
      <c r="AT32" s="61" t="n">
        <f aca="false">TASA_USADA+(TASA_INC-TASA_USADA)*Q_INC*(1-AS32)/(1-Q_INC*AS32)</f>
        <v>0.655565427753311</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E33+AA33*AQ33</f>
        <v>0</v>
      </c>
      <c r="AE33" s="59" t="n">
        <f aca="false">F33+AB33*AQ33</f>
        <v>0</v>
      </c>
      <c r="AF33" s="59" t="n">
        <f aca="false">G33+AC33*AQ33</f>
        <v>0</v>
      </c>
      <c r="AG33" s="59" t="n">
        <f aca="false">H33+I33+J33+(AA33+AB33+AC33)*(1-AQ33)</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IF(ISNUMBER(L33),L33,E33*P1_LOG+F33*P2_LOG+G33*P3_LOG)+IF(ISNUMBER(M33),M33,AA33*P1_LOG+AB33*P2_LOG+AC33*P3_LOG)*AQ33</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c r="AP33" s="58" t="n">
        <f aca="false">MIN(N(K33),Q33)</f>
        <v>0</v>
      </c>
      <c r="AQ33" s="61" t="n">
        <f aca="false">IF(Q33&gt;0,((Q33-AP33)*AT33+AP33*TASA_INC)/Q33,AT33)</f>
        <v>0.655565427753311</v>
      </c>
      <c r="AR33" s="58" t="n">
        <f aca="false">IF($A33&lt;FECHA_EXPORT,NETWORKDAYS($A33+1,FECHA_EXPORT,FESTIVOS),0)</f>
        <v>0</v>
      </c>
      <c r="AS33" s="61" t="n">
        <f aca="false">IF(AR33&gt;=5,1,INDEX(CDF_INC,1,AR33+1))</f>
        <v>0.14</v>
      </c>
      <c r="AT33" s="61" t="n">
        <f aca="false">TASA_USADA+(TASA_INC-TASA_USADA)*Q_INC*(1-AS33)/(1-Q_INC*AS33)</f>
        <v>0.655565427753311</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E34+AA34*AQ34</f>
        <v>0</v>
      </c>
      <c r="AE34" s="59" t="n">
        <f aca="false">F34+AB34*AQ34</f>
        <v>0</v>
      </c>
      <c r="AF34" s="59" t="n">
        <f aca="false">G34+AC34*AQ34</f>
        <v>0</v>
      </c>
      <c r="AG34" s="59" t="n">
        <f aca="false">H34+I34+J34+(AA34+AB34+AC34)*(1-AQ34)</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IF(ISNUMBER(L34),L34,E34*P1_LOG+F34*P2_LOG+G34*P3_LOG)+IF(ISNUMBER(M34),M34,AA34*P1_LOG+AB34*P2_LOG+AC34*P3_LOG)*AQ34</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c r="AP34" s="58" t="n">
        <f aca="false">MIN(N(K34),Q34)</f>
        <v>0</v>
      </c>
      <c r="AQ34" s="61" t="n">
        <f aca="false">IF(Q34&gt;0,((Q34-AP34)*AT34+AP34*TASA_INC)/Q34,AT34)</f>
        <v>0.655565427753311</v>
      </c>
      <c r="AR34" s="58" t="n">
        <f aca="false">IF($A34&lt;FECHA_EXPORT,NETWORKDAYS($A34+1,FECHA_EXPORT,FESTIVOS),0)</f>
        <v>0</v>
      </c>
      <c r="AS34" s="61" t="n">
        <f aca="false">IF(AR34&gt;=5,1,INDEX(CDF_INC,1,AR34+1))</f>
        <v>0.14</v>
      </c>
      <c r="AT34" s="61" t="n">
        <f aca="false">TASA_USADA+(TASA_INC-TASA_USADA)*Q_INC*(1-AS34)/(1-Q_INC*AS34)</f>
        <v>0.655565427753311</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E35+AA35*AQ35</f>
        <v>0</v>
      </c>
      <c r="AE35" s="59" t="n">
        <f aca="false">F35+AB35*AQ35</f>
        <v>0</v>
      </c>
      <c r="AF35" s="59" t="n">
        <f aca="false">G35+AC35*AQ35</f>
        <v>0</v>
      </c>
      <c r="AG35" s="59" t="n">
        <f aca="false">H35+I35+J35+(AA35+AB35+AC35)*(1-AQ35)</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IF(ISNUMBER(L35),L35,E35*P1_LOG+F35*P2_LOG+G35*P3_LOG)+IF(ISNUMBER(M35),M35,AA35*P1_LOG+AB35*P2_LOG+AC35*P3_LOG)*AQ35</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c r="AP35" s="58" t="n">
        <f aca="false">MIN(N(K35),Q35)</f>
        <v>0</v>
      </c>
      <c r="AQ35" s="61" t="n">
        <f aca="false">IF(Q35&gt;0,((Q35-AP35)*AT35+AP35*TASA_INC)/Q35,AT35)</f>
        <v>0.655565427753311</v>
      </c>
      <c r="AR35" s="58" t="n">
        <f aca="false">IF($A35&lt;FECHA_EXPORT,NETWORKDAYS($A35+1,FECHA_EXPORT,FESTIVOS),0)</f>
        <v>0</v>
      </c>
      <c r="AS35" s="61" t="n">
        <f aca="false">IF(AR35&gt;=5,1,INDEX(CDF_INC,1,AR35+1))</f>
        <v>0.14</v>
      </c>
      <c r="AT35" s="61" t="n">
        <f aca="false">TASA_USADA+(TASA_INC-TASA_USADA)*Q_INC*(1-AS35)/(1-Q_INC*AS35)</f>
        <v>0.655565427753311</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E36+AA36*AQ36</f>
        <v>0</v>
      </c>
      <c r="AE36" s="59" t="n">
        <f aca="false">F36+AB36*AQ36</f>
        <v>0</v>
      </c>
      <c r="AF36" s="59" t="n">
        <f aca="false">G36+AC36*AQ36</f>
        <v>0</v>
      </c>
      <c r="AG36" s="59" t="n">
        <f aca="false">H36+I36+J36+(AA36+AB36+AC36)*(1-AQ36)</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IF(ISNUMBER(L36),L36,E36*P1_LOG+F36*P2_LOG+G36*P3_LOG)+IF(ISNUMBER(M36),M36,AA36*P1_LOG+AB36*P2_LOG+AC36*P3_LOG)*AQ36</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c r="AP36" s="58" t="n">
        <f aca="false">MIN(N(K36),Q36)</f>
        <v>0</v>
      </c>
      <c r="AQ36" s="61" t="n">
        <f aca="false">IF(Q36&gt;0,((Q36-AP36)*AT36+AP36*TASA_INC)/Q36,AT36)</f>
        <v>0.655565427753311</v>
      </c>
      <c r="AR36" s="58" t="n">
        <f aca="false">IF($A36&lt;FECHA_EXPORT,NETWORKDAYS($A36+1,FECHA_EXPORT,FESTIVOS),0)</f>
        <v>0</v>
      </c>
      <c r="AS36" s="61" t="n">
        <f aca="false">IF(AR36&gt;=5,1,INDEX(CDF_INC,1,AR36+1))</f>
        <v>0.14</v>
      </c>
      <c r="AT36" s="61" t="n">
        <f aca="false">TASA_USADA+(TASA_INC-TASA_USADA)*Q_INC*(1-AS36)/(1-Q_INC*AS36)</f>
        <v>0.655565427753311</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E37+AA37*AQ37</f>
        <v>0</v>
      </c>
      <c r="AE37" s="59" t="n">
        <f aca="false">F37+AB37*AQ37</f>
        <v>0</v>
      </c>
      <c r="AF37" s="59" t="n">
        <f aca="false">G37+AC37*AQ37</f>
        <v>0</v>
      </c>
      <c r="AG37" s="59" t="n">
        <f aca="false">H37+I37+J37+(AA37+AB37+AC37)*(1-AQ37)</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IF(ISNUMBER(L37),L37,E37*P1_LOG+F37*P2_LOG+G37*P3_LOG)+IF(ISNUMBER(M37),M37,AA37*P1_LOG+AB37*P2_LOG+AC37*P3_LOG)*AQ37</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c r="AP37" s="58" t="n">
        <f aca="false">MIN(N(K37),Q37)</f>
        <v>0</v>
      </c>
      <c r="AQ37" s="61" t="n">
        <f aca="false">IF(Q37&gt;0,((Q37-AP37)*AT37+AP37*TASA_INC)/Q37,AT37)</f>
        <v>0.655565427753311</v>
      </c>
      <c r="AR37" s="58" t="n">
        <f aca="false">IF($A37&lt;FECHA_EXPORT,NETWORKDAYS($A37+1,FECHA_EXPORT,FESTIVOS),0)</f>
        <v>0</v>
      </c>
      <c r="AS37" s="61" t="n">
        <f aca="false">IF(AR37&gt;=5,1,INDEX(CDF_INC,1,AR37+1))</f>
        <v>0.14</v>
      </c>
      <c r="AT37" s="61" t="n">
        <f aca="false">TASA_USADA+(TASA_INC-TASA_USADA)*Q_INC*(1-AS37)/(1-Q_INC*AS37)</f>
        <v>0.655565427753311</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E38+AA38*AQ38</f>
        <v>0</v>
      </c>
      <c r="AE38" s="59" t="n">
        <f aca="false">F38+AB38*AQ38</f>
        <v>0</v>
      </c>
      <c r="AF38" s="59" t="n">
        <f aca="false">G38+AC38*AQ38</f>
        <v>0</v>
      </c>
      <c r="AG38" s="59" t="n">
        <f aca="false">H38+I38+J38+(AA38+AB38+AC38)*(1-AQ38)</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IF(ISNUMBER(L38),L38,E38*P1_LOG+F38*P2_LOG+G38*P3_LOG)+IF(ISNUMBER(M38),M38,AA38*P1_LOG+AB38*P2_LOG+AC38*P3_LOG)*AQ38</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c r="AP38" s="58" t="n">
        <f aca="false">MIN(N(K38),Q38)</f>
        <v>0</v>
      </c>
      <c r="AQ38" s="61" t="n">
        <f aca="false">IF(Q38&gt;0,((Q38-AP38)*AT38+AP38*TASA_INC)/Q38,AT38)</f>
        <v>0.655565427753311</v>
      </c>
      <c r="AR38" s="58" t="n">
        <f aca="false">IF($A38&lt;FECHA_EXPORT,NETWORKDAYS($A38+1,FECHA_EXPORT,FESTIVOS),0)</f>
        <v>0</v>
      </c>
      <c r="AS38" s="61" t="n">
        <f aca="false">IF(AR38&gt;=5,1,INDEX(CDF_INC,1,AR38+1))</f>
        <v>0.14</v>
      </c>
      <c r="AT38" s="61" t="n">
        <f aca="false">TASA_USADA+(TASA_INC-TASA_USADA)*Q_INC*(1-AS38)/(1-Q_INC*AS38)</f>
        <v>0.655565427753311</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E39+AA39*AQ39</f>
        <v>0</v>
      </c>
      <c r="AE39" s="59" t="n">
        <f aca="false">F39+AB39*AQ39</f>
        <v>0</v>
      </c>
      <c r="AF39" s="59" t="n">
        <f aca="false">G39+AC39*AQ39</f>
        <v>0</v>
      </c>
      <c r="AG39" s="59" t="n">
        <f aca="false">H39+I39+J39+(AA39+AB39+AC39)*(1-AQ39)</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IF(ISNUMBER(L39),L39,E39*P1_LOG+F39*P2_LOG+G39*P3_LOG)+IF(ISNUMBER(M39),M39,AA39*P1_LOG+AB39*P2_LOG+AC39*P3_LOG)*AQ39</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c r="AP39" s="58" t="n">
        <f aca="false">MIN(N(K39),Q39)</f>
        <v>0</v>
      </c>
      <c r="AQ39" s="61" t="n">
        <f aca="false">IF(Q39&gt;0,((Q39-AP39)*AT39+AP39*TASA_INC)/Q39,AT39)</f>
        <v>0.655565427753311</v>
      </c>
      <c r="AR39" s="58" t="n">
        <f aca="false">IF($A39&lt;FECHA_EXPORT,NETWORKDAYS($A39+1,FECHA_EXPORT,FESTIVOS),0)</f>
        <v>0</v>
      </c>
      <c r="AS39" s="61" t="n">
        <f aca="false">IF(AR39&gt;=5,1,INDEX(CDF_INC,1,AR39+1))</f>
        <v>0.14</v>
      </c>
      <c r="AT39" s="61" t="n">
        <f aca="false">TASA_USADA+(TASA_INC-TASA_USADA)*Q_INC*(1-AS39)/(1-Q_INC*AS39)</f>
        <v>0.655565427753311</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E40+AA40*AQ40</f>
        <v>0</v>
      </c>
      <c r="AE40" s="59" t="n">
        <f aca="false">F40+AB40*AQ40</f>
        <v>0</v>
      </c>
      <c r="AF40" s="59" t="n">
        <f aca="false">G40+AC40*AQ40</f>
        <v>0</v>
      </c>
      <c r="AG40" s="59" t="n">
        <f aca="false">H40+I40+J40+(AA40+AB40+AC40)*(1-AQ40)</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IF(ISNUMBER(L40),L40,E40*P1_LOG+F40*P2_LOG+G40*P3_LOG)+IF(ISNUMBER(M40),M40,AA40*P1_LOG+AB40*P2_LOG+AC40*P3_LOG)*AQ40</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c r="AP40" s="58" t="n">
        <f aca="false">MIN(N(K40),Q40)</f>
        <v>0</v>
      </c>
      <c r="AQ40" s="61" t="n">
        <f aca="false">IF(Q40&gt;0,((Q40-AP40)*AT40+AP40*TASA_INC)/Q40,AT40)</f>
        <v>0.655565427753311</v>
      </c>
      <c r="AR40" s="58" t="n">
        <f aca="false">IF($A40&lt;FECHA_EXPORT,NETWORKDAYS($A40+1,FECHA_EXPORT,FESTIVOS),0)</f>
        <v>0</v>
      </c>
      <c r="AS40" s="61" t="n">
        <f aca="false">IF(AR40&gt;=5,1,INDEX(CDF_INC,1,AR40+1))</f>
        <v>0.14</v>
      </c>
      <c r="AT40" s="61" t="n">
        <f aca="false">TASA_USADA+(TASA_INC-TASA_USADA)*Q_INC*(1-AS40)/(1-Q_INC*AS40)</f>
        <v>0.655565427753311</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E41+AA41*AQ41</f>
        <v>0</v>
      </c>
      <c r="AE41" s="59" t="n">
        <f aca="false">F41+AB41*AQ41</f>
        <v>0</v>
      </c>
      <c r="AF41" s="59" t="n">
        <f aca="false">G41+AC41*AQ41</f>
        <v>0</v>
      </c>
      <c r="AG41" s="59" t="n">
        <f aca="false">H41+I41+J41+(AA41+AB41+AC41)*(1-AQ41)</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IF(ISNUMBER(L41),L41,E41*P1_LOG+F41*P2_LOG+G41*P3_LOG)+IF(ISNUMBER(M41),M41,AA41*P1_LOG+AB41*P2_LOG+AC41*P3_LOG)*AQ41</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c r="AP41" s="58" t="n">
        <f aca="false">MIN(N(K41),Q41)</f>
        <v>0</v>
      </c>
      <c r="AQ41" s="61" t="n">
        <f aca="false">IF(Q41&gt;0,((Q41-AP41)*AT41+AP41*TASA_INC)/Q41,AT41)</f>
        <v>0.655565427753311</v>
      </c>
      <c r="AR41" s="58" t="n">
        <f aca="false">IF($A41&lt;FECHA_EXPORT,NETWORKDAYS($A41+1,FECHA_EXPORT,FESTIVOS),0)</f>
        <v>0</v>
      </c>
      <c r="AS41" s="61" t="n">
        <f aca="false">IF(AR41&gt;=5,1,INDEX(CDF_INC,1,AR41+1))</f>
        <v>0.14</v>
      </c>
      <c r="AT41" s="61" t="n">
        <f aca="false">TASA_USADA+(TASA_INC-TASA_USADA)*Q_INC*(1-AS41)/(1-Q_INC*AS41)</f>
        <v>0.655565427753311</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E42+AA42*AQ42</f>
        <v>0</v>
      </c>
      <c r="AE42" s="59" t="n">
        <f aca="false">F42+AB42*AQ42</f>
        <v>0</v>
      </c>
      <c r="AF42" s="59" t="n">
        <f aca="false">G42+AC42*AQ42</f>
        <v>0</v>
      </c>
      <c r="AG42" s="59" t="n">
        <f aca="false">H42+I42+J42+(AA42+AB42+AC42)*(1-AQ42)</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IF(ISNUMBER(L42),L42,E42*P1_LOG+F42*P2_LOG+G42*P3_LOG)+IF(ISNUMBER(M42),M42,AA42*P1_LOG+AB42*P2_LOG+AC42*P3_LOG)*AQ42</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c r="AP42" s="58" t="n">
        <f aca="false">MIN(N(K42),Q42)</f>
        <v>0</v>
      </c>
      <c r="AQ42" s="61" t="n">
        <f aca="false">IF(Q42&gt;0,((Q42-AP42)*AT42+AP42*TASA_INC)/Q42,AT42)</f>
        <v>0.655565427753311</v>
      </c>
      <c r="AR42" s="58" t="n">
        <f aca="false">IF($A42&lt;FECHA_EXPORT,NETWORKDAYS($A42+1,FECHA_EXPORT,FESTIVOS),0)</f>
        <v>0</v>
      </c>
      <c r="AS42" s="61" t="n">
        <f aca="false">IF(AR42&gt;=5,1,INDEX(CDF_INC,1,AR42+1))</f>
        <v>0.14</v>
      </c>
      <c r="AT42" s="61" t="n">
        <f aca="false">TASA_USADA+(TASA_INC-TASA_USADA)*Q_INC*(1-AS42)/(1-Q_INC*AS42)</f>
        <v>0.655565427753311</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E43+AA43*AQ43</f>
        <v>0</v>
      </c>
      <c r="AE43" s="59" t="n">
        <f aca="false">F43+AB43*AQ43</f>
        <v>0</v>
      </c>
      <c r="AF43" s="59" t="n">
        <f aca="false">G43+AC43*AQ43</f>
        <v>0</v>
      </c>
      <c r="AG43" s="59" t="n">
        <f aca="false">H43+I43+J43+(AA43+AB43+AC43)*(1-AQ43)</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IF(ISNUMBER(L43),L43,E43*P1_LOG+F43*P2_LOG+G43*P3_LOG)+IF(ISNUMBER(M43),M43,AA43*P1_LOG+AB43*P2_LOG+AC43*P3_LOG)*AQ43</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c r="AP43" s="58" t="n">
        <f aca="false">MIN(N(K43),Q43)</f>
        <v>0</v>
      </c>
      <c r="AQ43" s="61" t="n">
        <f aca="false">IF(Q43&gt;0,((Q43-AP43)*AT43+AP43*TASA_INC)/Q43,AT43)</f>
        <v>0.655565427753311</v>
      </c>
      <c r="AR43" s="58" t="n">
        <f aca="false">IF($A43&lt;FECHA_EXPORT,NETWORKDAYS($A43+1,FECHA_EXPORT,FESTIVOS),0)</f>
        <v>0</v>
      </c>
      <c r="AS43" s="61" t="n">
        <f aca="false">IF(AR43&gt;=5,1,INDEX(CDF_INC,1,AR43+1))</f>
        <v>0.14</v>
      </c>
      <c r="AT43" s="61" t="n">
        <f aca="false">TASA_USADA+(TASA_INC-TASA_USADA)*Q_INC*(1-AS43)/(1-Q_INC*AS43)</f>
        <v>0.655565427753311</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E44+AA44*AQ44</f>
        <v>0</v>
      </c>
      <c r="AE44" s="59" t="n">
        <f aca="false">F44+AB44*AQ44</f>
        <v>0</v>
      </c>
      <c r="AF44" s="59" t="n">
        <f aca="false">G44+AC44*AQ44</f>
        <v>0</v>
      </c>
      <c r="AG44" s="59" t="n">
        <f aca="false">H44+I44+J44+(AA44+AB44+AC44)*(1-AQ44)</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IF(ISNUMBER(L44),L44,E44*P1_LOG+F44*P2_LOG+G44*P3_LOG)+IF(ISNUMBER(M44),M44,AA44*P1_LOG+AB44*P2_LOG+AC44*P3_LOG)*AQ44</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c r="AP44" s="58" t="n">
        <f aca="false">MIN(N(K44),Q44)</f>
        <v>0</v>
      </c>
      <c r="AQ44" s="61" t="n">
        <f aca="false">IF(Q44&gt;0,((Q44-AP44)*AT44+AP44*TASA_INC)/Q44,AT44)</f>
        <v>0.655565427753311</v>
      </c>
      <c r="AR44" s="58" t="n">
        <f aca="false">IF($A44&lt;FECHA_EXPORT,NETWORKDAYS($A44+1,FECHA_EXPORT,FESTIVOS),0)</f>
        <v>0</v>
      </c>
      <c r="AS44" s="61" t="n">
        <f aca="false">IF(AR44&gt;=5,1,INDEX(CDF_INC,1,AR44+1))</f>
        <v>0.14</v>
      </c>
      <c r="AT44" s="61" t="n">
        <f aca="false">TASA_USADA+(TASA_INC-TASA_USADA)*Q_INC*(1-AS44)/(1-Q_INC*AS44)</f>
        <v>0.655565427753311</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E45+AA45*AQ45</f>
        <v>0</v>
      </c>
      <c r="AE45" s="59" t="n">
        <f aca="false">F45+AB45*AQ45</f>
        <v>0</v>
      </c>
      <c r="AF45" s="59" t="n">
        <f aca="false">G45+AC45*AQ45</f>
        <v>0</v>
      </c>
      <c r="AG45" s="59" t="n">
        <f aca="false">H45+I45+J45+(AA45+AB45+AC45)*(1-AQ45)</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IF(ISNUMBER(L45),L45,E45*P1_LOG+F45*P2_LOG+G45*P3_LOG)+IF(ISNUMBER(M45),M45,AA45*P1_LOG+AB45*P2_LOG+AC45*P3_LOG)*AQ45</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c r="AP45" s="58" t="n">
        <f aca="false">MIN(N(K45),Q45)</f>
        <v>0</v>
      </c>
      <c r="AQ45" s="61" t="n">
        <f aca="false">IF(Q45&gt;0,((Q45-AP45)*AT45+AP45*TASA_INC)/Q45,AT45)</f>
        <v>0.655565427753311</v>
      </c>
      <c r="AR45" s="58" t="n">
        <f aca="false">IF($A45&lt;FECHA_EXPORT,NETWORKDAYS($A45+1,FECHA_EXPORT,FESTIVOS),0)</f>
        <v>0</v>
      </c>
      <c r="AS45" s="61" t="n">
        <f aca="false">IF(AR45&gt;=5,1,INDEX(CDF_INC,1,AR45+1))</f>
        <v>0.14</v>
      </c>
      <c r="AT45" s="61" t="n">
        <f aca="false">TASA_USADA+(TASA_INC-TASA_USADA)*Q_INC*(1-AS45)/(1-Q_INC*AS45)</f>
        <v>0.655565427753311</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E46+AA46*AQ46</f>
        <v>0</v>
      </c>
      <c r="AE46" s="59" t="n">
        <f aca="false">F46+AB46*AQ46</f>
        <v>0</v>
      </c>
      <c r="AF46" s="59" t="n">
        <f aca="false">G46+AC46*AQ46</f>
        <v>0</v>
      </c>
      <c r="AG46" s="59" t="n">
        <f aca="false">H46+I46+J46+(AA46+AB46+AC46)*(1-AQ46)</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IF(ISNUMBER(L46),L46,E46*P1_LOG+F46*P2_LOG+G46*P3_LOG)+IF(ISNUMBER(M46),M46,AA46*P1_LOG+AB46*P2_LOG+AC46*P3_LOG)*AQ46</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c r="AP46" s="58" t="n">
        <f aca="false">MIN(N(K46),Q46)</f>
        <v>0</v>
      </c>
      <c r="AQ46" s="61" t="n">
        <f aca="false">IF(Q46&gt;0,((Q46-AP46)*AT46+AP46*TASA_INC)/Q46,AT46)</f>
        <v>0.655565427753311</v>
      </c>
      <c r="AR46" s="58" t="n">
        <f aca="false">IF($A46&lt;FECHA_EXPORT,NETWORKDAYS($A46+1,FECHA_EXPORT,FESTIVOS),0)</f>
        <v>0</v>
      </c>
      <c r="AS46" s="61" t="n">
        <f aca="false">IF(AR46&gt;=5,1,INDEX(CDF_INC,1,AR46+1))</f>
        <v>0.14</v>
      </c>
      <c r="AT46" s="61" t="n">
        <f aca="false">TASA_USADA+(TASA_INC-TASA_USADA)*Q_INC*(1-AS46)/(1-Q_INC*AS46)</f>
        <v>0.655565427753311</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E47+AA47*AQ47</f>
        <v>0</v>
      </c>
      <c r="AE47" s="59" t="n">
        <f aca="false">F47+AB47*AQ47</f>
        <v>0</v>
      </c>
      <c r="AF47" s="59" t="n">
        <f aca="false">G47+AC47*AQ47</f>
        <v>0</v>
      </c>
      <c r="AG47" s="59" t="n">
        <f aca="false">H47+I47+J47+(AA47+AB47+AC47)*(1-AQ47)</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IF(ISNUMBER(L47),L47,E47*P1_LOG+F47*P2_LOG+G47*P3_LOG)+IF(ISNUMBER(M47),M47,AA47*P1_LOG+AB47*P2_LOG+AC47*P3_LOG)*AQ47</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c r="AP47" s="58" t="n">
        <f aca="false">MIN(N(K47),Q47)</f>
        <v>0</v>
      </c>
      <c r="AQ47" s="61" t="n">
        <f aca="false">IF(Q47&gt;0,((Q47-AP47)*AT47+AP47*TASA_INC)/Q47,AT47)</f>
        <v>0.655565427753311</v>
      </c>
      <c r="AR47" s="58" t="n">
        <f aca="false">IF($A47&lt;FECHA_EXPORT,NETWORKDAYS($A47+1,FECHA_EXPORT,FESTIVOS),0)</f>
        <v>0</v>
      </c>
      <c r="AS47" s="61" t="n">
        <f aca="false">IF(AR47&gt;=5,1,INDEX(CDF_INC,1,AR47+1))</f>
        <v>0.14</v>
      </c>
      <c r="AT47" s="61" t="n">
        <f aca="false">TASA_USADA+(TASA_INC-TASA_USADA)*Q_INC*(1-AS47)/(1-Q_INC*AS47)</f>
        <v>0.655565427753311</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E48+AA48*AQ48</f>
        <v>0</v>
      </c>
      <c r="AE48" s="59" t="n">
        <f aca="false">F48+AB48*AQ48</f>
        <v>0</v>
      </c>
      <c r="AF48" s="59" t="n">
        <f aca="false">G48+AC48*AQ48</f>
        <v>0</v>
      </c>
      <c r="AG48" s="59" t="n">
        <f aca="false">H48+I48+J48+(AA48+AB48+AC48)*(1-AQ48)</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IF(ISNUMBER(L48),L48,E48*P1_LOG+F48*P2_LOG+G48*P3_LOG)+IF(ISNUMBER(M48),M48,AA48*P1_LOG+AB48*P2_LOG+AC48*P3_LOG)*AQ48</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c r="AP48" s="58" t="n">
        <f aca="false">MIN(N(K48),Q48)</f>
        <v>0</v>
      </c>
      <c r="AQ48" s="61" t="n">
        <f aca="false">IF(Q48&gt;0,((Q48-AP48)*AT48+AP48*TASA_INC)/Q48,AT48)</f>
        <v>0.655565427753311</v>
      </c>
      <c r="AR48" s="58" t="n">
        <f aca="false">IF($A48&lt;FECHA_EXPORT,NETWORKDAYS($A48+1,FECHA_EXPORT,FESTIVOS),0)</f>
        <v>0</v>
      </c>
      <c r="AS48" s="61" t="n">
        <f aca="false">IF(AR48&gt;=5,1,INDEX(CDF_INC,1,AR48+1))</f>
        <v>0.14</v>
      </c>
      <c r="AT48" s="61" t="n">
        <f aca="false">TASA_USADA+(TASA_INC-TASA_USADA)*Q_INC*(1-AS48)/(1-Q_INC*AS48)</f>
        <v>0.655565427753311</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E49+AA49*AQ49</f>
        <v>0</v>
      </c>
      <c r="AE49" s="59" t="n">
        <f aca="false">F49+AB49*AQ49</f>
        <v>0</v>
      </c>
      <c r="AF49" s="59" t="n">
        <f aca="false">G49+AC49*AQ49</f>
        <v>0</v>
      </c>
      <c r="AG49" s="59" t="n">
        <f aca="false">H49+I49+J49+(AA49+AB49+AC49)*(1-AQ49)</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IF(ISNUMBER(L49),L49,E49*P1_LOG+F49*P2_LOG+G49*P3_LOG)+IF(ISNUMBER(M49),M49,AA49*P1_LOG+AB49*P2_LOG+AC49*P3_LOG)*AQ49</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c r="AP49" s="58" t="n">
        <f aca="false">MIN(N(K49),Q49)</f>
        <v>0</v>
      </c>
      <c r="AQ49" s="61" t="n">
        <f aca="false">IF(Q49&gt;0,((Q49-AP49)*AT49+AP49*TASA_INC)/Q49,AT49)</f>
        <v>0.655565427753311</v>
      </c>
      <c r="AR49" s="58" t="n">
        <f aca="false">IF($A49&lt;FECHA_EXPORT,NETWORKDAYS($A49+1,FECHA_EXPORT,FESTIVOS),0)</f>
        <v>0</v>
      </c>
      <c r="AS49" s="61" t="n">
        <f aca="false">IF(AR49&gt;=5,1,INDEX(CDF_INC,1,AR49+1))</f>
        <v>0.14</v>
      </c>
      <c r="AT49" s="61" t="n">
        <f aca="false">TASA_USADA+(TASA_INC-TASA_USADA)*Q_INC*(1-AS49)/(1-Q_INC*AS49)</f>
        <v>0.655565427753311</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E50+AA50*AQ50</f>
        <v>0</v>
      </c>
      <c r="AE50" s="59" t="n">
        <f aca="false">F50+AB50*AQ50</f>
        <v>0</v>
      </c>
      <c r="AF50" s="59" t="n">
        <f aca="false">G50+AC50*AQ50</f>
        <v>0</v>
      </c>
      <c r="AG50" s="59" t="n">
        <f aca="false">H50+I50+J50+(AA50+AB50+AC50)*(1-AQ50)</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IF(ISNUMBER(L50),L50,E50*P1_LOG+F50*P2_LOG+G50*P3_LOG)+IF(ISNUMBER(M50),M50,AA50*P1_LOG+AB50*P2_LOG+AC50*P3_LOG)*AQ50</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c r="AP50" s="58" t="n">
        <f aca="false">MIN(N(K50),Q50)</f>
        <v>0</v>
      </c>
      <c r="AQ50" s="61" t="n">
        <f aca="false">IF(Q50&gt;0,((Q50-AP50)*AT50+AP50*TASA_INC)/Q50,AT50)</f>
        <v>0.655565427753311</v>
      </c>
      <c r="AR50" s="58" t="n">
        <f aca="false">IF($A50&lt;FECHA_EXPORT,NETWORKDAYS($A50+1,FECHA_EXPORT,FESTIVOS),0)</f>
        <v>0</v>
      </c>
      <c r="AS50" s="61" t="n">
        <f aca="false">IF(AR50&gt;=5,1,INDEX(CDF_INC,1,AR50+1))</f>
        <v>0.14</v>
      </c>
      <c r="AT50" s="61" t="n">
        <f aca="false">TASA_USADA+(TASA_INC-TASA_USADA)*Q_INC*(1-AS50)/(1-Q_INC*AS50)</f>
        <v>0.655565427753311</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E51+AA51*AQ51</f>
        <v>0</v>
      </c>
      <c r="AE51" s="59" t="n">
        <f aca="false">F51+AB51*AQ51</f>
        <v>0</v>
      </c>
      <c r="AF51" s="59" t="n">
        <f aca="false">G51+AC51*AQ51</f>
        <v>0</v>
      </c>
      <c r="AG51" s="59" t="n">
        <f aca="false">H51+I51+J51+(AA51+AB51+AC51)*(1-AQ51)</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IF(ISNUMBER(L51),L51,E51*P1_LOG+F51*P2_LOG+G51*P3_LOG)+IF(ISNUMBER(M51),M51,AA51*P1_LOG+AB51*P2_LOG+AC51*P3_LOG)*AQ51</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c r="AP51" s="58" t="n">
        <f aca="false">MIN(N(K51),Q51)</f>
        <v>0</v>
      </c>
      <c r="AQ51" s="61" t="n">
        <f aca="false">IF(Q51&gt;0,((Q51-AP51)*AT51+AP51*TASA_INC)/Q51,AT51)</f>
        <v>0.655565427753311</v>
      </c>
      <c r="AR51" s="58" t="n">
        <f aca="false">IF($A51&lt;FECHA_EXPORT,NETWORKDAYS($A51+1,FECHA_EXPORT,FESTIVOS),0)</f>
        <v>0</v>
      </c>
      <c r="AS51" s="61" t="n">
        <f aca="false">IF(AR51&gt;=5,1,INDEX(CDF_INC,1,AR51+1))</f>
        <v>0.14</v>
      </c>
      <c r="AT51" s="61" t="n">
        <f aca="false">TASA_USADA+(TASA_INC-TASA_USADA)*Q_INC*(1-AS51)/(1-Q_INC*AS51)</f>
        <v>0.655565427753311</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E52+AA52*AQ52</f>
        <v>0</v>
      </c>
      <c r="AE52" s="59" t="n">
        <f aca="false">F52+AB52*AQ52</f>
        <v>0</v>
      </c>
      <c r="AF52" s="59" t="n">
        <f aca="false">G52+AC52*AQ52</f>
        <v>0</v>
      </c>
      <c r="AG52" s="59" t="n">
        <f aca="false">H52+I52+J52+(AA52+AB52+AC52)*(1-AQ52)</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IF(ISNUMBER(L52),L52,E52*P1_LOG+F52*P2_LOG+G52*P3_LOG)+IF(ISNUMBER(M52),M52,AA52*P1_LOG+AB52*P2_LOG+AC52*P3_LOG)*AQ52</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c r="AP52" s="58" t="n">
        <f aca="false">MIN(N(K52),Q52)</f>
        <v>0</v>
      </c>
      <c r="AQ52" s="61" t="n">
        <f aca="false">IF(Q52&gt;0,((Q52-AP52)*AT52+AP52*TASA_INC)/Q52,AT52)</f>
        <v>0.655565427753311</v>
      </c>
      <c r="AR52" s="58" t="n">
        <f aca="false">IF($A52&lt;FECHA_EXPORT,NETWORKDAYS($A52+1,FECHA_EXPORT,FESTIVOS),0)</f>
        <v>0</v>
      </c>
      <c r="AS52" s="61" t="n">
        <f aca="false">IF(AR52&gt;=5,1,INDEX(CDF_INC,1,AR52+1))</f>
        <v>0.14</v>
      </c>
      <c r="AT52" s="61" t="n">
        <f aca="false">TASA_USADA+(TASA_INC-TASA_USADA)*Q_INC*(1-AS52)/(1-Q_INC*AS52)</f>
        <v>0.655565427753311</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E53+AA53*AQ53</f>
        <v>0</v>
      </c>
      <c r="AE53" s="59" t="n">
        <f aca="false">F53+AB53*AQ53</f>
        <v>0</v>
      </c>
      <c r="AF53" s="59" t="n">
        <f aca="false">G53+AC53*AQ53</f>
        <v>0</v>
      </c>
      <c r="AG53" s="59" t="n">
        <f aca="false">H53+I53+J53+(AA53+AB53+AC53)*(1-AQ53)</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IF(ISNUMBER(L53),L53,E53*P1_LOG+F53*P2_LOG+G53*P3_LOG)+IF(ISNUMBER(M53),M53,AA53*P1_LOG+AB53*P2_LOG+AC53*P3_LOG)*AQ53</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c r="AP53" s="58" t="n">
        <f aca="false">MIN(N(K53),Q53)</f>
        <v>0</v>
      </c>
      <c r="AQ53" s="61" t="n">
        <f aca="false">IF(Q53&gt;0,((Q53-AP53)*AT53+AP53*TASA_INC)/Q53,AT53)</f>
        <v>0.655565427753311</v>
      </c>
      <c r="AR53" s="58" t="n">
        <f aca="false">IF($A53&lt;FECHA_EXPORT,NETWORKDAYS($A53+1,FECHA_EXPORT,FESTIVOS),0)</f>
        <v>0</v>
      </c>
      <c r="AS53" s="61" t="n">
        <f aca="false">IF(AR53&gt;=5,1,INDEX(CDF_INC,1,AR53+1))</f>
        <v>0.14</v>
      </c>
      <c r="AT53" s="61" t="n">
        <f aca="false">TASA_USADA+(TASA_INC-TASA_USADA)*Q_INC*(1-AS53)/(1-Q_INC*AS53)</f>
        <v>0.655565427753311</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E54+AA54*AQ54</f>
        <v>0</v>
      </c>
      <c r="AE54" s="59" t="n">
        <f aca="false">F54+AB54*AQ54</f>
        <v>0</v>
      </c>
      <c r="AF54" s="59" t="n">
        <f aca="false">G54+AC54*AQ54</f>
        <v>0</v>
      </c>
      <c r="AG54" s="59" t="n">
        <f aca="false">H54+I54+J54+(AA54+AB54+AC54)*(1-AQ54)</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IF(ISNUMBER(L54),L54,E54*P1_LOG+F54*P2_LOG+G54*P3_LOG)+IF(ISNUMBER(M54),M54,AA54*P1_LOG+AB54*P2_LOG+AC54*P3_LOG)*AQ54</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c r="AP54" s="58" t="n">
        <f aca="false">MIN(N(K54),Q54)</f>
        <v>0</v>
      </c>
      <c r="AQ54" s="61" t="n">
        <f aca="false">IF(Q54&gt;0,((Q54-AP54)*AT54+AP54*TASA_INC)/Q54,AT54)</f>
        <v>0.655565427753311</v>
      </c>
      <c r="AR54" s="58" t="n">
        <f aca="false">IF($A54&lt;FECHA_EXPORT,NETWORKDAYS($A54+1,FECHA_EXPORT,FESTIVOS),0)</f>
        <v>0</v>
      </c>
      <c r="AS54" s="61" t="n">
        <f aca="false">IF(AR54&gt;=5,1,INDEX(CDF_INC,1,AR54+1))</f>
        <v>0.14</v>
      </c>
      <c r="AT54" s="61" t="n">
        <f aca="false">TASA_USADA+(TASA_INC-TASA_USADA)*Q_INC*(1-AS54)/(1-Q_INC*AS54)</f>
        <v>0.655565427753311</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E55+AA55*AQ55</f>
        <v>0</v>
      </c>
      <c r="AE55" s="59" t="n">
        <f aca="false">F55+AB55*AQ55</f>
        <v>0</v>
      </c>
      <c r="AF55" s="59" t="n">
        <f aca="false">G55+AC55*AQ55</f>
        <v>0</v>
      </c>
      <c r="AG55" s="59" t="n">
        <f aca="false">H55+I55+J55+(AA55+AB55+AC55)*(1-AQ55)</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IF(ISNUMBER(L55),L55,E55*P1_LOG+F55*P2_LOG+G55*P3_LOG)+IF(ISNUMBER(M55),M55,AA55*P1_LOG+AB55*P2_LOG+AC55*P3_LOG)*AQ55</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c r="AP55" s="58" t="n">
        <f aca="false">MIN(N(K55),Q55)</f>
        <v>0</v>
      </c>
      <c r="AQ55" s="61" t="n">
        <f aca="false">IF(Q55&gt;0,((Q55-AP55)*AT55+AP55*TASA_INC)/Q55,AT55)</f>
        <v>0.655565427753311</v>
      </c>
      <c r="AR55" s="58" t="n">
        <f aca="false">IF($A55&lt;FECHA_EXPORT,NETWORKDAYS($A55+1,FECHA_EXPORT,FESTIVOS),0)</f>
        <v>0</v>
      </c>
      <c r="AS55" s="61" t="n">
        <f aca="false">IF(AR55&gt;=5,1,INDEX(CDF_INC,1,AR55+1))</f>
        <v>0.14</v>
      </c>
      <c r="AT55" s="61" t="n">
        <f aca="false">TASA_USADA+(TASA_INC-TASA_USADA)*Q_INC*(1-AS55)/(1-Q_INC*AS55)</f>
        <v>0.655565427753311</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E56+AA56*AQ56</f>
        <v>0</v>
      </c>
      <c r="AE56" s="59" t="n">
        <f aca="false">F56+AB56*AQ56</f>
        <v>0</v>
      </c>
      <c r="AF56" s="59" t="n">
        <f aca="false">G56+AC56*AQ56</f>
        <v>0</v>
      </c>
      <c r="AG56" s="59" t="n">
        <f aca="false">H56+I56+J56+(AA56+AB56+AC56)*(1-AQ56)</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IF(ISNUMBER(L56),L56,E56*P1_LOG+F56*P2_LOG+G56*P3_LOG)+IF(ISNUMBER(M56),M56,AA56*P1_LOG+AB56*P2_LOG+AC56*P3_LOG)*AQ56</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c r="AP56" s="58" t="n">
        <f aca="false">MIN(N(K56),Q56)</f>
        <v>0</v>
      </c>
      <c r="AQ56" s="61" t="n">
        <f aca="false">IF(Q56&gt;0,((Q56-AP56)*AT56+AP56*TASA_INC)/Q56,AT56)</f>
        <v>0.655565427753311</v>
      </c>
      <c r="AR56" s="58" t="n">
        <f aca="false">IF($A56&lt;FECHA_EXPORT,NETWORKDAYS($A56+1,FECHA_EXPORT,FESTIVOS),0)</f>
        <v>0</v>
      </c>
      <c r="AS56" s="61" t="n">
        <f aca="false">IF(AR56&gt;=5,1,INDEX(CDF_INC,1,AR56+1))</f>
        <v>0.14</v>
      </c>
      <c r="AT56" s="61" t="n">
        <f aca="false">TASA_USADA+(TASA_INC-TASA_USADA)*Q_INC*(1-AS56)/(1-Q_INC*AS56)</f>
        <v>0.655565427753311</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E57+AA57*AQ57</f>
        <v>0</v>
      </c>
      <c r="AE57" s="59" t="n">
        <f aca="false">F57+AB57*AQ57</f>
        <v>0</v>
      </c>
      <c r="AF57" s="59" t="n">
        <f aca="false">G57+AC57*AQ57</f>
        <v>0</v>
      </c>
      <c r="AG57" s="59" t="n">
        <f aca="false">H57+I57+J57+(AA57+AB57+AC57)*(1-AQ57)</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IF(ISNUMBER(L57),L57,E57*P1_LOG+F57*P2_LOG+G57*P3_LOG)+IF(ISNUMBER(M57),M57,AA57*P1_LOG+AB57*P2_LOG+AC57*P3_LOG)*AQ57</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c r="AP57" s="58" t="n">
        <f aca="false">MIN(N(K57),Q57)</f>
        <v>0</v>
      </c>
      <c r="AQ57" s="61" t="n">
        <f aca="false">IF(Q57&gt;0,((Q57-AP57)*AT57+AP57*TASA_INC)/Q57,AT57)</f>
        <v>0.655565427753311</v>
      </c>
      <c r="AR57" s="58" t="n">
        <f aca="false">IF($A57&lt;FECHA_EXPORT,NETWORKDAYS($A57+1,FECHA_EXPORT,FESTIVOS),0)</f>
        <v>0</v>
      </c>
      <c r="AS57" s="61" t="n">
        <f aca="false">IF(AR57&gt;=5,1,INDEX(CDF_INC,1,AR57+1))</f>
        <v>0.14</v>
      </c>
      <c r="AT57" s="61" t="n">
        <f aca="false">TASA_USADA+(TASA_INC-TASA_USADA)*Q_INC*(1-AS57)/(1-Q_INC*AS57)</f>
        <v>0.655565427753311</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E58+AA58*AQ58</f>
        <v>0</v>
      </c>
      <c r="AE58" s="59" t="n">
        <f aca="false">F58+AB58*AQ58</f>
        <v>0</v>
      </c>
      <c r="AF58" s="59" t="n">
        <f aca="false">G58+AC58*AQ58</f>
        <v>0</v>
      </c>
      <c r="AG58" s="59" t="n">
        <f aca="false">H58+I58+J58+(AA58+AB58+AC58)*(1-AQ58)</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IF(ISNUMBER(L58),L58,E58*P1_LOG+F58*P2_LOG+G58*P3_LOG)+IF(ISNUMBER(M58),M58,AA58*P1_LOG+AB58*P2_LOG+AC58*P3_LOG)*AQ58</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c r="AP58" s="58" t="n">
        <f aca="false">MIN(N(K58),Q58)</f>
        <v>0</v>
      </c>
      <c r="AQ58" s="61" t="n">
        <f aca="false">IF(Q58&gt;0,((Q58-AP58)*AT58+AP58*TASA_INC)/Q58,AT58)</f>
        <v>0.655565427753311</v>
      </c>
      <c r="AR58" s="58" t="n">
        <f aca="false">IF($A58&lt;FECHA_EXPORT,NETWORKDAYS($A58+1,FECHA_EXPORT,FESTIVOS),0)</f>
        <v>0</v>
      </c>
      <c r="AS58" s="61" t="n">
        <f aca="false">IF(AR58&gt;=5,1,INDEX(CDF_INC,1,AR58+1))</f>
        <v>0.14</v>
      </c>
      <c r="AT58" s="61" t="n">
        <f aca="false">TASA_USADA+(TASA_INC-TASA_USADA)*Q_INC*(1-AS58)/(1-Q_INC*AS58)</f>
        <v>0.655565427753311</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E59+AA59*AQ59</f>
        <v>0</v>
      </c>
      <c r="AE59" s="59" t="n">
        <f aca="false">F59+AB59*AQ59</f>
        <v>0</v>
      </c>
      <c r="AF59" s="59" t="n">
        <f aca="false">G59+AC59*AQ59</f>
        <v>0</v>
      </c>
      <c r="AG59" s="59" t="n">
        <f aca="false">H59+I59+J59+(AA59+AB59+AC59)*(1-AQ59)</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IF(ISNUMBER(L59),L59,E59*P1_LOG+F59*P2_LOG+G59*P3_LOG)+IF(ISNUMBER(M59),M59,AA59*P1_LOG+AB59*P2_LOG+AC59*P3_LOG)*AQ59</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c r="AP59" s="58" t="n">
        <f aca="false">MIN(N(K59),Q59)</f>
        <v>0</v>
      </c>
      <c r="AQ59" s="61" t="n">
        <f aca="false">IF(Q59&gt;0,((Q59-AP59)*AT59+AP59*TASA_INC)/Q59,AT59)</f>
        <v>0.655565427753311</v>
      </c>
      <c r="AR59" s="58" t="n">
        <f aca="false">IF($A59&lt;FECHA_EXPORT,NETWORKDAYS($A59+1,FECHA_EXPORT,FESTIVOS),0)</f>
        <v>0</v>
      </c>
      <c r="AS59" s="61" t="n">
        <f aca="false">IF(AR59&gt;=5,1,INDEX(CDF_INC,1,AR59+1))</f>
        <v>0.14</v>
      </c>
      <c r="AT59" s="61" t="n">
        <f aca="false">TASA_USADA+(TASA_INC-TASA_USADA)*Q_INC*(1-AS59)/(1-Q_INC*AS59)</f>
        <v>0.655565427753311</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E60+AA60*AQ60</f>
        <v>0</v>
      </c>
      <c r="AE60" s="59" t="n">
        <f aca="false">F60+AB60*AQ60</f>
        <v>0</v>
      </c>
      <c r="AF60" s="59" t="n">
        <f aca="false">G60+AC60*AQ60</f>
        <v>0</v>
      </c>
      <c r="AG60" s="59" t="n">
        <f aca="false">H60+I60+J60+(AA60+AB60+AC60)*(1-AQ60)</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IF(ISNUMBER(L60),L60,E60*P1_LOG+F60*P2_LOG+G60*P3_LOG)+IF(ISNUMBER(M60),M60,AA60*P1_LOG+AB60*P2_LOG+AC60*P3_LOG)*AQ60</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c r="AP60" s="58" t="n">
        <f aca="false">MIN(N(K60),Q60)</f>
        <v>0</v>
      </c>
      <c r="AQ60" s="61" t="n">
        <f aca="false">IF(Q60&gt;0,((Q60-AP60)*AT60+AP60*TASA_INC)/Q60,AT60)</f>
        <v>0.655565427753311</v>
      </c>
      <c r="AR60" s="58" t="n">
        <f aca="false">IF($A60&lt;FECHA_EXPORT,NETWORKDAYS($A60+1,FECHA_EXPORT,FESTIVOS),0)</f>
        <v>0</v>
      </c>
      <c r="AS60" s="61" t="n">
        <f aca="false">IF(AR60&gt;=5,1,INDEX(CDF_INC,1,AR60+1))</f>
        <v>0.14</v>
      </c>
      <c r="AT60" s="61" t="n">
        <f aca="false">TASA_USADA+(TASA_INC-TASA_USADA)*Q_INC*(1-AS60)/(1-Q_INC*AS60)</f>
        <v>0.655565427753311</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E61+AA61*AQ61</f>
        <v>0</v>
      </c>
      <c r="AE61" s="59" t="n">
        <f aca="false">F61+AB61*AQ61</f>
        <v>0</v>
      </c>
      <c r="AF61" s="59" t="n">
        <f aca="false">G61+AC61*AQ61</f>
        <v>0</v>
      </c>
      <c r="AG61" s="59" t="n">
        <f aca="false">H61+I61+J61+(AA61+AB61+AC61)*(1-AQ61)</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IF(ISNUMBER(L61),L61,E61*P1_LOG+F61*P2_LOG+G61*P3_LOG)+IF(ISNUMBER(M61),M61,AA61*P1_LOG+AB61*P2_LOG+AC61*P3_LOG)*AQ61</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c r="AP61" s="58" t="n">
        <f aca="false">MIN(N(K61),Q61)</f>
        <v>0</v>
      </c>
      <c r="AQ61" s="61" t="n">
        <f aca="false">IF(Q61&gt;0,((Q61-AP61)*AT61+AP61*TASA_INC)/Q61,AT61)</f>
        <v>0.655565427753311</v>
      </c>
      <c r="AR61" s="58" t="n">
        <f aca="false">IF($A61&lt;FECHA_EXPORT,NETWORKDAYS($A61+1,FECHA_EXPORT,FESTIVOS),0)</f>
        <v>0</v>
      </c>
      <c r="AS61" s="61" t="n">
        <f aca="false">IF(AR61&gt;=5,1,INDEX(CDF_INC,1,AR61+1))</f>
        <v>0.14</v>
      </c>
      <c r="AT61" s="61" t="n">
        <f aca="false">TASA_USADA+(TASA_INC-TASA_USADA)*Q_INC*(1-AS61)/(1-Q_INC*AS61)</f>
        <v>0.655565427753311</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E62+AA62*AQ62</f>
        <v>0</v>
      </c>
      <c r="AE62" s="59" t="n">
        <f aca="false">F62+AB62*AQ62</f>
        <v>0</v>
      </c>
      <c r="AF62" s="59" t="n">
        <f aca="false">G62+AC62*AQ62</f>
        <v>0</v>
      </c>
      <c r="AG62" s="59" t="n">
        <f aca="false">H62+I62+J62+(AA62+AB62+AC62)*(1-AQ62)</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IF(ISNUMBER(L62),L62,E62*P1_LOG+F62*P2_LOG+G62*P3_LOG)+IF(ISNUMBER(M62),M62,AA62*P1_LOG+AB62*P2_LOG+AC62*P3_LOG)*AQ62</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c r="AP62" s="58" t="n">
        <f aca="false">MIN(N(K62),Q62)</f>
        <v>0</v>
      </c>
      <c r="AQ62" s="61" t="n">
        <f aca="false">IF(Q62&gt;0,((Q62-AP62)*AT62+AP62*TASA_INC)/Q62,AT62)</f>
        <v>0.655565427753311</v>
      </c>
      <c r="AR62" s="58" t="n">
        <f aca="false">IF($A62&lt;FECHA_EXPORT,NETWORKDAYS($A62+1,FECHA_EXPORT,FESTIVOS),0)</f>
        <v>0</v>
      </c>
      <c r="AS62" s="61" t="n">
        <f aca="false">IF(AR62&gt;=5,1,INDEX(CDF_INC,1,AR62+1))</f>
        <v>0.14</v>
      </c>
      <c r="AT62" s="61" t="n">
        <f aca="false">TASA_USADA+(TASA_INC-TASA_USADA)*Q_INC*(1-AS62)/(1-Q_INC*AS62)</f>
        <v>0.655565427753311</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E63+AA63*AQ63</f>
        <v>0</v>
      </c>
      <c r="AE63" s="59" t="n">
        <f aca="false">F63+AB63*AQ63</f>
        <v>0</v>
      </c>
      <c r="AF63" s="59" t="n">
        <f aca="false">G63+AC63*AQ63</f>
        <v>0</v>
      </c>
      <c r="AG63" s="59" t="n">
        <f aca="false">H63+I63+J63+(AA63+AB63+AC63)*(1-AQ63)</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IF(ISNUMBER(L63),L63,E63*P1_LOG+F63*P2_LOG+G63*P3_LOG)+IF(ISNUMBER(M63),M63,AA63*P1_LOG+AB63*P2_LOG+AC63*P3_LOG)*AQ63</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c r="AP63" s="58" t="n">
        <f aca="false">MIN(N(K63),Q63)</f>
        <v>0</v>
      </c>
      <c r="AQ63" s="61" t="n">
        <f aca="false">IF(Q63&gt;0,((Q63-AP63)*AT63+AP63*TASA_INC)/Q63,AT63)</f>
        <v>0.655565427753311</v>
      </c>
      <c r="AR63" s="58" t="n">
        <f aca="false">IF($A63&lt;FECHA_EXPORT,NETWORKDAYS($A63+1,FECHA_EXPORT,FESTIVOS),0)</f>
        <v>0</v>
      </c>
      <c r="AS63" s="61" t="n">
        <f aca="false">IF(AR63&gt;=5,1,INDEX(CDF_INC,1,AR63+1))</f>
        <v>0.14</v>
      </c>
      <c r="AT63" s="61" t="n">
        <f aca="false">TASA_USADA+(TASA_INC-TASA_USADA)*Q_INC*(1-AS63)/(1-Q_INC*AS63)</f>
        <v>0.655565427753311</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E64+AA64*AQ64</f>
        <v>0</v>
      </c>
      <c r="AE64" s="59" t="n">
        <f aca="false">F64+AB64*AQ64</f>
        <v>0</v>
      </c>
      <c r="AF64" s="59" t="n">
        <f aca="false">G64+AC64*AQ64</f>
        <v>0</v>
      </c>
      <c r="AG64" s="59" t="n">
        <f aca="false">H64+I64+J64+(AA64+AB64+AC64)*(1-AQ64)</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IF(ISNUMBER(L64),L64,E64*P1_LOG+F64*P2_LOG+G64*P3_LOG)+IF(ISNUMBER(M64),M64,AA64*P1_LOG+AB64*P2_LOG+AC64*P3_LOG)*AQ64</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c r="AP64" s="58" t="n">
        <f aca="false">MIN(N(K64),Q64)</f>
        <v>0</v>
      </c>
      <c r="AQ64" s="61" t="n">
        <f aca="false">IF(Q64&gt;0,((Q64-AP64)*AT64+AP64*TASA_INC)/Q64,AT64)</f>
        <v>0.655565427753311</v>
      </c>
      <c r="AR64" s="58" t="n">
        <f aca="false">IF($A64&lt;FECHA_EXPORT,NETWORKDAYS($A64+1,FECHA_EXPORT,FESTIVOS),0)</f>
        <v>0</v>
      </c>
      <c r="AS64" s="61" t="n">
        <f aca="false">IF(AR64&gt;=5,1,INDEX(CDF_INC,1,AR64+1))</f>
        <v>0.14</v>
      </c>
      <c r="AT64" s="61" t="n">
        <f aca="false">TASA_USADA+(TASA_INC-TASA_USADA)*Q_INC*(1-AS64)/(1-Q_INC*AS64)</f>
        <v>0.655565427753311</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E65+AA65*AQ65</f>
        <v>0</v>
      </c>
      <c r="AE65" s="59" t="n">
        <f aca="false">F65+AB65*AQ65</f>
        <v>0</v>
      </c>
      <c r="AF65" s="59" t="n">
        <f aca="false">G65+AC65*AQ65</f>
        <v>0</v>
      </c>
      <c r="AG65" s="59" t="n">
        <f aca="false">H65+I65+J65+(AA65+AB65+AC65)*(1-AQ65)</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IF(ISNUMBER(L65),L65,E65*P1_LOG+F65*P2_LOG+G65*P3_LOG)+IF(ISNUMBER(M65),M65,AA65*P1_LOG+AB65*P2_LOG+AC65*P3_LOG)*AQ65</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c r="AP65" s="58" t="n">
        <f aca="false">MIN(N(K65),Q65)</f>
        <v>0</v>
      </c>
      <c r="AQ65" s="61" t="n">
        <f aca="false">IF(Q65&gt;0,((Q65-AP65)*AT65+AP65*TASA_INC)/Q65,AT65)</f>
        <v>0.655565427753311</v>
      </c>
      <c r="AR65" s="58" t="n">
        <f aca="false">IF($A65&lt;FECHA_EXPORT,NETWORKDAYS($A65+1,FECHA_EXPORT,FESTIVOS),0)</f>
        <v>0</v>
      </c>
      <c r="AS65" s="61" t="n">
        <f aca="false">IF(AR65&gt;=5,1,INDEX(CDF_INC,1,AR65+1))</f>
        <v>0.14</v>
      </c>
      <c r="AT65" s="61" t="n">
        <f aca="false">TASA_USADA+(TASA_INC-TASA_USADA)*Q_INC*(1-AS65)/(1-Q_INC*AS65)</f>
        <v>0.655565427753311</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E66+AA66*AQ66</f>
        <v>0</v>
      </c>
      <c r="AE66" s="59" t="n">
        <f aca="false">F66+AB66*AQ66</f>
        <v>0</v>
      </c>
      <c r="AF66" s="59" t="n">
        <f aca="false">G66+AC66*AQ66</f>
        <v>0</v>
      </c>
      <c r="AG66" s="59" t="n">
        <f aca="false">H66+I66+J66+(AA66+AB66+AC66)*(1-AQ66)</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IF(ISNUMBER(L66),L66,E66*P1_LOG+F66*P2_LOG+G66*P3_LOG)+IF(ISNUMBER(M66),M66,AA66*P1_LOG+AB66*P2_LOG+AC66*P3_LOG)*AQ66</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c r="AP66" s="58" t="n">
        <f aca="false">MIN(N(K66),Q66)</f>
        <v>0</v>
      </c>
      <c r="AQ66" s="61" t="n">
        <f aca="false">IF(Q66&gt;0,((Q66-AP66)*AT66+AP66*TASA_INC)/Q66,AT66)</f>
        <v>0.655565427753311</v>
      </c>
      <c r="AR66" s="58" t="n">
        <f aca="false">IF($A66&lt;FECHA_EXPORT,NETWORKDAYS($A66+1,FECHA_EXPORT,FESTIVOS),0)</f>
        <v>0</v>
      </c>
      <c r="AS66" s="61" t="n">
        <f aca="false">IF(AR66&gt;=5,1,INDEX(CDF_INC,1,AR66+1))</f>
        <v>0.14</v>
      </c>
      <c r="AT66" s="61" t="n">
        <f aca="false">TASA_USADA+(TASA_INC-TASA_USADA)*Q_INC*(1-AS66)/(1-Q_INC*AS66)</f>
        <v>0.655565427753311</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E67+AA67*AQ67</f>
        <v>0</v>
      </c>
      <c r="AE67" s="59" t="n">
        <f aca="false">F67+AB67*AQ67</f>
        <v>0</v>
      </c>
      <c r="AF67" s="59" t="n">
        <f aca="false">G67+AC67*AQ67</f>
        <v>0</v>
      </c>
      <c r="AG67" s="59" t="n">
        <f aca="false">H67+I67+J67+(AA67+AB67+AC67)*(1-AQ67)</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IF(ISNUMBER(L67),L67,E67*P1_LOG+F67*P2_LOG+G67*P3_LOG)+IF(ISNUMBER(M67),M67,AA67*P1_LOG+AB67*P2_LOG+AC67*P3_LOG)*AQ67</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c r="AP67" s="58" t="n">
        <f aca="false">MIN(N(K67),Q67)</f>
        <v>0</v>
      </c>
      <c r="AQ67" s="61" t="n">
        <f aca="false">IF(Q67&gt;0,((Q67-AP67)*AT67+AP67*TASA_INC)/Q67,AT67)</f>
        <v>0.655565427753311</v>
      </c>
      <c r="AR67" s="58" t="n">
        <f aca="false">IF($A67&lt;FECHA_EXPORT,NETWORKDAYS($A67+1,FECHA_EXPORT,FESTIVOS),0)</f>
        <v>0</v>
      </c>
      <c r="AS67" s="61" t="n">
        <f aca="false">IF(AR67&gt;=5,1,INDEX(CDF_INC,1,AR67+1))</f>
        <v>0.14</v>
      </c>
      <c r="AT67" s="61" t="n">
        <f aca="false">TASA_USADA+(TASA_INC-TASA_USADA)*Q_INC*(1-AS67)/(1-Q_INC*AS67)</f>
        <v>0.655565427753311</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E68+AA68*AQ68</f>
        <v>0</v>
      </c>
      <c r="AE68" s="59" t="n">
        <f aca="false">F68+AB68*AQ68</f>
        <v>0</v>
      </c>
      <c r="AF68" s="59" t="n">
        <f aca="false">G68+AC68*AQ68</f>
        <v>0</v>
      </c>
      <c r="AG68" s="59" t="n">
        <f aca="false">H68+I68+J68+(AA68+AB68+AC68)*(1-AQ68)</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IF(ISNUMBER(L68),L68,E68*P1_LOG+F68*P2_LOG+G68*P3_LOG)+IF(ISNUMBER(M68),M68,AA68*P1_LOG+AB68*P2_LOG+AC68*P3_LOG)*AQ68</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c r="AP68" s="58" t="n">
        <f aca="false">MIN(N(K68),Q68)</f>
        <v>0</v>
      </c>
      <c r="AQ68" s="61" t="n">
        <f aca="false">IF(Q68&gt;0,((Q68-AP68)*AT68+AP68*TASA_INC)/Q68,AT68)</f>
        <v>0.655565427753311</v>
      </c>
      <c r="AR68" s="58" t="n">
        <f aca="false">IF($A68&lt;FECHA_EXPORT,NETWORKDAYS($A68+1,FECHA_EXPORT,FESTIVOS),0)</f>
        <v>0</v>
      </c>
      <c r="AS68" s="61" t="n">
        <f aca="false">IF(AR68&gt;=5,1,INDEX(CDF_INC,1,AR68+1))</f>
        <v>0.14</v>
      </c>
      <c r="AT68" s="61" t="n">
        <f aca="false">TASA_USADA+(TASA_INC-TASA_USADA)*Q_INC*(1-AS68)/(1-Q_INC*AS68)</f>
        <v>0.655565427753311</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E69+AA69*AQ69</f>
        <v>0</v>
      </c>
      <c r="AE69" s="59" t="n">
        <f aca="false">F69+AB69*AQ69</f>
        <v>0</v>
      </c>
      <c r="AF69" s="59" t="n">
        <f aca="false">G69+AC69*AQ69</f>
        <v>0</v>
      </c>
      <c r="AG69" s="59" t="n">
        <f aca="false">H69+I69+J69+(AA69+AB69+AC69)*(1-AQ69)</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IF(ISNUMBER(L69),L69,E69*P1_LOG+F69*P2_LOG+G69*P3_LOG)+IF(ISNUMBER(M69),M69,AA69*P1_LOG+AB69*P2_LOG+AC69*P3_LOG)*AQ69</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c r="AP69" s="58" t="n">
        <f aca="false">MIN(N(K69),Q69)</f>
        <v>0</v>
      </c>
      <c r="AQ69" s="61" t="n">
        <f aca="false">IF(Q69&gt;0,((Q69-AP69)*AT69+AP69*TASA_INC)/Q69,AT69)</f>
        <v>0.655565427753311</v>
      </c>
      <c r="AR69" s="58" t="n">
        <f aca="false">IF($A69&lt;FECHA_EXPORT,NETWORKDAYS($A69+1,FECHA_EXPORT,FESTIVOS),0)</f>
        <v>0</v>
      </c>
      <c r="AS69" s="61" t="n">
        <f aca="false">IF(AR69&gt;=5,1,INDEX(CDF_INC,1,AR69+1))</f>
        <v>0.14</v>
      </c>
      <c r="AT69" s="61" t="n">
        <f aca="false">TASA_USADA+(TASA_INC-TASA_USADA)*Q_INC*(1-AS69)/(1-Q_INC*AS69)</f>
        <v>0.655565427753311</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E70+AA70*AQ70</f>
        <v>0</v>
      </c>
      <c r="AE70" s="59" t="n">
        <f aca="false">F70+AB70*AQ70</f>
        <v>0</v>
      </c>
      <c r="AF70" s="59" t="n">
        <f aca="false">G70+AC70*AQ70</f>
        <v>0</v>
      </c>
      <c r="AG70" s="59" t="n">
        <f aca="false">H70+I70+J70+(AA70+AB70+AC70)*(1-AQ70)</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IF(ISNUMBER(L70),L70,E70*P1_LOG+F70*P2_LOG+G70*P3_LOG)+IF(ISNUMBER(M70),M70,AA70*P1_LOG+AB70*P2_LOG+AC70*P3_LOG)*AQ70</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c r="AP70" s="58" t="n">
        <f aca="false">MIN(N(K70),Q70)</f>
        <v>0</v>
      </c>
      <c r="AQ70" s="61" t="n">
        <f aca="false">IF(Q70&gt;0,((Q70-AP70)*AT70+AP70*TASA_INC)/Q70,AT70)</f>
        <v>0.655565427753311</v>
      </c>
      <c r="AR70" s="58" t="n">
        <f aca="false">IF($A70&lt;FECHA_EXPORT,NETWORKDAYS($A70+1,FECHA_EXPORT,FESTIVOS),0)</f>
        <v>0</v>
      </c>
      <c r="AS70" s="61" t="n">
        <f aca="false">IF(AR70&gt;=5,1,INDEX(CDF_INC,1,AR70+1))</f>
        <v>0.14</v>
      </c>
      <c r="AT70" s="61" t="n">
        <f aca="false">TASA_USADA+(TASA_INC-TASA_USADA)*Q_INC*(1-AS70)/(1-Q_INC*AS70)</f>
        <v>0.655565427753311</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E71+AA71*AQ71</f>
        <v>0</v>
      </c>
      <c r="AE71" s="59" t="n">
        <f aca="false">F71+AB71*AQ71</f>
        <v>0</v>
      </c>
      <c r="AF71" s="59" t="n">
        <f aca="false">G71+AC71*AQ71</f>
        <v>0</v>
      </c>
      <c r="AG71" s="59" t="n">
        <f aca="false">H71+I71+J71+(AA71+AB71+AC71)*(1-AQ71)</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IF(ISNUMBER(L71),L71,E71*P1_LOG+F71*P2_LOG+G71*P3_LOG)+IF(ISNUMBER(M71),M71,AA71*P1_LOG+AB71*P2_LOG+AC71*P3_LOG)*AQ71</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c r="AP71" s="58" t="n">
        <f aca="false">MIN(N(K71),Q71)</f>
        <v>0</v>
      </c>
      <c r="AQ71" s="61" t="n">
        <f aca="false">IF(Q71&gt;0,((Q71-AP71)*AT71+AP71*TASA_INC)/Q71,AT71)</f>
        <v>0.655565427753311</v>
      </c>
      <c r="AR71" s="58" t="n">
        <f aca="false">IF($A71&lt;FECHA_EXPORT,NETWORKDAYS($A71+1,FECHA_EXPORT,FESTIVOS),0)</f>
        <v>0</v>
      </c>
      <c r="AS71" s="61" t="n">
        <f aca="false">IF(AR71&gt;=5,1,INDEX(CDF_INC,1,AR71+1))</f>
        <v>0.14</v>
      </c>
      <c r="AT71" s="61" t="n">
        <f aca="false">TASA_USADA+(TASA_INC-TASA_USADA)*Q_INC*(1-AS71)/(1-Q_INC*AS71)</f>
        <v>0.655565427753311</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E72+AA72*AQ72</f>
        <v>0</v>
      </c>
      <c r="AE72" s="59" t="n">
        <f aca="false">F72+AB72*AQ72</f>
        <v>0</v>
      </c>
      <c r="AF72" s="59" t="n">
        <f aca="false">G72+AC72*AQ72</f>
        <v>0</v>
      </c>
      <c r="AG72" s="59" t="n">
        <f aca="false">H72+I72+J72+(AA72+AB72+AC72)*(1-AQ72)</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IF(ISNUMBER(L72),L72,E72*P1_LOG+F72*P2_LOG+G72*P3_LOG)+IF(ISNUMBER(M72),M72,AA72*P1_LOG+AB72*P2_LOG+AC72*P3_LOG)*AQ72</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c r="AP72" s="58" t="n">
        <f aca="false">MIN(N(K72),Q72)</f>
        <v>0</v>
      </c>
      <c r="AQ72" s="61" t="n">
        <f aca="false">IF(Q72&gt;0,((Q72-AP72)*AT72+AP72*TASA_INC)/Q72,AT72)</f>
        <v>0.655565427753311</v>
      </c>
      <c r="AR72" s="58" t="n">
        <f aca="false">IF($A72&lt;FECHA_EXPORT,NETWORKDAYS($A72+1,FECHA_EXPORT,FESTIVOS),0)</f>
        <v>0</v>
      </c>
      <c r="AS72" s="61" t="n">
        <f aca="false">IF(AR72&gt;=5,1,INDEX(CDF_INC,1,AR72+1))</f>
        <v>0.14</v>
      </c>
      <c r="AT72" s="61" t="n">
        <f aca="false">TASA_USADA+(TASA_INC-TASA_USADA)*Q_INC*(1-AS72)/(1-Q_INC*AS72)</f>
        <v>0.655565427753311</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E73+AA73*AQ73</f>
        <v>0</v>
      </c>
      <c r="AE73" s="59" t="n">
        <f aca="false">F73+AB73*AQ73</f>
        <v>0</v>
      </c>
      <c r="AF73" s="59" t="n">
        <f aca="false">G73+AC73*AQ73</f>
        <v>0</v>
      </c>
      <c r="AG73" s="59" t="n">
        <f aca="false">H73+I73+J73+(AA73+AB73+AC73)*(1-AQ73)</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IF(ISNUMBER(L73),L73,E73*P1_LOG+F73*P2_LOG+G73*P3_LOG)+IF(ISNUMBER(M73),M73,AA73*P1_LOG+AB73*P2_LOG+AC73*P3_LOG)*AQ73</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c r="AP73" s="58" t="n">
        <f aca="false">MIN(N(K73),Q73)</f>
        <v>0</v>
      </c>
      <c r="AQ73" s="61" t="n">
        <f aca="false">IF(Q73&gt;0,((Q73-AP73)*AT73+AP73*TASA_INC)/Q73,AT73)</f>
        <v>0.655565427753311</v>
      </c>
      <c r="AR73" s="58" t="n">
        <f aca="false">IF($A73&lt;FECHA_EXPORT,NETWORKDAYS($A73+1,FECHA_EXPORT,FESTIVOS),0)</f>
        <v>0</v>
      </c>
      <c r="AS73" s="61" t="n">
        <f aca="false">IF(AR73&gt;=5,1,INDEX(CDF_INC,1,AR73+1))</f>
        <v>0.14</v>
      </c>
      <c r="AT73" s="61" t="n">
        <f aca="false">TASA_USADA+(TASA_INC-TASA_USADA)*Q_INC*(1-AS73)/(1-Q_INC*AS73)</f>
        <v>0.655565427753311</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E74+AA74*AQ74</f>
        <v>0</v>
      </c>
      <c r="AE74" s="59" t="n">
        <f aca="false">F74+AB74*AQ74</f>
        <v>0</v>
      </c>
      <c r="AF74" s="59" t="n">
        <f aca="false">G74+AC74*AQ74</f>
        <v>0</v>
      </c>
      <c r="AG74" s="59" t="n">
        <f aca="false">H74+I74+J74+(AA74+AB74+AC74)*(1-AQ74)</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IF(ISNUMBER(L74),L74,E74*P1_LOG+F74*P2_LOG+G74*P3_LOG)+IF(ISNUMBER(M74),M74,AA74*P1_LOG+AB74*P2_LOG+AC74*P3_LOG)*AQ74</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c r="AP74" s="58" t="n">
        <f aca="false">MIN(N(K74),Q74)</f>
        <v>0</v>
      </c>
      <c r="AQ74" s="61" t="n">
        <f aca="false">IF(Q74&gt;0,((Q74-AP74)*AT74+AP74*TASA_INC)/Q74,AT74)</f>
        <v>0.655565427753311</v>
      </c>
      <c r="AR74" s="58" t="n">
        <f aca="false">IF($A74&lt;FECHA_EXPORT,NETWORKDAYS($A74+1,FECHA_EXPORT,FESTIVOS),0)</f>
        <v>0</v>
      </c>
      <c r="AS74" s="61" t="n">
        <f aca="false">IF(AR74&gt;=5,1,INDEX(CDF_INC,1,AR74+1))</f>
        <v>0.14</v>
      </c>
      <c r="AT74" s="61" t="n">
        <f aca="false">TASA_USADA+(TASA_INC-TASA_USADA)*Q_INC*(1-AS74)/(1-Q_INC*AS74)</f>
        <v>0.655565427753311</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E75+AA75*AQ75</f>
        <v>0</v>
      </c>
      <c r="AE75" s="59" t="n">
        <f aca="false">F75+AB75*AQ75</f>
        <v>0</v>
      </c>
      <c r="AF75" s="59" t="n">
        <f aca="false">G75+AC75*AQ75</f>
        <v>0</v>
      </c>
      <c r="AG75" s="59" t="n">
        <f aca="false">H75+I75+J75+(AA75+AB75+AC75)*(1-AQ75)</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IF(ISNUMBER(L75),L75,E75*P1_LOG+F75*P2_LOG+G75*P3_LOG)+IF(ISNUMBER(M75),M75,AA75*P1_LOG+AB75*P2_LOG+AC75*P3_LOG)*AQ75</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c r="AP75" s="58" t="n">
        <f aca="false">MIN(N(K75),Q75)</f>
        <v>0</v>
      </c>
      <c r="AQ75" s="61" t="n">
        <f aca="false">IF(Q75&gt;0,((Q75-AP75)*AT75+AP75*TASA_INC)/Q75,AT75)</f>
        <v>0.655565427753311</v>
      </c>
      <c r="AR75" s="58" t="n">
        <f aca="false">IF($A75&lt;FECHA_EXPORT,NETWORKDAYS($A75+1,FECHA_EXPORT,FESTIVOS),0)</f>
        <v>0</v>
      </c>
      <c r="AS75" s="61" t="n">
        <f aca="false">IF(AR75&gt;=5,1,INDEX(CDF_INC,1,AR75+1))</f>
        <v>0.14</v>
      </c>
      <c r="AT75" s="61" t="n">
        <f aca="false">TASA_USADA+(TASA_INC-TASA_USADA)*Q_INC*(1-AS75)/(1-Q_INC*AS75)</f>
        <v>0.655565427753311</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E76+AA76*AQ76</f>
        <v>0</v>
      </c>
      <c r="AE76" s="59" t="n">
        <f aca="false">F76+AB76*AQ76</f>
        <v>0</v>
      </c>
      <c r="AF76" s="59" t="n">
        <f aca="false">G76+AC76*AQ76</f>
        <v>0</v>
      </c>
      <c r="AG76" s="59" t="n">
        <f aca="false">H76+I76+J76+(AA76+AB76+AC76)*(1-AQ76)</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IF(ISNUMBER(L76),L76,E76*P1_LOG+F76*P2_LOG+G76*P3_LOG)+IF(ISNUMBER(M76),M76,AA76*P1_LOG+AB76*P2_LOG+AC76*P3_LOG)*AQ76</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c r="AP76" s="58" t="n">
        <f aca="false">MIN(N(K76),Q76)</f>
        <v>0</v>
      </c>
      <c r="AQ76" s="61" t="n">
        <f aca="false">IF(Q76&gt;0,((Q76-AP76)*AT76+AP76*TASA_INC)/Q76,AT76)</f>
        <v>0.655565427753311</v>
      </c>
      <c r="AR76" s="58" t="n">
        <f aca="false">IF($A76&lt;FECHA_EXPORT,NETWORKDAYS($A76+1,FECHA_EXPORT,FESTIVOS),0)</f>
        <v>0</v>
      </c>
      <c r="AS76" s="61" t="n">
        <f aca="false">IF(AR76&gt;=5,1,INDEX(CDF_INC,1,AR76+1))</f>
        <v>0.14</v>
      </c>
      <c r="AT76" s="61" t="n">
        <f aca="false">TASA_USADA+(TASA_INC-TASA_USADA)*Q_INC*(1-AS76)/(1-Q_INC*AS76)</f>
        <v>0.655565427753311</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E77+AA77*AQ77</f>
        <v>0</v>
      </c>
      <c r="AE77" s="59" t="n">
        <f aca="false">F77+AB77*AQ77</f>
        <v>0</v>
      </c>
      <c r="AF77" s="59" t="n">
        <f aca="false">G77+AC77*AQ77</f>
        <v>0</v>
      </c>
      <c r="AG77" s="59" t="n">
        <f aca="false">H77+I77+J77+(AA77+AB77+AC77)*(1-AQ77)</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IF(ISNUMBER(L77),L77,E77*P1_LOG+F77*P2_LOG+G77*P3_LOG)+IF(ISNUMBER(M77),M77,AA77*P1_LOG+AB77*P2_LOG+AC77*P3_LOG)*AQ77</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c r="AP77" s="58" t="n">
        <f aca="false">MIN(N(K77),Q77)</f>
        <v>0</v>
      </c>
      <c r="AQ77" s="61" t="n">
        <f aca="false">IF(Q77&gt;0,((Q77-AP77)*AT77+AP77*TASA_INC)/Q77,AT77)</f>
        <v>0.655565427753311</v>
      </c>
      <c r="AR77" s="58" t="n">
        <f aca="false">IF($A77&lt;FECHA_EXPORT,NETWORKDAYS($A77+1,FECHA_EXPORT,FESTIVOS),0)</f>
        <v>0</v>
      </c>
      <c r="AS77" s="61" t="n">
        <f aca="false">IF(AR77&gt;=5,1,INDEX(CDF_INC,1,AR77+1))</f>
        <v>0.14</v>
      </c>
      <c r="AT77" s="61" t="n">
        <f aca="false">TASA_USADA+(TASA_INC-TASA_USADA)*Q_INC*(1-AS77)/(1-Q_INC*AS77)</f>
        <v>0.655565427753311</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E78+AA78*AQ78</f>
        <v>0</v>
      </c>
      <c r="AE78" s="59" t="n">
        <f aca="false">F78+AB78*AQ78</f>
        <v>0</v>
      </c>
      <c r="AF78" s="59" t="n">
        <f aca="false">G78+AC78*AQ78</f>
        <v>0</v>
      </c>
      <c r="AG78" s="59" t="n">
        <f aca="false">H78+I78+J78+(AA78+AB78+AC78)*(1-AQ78)</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IF(ISNUMBER(L78),L78,E78*P1_LOG+F78*P2_LOG+G78*P3_LOG)+IF(ISNUMBER(M78),M78,AA78*P1_LOG+AB78*P2_LOG+AC78*P3_LOG)*AQ78</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c r="AP78" s="58" t="n">
        <f aca="false">MIN(N(K78),Q78)</f>
        <v>0</v>
      </c>
      <c r="AQ78" s="61" t="n">
        <f aca="false">IF(Q78&gt;0,((Q78-AP78)*AT78+AP78*TASA_INC)/Q78,AT78)</f>
        <v>0.655565427753311</v>
      </c>
      <c r="AR78" s="58" t="n">
        <f aca="false">IF($A78&lt;FECHA_EXPORT,NETWORKDAYS($A78+1,FECHA_EXPORT,FESTIVOS),0)</f>
        <v>0</v>
      </c>
      <c r="AS78" s="61" t="n">
        <f aca="false">IF(AR78&gt;=5,1,INDEX(CDF_INC,1,AR78+1))</f>
        <v>0.14</v>
      </c>
      <c r="AT78" s="61" t="n">
        <f aca="false">TASA_USADA+(TASA_INC-TASA_USADA)*Q_INC*(1-AS78)/(1-Q_INC*AS78)</f>
        <v>0.655565427753311</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E79+AA79*AQ79</f>
        <v>0</v>
      </c>
      <c r="AE79" s="59" t="n">
        <f aca="false">F79+AB79*AQ79</f>
        <v>0</v>
      </c>
      <c r="AF79" s="59" t="n">
        <f aca="false">G79+AC79*AQ79</f>
        <v>0</v>
      </c>
      <c r="AG79" s="59" t="n">
        <f aca="false">H79+I79+J79+(AA79+AB79+AC79)*(1-AQ79)</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IF(ISNUMBER(L79),L79,E79*P1_LOG+F79*P2_LOG+G79*P3_LOG)+IF(ISNUMBER(M79),M79,AA79*P1_LOG+AB79*P2_LOG+AC79*P3_LOG)*AQ79</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c r="AP79" s="58" t="n">
        <f aca="false">MIN(N(K79),Q79)</f>
        <v>0</v>
      </c>
      <c r="AQ79" s="61" t="n">
        <f aca="false">IF(Q79&gt;0,((Q79-AP79)*AT79+AP79*TASA_INC)/Q79,AT79)</f>
        <v>0.655565427753311</v>
      </c>
      <c r="AR79" s="58" t="n">
        <f aca="false">IF($A79&lt;FECHA_EXPORT,NETWORKDAYS($A79+1,FECHA_EXPORT,FESTIVOS),0)</f>
        <v>0</v>
      </c>
      <c r="AS79" s="61" t="n">
        <f aca="false">IF(AR79&gt;=5,1,INDEX(CDF_INC,1,AR79+1))</f>
        <v>0.14</v>
      </c>
      <c r="AT79" s="61" t="n">
        <f aca="false">TASA_USADA+(TASA_INC-TASA_USADA)*Q_INC*(1-AS79)/(1-Q_INC*AS79)</f>
        <v>0.655565427753311</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E80+AA80*AQ80</f>
        <v>0</v>
      </c>
      <c r="AE80" s="59" t="n">
        <f aca="false">F80+AB80*AQ80</f>
        <v>0</v>
      </c>
      <c r="AF80" s="59" t="n">
        <f aca="false">G80+AC80*AQ80</f>
        <v>0</v>
      </c>
      <c r="AG80" s="59" t="n">
        <f aca="false">H80+I80+J80+(AA80+AB80+AC80)*(1-AQ80)</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IF(ISNUMBER(L80),L80,E80*P1_LOG+F80*P2_LOG+G80*P3_LOG)+IF(ISNUMBER(M80),M80,AA80*P1_LOG+AB80*P2_LOG+AC80*P3_LOG)*AQ80</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c r="AP80" s="58" t="n">
        <f aca="false">MIN(N(K80),Q80)</f>
        <v>0</v>
      </c>
      <c r="AQ80" s="61" t="n">
        <f aca="false">IF(Q80&gt;0,((Q80-AP80)*AT80+AP80*TASA_INC)/Q80,AT80)</f>
        <v>0.655565427753311</v>
      </c>
      <c r="AR80" s="58" t="n">
        <f aca="false">IF($A80&lt;FECHA_EXPORT,NETWORKDAYS($A80+1,FECHA_EXPORT,FESTIVOS),0)</f>
        <v>0</v>
      </c>
      <c r="AS80" s="61" t="n">
        <f aca="false">IF(AR80&gt;=5,1,INDEX(CDF_INC,1,AR80+1))</f>
        <v>0.14</v>
      </c>
      <c r="AT80" s="61" t="n">
        <f aca="false">TASA_USADA+(TASA_INC-TASA_USADA)*Q_INC*(1-AS80)/(1-Q_INC*AS80)</f>
        <v>0.655565427753311</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E81+AA81*AQ81</f>
        <v>0</v>
      </c>
      <c r="AE81" s="59" t="n">
        <f aca="false">F81+AB81*AQ81</f>
        <v>0</v>
      </c>
      <c r="AF81" s="59" t="n">
        <f aca="false">G81+AC81*AQ81</f>
        <v>0</v>
      </c>
      <c r="AG81" s="59" t="n">
        <f aca="false">H81+I81+J81+(AA81+AB81+AC81)*(1-AQ81)</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IF(ISNUMBER(L81),L81,E81*P1_LOG+F81*P2_LOG+G81*P3_LOG)+IF(ISNUMBER(M81),M81,AA81*P1_LOG+AB81*P2_LOG+AC81*P3_LOG)*AQ81</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c r="AP81" s="58" t="n">
        <f aca="false">MIN(N(K81),Q81)</f>
        <v>0</v>
      </c>
      <c r="AQ81" s="61" t="n">
        <f aca="false">IF(Q81&gt;0,((Q81-AP81)*AT81+AP81*TASA_INC)/Q81,AT81)</f>
        <v>0.655565427753311</v>
      </c>
      <c r="AR81" s="58" t="n">
        <f aca="false">IF($A81&lt;FECHA_EXPORT,NETWORKDAYS($A81+1,FECHA_EXPORT,FESTIVOS),0)</f>
        <v>0</v>
      </c>
      <c r="AS81" s="61" t="n">
        <f aca="false">IF(AR81&gt;=5,1,INDEX(CDF_INC,1,AR81+1))</f>
        <v>0.14</v>
      </c>
      <c r="AT81" s="61" t="n">
        <f aca="false">TASA_USADA+(TASA_INC-TASA_USADA)*Q_INC*(1-AS81)/(1-Q_INC*AS81)</f>
        <v>0.655565427753311</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E82+AA82*AQ82</f>
        <v>0</v>
      </c>
      <c r="AE82" s="59" t="n">
        <f aca="false">F82+AB82*AQ82</f>
        <v>0</v>
      </c>
      <c r="AF82" s="59" t="n">
        <f aca="false">G82+AC82*AQ82</f>
        <v>0</v>
      </c>
      <c r="AG82" s="59" t="n">
        <f aca="false">H82+I82+J82+(AA82+AB82+AC82)*(1-AQ82)</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IF(ISNUMBER(L82),L82,E82*P1_LOG+F82*P2_LOG+G82*P3_LOG)+IF(ISNUMBER(M82),M82,AA82*P1_LOG+AB82*P2_LOG+AC82*P3_LOG)*AQ82</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c r="AP82" s="58" t="n">
        <f aca="false">MIN(N(K82),Q82)</f>
        <v>0</v>
      </c>
      <c r="AQ82" s="61" t="n">
        <f aca="false">IF(Q82&gt;0,((Q82-AP82)*AT82+AP82*TASA_INC)/Q82,AT82)</f>
        <v>0.655565427753311</v>
      </c>
      <c r="AR82" s="58" t="n">
        <f aca="false">IF($A82&lt;FECHA_EXPORT,NETWORKDAYS($A82+1,FECHA_EXPORT,FESTIVOS),0)</f>
        <v>0</v>
      </c>
      <c r="AS82" s="61" t="n">
        <f aca="false">IF(AR82&gt;=5,1,INDEX(CDF_INC,1,AR82+1))</f>
        <v>0.14</v>
      </c>
      <c r="AT82" s="61" t="n">
        <f aca="false">TASA_USADA+(TASA_INC-TASA_USADA)*Q_INC*(1-AS82)/(1-Q_INC*AS82)</f>
        <v>0.655565427753311</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E83+AA83*AQ83</f>
        <v>0</v>
      </c>
      <c r="AE83" s="59" t="n">
        <f aca="false">F83+AB83*AQ83</f>
        <v>0</v>
      </c>
      <c r="AF83" s="59" t="n">
        <f aca="false">G83+AC83*AQ83</f>
        <v>0</v>
      </c>
      <c r="AG83" s="59" t="n">
        <f aca="false">H83+I83+J83+(AA83+AB83+AC83)*(1-AQ83)</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IF(ISNUMBER(L83),L83,E83*P1_LOG+F83*P2_LOG+G83*P3_LOG)+IF(ISNUMBER(M83),M83,AA83*P1_LOG+AB83*P2_LOG+AC83*P3_LOG)*AQ83</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c r="AP83" s="58" t="n">
        <f aca="false">MIN(N(K83),Q83)</f>
        <v>0</v>
      </c>
      <c r="AQ83" s="61" t="n">
        <f aca="false">IF(Q83&gt;0,((Q83-AP83)*AT83+AP83*TASA_INC)/Q83,AT83)</f>
        <v>0.655565427753311</v>
      </c>
      <c r="AR83" s="58" t="n">
        <f aca="false">IF($A83&lt;FECHA_EXPORT,NETWORKDAYS($A83+1,FECHA_EXPORT,FESTIVOS),0)</f>
        <v>0</v>
      </c>
      <c r="AS83" s="61" t="n">
        <f aca="false">IF(AR83&gt;=5,1,INDEX(CDF_INC,1,AR83+1))</f>
        <v>0.14</v>
      </c>
      <c r="AT83" s="61" t="n">
        <f aca="false">TASA_USADA+(TASA_INC-TASA_USADA)*Q_INC*(1-AS83)/(1-Q_INC*AS83)</f>
        <v>0.655565427753311</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E84+AA84*AQ84</f>
        <v>0</v>
      </c>
      <c r="AE84" s="59" t="n">
        <f aca="false">F84+AB84*AQ84</f>
        <v>0</v>
      </c>
      <c r="AF84" s="59" t="n">
        <f aca="false">G84+AC84*AQ84</f>
        <v>0</v>
      </c>
      <c r="AG84" s="59" t="n">
        <f aca="false">H84+I84+J84+(AA84+AB84+AC84)*(1-AQ84)</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IF(ISNUMBER(L84),L84,E84*P1_LOG+F84*P2_LOG+G84*P3_LOG)+IF(ISNUMBER(M84),M84,AA84*P1_LOG+AB84*P2_LOG+AC84*P3_LOG)*AQ84</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c r="AP84" s="58" t="n">
        <f aca="false">MIN(N(K84),Q84)</f>
        <v>0</v>
      </c>
      <c r="AQ84" s="61" t="n">
        <f aca="false">IF(Q84&gt;0,((Q84-AP84)*AT84+AP84*TASA_INC)/Q84,AT84)</f>
        <v>0.655565427753311</v>
      </c>
      <c r="AR84" s="58" t="n">
        <f aca="false">IF($A84&lt;FECHA_EXPORT,NETWORKDAYS($A84+1,FECHA_EXPORT,FESTIVOS),0)</f>
        <v>0</v>
      </c>
      <c r="AS84" s="61" t="n">
        <f aca="false">IF(AR84&gt;=5,1,INDEX(CDF_INC,1,AR84+1))</f>
        <v>0.14</v>
      </c>
      <c r="AT84" s="61" t="n">
        <f aca="false">TASA_USADA+(TASA_INC-TASA_USADA)*Q_INC*(1-AS84)/(1-Q_INC*AS84)</f>
        <v>0.655565427753311</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E85+AA85*AQ85</f>
        <v>0</v>
      </c>
      <c r="AE85" s="59" t="n">
        <f aca="false">F85+AB85*AQ85</f>
        <v>0</v>
      </c>
      <c r="AF85" s="59" t="n">
        <f aca="false">G85+AC85*AQ85</f>
        <v>0</v>
      </c>
      <c r="AG85" s="59" t="n">
        <f aca="false">H85+I85+J85+(AA85+AB85+AC85)*(1-AQ85)</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IF(ISNUMBER(L85),L85,E85*P1_LOG+F85*P2_LOG+G85*P3_LOG)+IF(ISNUMBER(M85),M85,AA85*P1_LOG+AB85*P2_LOG+AC85*P3_LOG)*AQ85</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c r="AP85" s="58" t="n">
        <f aca="false">MIN(N(K85),Q85)</f>
        <v>0</v>
      </c>
      <c r="AQ85" s="61" t="n">
        <f aca="false">IF(Q85&gt;0,((Q85-AP85)*AT85+AP85*TASA_INC)/Q85,AT85)</f>
        <v>0.655565427753311</v>
      </c>
      <c r="AR85" s="58" t="n">
        <f aca="false">IF($A85&lt;FECHA_EXPORT,NETWORKDAYS($A85+1,FECHA_EXPORT,FESTIVOS),0)</f>
        <v>0</v>
      </c>
      <c r="AS85" s="61" t="n">
        <f aca="false">IF(AR85&gt;=5,1,INDEX(CDF_INC,1,AR85+1))</f>
        <v>0.14</v>
      </c>
      <c r="AT85" s="61" t="n">
        <f aca="false">TASA_USADA+(TASA_INC-TASA_USADA)*Q_INC*(1-AS85)/(1-Q_INC*AS85)</f>
        <v>0.655565427753311</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E86+AA86*AQ86</f>
        <v>0</v>
      </c>
      <c r="AE86" s="59" t="n">
        <f aca="false">F86+AB86*AQ86</f>
        <v>0</v>
      </c>
      <c r="AF86" s="59" t="n">
        <f aca="false">G86+AC86*AQ86</f>
        <v>0</v>
      </c>
      <c r="AG86" s="59" t="n">
        <f aca="false">H86+I86+J86+(AA86+AB86+AC86)*(1-AQ86)</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IF(ISNUMBER(L86),L86,E86*P1_LOG+F86*P2_LOG+G86*P3_LOG)+IF(ISNUMBER(M86),M86,AA86*P1_LOG+AB86*P2_LOG+AC86*P3_LOG)*AQ86</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c r="AP86" s="58" t="n">
        <f aca="false">MIN(N(K86),Q86)</f>
        <v>0</v>
      </c>
      <c r="AQ86" s="61" t="n">
        <f aca="false">IF(Q86&gt;0,((Q86-AP86)*AT86+AP86*TASA_INC)/Q86,AT86)</f>
        <v>0.655565427753311</v>
      </c>
      <c r="AR86" s="58" t="n">
        <f aca="false">IF($A86&lt;FECHA_EXPORT,NETWORKDAYS($A86+1,FECHA_EXPORT,FESTIVOS),0)</f>
        <v>0</v>
      </c>
      <c r="AS86" s="61" t="n">
        <f aca="false">IF(AR86&gt;=5,1,INDEX(CDF_INC,1,AR86+1))</f>
        <v>0.14</v>
      </c>
      <c r="AT86" s="61" t="n">
        <f aca="false">TASA_USADA+(TASA_INC-TASA_USADA)*Q_INC*(1-AS86)/(1-Q_INC*AS86)</f>
        <v>0.655565427753311</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E87+AA87*AQ87</f>
        <v>0</v>
      </c>
      <c r="AE87" s="59" t="n">
        <f aca="false">F87+AB87*AQ87</f>
        <v>0</v>
      </c>
      <c r="AF87" s="59" t="n">
        <f aca="false">G87+AC87*AQ87</f>
        <v>0</v>
      </c>
      <c r="AG87" s="59" t="n">
        <f aca="false">H87+I87+J87+(AA87+AB87+AC87)*(1-AQ87)</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IF(ISNUMBER(L87),L87,E87*P1_LOG+F87*P2_LOG+G87*P3_LOG)+IF(ISNUMBER(M87),M87,AA87*P1_LOG+AB87*P2_LOG+AC87*P3_LOG)*AQ87</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c r="AP87" s="58" t="n">
        <f aca="false">MIN(N(K87),Q87)</f>
        <v>0</v>
      </c>
      <c r="AQ87" s="61" t="n">
        <f aca="false">IF(Q87&gt;0,((Q87-AP87)*AT87+AP87*TASA_INC)/Q87,AT87)</f>
        <v>0.655565427753311</v>
      </c>
      <c r="AR87" s="58" t="n">
        <f aca="false">IF($A87&lt;FECHA_EXPORT,NETWORKDAYS($A87+1,FECHA_EXPORT,FESTIVOS),0)</f>
        <v>0</v>
      </c>
      <c r="AS87" s="61" t="n">
        <f aca="false">IF(AR87&gt;=5,1,INDEX(CDF_INC,1,AR87+1))</f>
        <v>0.14</v>
      </c>
      <c r="AT87" s="61" t="n">
        <f aca="false">TASA_USADA+(TASA_INC-TASA_USADA)*Q_INC*(1-AS87)/(1-Q_INC*AS87)</f>
        <v>0.655565427753311</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E88+AA88*AQ88</f>
        <v>0</v>
      </c>
      <c r="AE88" s="59" t="n">
        <f aca="false">F88+AB88*AQ88</f>
        <v>0</v>
      </c>
      <c r="AF88" s="59" t="n">
        <f aca="false">G88+AC88*AQ88</f>
        <v>0</v>
      </c>
      <c r="AG88" s="59" t="n">
        <f aca="false">H88+I88+J88+(AA88+AB88+AC88)*(1-AQ88)</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IF(ISNUMBER(L88),L88,E88*P1_LOG+F88*P2_LOG+G88*P3_LOG)+IF(ISNUMBER(M88),M88,AA88*P1_LOG+AB88*P2_LOG+AC88*P3_LOG)*AQ88</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c r="AP88" s="58" t="n">
        <f aca="false">MIN(N(K88),Q88)</f>
        <v>0</v>
      </c>
      <c r="AQ88" s="61" t="n">
        <f aca="false">IF(Q88&gt;0,((Q88-AP88)*AT88+AP88*TASA_INC)/Q88,AT88)</f>
        <v>0.655565427753311</v>
      </c>
      <c r="AR88" s="58" t="n">
        <f aca="false">IF($A88&lt;FECHA_EXPORT,NETWORKDAYS($A88+1,FECHA_EXPORT,FESTIVOS),0)</f>
        <v>0</v>
      </c>
      <c r="AS88" s="61" t="n">
        <f aca="false">IF(AR88&gt;=5,1,INDEX(CDF_INC,1,AR88+1))</f>
        <v>0.14</v>
      </c>
      <c r="AT88" s="61" t="n">
        <f aca="false">TASA_USADA+(TASA_INC-TASA_USADA)*Q_INC*(1-AS88)/(1-Q_INC*AS88)</f>
        <v>0.655565427753311</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E89+AA89*AQ89</f>
        <v>0</v>
      </c>
      <c r="AE89" s="59" t="n">
        <f aca="false">F89+AB89*AQ89</f>
        <v>0</v>
      </c>
      <c r="AF89" s="59" t="n">
        <f aca="false">G89+AC89*AQ89</f>
        <v>0</v>
      </c>
      <c r="AG89" s="59" t="n">
        <f aca="false">H89+I89+J89+(AA89+AB89+AC89)*(1-AQ89)</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IF(ISNUMBER(L89),L89,E89*P1_LOG+F89*P2_LOG+G89*P3_LOG)+IF(ISNUMBER(M89),M89,AA89*P1_LOG+AB89*P2_LOG+AC89*P3_LOG)*AQ89</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c r="AP89" s="58" t="n">
        <f aca="false">MIN(N(K89),Q89)</f>
        <v>0</v>
      </c>
      <c r="AQ89" s="61" t="n">
        <f aca="false">IF(Q89&gt;0,((Q89-AP89)*AT89+AP89*TASA_INC)/Q89,AT89)</f>
        <v>0.655565427753311</v>
      </c>
      <c r="AR89" s="58" t="n">
        <f aca="false">IF($A89&lt;FECHA_EXPORT,NETWORKDAYS($A89+1,FECHA_EXPORT,FESTIVOS),0)</f>
        <v>0</v>
      </c>
      <c r="AS89" s="61" t="n">
        <f aca="false">IF(AR89&gt;=5,1,INDEX(CDF_INC,1,AR89+1))</f>
        <v>0.14</v>
      </c>
      <c r="AT89" s="61" t="n">
        <f aca="false">TASA_USADA+(TASA_INC-TASA_USADA)*Q_INC*(1-AS89)/(1-Q_INC*AS89)</f>
        <v>0.655565427753311</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E90+AA90*AQ90</f>
        <v>0</v>
      </c>
      <c r="AE90" s="59" t="n">
        <f aca="false">F90+AB90*AQ90</f>
        <v>0</v>
      </c>
      <c r="AF90" s="59" t="n">
        <f aca="false">G90+AC90*AQ90</f>
        <v>0</v>
      </c>
      <c r="AG90" s="59" t="n">
        <f aca="false">H90+I90+J90+(AA90+AB90+AC90)*(1-AQ90)</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IF(ISNUMBER(L90),L90,E90*P1_LOG+F90*P2_LOG+G90*P3_LOG)+IF(ISNUMBER(M90),M90,AA90*P1_LOG+AB90*P2_LOG+AC90*P3_LOG)*AQ90</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c r="AP90" s="58" t="n">
        <f aca="false">MIN(N(K90),Q90)</f>
        <v>0</v>
      </c>
      <c r="AQ90" s="61" t="n">
        <f aca="false">IF(Q90&gt;0,((Q90-AP90)*AT90+AP90*TASA_INC)/Q90,AT90)</f>
        <v>0.655565427753311</v>
      </c>
      <c r="AR90" s="58" t="n">
        <f aca="false">IF($A90&lt;FECHA_EXPORT,NETWORKDAYS($A90+1,FECHA_EXPORT,FESTIVOS),0)</f>
        <v>0</v>
      </c>
      <c r="AS90" s="61" t="n">
        <f aca="false">IF(AR90&gt;=5,1,INDEX(CDF_INC,1,AR90+1))</f>
        <v>0.14</v>
      </c>
      <c r="AT90" s="61" t="n">
        <f aca="false">TASA_USADA+(TASA_INC-TASA_USADA)*Q_INC*(1-AS90)/(1-Q_INC*AS90)</f>
        <v>0.655565427753311</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E91+AA91*AQ91</f>
        <v>0</v>
      </c>
      <c r="AE91" s="59" t="n">
        <f aca="false">F91+AB91*AQ91</f>
        <v>0</v>
      </c>
      <c r="AF91" s="59" t="n">
        <f aca="false">G91+AC91*AQ91</f>
        <v>0</v>
      </c>
      <c r="AG91" s="59" t="n">
        <f aca="false">H91+I91+J91+(AA91+AB91+AC91)*(1-AQ91)</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IF(ISNUMBER(L91),L91,E91*P1_LOG+F91*P2_LOG+G91*P3_LOG)+IF(ISNUMBER(M91),M91,AA91*P1_LOG+AB91*P2_LOG+AC91*P3_LOG)*AQ91</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c r="AP91" s="58" t="n">
        <f aca="false">MIN(N(K91),Q91)</f>
        <v>0</v>
      </c>
      <c r="AQ91" s="61" t="n">
        <f aca="false">IF(Q91&gt;0,((Q91-AP91)*AT91+AP91*TASA_INC)/Q91,AT91)</f>
        <v>0.655565427753311</v>
      </c>
      <c r="AR91" s="58" t="n">
        <f aca="false">IF($A91&lt;FECHA_EXPORT,NETWORKDAYS($A91+1,FECHA_EXPORT,FESTIVOS),0)</f>
        <v>0</v>
      </c>
      <c r="AS91" s="61" t="n">
        <f aca="false">IF(AR91&gt;=5,1,INDEX(CDF_INC,1,AR91+1))</f>
        <v>0.14</v>
      </c>
      <c r="AT91" s="61" t="n">
        <f aca="false">TASA_USADA+(TASA_INC-TASA_USADA)*Q_INC*(1-AS91)/(1-Q_INC*AS91)</f>
        <v>0.655565427753311</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E92+AA92*AQ92</f>
        <v>0</v>
      </c>
      <c r="AE92" s="59" t="n">
        <f aca="false">F92+AB92*AQ92</f>
        <v>0</v>
      </c>
      <c r="AF92" s="59" t="n">
        <f aca="false">G92+AC92*AQ92</f>
        <v>0</v>
      </c>
      <c r="AG92" s="59" t="n">
        <f aca="false">H92+I92+J92+(AA92+AB92+AC92)*(1-AQ92)</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IF(ISNUMBER(L92),L92,E92*P1_LOG+F92*P2_LOG+G92*P3_LOG)+IF(ISNUMBER(M92),M92,AA92*P1_LOG+AB92*P2_LOG+AC92*P3_LOG)*AQ92</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c r="AP92" s="58" t="n">
        <f aca="false">MIN(N(K92),Q92)</f>
        <v>0</v>
      </c>
      <c r="AQ92" s="61" t="n">
        <f aca="false">IF(Q92&gt;0,((Q92-AP92)*AT92+AP92*TASA_INC)/Q92,AT92)</f>
        <v>0.655565427753311</v>
      </c>
      <c r="AR92" s="58" t="n">
        <f aca="false">IF($A92&lt;FECHA_EXPORT,NETWORKDAYS($A92+1,FECHA_EXPORT,FESTIVOS),0)</f>
        <v>0</v>
      </c>
      <c r="AS92" s="61" t="n">
        <f aca="false">IF(AR92&gt;=5,1,INDEX(CDF_INC,1,AR92+1))</f>
        <v>0.14</v>
      </c>
      <c r="AT92" s="61" t="n">
        <f aca="false">TASA_USADA+(TASA_INC-TASA_USADA)*Q_INC*(1-AS92)/(1-Q_INC*AS92)</f>
        <v>0.655565427753311</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E93+AA93*AQ93</f>
        <v>0</v>
      </c>
      <c r="AE93" s="59" t="n">
        <f aca="false">F93+AB93*AQ93</f>
        <v>0</v>
      </c>
      <c r="AF93" s="59" t="n">
        <f aca="false">G93+AC93*AQ93</f>
        <v>0</v>
      </c>
      <c r="AG93" s="59" t="n">
        <f aca="false">H93+I93+J93+(AA93+AB93+AC93)*(1-AQ93)</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IF(ISNUMBER(L93),L93,E93*P1_LOG+F93*P2_LOG+G93*P3_LOG)+IF(ISNUMBER(M93),M93,AA93*P1_LOG+AB93*P2_LOG+AC93*P3_LOG)*AQ93</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c r="AP93" s="58" t="n">
        <f aca="false">MIN(N(K93),Q93)</f>
        <v>0</v>
      </c>
      <c r="AQ93" s="61" t="n">
        <f aca="false">IF(Q93&gt;0,((Q93-AP93)*AT93+AP93*TASA_INC)/Q93,AT93)</f>
        <v>0.655565427753311</v>
      </c>
      <c r="AR93" s="58" t="n">
        <f aca="false">IF($A93&lt;FECHA_EXPORT,NETWORKDAYS($A93+1,FECHA_EXPORT,FESTIVOS),0)</f>
        <v>0</v>
      </c>
      <c r="AS93" s="61" t="n">
        <f aca="false">IF(AR93&gt;=5,1,INDEX(CDF_INC,1,AR93+1))</f>
        <v>0.14</v>
      </c>
      <c r="AT93" s="61" t="n">
        <f aca="false">TASA_USADA+(TASA_INC-TASA_USADA)*Q_INC*(1-AS93)/(1-Q_INC*AS93)</f>
        <v>0.655565427753311</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E94+AA94*AQ94</f>
        <v>0</v>
      </c>
      <c r="AE94" s="59" t="n">
        <f aca="false">F94+AB94*AQ94</f>
        <v>0</v>
      </c>
      <c r="AF94" s="59" t="n">
        <f aca="false">G94+AC94*AQ94</f>
        <v>0</v>
      </c>
      <c r="AG94" s="59" t="n">
        <f aca="false">H94+I94+J94+(AA94+AB94+AC94)*(1-AQ94)</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IF(ISNUMBER(L94),L94,E94*P1_LOG+F94*P2_LOG+G94*P3_LOG)+IF(ISNUMBER(M94),M94,AA94*P1_LOG+AB94*P2_LOG+AC94*P3_LOG)*AQ94</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c r="AP94" s="58" t="n">
        <f aca="false">MIN(N(K94),Q94)</f>
        <v>0</v>
      </c>
      <c r="AQ94" s="61" t="n">
        <f aca="false">IF(Q94&gt;0,((Q94-AP94)*AT94+AP94*TASA_INC)/Q94,AT94)</f>
        <v>0.655565427753311</v>
      </c>
      <c r="AR94" s="58" t="n">
        <f aca="false">IF($A94&lt;FECHA_EXPORT,NETWORKDAYS($A94+1,FECHA_EXPORT,FESTIVOS),0)</f>
        <v>0</v>
      </c>
      <c r="AS94" s="61" t="n">
        <f aca="false">IF(AR94&gt;=5,1,INDEX(CDF_INC,1,AR94+1))</f>
        <v>0.14</v>
      </c>
      <c r="AT94" s="61" t="n">
        <f aca="false">TASA_USADA+(TASA_INC-TASA_USADA)*Q_INC*(1-AS94)/(1-Q_INC*AS94)</f>
        <v>0.655565427753311</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E95+AA95*AQ95</f>
        <v>0</v>
      </c>
      <c r="AE95" s="59" t="n">
        <f aca="false">F95+AB95*AQ95</f>
        <v>0</v>
      </c>
      <c r="AF95" s="59" t="n">
        <f aca="false">G95+AC95*AQ95</f>
        <v>0</v>
      </c>
      <c r="AG95" s="59" t="n">
        <f aca="false">H95+I95+J95+(AA95+AB95+AC95)*(1-AQ95)</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IF(ISNUMBER(L95),L95,E95*P1_LOG+F95*P2_LOG+G95*P3_LOG)+IF(ISNUMBER(M95),M95,AA95*P1_LOG+AB95*P2_LOG+AC95*P3_LOG)*AQ95</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c r="AP95" s="58" t="n">
        <f aca="false">MIN(N(K95),Q95)</f>
        <v>0</v>
      </c>
      <c r="AQ95" s="61" t="n">
        <f aca="false">IF(Q95&gt;0,((Q95-AP95)*AT95+AP95*TASA_INC)/Q95,AT95)</f>
        <v>0.655565427753311</v>
      </c>
      <c r="AR95" s="58" t="n">
        <f aca="false">IF($A95&lt;FECHA_EXPORT,NETWORKDAYS($A95+1,FECHA_EXPORT,FESTIVOS),0)</f>
        <v>0</v>
      </c>
      <c r="AS95" s="61" t="n">
        <f aca="false">IF(AR95&gt;=5,1,INDEX(CDF_INC,1,AR95+1))</f>
        <v>0.14</v>
      </c>
      <c r="AT95" s="61" t="n">
        <f aca="false">TASA_USADA+(TASA_INC-TASA_USADA)*Q_INC*(1-AS95)/(1-Q_INC*AS95)</f>
        <v>0.655565427753311</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E96+AA96*AQ96</f>
        <v>0</v>
      </c>
      <c r="AE96" s="59" t="n">
        <f aca="false">F96+AB96*AQ96</f>
        <v>0</v>
      </c>
      <c r="AF96" s="59" t="n">
        <f aca="false">G96+AC96*AQ96</f>
        <v>0</v>
      </c>
      <c r="AG96" s="59" t="n">
        <f aca="false">H96+I96+J96+(AA96+AB96+AC96)*(1-AQ96)</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IF(ISNUMBER(L96),L96,E96*P1_LOG+F96*P2_LOG+G96*P3_LOG)+IF(ISNUMBER(M96),M96,AA96*P1_LOG+AB96*P2_LOG+AC96*P3_LOG)*AQ96</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c r="AP96" s="58" t="n">
        <f aca="false">MIN(N(K96),Q96)</f>
        <v>0</v>
      </c>
      <c r="AQ96" s="61" t="n">
        <f aca="false">IF(Q96&gt;0,((Q96-AP96)*AT96+AP96*TASA_INC)/Q96,AT96)</f>
        <v>0.655565427753311</v>
      </c>
      <c r="AR96" s="58" t="n">
        <f aca="false">IF($A96&lt;FECHA_EXPORT,NETWORKDAYS($A96+1,FECHA_EXPORT,FESTIVOS),0)</f>
        <v>0</v>
      </c>
      <c r="AS96" s="61" t="n">
        <f aca="false">IF(AR96&gt;=5,1,INDEX(CDF_INC,1,AR96+1))</f>
        <v>0.14</v>
      </c>
      <c r="AT96" s="61" t="n">
        <f aca="false">TASA_USADA+(TASA_INC-TASA_USADA)*Q_INC*(1-AS96)/(1-Q_INC*AS96)</f>
        <v>0.655565427753311</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E97+AA97*AQ97</f>
        <v>0</v>
      </c>
      <c r="AE97" s="59" t="n">
        <f aca="false">F97+AB97*AQ97</f>
        <v>0</v>
      </c>
      <c r="AF97" s="59" t="n">
        <f aca="false">G97+AC97*AQ97</f>
        <v>0</v>
      </c>
      <c r="AG97" s="59" t="n">
        <f aca="false">H97+I97+J97+(AA97+AB97+AC97)*(1-AQ97)</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IF(ISNUMBER(L97),L97,E97*P1_LOG+F97*P2_LOG+G97*P3_LOG)+IF(ISNUMBER(M97),M97,AA97*P1_LOG+AB97*P2_LOG+AC97*P3_LOG)*AQ97</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c r="AP97" s="58" t="n">
        <f aca="false">MIN(N(K97),Q97)</f>
        <v>0</v>
      </c>
      <c r="AQ97" s="61" t="n">
        <f aca="false">IF(Q97&gt;0,((Q97-AP97)*AT97+AP97*TASA_INC)/Q97,AT97)</f>
        <v>0.655565427753311</v>
      </c>
      <c r="AR97" s="58" t="n">
        <f aca="false">IF($A97&lt;FECHA_EXPORT,NETWORKDAYS($A97+1,FECHA_EXPORT,FESTIVOS),0)</f>
        <v>0</v>
      </c>
      <c r="AS97" s="61" t="n">
        <f aca="false">IF(AR97&gt;=5,1,INDEX(CDF_INC,1,AR97+1))</f>
        <v>0.14</v>
      </c>
      <c r="AT97" s="61" t="n">
        <f aca="false">TASA_USADA+(TASA_INC-TASA_USADA)*Q_INC*(1-AS97)/(1-Q_INC*AS97)</f>
        <v>0.655565427753311</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E98+AA98*AQ98</f>
        <v>0</v>
      </c>
      <c r="AE98" s="59" t="n">
        <f aca="false">F98+AB98*AQ98</f>
        <v>0</v>
      </c>
      <c r="AF98" s="59" t="n">
        <f aca="false">G98+AC98*AQ98</f>
        <v>0</v>
      </c>
      <c r="AG98" s="59" t="n">
        <f aca="false">H98+I98+J98+(AA98+AB98+AC98)*(1-AQ98)</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IF(ISNUMBER(L98),L98,E98*P1_LOG+F98*P2_LOG+G98*P3_LOG)+IF(ISNUMBER(M98),M98,AA98*P1_LOG+AB98*P2_LOG+AC98*P3_LOG)*AQ98</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c r="AP98" s="58" t="n">
        <f aca="false">MIN(N(K98),Q98)</f>
        <v>0</v>
      </c>
      <c r="AQ98" s="61" t="n">
        <f aca="false">IF(Q98&gt;0,((Q98-AP98)*AT98+AP98*TASA_INC)/Q98,AT98)</f>
        <v>0.655565427753311</v>
      </c>
      <c r="AR98" s="58" t="n">
        <f aca="false">IF($A98&lt;FECHA_EXPORT,NETWORKDAYS($A98+1,FECHA_EXPORT,FESTIVOS),0)</f>
        <v>0</v>
      </c>
      <c r="AS98" s="61" t="n">
        <f aca="false">IF(AR98&gt;=5,1,INDEX(CDF_INC,1,AR98+1))</f>
        <v>0.14</v>
      </c>
      <c r="AT98" s="61" t="n">
        <f aca="false">TASA_USADA+(TASA_INC-TASA_USADA)*Q_INC*(1-AS98)/(1-Q_INC*AS98)</f>
        <v>0.655565427753311</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E99+AA99*AQ99</f>
        <v>0</v>
      </c>
      <c r="AE99" s="59" t="n">
        <f aca="false">F99+AB99*AQ99</f>
        <v>0</v>
      </c>
      <c r="AF99" s="59" t="n">
        <f aca="false">G99+AC99*AQ99</f>
        <v>0</v>
      </c>
      <c r="AG99" s="59" t="n">
        <f aca="false">H99+I99+J99+(AA99+AB99+AC99)*(1-AQ99)</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IF(ISNUMBER(L99),L99,E99*P1_LOG+F99*P2_LOG+G99*P3_LOG)+IF(ISNUMBER(M99),M99,AA99*P1_LOG+AB99*P2_LOG+AC99*P3_LOG)*AQ99</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c r="AP99" s="58" t="n">
        <f aca="false">MIN(N(K99),Q99)</f>
        <v>0</v>
      </c>
      <c r="AQ99" s="61" t="n">
        <f aca="false">IF(Q99&gt;0,((Q99-AP99)*AT99+AP99*TASA_INC)/Q99,AT99)</f>
        <v>0.655565427753311</v>
      </c>
      <c r="AR99" s="58" t="n">
        <f aca="false">IF($A99&lt;FECHA_EXPORT,NETWORKDAYS($A99+1,FECHA_EXPORT,FESTIVOS),0)</f>
        <v>0</v>
      </c>
      <c r="AS99" s="61" t="n">
        <f aca="false">IF(AR99&gt;=5,1,INDEX(CDF_INC,1,AR99+1))</f>
        <v>0.14</v>
      </c>
      <c r="AT99" s="61" t="n">
        <f aca="false">TASA_USADA+(TASA_INC-TASA_USADA)*Q_INC*(1-AS99)/(1-Q_INC*AS99)</f>
        <v>0.655565427753311</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E100+AA100*AQ100</f>
        <v>0</v>
      </c>
      <c r="AE100" s="59" t="n">
        <f aca="false">F100+AB100*AQ100</f>
        <v>0</v>
      </c>
      <c r="AF100" s="59" t="n">
        <f aca="false">G100+AC100*AQ100</f>
        <v>0</v>
      </c>
      <c r="AG100" s="59" t="n">
        <f aca="false">H100+I100+J100+(AA100+AB100+AC100)*(1-AQ100)</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IF(ISNUMBER(L100),L100,E100*P1_LOG+F100*P2_LOG+G100*P3_LOG)+IF(ISNUMBER(M100),M100,AA100*P1_LOG+AB100*P2_LOG+AC100*P3_LOG)*AQ100</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c r="AP100" s="58" t="n">
        <f aca="false">MIN(N(K100),Q100)</f>
        <v>0</v>
      </c>
      <c r="AQ100" s="61" t="n">
        <f aca="false">IF(Q100&gt;0,((Q100-AP100)*AT100+AP100*TASA_INC)/Q100,AT100)</f>
        <v>0.655565427753311</v>
      </c>
      <c r="AR100" s="58" t="n">
        <f aca="false">IF($A100&lt;FECHA_EXPORT,NETWORKDAYS($A100+1,FECHA_EXPORT,FESTIVOS),0)</f>
        <v>0</v>
      </c>
      <c r="AS100" s="61" t="n">
        <f aca="false">IF(AR100&gt;=5,1,INDEX(CDF_INC,1,AR100+1))</f>
        <v>0.14</v>
      </c>
      <c r="AT100" s="61" t="n">
        <f aca="false">TASA_USADA+(TASA_INC-TASA_USADA)*Q_INC*(1-AS100)/(1-Q_INC*AS100)</f>
        <v>0.655565427753311</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E101+AA101*AQ101</f>
        <v>0</v>
      </c>
      <c r="AE101" s="59" t="n">
        <f aca="false">F101+AB101*AQ101</f>
        <v>0</v>
      </c>
      <c r="AF101" s="59" t="n">
        <f aca="false">G101+AC101*AQ101</f>
        <v>0</v>
      </c>
      <c r="AG101" s="59" t="n">
        <f aca="false">H101+I101+J101+(AA101+AB101+AC101)*(1-AQ101)</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IF(ISNUMBER(L101),L101,E101*P1_LOG+F101*P2_LOG+G101*P3_LOG)+IF(ISNUMBER(M101),M101,AA101*P1_LOG+AB101*P2_LOG+AC101*P3_LOG)*AQ101</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c r="AP101" s="58" t="n">
        <f aca="false">MIN(N(K101),Q101)</f>
        <v>0</v>
      </c>
      <c r="AQ101" s="61" t="n">
        <f aca="false">IF(Q101&gt;0,((Q101-AP101)*AT101+AP101*TASA_INC)/Q101,AT101)</f>
        <v>0.655565427753311</v>
      </c>
      <c r="AR101" s="58" t="n">
        <f aca="false">IF($A101&lt;FECHA_EXPORT,NETWORKDAYS($A101+1,FECHA_EXPORT,FESTIVOS),0)</f>
        <v>0</v>
      </c>
      <c r="AS101" s="61" t="n">
        <f aca="false">IF(AR101&gt;=5,1,INDEX(CDF_INC,1,AR101+1))</f>
        <v>0.14</v>
      </c>
      <c r="AT101" s="61" t="n">
        <f aca="false">TASA_USADA+(TASA_INC-TASA_USADA)*Q_INC*(1-AS101)/(1-Q_INC*AS101)</f>
        <v>0.655565427753311</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E102+AA102*AQ102</f>
        <v>0</v>
      </c>
      <c r="AE102" s="59" t="n">
        <f aca="false">F102+AB102*AQ102</f>
        <v>0</v>
      </c>
      <c r="AF102" s="59" t="n">
        <f aca="false">G102+AC102*AQ102</f>
        <v>0</v>
      </c>
      <c r="AG102" s="59" t="n">
        <f aca="false">H102+I102+J102+(AA102+AB102+AC102)*(1-AQ102)</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IF(ISNUMBER(L102),L102,E102*P1_LOG+F102*P2_LOG+G102*P3_LOG)+IF(ISNUMBER(M102),M102,AA102*P1_LOG+AB102*P2_LOG+AC102*P3_LOG)*AQ102</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c r="AP102" s="58" t="n">
        <f aca="false">MIN(N(K102),Q102)</f>
        <v>0</v>
      </c>
      <c r="AQ102" s="61" t="n">
        <f aca="false">IF(Q102&gt;0,((Q102-AP102)*AT102+AP102*TASA_INC)/Q102,AT102)</f>
        <v>0.655565427753311</v>
      </c>
      <c r="AR102" s="58" t="n">
        <f aca="false">IF($A102&lt;FECHA_EXPORT,NETWORKDAYS($A102+1,FECHA_EXPORT,FESTIVOS),0)</f>
        <v>0</v>
      </c>
      <c r="AS102" s="61" t="n">
        <f aca="false">IF(AR102&gt;=5,1,INDEX(CDF_INC,1,AR102+1))</f>
        <v>0.14</v>
      </c>
      <c r="AT102" s="61" t="n">
        <f aca="false">TASA_USADA+(TASA_INC-TASA_USADA)*Q_INC*(1-AS102)/(1-Q_INC*AS102)</f>
        <v>0.655565427753311</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E103+AA103*AQ103</f>
        <v>0</v>
      </c>
      <c r="AE103" s="59" t="n">
        <f aca="false">F103+AB103*AQ103</f>
        <v>0</v>
      </c>
      <c r="AF103" s="59" t="n">
        <f aca="false">G103+AC103*AQ103</f>
        <v>0</v>
      </c>
      <c r="AG103" s="59" t="n">
        <f aca="false">H103+I103+J103+(AA103+AB103+AC103)*(1-AQ103)</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IF(ISNUMBER(L103),L103,E103*P1_LOG+F103*P2_LOG+G103*P3_LOG)+IF(ISNUMBER(M103),M103,AA103*P1_LOG+AB103*P2_LOG+AC103*P3_LOG)*AQ103</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c r="AP103" s="58" t="n">
        <f aca="false">MIN(N(K103),Q103)</f>
        <v>0</v>
      </c>
      <c r="AQ103" s="61" t="n">
        <f aca="false">IF(Q103&gt;0,((Q103-AP103)*AT103+AP103*TASA_INC)/Q103,AT103)</f>
        <v>0.655565427753311</v>
      </c>
      <c r="AR103" s="58" t="n">
        <f aca="false">IF($A103&lt;FECHA_EXPORT,NETWORKDAYS($A103+1,FECHA_EXPORT,FESTIVOS),0)</f>
        <v>0</v>
      </c>
      <c r="AS103" s="61" t="n">
        <f aca="false">IF(AR103&gt;=5,1,INDEX(CDF_INC,1,AR103+1))</f>
        <v>0.14</v>
      </c>
      <c r="AT103" s="61" t="n">
        <f aca="false">TASA_USADA+(TASA_INC-TASA_USADA)*Q_INC*(1-AS103)/(1-Q_INC*AS103)</f>
        <v>0.655565427753311</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E104+AA104*AQ104</f>
        <v>0</v>
      </c>
      <c r="AE104" s="59" t="n">
        <f aca="false">F104+AB104*AQ104</f>
        <v>0</v>
      </c>
      <c r="AF104" s="59" t="n">
        <f aca="false">G104+AC104*AQ104</f>
        <v>0</v>
      </c>
      <c r="AG104" s="59" t="n">
        <f aca="false">H104+I104+J104+(AA104+AB104+AC104)*(1-AQ104)</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IF(ISNUMBER(L104),L104,E104*P1_LOG+F104*P2_LOG+G104*P3_LOG)+IF(ISNUMBER(M104),M104,AA104*P1_LOG+AB104*P2_LOG+AC104*P3_LOG)*AQ104</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c r="AP104" s="58" t="n">
        <f aca="false">MIN(N(K104),Q104)</f>
        <v>0</v>
      </c>
      <c r="AQ104" s="61" t="n">
        <f aca="false">IF(Q104&gt;0,((Q104-AP104)*AT104+AP104*TASA_INC)/Q104,AT104)</f>
        <v>0.655565427753311</v>
      </c>
      <c r="AR104" s="58" t="n">
        <f aca="false">IF($A104&lt;FECHA_EXPORT,NETWORKDAYS($A104+1,FECHA_EXPORT,FESTIVOS),0)</f>
        <v>0</v>
      </c>
      <c r="AS104" s="61" t="n">
        <f aca="false">IF(AR104&gt;=5,1,INDEX(CDF_INC,1,AR104+1))</f>
        <v>0.14</v>
      </c>
      <c r="AT104" s="61" t="n">
        <f aca="false">TASA_USADA+(TASA_INC-TASA_USADA)*Q_INC*(1-AS104)/(1-Q_INC*AS104)</f>
        <v>0.655565427753311</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E105+AA105*AQ105</f>
        <v>0</v>
      </c>
      <c r="AE105" s="59" t="n">
        <f aca="false">F105+AB105*AQ105</f>
        <v>0</v>
      </c>
      <c r="AF105" s="59" t="n">
        <f aca="false">G105+AC105*AQ105</f>
        <v>0</v>
      </c>
      <c r="AG105" s="59" t="n">
        <f aca="false">H105+I105+J105+(AA105+AB105+AC105)*(1-AQ105)</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IF(ISNUMBER(L105),L105,E105*P1_LOG+F105*P2_LOG+G105*P3_LOG)+IF(ISNUMBER(M105),M105,AA105*P1_LOG+AB105*P2_LOG+AC105*P3_LOG)*AQ105</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c r="AP105" s="58" t="n">
        <f aca="false">MIN(N(K105),Q105)</f>
        <v>0</v>
      </c>
      <c r="AQ105" s="61" t="n">
        <f aca="false">IF(Q105&gt;0,((Q105-AP105)*AT105+AP105*TASA_INC)/Q105,AT105)</f>
        <v>0.655565427753311</v>
      </c>
      <c r="AR105" s="58" t="n">
        <f aca="false">IF($A105&lt;FECHA_EXPORT,NETWORKDAYS($A105+1,FECHA_EXPORT,FESTIVOS),0)</f>
        <v>0</v>
      </c>
      <c r="AS105" s="61" t="n">
        <f aca="false">IF(AR105&gt;=5,1,INDEX(CDF_INC,1,AR105+1))</f>
        <v>0.14</v>
      </c>
      <c r="AT105" s="61" t="n">
        <f aca="false">TASA_USADA+(TASA_INC-TASA_USADA)*Q_INC*(1-AS105)/(1-Q_INC*AS105)</f>
        <v>0.655565427753311</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E106+AA106*AQ106</f>
        <v>0</v>
      </c>
      <c r="AE106" s="59" t="n">
        <f aca="false">F106+AB106*AQ106</f>
        <v>0</v>
      </c>
      <c r="AF106" s="59" t="n">
        <f aca="false">G106+AC106*AQ106</f>
        <v>0</v>
      </c>
      <c r="AG106" s="59" t="n">
        <f aca="false">H106+I106+J106+(AA106+AB106+AC106)*(1-AQ106)</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IF(ISNUMBER(L106),L106,E106*P1_LOG+F106*P2_LOG+G106*P3_LOG)+IF(ISNUMBER(M106),M106,AA106*P1_LOG+AB106*P2_LOG+AC106*P3_LOG)*AQ106</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c r="AP106" s="58" t="n">
        <f aca="false">MIN(N(K106),Q106)</f>
        <v>0</v>
      </c>
      <c r="AQ106" s="61" t="n">
        <f aca="false">IF(Q106&gt;0,((Q106-AP106)*AT106+AP106*TASA_INC)/Q106,AT106)</f>
        <v>0.655565427753311</v>
      </c>
      <c r="AR106" s="58" t="n">
        <f aca="false">IF($A106&lt;FECHA_EXPORT,NETWORKDAYS($A106+1,FECHA_EXPORT,FESTIVOS),0)</f>
        <v>0</v>
      </c>
      <c r="AS106" s="61" t="n">
        <f aca="false">IF(AR106&gt;=5,1,INDEX(CDF_INC,1,AR106+1))</f>
        <v>0.14</v>
      </c>
      <c r="AT106" s="61" t="n">
        <f aca="false">TASA_USADA+(TASA_INC-TASA_USADA)*Q_INC*(1-AS106)/(1-Q_INC*AS106)</f>
        <v>0.655565427753311</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E107+AA107*AQ107</f>
        <v>0</v>
      </c>
      <c r="AE107" s="59" t="n">
        <f aca="false">F107+AB107*AQ107</f>
        <v>0</v>
      </c>
      <c r="AF107" s="59" t="n">
        <f aca="false">G107+AC107*AQ107</f>
        <v>0</v>
      </c>
      <c r="AG107" s="59" t="n">
        <f aca="false">H107+I107+J107+(AA107+AB107+AC107)*(1-AQ107)</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IF(ISNUMBER(L107),L107,E107*P1_LOG+F107*P2_LOG+G107*P3_LOG)+IF(ISNUMBER(M107),M107,AA107*P1_LOG+AB107*P2_LOG+AC107*P3_LOG)*AQ107</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c r="AP107" s="58" t="n">
        <f aca="false">MIN(N(K107),Q107)</f>
        <v>0</v>
      </c>
      <c r="AQ107" s="61" t="n">
        <f aca="false">IF(Q107&gt;0,((Q107-AP107)*AT107+AP107*TASA_INC)/Q107,AT107)</f>
        <v>0.655565427753311</v>
      </c>
      <c r="AR107" s="58" t="n">
        <f aca="false">IF($A107&lt;FECHA_EXPORT,NETWORKDAYS($A107+1,FECHA_EXPORT,FESTIVOS),0)</f>
        <v>0</v>
      </c>
      <c r="AS107" s="61" t="n">
        <f aca="false">IF(AR107&gt;=5,1,INDEX(CDF_INC,1,AR107+1))</f>
        <v>0.14</v>
      </c>
      <c r="AT107" s="61" t="n">
        <f aca="false">TASA_USADA+(TASA_INC-TASA_USADA)*Q_INC*(1-AS107)/(1-Q_INC*AS107)</f>
        <v>0.655565427753311</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E108+AA108*AQ108</f>
        <v>0</v>
      </c>
      <c r="AE108" s="59" t="n">
        <f aca="false">F108+AB108*AQ108</f>
        <v>0</v>
      </c>
      <c r="AF108" s="59" t="n">
        <f aca="false">G108+AC108*AQ108</f>
        <v>0</v>
      </c>
      <c r="AG108" s="59" t="n">
        <f aca="false">H108+I108+J108+(AA108+AB108+AC108)*(1-AQ108)</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IF(ISNUMBER(L108),L108,E108*P1_LOG+F108*P2_LOG+G108*P3_LOG)+IF(ISNUMBER(M108),M108,AA108*P1_LOG+AB108*P2_LOG+AC108*P3_LOG)*AQ108</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c r="AP108" s="58" t="n">
        <f aca="false">MIN(N(K108),Q108)</f>
        <v>0</v>
      </c>
      <c r="AQ108" s="61" t="n">
        <f aca="false">IF(Q108&gt;0,((Q108-AP108)*AT108+AP108*TASA_INC)/Q108,AT108)</f>
        <v>0.655565427753311</v>
      </c>
      <c r="AR108" s="58" t="n">
        <f aca="false">IF($A108&lt;FECHA_EXPORT,NETWORKDAYS($A108+1,FECHA_EXPORT,FESTIVOS),0)</f>
        <v>0</v>
      </c>
      <c r="AS108" s="61" t="n">
        <f aca="false">IF(AR108&gt;=5,1,INDEX(CDF_INC,1,AR108+1))</f>
        <v>0.14</v>
      </c>
      <c r="AT108" s="61" t="n">
        <f aca="false">TASA_USADA+(TASA_INC-TASA_USADA)*Q_INC*(1-AS108)/(1-Q_INC*AS108)</f>
        <v>0.655565427753311</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E109+AA109*AQ109</f>
        <v>0</v>
      </c>
      <c r="AE109" s="59" t="n">
        <f aca="false">F109+AB109*AQ109</f>
        <v>0</v>
      </c>
      <c r="AF109" s="59" t="n">
        <f aca="false">G109+AC109*AQ109</f>
        <v>0</v>
      </c>
      <c r="AG109" s="59" t="n">
        <f aca="false">H109+I109+J109+(AA109+AB109+AC109)*(1-AQ109)</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IF(ISNUMBER(L109),L109,E109*P1_LOG+F109*P2_LOG+G109*P3_LOG)+IF(ISNUMBER(M109),M109,AA109*P1_LOG+AB109*P2_LOG+AC109*P3_LOG)*AQ109</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c r="AP109" s="58" t="n">
        <f aca="false">MIN(N(K109),Q109)</f>
        <v>0</v>
      </c>
      <c r="AQ109" s="61" t="n">
        <f aca="false">IF(Q109&gt;0,((Q109-AP109)*AT109+AP109*TASA_INC)/Q109,AT109)</f>
        <v>0.655565427753311</v>
      </c>
      <c r="AR109" s="58" t="n">
        <f aca="false">IF($A109&lt;FECHA_EXPORT,NETWORKDAYS($A109+1,FECHA_EXPORT,FESTIVOS),0)</f>
        <v>0</v>
      </c>
      <c r="AS109" s="61" t="n">
        <f aca="false">IF(AR109&gt;=5,1,INDEX(CDF_INC,1,AR109+1))</f>
        <v>0.14</v>
      </c>
      <c r="AT109" s="61" t="n">
        <f aca="false">TASA_USADA+(TASA_INC-TASA_USADA)*Q_INC*(1-AS109)/(1-Q_INC*AS109)</f>
        <v>0.655565427753311</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E110+AA110*AQ110</f>
        <v>0</v>
      </c>
      <c r="AE110" s="59" t="n">
        <f aca="false">F110+AB110*AQ110</f>
        <v>0</v>
      </c>
      <c r="AF110" s="59" t="n">
        <f aca="false">G110+AC110*AQ110</f>
        <v>0</v>
      </c>
      <c r="AG110" s="59" t="n">
        <f aca="false">H110+I110+J110+(AA110+AB110+AC110)*(1-AQ110)</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IF(ISNUMBER(L110),L110,E110*P1_LOG+F110*P2_LOG+G110*P3_LOG)+IF(ISNUMBER(M110),M110,AA110*P1_LOG+AB110*P2_LOG+AC110*P3_LOG)*AQ110</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c r="AP110" s="58" t="n">
        <f aca="false">MIN(N(K110),Q110)</f>
        <v>0</v>
      </c>
      <c r="AQ110" s="61" t="n">
        <f aca="false">IF(Q110&gt;0,((Q110-AP110)*AT110+AP110*TASA_INC)/Q110,AT110)</f>
        <v>0.655565427753311</v>
      </c>
      <c r="AR110" s="58" t="n">
        <f aca="false">IF($A110&lt;FECHA_EXPORT,NETWORKDAYS($A110+1,FECHA_EXPORT,FESTIVOS),0)</f>
        <v>0</v>
      </c>
      <c r="AS110" s="61" t="n">
        <f aca="false">IF(AR110&gt;=5,1,INDEX(CDF_INC,1,AR110+1))</f>
        <v>0.14</v>
      </c>
      <c r="AT110" s="61" t="n">
        <f aca="false">TASA_USADA+(TASA_INC-TASA_USADA)*Q_INC*(1-AS110)/(1-Q_INC*AS110)</f>
        <v>0.655565427753311</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E111+AA111*AQ111</f>
        <v>0</v>
      </c>
      <c r="AE111" s="59" t="n">
        <f aca="false">F111+AB111*AQ111</f>
        <v>0</v>
      </c>
      <c r="AF111" s="59" t="n">
        <f aca="false">G111+AC111*AQ111</f>
        <v>0</v>
      </c>
      <c r="AG111" s="59" t="n">
        <f aca="false">H111+I111+J111+(AA111+AB111+AC111)*(1-AQ111)</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IF(ISNUMBER(L111),L111,E111*P1_LOG+F111*P2_LOG+G111*P3_LOG)+IF(ISNUMBER(M111),M111,AA111*P1_LOG+AB111*P2_LOG+AC111*P3_LOG)*AQ111</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c r="AP111" s="58" t="n">
        <f aca="false">MIN(N(K111),Q111)</f>
        <v>0</v>
      </c>
      <c r="AQ111" s="61" t="n">
        <f aca="false">IF(Q111&gt;0,((Q111-AP111)*AT111+AP111*TASA_INC)/Q111,AT111)</f>
        <v>0.655565427753311</v>
      </c>
      <c r="AR111" s="58" t="n">
        <f aca="false">IF($A111&lt;FECHA_EXPORT,NETWORKDAYS($A111+1,FECHA_EXPORT,FESTIVOS),0)</f>
        <v>0</v>
      </c>
      <c r="AS111" s="61" t="n">
        <f aca="false">IF(AR111&gt;=5,1,INDEX(CDF_INC,1,AR111+1))</f>
        <v>0.14</v>
      </c>
      <c r="AT111" s="61" t="n">
        <f aca="false">TASA_USADA+(TASA_INC-TASA_USADA)*Q_INC*(1-AS111)/(1-Q_INC*AS111)</f>
        <v>0.655565427753311</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E112+AA112*AQ112</f>
        <v>0</v>
      </c>
      <c r="AE112" s="59" t="n">
        <f aca="false">F112+AB112*AQ112</f>
        <v>0</v>
      </c>
      <c r="AF112" s="59" t="n">
        <f aca="false">G112+AC112*AQ112</f>
        <v>0</v>
      </c>
      <c r="AG112" s="59" t="n">
        <f aca="false">H112+I112+J112+(AA112+AB112+AC112)*(1-AQ112)</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IF(ISNUMBER(L112),L112,E112*P1_LOG+F112*P2_LOG+G112*P3_LOG)+IF(ISNUMBER(M112),M112,AA112*P1_LOG+AB112*P2_LOG+AC112*P3_LOG)*AQ112</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c r="AP112" s="58" t="n">
        <f aca="false">MIN(N(K112),Q112)</f>
        <v>0</v>
      </c>
      <c r="AQ112" s="61" t="n">
        <f aca="false">IF(Q112&gt;0,((Q112-AP112)*AT112+AP112*TASA_INC)/Q112,AT112)</f>
        <v>0.655565427753311</v>
      </c>
      <c r="AR112" s="58" t="n">
        <f aca="false">IF($A112&lt;FECHA_EXPORT,NETWORKDAYS($A112+1,FECHA_EXPORT,FESTIVOS),0)</f>
        <v>0</v>
      </c>
      <c r="AS112" s="61" t="n">
        <f aca="false">IF(AR112&gt;=5,1,INDEX(CDF_INC,1,AR112+1))</f>
        <v>0.14</v>
      </c>
      <c r="AT112" s="61" t="n">
        <f aca="false">TASA_USADA+(TASA_INC-TASA_USADA)*Q_INC*(1-AS112)/(1-Q_INC*AS112)</f>
        <v>0.655565427753311</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E113+AA113*AQ113</f>
        <v>0</v>
      </c>
      <c r="AE113" s="59" t="n">
        <f aca="false">F113+AB113*AQ113</f>
        <v>0</v>
      </c>
      <c r="AF113" s="59" t="n">
        <f aca="false">G113+AC113*AQ113</f>
        <v>0</v>
      </c>
      <c r="AG113" s="59" t="n">
        <f aca="false">H113+I113+J113+(AA113+AB113+AC113)*(1-AQ113)</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IF(ISNUMBER(L113),L113,E113*P1_LOG+F113*P2_LOG+G113*P3_LOG)+IF(ISNUMBER(M113),M113,AA113*P1_LOG+AB113*P2_LOG+AC113*P3_LOG)*AQ113</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c r="AP113" s="58" t="n">
        <f aca="false">MIN(N(K113),Q113)</f>
        <v>0</v>
      </c>
      <c r="AQ113" s="61" t="n">
        <f aca="false">IF(Q113&gt;0,((Q113-AP113)*AT113+AP113*TASA_INC)/Q113,AT113)</f>
        <v>0.655565427753311</v>
      </c>
      <c r="AR113" s="58" t="n">
        <f aca="false">IF($A113&lt;FECHA_EXPORT,NETWORKDAYS($A113+1,FECHA_EXPORT,FESTIVOS),0)</f>
        <v>0</v>
      </c>
      <c r="AS113" s="61" t="n">
        <f aca="false">IF(AR113&gt;=5,1,INDEX(CDF_INC,1,AR113+1))</f>
        <v>0.14</v>
      </c>
      <c r="AT113" s="61" t="n">
        <f aca="false">TASA_USADA+(TASA_INC-TASA_USADA)*Q_INC*(1-AS113)/(1-Q_INC*AS113)</f>
        <v>0.655565427753311</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E114+AA114*AQ114</f>
        <v>0</v>
      </c>
      <c r="AE114" s="59" t="n">
        <f aca="false">F114+AB114*AQ114</f>
        <v>0</v>
      </c>
      <c r="AF114" s="59" t="n">
        <f aca="false">G114+AC114*AQ114</f>
        <v>0</v>
      </c>
      <c r="AG114" s="59" t="n">
        <f aca="false">H114+I114+J114+(AA114+AB114+AC114)*(1-AQ114)</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IF(ISNUMBER(L114),L114,E114*P1_LOG+F114*P2_LOG+G114*P3_LOG)+IF(ISNUMBER(M114),M114,AA114*P1_LOG+AB114*P2_LOG+AC114*P3_LOG)*AQ114</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c r="AP114" s="58" t="n">
        <f aca="false">MIN(N(K114),Q114)</f>
        <v>0</v>
      </c>
      <c r="AQ114" s="61" t="n">
        <f aca="false">IF(Q114&gt;0,((Q114-AP114)*AT114+AP114*TASA_INC)/Q114,AT114)</f>
        <v>0.655565427753311</v>
      </c>
      <c r="AR114" s="58" t="n">
        <f aca="false">IF($A114&lt;FECHA_EXPORT,NETWORKDAYS($A114+1,FECHA_EXPORT,FESTIVOS),0)</f>
        <v>0</v>
      </c>
      <c r="AS114" s="61" t="n">
        <f aca="false">IF(AR114&gt;=5,1,INDEX(CDF_INC,1,AR114+1))</f>
        <v>0.14</v>
      </c>
      <c r="AT114" s="61" t="n">
        <f aca="false">TASA_USADA+(TASA_INC-TASA_USADA)*Q_INC*(1-AS114)/(1-Q_INC*AS114)</f>
        <v>0.655565427753311</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E115+AA115*AQ115</f>
        <v>0</v>
      </c>
      <c r="AE115" s="59" t="n">
        <f aca="false">F115+AB115*AQ115</f>
        <v>0</v>
      </c>
      <c r="AF115" s="59" t="n">
        <f aca="false">G115+AC115*AQ115</f>
        <v>0</v>
      </c>
      <c r="AG115" s="59" t="n">
        <f aca="false">H115+I115+J115+(AA115+AB115+AC115)*(1-AQ115)</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IF(ISNUMBER(L115),L115,E115*P1_LOG+F115*P2_LOG+G115*P3_LOG)+IF(ISNUMBER(M115),M115,AA115*P1_LOG+AB115*P2_LOG+AC115*P3_LOG)*AQ115</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c r="AP115" s="58" t="n">
        <f aca="false">MIN(N(K115),Q115)</f>
        <v>0</v>
      </c>
      <c r="AQ115" s="61" t="n">
        <f aca="false">IF(Q115&gt;0,((Q115-AP115)*AT115+AP115*TASA_INC)/Q115,AT115)</f>
        <v>0.655565427753311</v>
      </c>
      <c r="AR115" s="58" t="n">
        <f aca="false">IF($A115&lt;FECHA_EXPORT,NETWORKDAYS($A115+1,FECHA_EXPORT,FESTIVOS),0)</f>
        <v>0</v>
      </c>
      <c r="AS115" s="61" t="n">
        <f aca="false">IF(AR115&gt;=5,1,INDEX(CDF_INC,1,AR115+1))</f>
        <v>0.14</v>
      </c>
      <c r="AT115" s="61" t="n">
        <f aca="false">TASA_USADA+(TASA_INC-TASA_USADA)*Q_INC*(1-AS115)/(1-Q_INC*AS115)</f>
        <v>0.655565427753311</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E116+AA116*AQ116</f>
        <v>0</v>
      </c>
      <c r="AE116" s="59" t="n">
        <f aca="false">F116+AB116*AQ116</f>
        <v>0</v>
      </c>
      <c r="AF116" s="59" t="n">
        <f aca="false">G116+AC116*AQ116</f>
        <v>0</v>
      </c>
      <c r="AG116" s="59" t="n">
        <f aca="false">H116+I116+J116+(AA116+AB116+AC116)*(1-AQ116)</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IF(ISNUMBER(L116),L116,E116*P1_LOG+F116*P2_LOG+G116*P3_LOG)+IF(ISNUMBER(M116),M116,AA116*P1_LOG+AB116*P2_LOG+AC116*P3_LOG)*AQ116</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c r="AP116" s="58" t="n">
        <f aca="false">MIN(N(K116),Q116)</f>
        <v>0</v>
      </c>
      <c r="AQ116" s="61" t="n">
        <f aca="false">IF(Q116&gt;0,((Q116-AP116)*AT116+AP116*TASA_INC)/Q116,AT116)</f>
        <v>0.655565427753311</v>
      </c>
      <c r="AR116" s="58" t="n">
        <f aca="false">IF($A116&lt;FECHA_EXPORT,NETWORKDAYS($A116+1,FECHA_EXPORT,FESTIVOS),0)</f>
        <v>0</v>
      </c>
      <c r="AS116" s="61" t="n">
        <f aca="false">IF(AR116&gt;=5,1,INDEX(CDF_INC,1,AR116+1))</f>
        <v>0.14</v>
      </c>
      <c r="AT116" s="61" t="n">
        <f aca="false">TASA_USADA+(TASA_INC-TASA_USADA)*Q_INC*(1-AS116)/(1-Q_INC*AS116)</f>
        <v>0.655565427753311</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E117+AA117*AQ117</f>
        <v>0</v>
      </c>
      <c r="AE117" s="59" t="n">
        <f aca="false">F117+AB117*AQ117</f>
        <v>0</v>
      </c>
      <c r="AF117" s="59" t="n">
        <f aca="false">G117+AC117*AQ117</f>
        <v>0</v>
      </c>
      <c r="AG117" s="59" t="n">
        <f aca="false">H117+I117+J117+(AA117+AB117+AC117)*(1-AQ117)</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IF(ISNUMBER(L117),L117,E117*P1_LOG+F117*P2_LOG+G117*P3_LOG)+IF(ISNUMBER(M117),M117,AA117*P1_LOG+AB117*P2_LOG+AC117*P3_LOG)*AQ117</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c r="AP117" s="58" t="n">
        <f aca="false">MIN(N(K117),Q117)</f>
        <v>0</v>
      </c>
      <c r="AQ117" s="61" t="n">
        <f aca="false">IF(Q117&gt;0,((Q117-AP117)*AT117+AP117*TASA_INC)/Q117,AT117)</f>
        <v>0.655565427753311</v>
      </c>
      <c r="AR117" s="58" t="n">
        <f aca="false">IF($A117&lt;FECHA_EXPORT,NETWORKDAYS($A117+1,FECHA_EXPORT,FESTIVOS),0)</f>
        <v>0</v>
      </c>
      <c r="AS117" s="61" t="n">
        <f aca="false">IF(AR117&gt;=5,1,INDEX(CDF_INC,1,AR117+1))</f>
        <v>0.14</v>
      </c>
      <c r="AT117" s="61" t="n">
        <f aca="false">TASA_USADA+(TASA_INC-TASA_USADA)*Q_INC*(1-AS117)/(1-Q_INC*AS117)</f>
        <v>0.655565427753311</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E118+AA118*AQ118</f>
        <v>0</v>
      </c>
      <c r="AE118" s="59" t="n">
        <f aca="false">F118+AB118*AQ118</f>
        <v>0</v>
      </c>
      <c r="AF118" s="59" t="n">
        <f aca="false">G118+AC118*AQ118</f>
        <v>0</v>
      </c>
      <c r="AG118" s="59" t="n">
        <f aca="false">H118+I118+J118+(AA118+AB118+AC118)*(1-AQ118)</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IF(ISNUMBER(L118),L118,E118*P1_LOG+F118*P2_LOG+G118*P3_LOG)+IF(ISNUMBER(M118),M118,AA118*P1_LOG+AB118*P2_LOG+AC118*P3_LOG)*AQ118</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c r="AP118" s="58" t="n">
        <f aca="false">MIN(N(K118),Q118)</f>
        <v>0</v>
      </c>
      <c r="AQ118" s="61" t="n">
        <f aca="false">IF(Q118&gt;0,((Q118-AP118)*AT118+AP118*TASA_INC)/Q118,AT118)</f>
        <v>0.655565427753311</v>
      </c>
      <c r="AR118" s="58" t="n">
        <f aca="false">IF($A118&lt;FECHA_EXPORT,NETWORKDAYS($A118+1,FECHA_EXPORT,FESTIVOS),0)</f>
        <v>0</v>
      </c>
      <c r="AS118" s="61" t="n">
        <f aca="false">IF(AR118&gt;=5,1,INDEX(CDF_INC,1,AR118+1))</f>
        <v>0.14</v>
      </c>
      <c r="AT118" s="61" t="n">
        <f aca="false">TASA_USADA+(TASA_INC-TASA_USADA)*Q_INC*(1-AS118)/(1-Q_INC*AS118)</f>
        <v>0.655565427753311</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E119+AA119*AQ119</f>
        <v>0</v>
      </c>
      <c r="AE119" s="59" t="n">
        <f aca="false">F119+AB119*AQ119</f>
        <v>0</v>
      </c>
      <c r="AF119" s="59" t="n">
        <f aca="false">G119+AC119*AQ119</f>
        <v>0</v>
      </c>
      <c r="AG119" s="59" t="n">
        <f aca="false">H119+I119+J119+(AA119+AB119+AC119)*(1-AQ119)</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IF(ISNUMBER(L119),L119,E119*P1_LOG+F119*P2_LOG+G119*P3_LOG)+IF(ISNUMBER(M119),M119,AA119*P1_LOG+AB119*P2_LOG+AC119*P3_LOG)*AQ119</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c r="AP119" s="58" t="n">
        <f aca="false">MIN(N(K119),Q119)</f>
        <v>0</v>
      </c>
      <c r="AQ119" s="61" t="n">
        <f aca="false">IF(Q119&gt;0,((Q119-AP119)*AT119+AP119*TASA_INC)/Q119,AT119)</f>
        <v>0.655565427753311</v>
      </c>
      <c r="AR119" s="58" t="n">
        <f aca="false">IF($A119&lt;FECHA_EXPORT,NETWORKDAYS($A119+1,FECHA_EXPORT,FESTIVOS),0)</f>
        <v>0</v>
      </c>
      <c r="AS119" s="61" t="n">
        <f aca="false">IF(AR119&gt;=5,1,INDEX(CDF_INC,1,AR119+1))</f>
        <v>0.14</v>
      </c>
      <c r="AT119" s="61" t="n">
        <f aca="false">TASA_USADA+(TASA_INC-TASA_USADA)*Q_INC*(1-AS119)/(1-Q_INC*AS119)</f>
        <v>0.655565427753311</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E120+AA120*AQ120</f>
        <v>0</v>
      </c>
      <c r="AE120" s="59" t="n">
        <f aca="false">F120+AB120*AQ120</f>
        <v>0</v>
      </c>
      <c r="AF120" s="59" t="n">
        <f aca="false">G120+AC120*AQ120</f>
        <v>0</v>
      </c>
      <c r="AG120" s="59" t="n">
        <f aca="false">H120+I120+J120+(AA120+AB120+AC120)*(1-AQ120)</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IF(ISNUMBER(L120),L120,E120*P1_LOG+F120*P2_LOG+G120*P3_LOG)+IF(ISNUMBER(M120),M120,AA120*P1_LOG+AB120*P2_LOG+AC120*P3_LOG)*AQ120</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c r="AP120" s="58" t="n">
        <f aca="false">MIN(N(K120),Q120)</f>
        <v>0</v>
      </c>
      <c r="AQ120" s="61" t="n">
        <f aca="false">IF(Q120&gt;0,((Q120-AP120)*AT120+AP120*TASA_INC)/Q120,AT120)</f>
        <v>0.655565427753311</v>
      </c>
      <c r="AR120" s="58" t="n">
        <f aca="false">IF($A120&lt;FECHA_EXPORT,NETWORKDAYS($A120+1,FECHA_EXPORT,FESTIVOS),0)</f>
        <v>0</v>
      </c>
      <c r="AS120" s="61" t="n">
        <f aca="false">IF(AR120&gt;=5,1,INDEX(CDF_INC,1,AR120+1))</f>
        <v>0.14</v>
      </c>
      <c r="AT120" s="61" t="n">
        <f aca="false">TASA_USADA+(TASA_INC-TASA_USADA)*Q_INC*(1-AS120)/(1-Q_INC*AS120)</f>
        <v>0.655565427753311</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E121+AA121*AQ121</f>
        <v>0</v>
      </c>
      <c r="AE121" s="59" t="n">
        <f aca="false">F121+AB121*AQ121</f>
        <v>0</v>
      </c>
      <c r="AF121" s="59" t="n">
        <f aca="false">G121+AC121*AQ121</f>
        <v>0</v>
      </c>
      <c r="AG121" s="59" t="n">
        <f aca="false">H121+I121+J121+(AA121+AB121+AC121)*(1-AQ121)</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IF(ISNUMBER(L121),L121,E121*P1_LOG+F121*P2_LOG+G121*P3_LOG)+IF(ISNUMBER(M121),M121,AA121*P1_LOG+AB121*P2_LOG+AC121*P3_LOG)*AQ121</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c r="AP121" s="58" t="n">
        <f aca="false">MIN(N(K121),Q121)</f>
        <v>0</v>
      </c>
      <c r="AQ121" s="61" t="n">
        <f aca="false">IF(Q121&gt;0,((Q121-AP121)*AT121+AP121*TASA_INC)/Q121,AT121)</f>
        <v>0.655565427753311</v>
      </c>
      <c r="AR121" s="58" t="n">
        <f aca="false">IF($A121&lt;FECHA_EXPORT,NETWORKDAYS($A121+1,FECHA_EXPORT,FESTIVOS),0)</f>
        <v>0</v>
      </c>
      <c r="AS121" s="61" t="n">
        <f aca="false">IF(AR121&gt;=5,1,INDEX(CDF_INC,1,AR121+1))</f>
        <v>0.14</v>
      </c>
      <c r="AT121" s="61" t="n">
        <f aca="false">TASA_USADA+(TASA_INC-TASA_USADA)*Q_INC*(1-AS121)/(1-Q_INC*AS121)</f>
        <v>0.655565427753311</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E122+AA122*AQ122</f>
        <v>0</v>
      </c>
      <c r="AE122" s="59" t="n">
        <f aca="false">F122+AB122*AQ122</f>
        <v>0</v>
      </c>
      <c r="AF122" s="59" t="n">
        <f aca="false">G122+AC122*AQ122</f>
        <v>0</v>
      </c>
      <c r="AG122" s="59" t="n">
        <f aca="false">H122+I122+J122+(AA122+AB122+AC122)*(1-AQ122)</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IF(ISNUMBER(L122),L122,E122*P1_LOG+F122*P2_LOG+G122*P3_LOG)+IF(ISNUMBER(M122),M122,AA122*P1_LOG+AB122*P2_LOG+AC122*P3_LOG)*AQ122</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c r="AP122" s="58" t="n">
        <f aca="false">MIN(N(K122),Q122)</f>
        <v>0</v>
      </c>
      <c r="AQ122" s="61" t="n">
        <f aca="false">IF(Q122&gt;0,((Q122-AP122)*AT122+AP122*TASA_INC)/Q122,AT122)</f>
        <v>0.655565427753311</v>
      </c>
      <c r="AR122" s="58" t="n">
        <f aca="false">IF($A122&lt;FECHA_EXPORT,NETWORKDAYS($A122+1,FECHA_EXPORT,FESTIVOS),0)</f>
        <v>0</v>
      </c>
      <c r="AS122" s="61" t="n">
        <f aca="false">IF(AR122&gt;=5,1,INDEX(CDF_INC,1,AR122+1))</f>
        <v>0.14</v>
      </c>
      <c r="AT122" s="61" t="n">
        <f aca="false">TASA_USADA+(TASA_INC-TASA_USADA)*Q_INC*(1-AS122)/(1-Q_INC*AS122)</f>
        <v>0.655565427753311</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E123+AA123*AQ123</f>
        <v>0</v>
      </c>
      <c r="AE123" s="59" t="n">
        <f aca="false">F123+AB123*AQ123</f>
        <v>0</v>
      </c>
      <c r="AF123" s="59" t="n">
        <f aca="false">G123+AC123*AQ123</f>
        <v>0</v>
      </c>
      <c r="AG123" s="59" t="n">
        <f aca="false">H123+I123+J123+(AA123+AB123+AC123)*(1-AQ123)</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IF(ISNUMBER(L123),L123,E123*P1_LOG+F123*P2_LOG+G123*P3_LOG)+IF(ISNUMBER(M123),M123,AA123*P1_LOG+AB123*P2_LOG+AC123*P3_LOG)*AQ123</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c r="AP123" s="58" t="n">
        <f aca="false">MIN(N(K123),Q123)</f>
        <v>0</v>
      </c>
      <c r="AQ123" s="61" t="n">
        <f aca="false">IF(Q123&gt;0,((Q123-AP123)*AT123+AP123*TASA_INC)/Q123,AT123)</f>
        <v>0.655565427753311</v>
      </c>
      <c r="AR123" s="58" t="n">
        <f aca="false">IF($A123&lt;FECHA_EXPORT,NETWORKDAYS($A123+1,FECHA_EXPORT,FESTIVOS),0)</f>
        <v>0</v>
      </c>
      <c r="AS123" s="61" t="n">
        <f aca="false">IF(AR123&gt;=5,1,INDEX(CDF_INC,1,AR123+1))</f>
        <v>0.14</v>
      </c>
      <c r="AT123" s="61" t="n">
        <f aca="false">TASA_USADA+(TASA_INC-TASA_USADA)*Q_INC*(1-AS123)/(1-Q_INC*AS123)</f>
        <v>0.655565427753311</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E124+AA124*AQ124</f>
        <v>0</v>
      </c>
      <c r="AE124" s="59" t="n">
        <f aca="false">F124+AB124*AQ124</f>
        <v>0</v>
      </c>
      <c r="AF124" s="59" t="n">
        <f aca="false">G124+AC124*AQ124</f>
        <v>0</v>
      </c>
      <c r="AG124" s="59" t="n">
        <f aca="false">H124+I124+J124+(AA124+AB124+AC124)*(1-AQ124)</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IF(ISNUMBER(L124),L124,E124*P1_LOG+F124*P2_LOG+G124*P3_LOG)+IF(ISNUMBER(M124),M124,AA124*P1_LOG+AB124*P2_LOG+AC124*P3_LOG)*AQ124</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c r="AP124" s="58" t="n">
        <f aca="false">MIN(N(K124),Q124)</f>
        <v>0</v>
      </c>
      <c r="AQ124" s="61" t="n">
        <f aca="false">IF(Q124&gt;0,((Q124-AP124)*AT124+AP124*TASA_INC)/Q124,AT124)</f>
        <v>0.655565427753311</v>
      </c>
      <c r="AR124" s="58" t="n">
        <f aca="false">IF($A124&lt;FECHA_EXPORT,NETWORKDAYS($A124+1,FECHA_EXPORT,FESTIVOS),0)</f>
        <v>0</v>
      </c>
      <c r="AS124" s="61" t="n">
        <f aca="false">IF(AR124&gt;=5,1,INDEX(CDF_INC,1,AR124+1))</f>
        <v>0.14</v>
      </c>
      <c r="AT124" s="61" t="n">
        <f aca="false">TASA_USADA+(TASA_INC-TASA_USADA)*Q_INC*(1-AS124)/(1-Q_INC*AS124)</f>
        <v>0.655565427753311</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E125+AA125*AQ125</f>
        <v>0</v>
      </c>
      <c r="AE125" s="59" t="n">
        <f aca="false">F125+AB125*AQ125</f>
        <v>0</v>
      </c>
      <c r="AF125" s="59" t="n">
        <f aca="false">G125+AC125*AQ125</f>
        <v>0</v>
      </c>
      <c r="AG125" s="59" t="n">
        <f aca="false">H125+I125+J125+(AA125+AB125+AC125)*(1-AQ125)</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IF(ISNUMBER(L125),L125,E125*P1_LOG+F125*P2_LOG+G125*P3_LOG)+IF(ISNUMBER(M125),M125,AA125*P1_LOG+AB125*P2_LOG+AC125*P3_LOG)*AQ125</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c r="AP125" s="58" t="n">
        <f aca="false">MIN(N(K125),Q125)</f>
        <v>0</v>
      </c>
      <c r="AQ125" s="61" t="n">
        <f aca="false">IF(Q125&gt;0,((Q125-AP125)*AT125+AP125*TASA_INC)/Q125,AT125)</f>
        <v>0.655565427753311</v>
      </c>
      <c r="AR125" s="58" t="n">
        <f aca="false">IF($A125&lt;FECHA_EXPORT,NETWORKDAYS($A125+1,FECHA_EXPORT,FESTIVOS),0)</f>
        <v>0</v>
      </c>
      <c r="AS125" s="61" t="n">
        <f aca="false">IF(AR125&gt;=5,1,INDEX(CDF_INC,1,AR125+1))</f>
        <v>0.14</v>
      </c>
      <c r="AT125" s="61" t="n">
        <f aca="false">TASA_USADA+(TASA_INC-TASA_USADA)*Q_INC*(1-AS125)/(1-Q_INC*AS125)</f>
        <v>0.655565427753311</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E126+AA126*AQ126</f>
        <v>0</v>
      </c>
      <c r="AE126" s="59" t="n">
        <f aca="false">F126+AB126*AQ126</f>
        <v>0</v>
      </c>
      <c r="AF126" s="59" t="n">
        <f aca="false">G126+AC126*AQ126</f>
        <v>0</v>
      </c>
      <c r="AG126" s="59" t="n">
        <f aca="false">H126+I126+J126+(AA126+AB126+AC126)*(1-AQ126)</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IF(ISNUMBER(L126),L126,E126*P1_LOG+F126*P2_LOG+G126*P3_LOG)+IF(ISNUMBER(M126),M126,AA126*P1_LOG+AB126*P2_LOG+AC126*P3_LOG)*AQ126</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c r="AP126" s="58" t="n">
        <f aca="false">MIN(N(K126),Q126)</f>
        <v>0</v>
      </c>
      <c r="AQ126" s="61" t="n">
        <f aca="false">IF(Q126&gt;0,((Q126-AP126)*AT126+AP126*TASA_INC)/Q126,AT126)</f>
        <v>0.655565427753311</v>
      </c>
      <c r="AR126" s="58" t="n">
        <f aca="false">IF($A126&lt;FECHA_EXPORT,NETWORKDAYS($A126+1,FECHA_EXPORT,FESTIVOS),0)</f>
        <v>0</v>
      </c>
      <c r="AS126" s="61" t="n">
        <f aca="false">IF(AR126&gt;=5,1,INDEX(CDF_INC,1,AR126+1))</f>
        <v>0.14</v>
      </c>
      <c r="AT126" s="61" t="n">
        <f aca="false">TASA_USADA+(TASA_INC-TASA_USADA)*Q_INC*(1-AS126)/(1-Q_INC*AS126)</f>
        <v>0.655565427753311</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E127+AA127*AQ127</f>
        <v>0</v>
      </c>
      <c r="AE127" s="59" t="n">
        <f aca="false">F127+AB127*AQ127</f>
        <v>0</v>
      </c>
      <c r="AF127" s="59" t="n">
        <f aca="false">G127+AC127*AQ127</f>
        <v>0</v>
      </c>
      <c r="AG127" s="59" t="n">
        <f aca="false">H127+I127+J127+(AA127+AB127+AC127)*(1-AQ127)</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IF(ISNUMBER(L127),L127,E127*P1_LOG+F127*P2_LOG+G127*P3_LOG)+IF(ISNUMBER(M127),M127,AA127*P1_LOG+AB127*P2_LOG+AC127*P3_LOG)*AQ127</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c r="AP127" s="58" t="n">
        <f aca="false">MIN(N(K127),Q127)</f>
        <v>0</v>
      </c>
      <c r="AQ127" s="61" t="n">
        <f aca="false">IF(Q127&gt;0,((Q127-AP127)*AT127+AP127*TASA_INC)/Q127,AT127)</f>
        <v>0.655565427753311</v>
      </c>
      <c r="AR127" s="58" t="n">
        <f aca="false">IF($A127&lt;FECHA_EXPORT,NETWORKDAYS($A127+1,FECHA_EXPORT,FESTIVOS),0)</f>
        <v>0</v>
      </c>
      <c r="AS127" s="61" t="n">
        <f aca="false">IF(AR127&gt;=5,1,INDEX(CDF_INC,1,AR127+1))</f>
        <v>0.14</v>
      </c>
      <c r="AT127" s="61" t="n">
        <f aca="false">TASA_USADA+(TASA_INC-TASA_USADA)*Q_INC*(1-AS127)/(1-Q_INC*AS127)</f>
        <v>0.655565427753311</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E128+AA128*AQ128</f>
        <v>0</v>
      </c>
      <c r="AE128" s="59" t="n">
        <f aca="false">F128+AB128*AQ128</f>
        <v>0</v>
      </c>
      <c r="AF128" s="59" t="n">
        <f aca="false">G128+AC128*AQ128</f>
        <v>0</v>
      </c>
      <c r="AG128" s="59" t="n">
        <f aca="false">H128+I128+J128+(AA128+AB128+AC128)*(1-AQ128)</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IF(ISNUMBER(L128),L128,E128*P1_LOG+F128*P2_LOG+G128*P3_LOG)+IF(ISNUMBER(M128),M128,AA128*P1_LOG+AB128*P2_LOG+AC128*P3_LOG)*AQ128</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c r="AP128" s="58" t="n">
        <f aca="false">MIN(N(K128),Q128)</f>
        <v>0</v>
      </c>
      <c r="AQ128" s="61" t="n">
        <f aca="false">IF(Q128&gt;0,((Q128-AP128)*AT128+AP128*TASA_INC)/Q128,AT128)</f>
        <v>0.655565427753311</v>
      </c>
      <c r="AR128" s="58" t="n">
        <f aca="false">IF($A128&lt;FECHA_EXPORT,NETWORKDAYS($A128+1,FECHA_EXPORT,FESTIVOS),0)</f>
        <v>0</v>
      </c>
      <c r="AS128" s="61" t="n">
        <f aca="false">IF(AR128&gt;=5,1,INDEX(CDF_INC,1,AR128+1))</f>
        <v>0.14</v>
      </c>
      <c r="AT128" s="61" t="n">
        <f aca="false">TASA_USADA+(TASA_INC-TASA_USADA)*Q_INC*(1-AS128)/(1-Q_INC*AS128)</f>
        <v>0.655565427753311</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E129+AA129*AQ129</f>
        <v>0</v>
      </c>
      <c r="AE129" s="59" t="n">
        <f aca="false">F129+AB129*AQ129</f>
        <v>0</v>
      </c>
      <c r="AF129" s="59" t="n">
        <f aca="false">G129+AC129*AQ129</f>
        <v>0</v>
      </c>
      <c r="AG129" s="59" t="n">
        <f aca="false">H129+I129+J129+(AA129+AB129+AC129)*(1-AQ129)</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IF(ISNUMBER(L129),L129,E129*P1_LOG+F129*P2_LOG+G129*P3_LOG)+IF(ISNUMBER(M129),M129,AA129*P1_LOG+AB129*P2_LOG+AC129*P3_LOG)*AQ129</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c r="AP129" s="58" t="n">
        <f aca="false">MIN(N(K129),Q129)</f>
        <v>0</v>
      </c>
      <c r="AQ129" s="61" t="n">
        <f aca="false">IF(Q129&gt;0,((Q129-AP129)*AT129+AP129*TASA_INC)/Q129,AT129)</f>
        <v>0.655565427753311</v>
      </c>
      <c r="AR129" s="58" t="n">
        <f aca="false">IF($A129&lt;FECHA_EXPORT,NETWORKDAYS($A129+1,FECHA_EXPORT,FESTIVOS),0)</f>
        <v>0</v>
      </c>
      <c r="AS129" s="61" t="n">
        <f aca="false">IF(AR129&gt;=5,1,INDEX(CDF_INC,1,AR129+1))</f>
        <v>0.14</v>
      </c>
      <c r="AT129" s="61" t="n">
        <f aca="false">TASA_USADA+(TASA_INC-TASA_USADA)*Q_INC*(1-AS129)/(1-Q_INC*AS129)</f>
        <v>0.655565427753311</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E130+AA130*AQ130</f>
        <v>0</v>
      </c>
      <c r="AE130" s="59" t="n">
        <f aca="false">F130+AB130*AQ130</f>
        <v>0</v>
      </c>
      <c r="AF130" s="59" t="n">
        <f aca="false">G130+AC130*AQ130</f>
        <v>0</v>
      </c>
      <c r="AG130" s="59" t="n">
        <f aca="false">H130+I130+J130+(AA130+AB130+AC130)*(1-AQ130)</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IF(ISNUMBER(L130),L130,E130*P1_LOG+F130*P2_LOG+G130*P3_LOG)+IF(ISNUMBER(M130),M130,AA130*P1_LOG+AB130*P2_LOG+AC130*P3_LOG)*AQ130</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c r="AP130" s="58" t="n">
        <f aca="false">MIN(N(K130),Q130)</f>
        <v>0</v>
      </c>
      <c r="AQ130" s="61" t="n">
        <f aca="false">IF(Q130&gt;0,((Q130-AP130)*AT130+AP130*TASA_INC)/Q130,AT130)</f>
        <v>0.655565427753311</v>
      </c>
      <c r="AR130" s="58" t="n">
        <f aca="false">IF($A130&lt;FECHA_EXPORT,NETWORKDAYS($A130+1,FECHA_EXPORT,FESTIVOS),0)</f>
        <v>0</v>
      </c>
      <c r="AS130" s="61" t="n">
        <f aca="false">IF(AR130&gt;=5,1,INDEX(CDF_INC,1,AR130+1))</f>
        <v>0.14</v>
      </c>
      <c r="AT130" s="61" t="n">
        <f aca="false">TASA_USADA+(TASA_INC-TASA_USADA)*Q_INC*(1-AS130)/(1-Q_INC*AS130)</f>
        <v>0.655565427753311</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E131+AA131*AQ131</f>
        <v>0</v>
      </c>
      <c r="AE131" s="59" t="n">
        <f aca="false">F131+AB131*AQ131</f>
        <v>0</v>
      </c>
      <c r="AF131" s="59" t="n">
        <f aca="false">G131+AC131*AQ131</f>
        <v>0</v>
      </c>
      <c r="AG131" s="59" t="n">
        <f aca="false">H131+I131+J131+(AA131+AB131+AC131)*(1-AQ131)</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IF(ISNUMBER(L131),L131,E131*P1_LOG+F131*P2_LOG+G131*P3_LOG)+IF(ISNUMBER(M131),M131,AA131*P1_LOG+AB131*P2_LOG+AC131*P3_LOG)*AQ131</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c r="AP131" s="58" t="n">
        <f aca="false">MIN(N(K131),Q131)</f>
        <v>0</v>
      </c>
      <c r="AQ131" s="61" t="n">
        <f aca="false">IF(Q131&gt;0,((Q131-AP131)*AT131+AP131*TASA_INC)/Q131,AT131)</f>
        <v>0.655565427753311</v>
      </c>
      <c r="AR131" s="58" t="n">
        <f aca="false">IF($A131&lt;FECHA_EXPORT,NETWORKDAYS($A131+1,FECHA_EXPORT,FESTIVOS),0)</f>
        <v>0</v>
      </c>
      <c r="AS131" s="61" t="n">
        <f aca="false">IF(AR131&gt;=5,1,INDEX(CDF_INC,1,AR131+1))</f>
        <v>0.14</v>
      </c>
      <c r="AT131" s="61" t="n">
        <f aca="false">TASA_USADA+(TASA_INC-TASA_USADA)*Q_INC*(1-AS131)/(1-Q_INC*AS131)</f>
        <v>0.655565427753311</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E132+AA132*AQ132</f>
        <v>0</v>
      </c>
      <c r="AE132" s="59" t="n">
        <f aca="false">F132+AB132*AQ132</f>
        <v>0</v>
      </c>
      <c r="AF132" s="59" t="n">
        <f aca="false">G132+AC132*AQ132</f>
        <v>0</v>
      </c>
      <c r="AG132" s="59" t="n">
        <f aca="false">H132+I132+J132+(AA132+AB132+AC132)*(1-AQ132)</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IF(ISNUMBER(L132),L132,E132*P1_LOG+F132*P2_LOG+G132*P3_LOG)+IF(ISNUMBER(M132),M132,AA132*P1_LOG+AB132*P2_LOG+AC132*P3_LOG)*AQ132</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c r="AP132" s="58" t="n">
        <f aca="false">MIN(N(K132),Q132)</f>
        <v>0</v>
      </c>
      <c r="AQ132" s="61" t="n">
        <f aca="false">IF(Q132&gt;0,((Q132-AP132)*AT132+AP132*TASA_INC)/Q132,AT132)</f>
        <v>0.655565427753311</v>
      </c>
      <c r="AR132" s="58" t="n">
        <f aca="false">IF($A132&lt;FECHA_EXPORT,NETWORKDAYS($A132+1,FECHA_EXPORT,FESTIVOS),0)</f>
        <v>0</v>
      </c>
      <c r="AS132" s="61" t="n">
        <f aca="false">IF(AR132&gt;=5,1,INDEX(CDF_INC,1,AR132+1))</f>
        <v>0.14</v>
      </c>
      <c r="AT132" s="61" t="n">
        <f aca="false">TASA_USADA+(TASA_INC-TASA_USADA)*Q_INC*(1-AS132)/(1-Q_INC*AS132)</f>
        <v>0.655565427753311</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E133+AA133*AQ133</f>
        <v>0</v>
      </c>
      <c r="AE133" s="59" t="n">
        <f aca="false">F133+AB133*AQ133</f>
        <v>0</v>
      </c>
      <c r="AF133" s="59" t="n">
        <f aca="false">G133+AC133*AQ133</f>
        <v>0</v>
      </c>
      <c r="AG133" s="59" t="n">
        <f aca="false">H133+I133+J133+(AA133+AB133+AC133)*(1-AQ133)</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IF(ISNUMBER(L133),L133,E133*P1_LOG+F133*P2_LOG+G133*P3_LOG)+IF(ISNUMBER(M133),M133,AA133*P1_LOG+AB133*P2_LOG+AC133*P3_LOG)*AQ133</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c r="AP133" s="58" t="n">
        <f aca="false">MIN(N(K133),Q133)</f>
        <v>0</v>
      </c>
      <c r="AQ133" s="61" t="n">
        <f aca="false">IF(Q133&gt;0,((Q133-AP133)*AT133+AP133*TASA_INC)/Q133,AT133)</f>
        <v>0.655565427753311</v>
      </c>
      <c r="AR133" s="58" t="n">
        <f aca="false">IF($A133&lt;FECHA_EXPORT,NETWORKDAYS($A133+1,FECHA_EXPORT,FESTIVOS),0)</f>
        <v>0</v>
      </c>
      <c r="AS133" s="61" t="n">
        <f aca="false">IF(AR133&gt;=5,1,INDEX(CDF_INC,1,AR133+1))</f>
        <v>0.14</v>
      </c>
      <c r="AT133" s="61" t="n">
        <f aca="false">TASA_USADA+(TASA_INC-TASA_USADA)*Q_INC*(1-AS133)/(1-Q_INC*AS133)</f>
        <v>0.655565427753311</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E134+AA134*AQ134</f>
        <v>0</v>
      </c>
      <c r="AE134" s="59" t="n">
        <f aca="false">F134+AB134*AQ134</f>
        <v>0</v>
      </c>
      <c r="AF134" s="59" t="n">
        <f aca="false">G134+AC134*AQ134</f>
        <v>0</v>
      </c>
      <c r="AG134" s="59" t="n">
        <f aca="false">H134+I134+J134+(AA134+AB134+AC134)*(1-AQ134)</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IF(ISNUMBER(L134),L134,E134*P1_LOG+F134*P2_LOG+G134*P3_LOG)+IF(ISNUMBER(M134),M134,AA134*P1_LOG+AB134*P2_LOG+AC134*P3_LOG)*AQ134</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c r="AP134" s="58" t="n">
        <f aca="false">MIN(N(K134),Q134)</f>
        <v>0</v>
      </c>
      <c r="AQ134" s="61" t="n">
        <f aca="false">IF(Q134&gt;0,((Q134-AP134)*AT134+AP134*TASA_INC)/Q134,AT134)</f>
        <v>0.655565427753311</v>
      </c>
      <c r="AR134" s="58" t="n">
        <f aca="false">IF($A134&lt;FECHA_EXPORT,NETWORKDAYS($A134+1,FECHA_EXPORT,FESTIVOS),0)</f>
        <v>0</v>
      </c>
      <c r="AS134" s="61" t="n">
        <f aca="false">IF(AR134&gt;=5,1,INDEX(CDF_INC,1,AR134+1))</f>
        <v>0.14</v>
      </c>
      <c r="AT134" s="61" t="n">
        <f aca="false">TASA_USADA+(TASA_INC-TASA_USADA)*Q_INC*(1-AS134)/(1-Q_INC*AS134)</f>
        <v>0.655565427753311</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E135+AA135*AQ135</f>
        <v>0</v>
      </c>
      <c r="AE135" s="59" t="n">
        <f aca="false">F135+AB135*AQ135</f>
        <v>0</v>
      </c>
      <c r="AF135" s="59" t="n">
        <f aca="false">G135+AC135*AQ135</f>
        <v>0</v>
      </c>
      <c r="AG135" s="59" t="n">
        <f aca="false">H135+I135+J135+(AA135+AB135+AC135)*(1-AQ135)</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IF(ISNUMBER(L135),L135,E135*P1_LOG+F135*P2_LOG+G135*P3_LOG)+IF(ISNUMBER(M135),M135,AA135*P1_LOG+AB135*P2_LOG+AC135*P3_LOG)*AQ135</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c r="AP135" s="58" t="n">
        <f aca="false">MIN(N(K135),Q135)</f>
        <v>0</v>
      </c>
      <c r="AQ135" s="61" t="n">
        <f aca="false">IF(Q135&gt;0,((Q135-AP135)*AT135+AP135*TASA_INC)/Q135,AT135)</f>
        <v>0.655565427753311</v>
      </c>
      <c r="AR135" s="58" t="n">
        <f aca="false">IF($A135&lt;FECHA_EXPORT,NETWORKDAYS($A135+1,FECHA_EXPORT,FESTIVOS),0)</f>
        <v>0</v>
      </c>
      <c r="AS135" s="61" t="n">
        <f aca="false">IF(AR135&gt;=5,1,INDEX(CDF_INC,1,AR135+1))</f>
        <v>0.14</v>
      </c>
      <c r="AT135" s="61" t="n">
        <f aca="false">TASA_USADA+(TASA_INC-TASA_USADA)*Q_INC*(1-AS135)/(1-Q_INC*AS135)</f>
        <v>0.655565427753311</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E136+AA136*AQ136</f>
        <v>0</v>
      </c>
      <c r="AE136" s="59" t="n">
        <f aca="false">F136+AB136*AQ136</f>
        <v>0</v>
      </c>
      <c r="AF136" s="59" t="n">
        <f aca="false">G136+AC136*AQ136</f>
        <v>0</v>
      </c>
      <c r="AG136" s="59" t="n">
        <f aca="false">H136+I136+J136+(AA136+AB136+AC136)*(1-AQ136)</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IF(ISNUMBER(L136),L136,E136*P1_LOG+F136*P2_LOG+G136*P3_LOG)+IF(ISNUMBER(M136),M136,AA136*P1_LOG+AB136*P2_LOG+AC136*P3_LOG)*AQ136</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c r="AP136" s="58" t="n">
        <f aca="false">MIN(N(K136),Q136)</f>
        <v>0</v>
      </c>
      <c r="AQ136" s="61" t="n">
        <f aca="false">IF(Q136&gt;0,((Q136-AP136)*AT136+AP136*TASA_INC)/Q136,AT136)</f>
        <v>0.655565427753311</v>
      </c>
      <c r="AR136" s="58" t="n">
        <f aca="false">IF($A136&lt;FECHA_EXPORT,NETWORKDAYS($A136+1,FECHA_EXPORT,FESTIVOS),0)</f>
        <v>0</v>
      </c>
      <c r="AS136" s="61" t="n">
        <f aca="false">IF(AR136&gt;=5,1,INDEX(CDF_INC,1,AR136+1))</f>
        <v>0.14</v>
      </c>
      <c r="AT136" s="61" t="n">
        <f aca="false">TASA_USADA+(TASA_INC-TASA_USADA)*Q_INC*(1-AS136)/(1-Q_INC*AS136)</f>
        <v>0.655565427753311</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E137+AA137*AQ137</f>
        <v>0</v>
      </c>
      <c r="AE137" s="59" t="n">
        <f aca="false">F137+AB137*AQ137</f>
        <v>0</v>
      </c>
      <c r="AF137" s="59" t="n">
        <f aca="false">G137+AC137*AQ137</f>
        <v>0</v>
      </c>
      <c r="AG137" s="59" t="n">
        <f aca="false">H137+I137+J137+(AA137+AB137+AC137)*(1-AQ137)</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IF(ISNUMBER(L137),L137,E137*P1_LOG+F137*P2_LOG+G137*P3_LOG)+IF(ISNUMBER(M137),M137,AA137*P1_LOG+AB137*P2_LOG+AC137*P3_LOG)*AQ137</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c r="AP137" s="58" t="n">
        <f aca="false">MIN(N(K137),Q137)</f>
        <v>0</v>
      </c>
      <c r="AQ137" s="61" t="n">
        <f aca="false">IF(Q137&gt;0,((Q137-AP137)*AT137+AP137*TASA_INC)/Q137,AT137)</f>
        <v>0.655565427753311</v>
      </c>
      <c r="AR137" s="58" t="n">
        <f aca="false">IF($A137&lt;FECHA_EXPORT,NETWORKDAYS($A137+1,FECHA_EXPORT,FESTIVOS),0)</f>
        <v>0</v>
      </c>
      <c r="AS137" s="61" t="n">
        <f aca="false">IF(AR137&gt;=5,1,INDEX(CDF_INC,1,AR137+1))</f>
        <v>0.14</v>
      </c>
      <c r="AT137" s="61" t="n">
        <f aca="false">TASA_USADA+(TASA_INC-TASA_USADA)*Q_INC*(1-AS137)/(1-Q_INC*AS137)</f>
        <v>0.655565427753311</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E138+AA138*AQ138</f>
        <v>0</v>
      </c>
      <c r="AE138" s="59" t="n">
        <f aca="false">F138+AB138*AQ138</f>
        <v>0</v>
      </c>
      <c r="AF138" s="59" t="n">
        <f aca="false">G138+AC138*AQ138</f>
        <v>0</v>
      </c>
      <c r="AG138" s="59" t="n">
        <f aca="false">H138+I138+J138+(AA138+AB138+AC138)*(1-AQ138)</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IF(ISNUMBER(L138),L138,E138*P1_LOG+F138*P2_LOG+G138*P3_LOG)+IF(ISNUMBER(M138),M138,AA138*P1_LOG+AB138*P2_LOG+AC138*P3_LOG)*AQ138</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c r="AP138" s="58" t="n">
        <f aca="false">MIN(N(K138),Q138)</f>
        <v>0</v>
      </c>
      <c r="AQ138" s="61" t="n">
        <f aca="false">IF(Q138&gt;0,((Q138-AP138)*AT138+AP138*TASA_INC)/Q138,AT138)</f>
        <v>0.655565427753311</v>
      </c>
      <c r="AR138" s="58" t="n">
        <f aca="false">IF($A138&lt;FECHA_EXPORT,NETWORKDAYS($A138+1,FECHA_EXPORT,FESTIVOS),0)</f>
        <v>0</v>
      </c>
      <c r="AS138" s="61" t="n">
        <f aca="false">IF(AR138&gt;=5,1,INDEX(CDF_INC,1,AR138+1))</f>
        <v>0.14</v>
      </c>
      <c r="AT138" s="61" t="n">
        <f aca="false">TASA_USADA+(TASA_INC-TASA_USADA)*Q_INC*(1-AS138)/(1-Q_INC*AS138)</f>
        <v>0.655565427753311</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E139+AA139*AQ139</f>
        <v>0</v>
      </c>
      <c r="AE139" s="59" t="n">
        <f aca="false">F139+AB139*AQ139</f>
        <v>0</v>
      </c>
      <c r="AF139" s="59" t="n">
        <f aca="false">G139+AC139*AQ139</f>
        <v>0</v>
      </c>
      <c r="AG139" s="59" t="n">
        <f aca="false">H139+I139+J139+(AA139+AB139+AC139)*(1-AQ139)</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IF(ISNUMBER(L139),L139,E139*P1_LOG+F139*P2_LOG+G139*P3_LOG)+IF(ISNUMBER(M139),M139,AA139*P1_LOG+AB139*P2_LOG+AC139*P3_LOG)*AQ139</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c r="AP139" s="58" t="n">
        <f aca="false">MIN(N(K139),Q139)</f>
        <v>0</v>
      </c>
      <c r="AQ139" s="61" t="n">
        <f aca="false">IF(Q139&gt;0,((Q139-AP139)*AT139+AP139*TASA_INC)/Q139,AT139)</f>
        <v>0.655565427753311</v>
      </c>
      <c r="AR139" s="58" t="n">
        <f aca="false">IF($A139&lt;FECHA_EXPORT,NETWORKDAYS($A139+1,FECHA_EXPORT,FESTIVOS),0)</f>
        <v>0</v>
      </c>
      <c r="AS139" s="61" t="n">
        <f aca="false">IF(AR139&gt;=5,1,INDEX(CDF_INC,1,AR139+1))</f>
        <v>0.14</v>
      </c>
      <c r="AT139" s="61" t="n">
        <f aca="false">TASA_USADA+(TASA_INC-TASA_USADA)*Q_INC*(1-AS139)/(1-Q_INC*AS139)</f>
        <v>0.655565427753311</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E140+AA140*AQ140</f>
        <v>0</v>
      </c>
      <c r="AE140" s="59" t="n">
        <f aca="false">F140+AB140*AQ140</f>
        <v>0</v>
      </c>
      <c r="AF140" s="59" t="n">
        <f aca="false">G140+AC140*AQ140</f>
        <v>0</v>
      </c>
      <c r="AG140" s="59" t="n">
        <f aca="false">H140+I140+J140+(AA140+AB140+AC140)*(1-AQ140)</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IF(ISNUMBER(L140),L140,E140*P1_LOG+F140*P2_LOG+G140*P3_LOG)+IF(ISNUMBER(M140),M140,AA140*P1_LOG+AB140*P2_LOG+AC140*P3_LOG)*AQ140</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c r="AP140" s="58" t="n">
        <f aca="false">MIN(N(K140),Q140)</f>
        <v>0</v>
      </c>
      <c r="AQ140" s="61" t="n">
        <f aca="false">IF(Q140&gt;0,((Q140-AP140)*AT140+AP140*TASA_INC)/Q140,AT140)</f>
        <v>0.655565427753311</v>
      </c>
      <c r="AR140" s="58" t="n">
        <f aca="false">IF($A140&lt;FECHA_EXPORT,NETWORKDAYS($A140+1,FECHA_EXPORT,FESTIVOS),0)</f>
        <v>0</v>
      </c>
      <c r="AS140" s="61" t="n">
        <f aca="false">IF(AR140&gt;=5,1,INDEX(CDF_INC,1,AR140+1))</f>
        <v>0.14</v>
      </c>
      <c r="AT140" s="61" t="n">
        <f aca="false">TASA_USADA+(TASA_INC-TASA_USADA)*Q_INC*(1-AS140)/(1-Q_INC*AS140)</f>
        <v>0.655565427753311</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E141+AA141*AQ141</f>
        <v>0</v>
      </c>
      <c r="AE141" s="59" t="n">
        <f aca="false">F141+AB141*AQ141</f>
        <v>0</v>
      </c>
      <c r="AF141" s="59" t="n">
        <f aca="false">G141+AC141*AQ141</f>
        <v>0</v>
      </c>
      <c r="AG141" s="59" t="n">
        <f aca="false">H141+I141+J141+(AA141+AB141+AC141)*(1-AQ141)</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IF(ISNUMBER(L141),L141,E141*P1_LOG+F141*P2_LOG+G141*P3_LOG)+IF(ISNUMBER(M141),M141,AA141*P1_LOG+AB141*P2_LOG+AC141*P3_LOG)*AQ141</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c r="AP141" s="58" t="n">
        <f aca="false">MIN(N(K141),Q141)</f>
        <v>0</v>
      </c>
      <c r="AQ141" s="61" t="n">
        <f aca="false">IF(Q141&gt;0,((Q141-AP141)*AT141+AP141*TASA_INC)/Q141,AT141)</f>
        <v>0.655565427753311</v>
      </c>
      <c r="AR141" s="58" t="n">
        <f aca="false">IF($A141&lt;FECHA_EXPORT,NETWORKDAYS($A141+1,FECHA_EXPORT,FESTIVOS),0)</f>
        <v>0</v>
      </c>
      <c r="AS141" s="61" t="n">
        <f aca="false">IF(AR141&gt;=5,1,INDEX(CDF_INC,1,AR141+1))</f>
        <v>0.14</v>
      </c>
      <c r="AT141" s="61" t="n">
        <f aca="false">TASA_USADA+(TASA_INC-TASA_USADA)*Q_INC*(1-AS141)/(1-Q_INC*AS141)</f>
        <v>0.655565427753311</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E142+AA142*AQ142</f>
        <v>0</v>
      </c>
      <c r="AE142" s="59" t="n">
        <f aca="false">F142+AB142*AQ142</f>
        <v>0</v>
      </c>
      <c r="AF142" s="59" t="n">
        <f aca="false">G142+AC142*AQ142</f>
        <v>0</v>
      </c>
      <c r="AG142" s="59" t="n">
        <f aca="false">H142+I142+J142+(AA142+AB142+AC142)*(1-AQ142)</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IF(ISNUMBER(L142),L142,E142*P1_LOG+F142*P2_LOG+G142*P3_LOG)+IF(ISNUMBER(M142),M142,AA142*P1_LOG+AB142*P2_LOG+AC142*P3_LOG)*AQ142</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c r="AP142" s="58" t="n">
        <f aca="false">MIN(N(K142),Q142)</f>
        <v>0</v>
      </c>
      <c r="AQ142" s="61" t="n">
        <f aca="false">IF(Q142&gt;0,((Q142-AP142)*AT142+AP142*TASA_INC)/Q142,AT142)</f>
        <v>0.655565427753311</v>
      </c>
      <c r="AR142" s="58" t="n">
        <f aca="false">IF($A142&lt;FECHA_EXPORT,NETWORKDAYS($A142+1,FECHA_EXPORT,FESTIVOS),0)</f>
        <v>0</v>
      </c>
      <c r="AS142" s="61" t="n">
        <f aca="false">IF(AR142&gt;=5,1,INDEX(CDF_INC,1,AR142+1))</f>
        <v>0.14</v>
      </c>
      <c r="AT142" s="61" t="n">
        <f aca="false">TASA_USADA+(TASA_INC-TASA_USADA)*Q_INC*(1-AS142)/(1-Q_INC*AS142)</f>
        <v>0.655565427753311</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E143+AA143*AQ143</f>
        <v>0</v>
      </c>
      <c r="AE143" s="59" t="n">
        <f aca="false">F143+AB143*AQ143</f>
        <v>0</v>
      </c>
      <c r="AF143" s="59" t="n">
        <f aca="false">G143+AC143*AQ143</f>
        <v>0</v>
      </c>
      <c r="AG143" s="59" t="n">
        <f aca="false">H143+I143+J143+(AA143+AB143+AC143)*(1-AQ143)</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IF(ISNUMBER(L143),L143,E143*P1_LOG+F143*P2_LOG+G143*P3_LOG)+IF(ISNUMBER(M143),M143,AA143*P1_LOG+AB143*P2_LOG+AC143*P3_LOG)*AQ143</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c r="AP143" s="58" t="n">
        <f aca="false">MIN(N(K143),Q143)</f>
        <v>0</v>
      </c>
      <c r="AQ143" s="61" t="n">
        <f aca="false">IF(Q143&gt;0,((Q143-AP143)*AT143+AP143*TASA_INC)/Q143,AT143)</f>
        <v>0.655565427753311</v>
      </c>
      <c r="AR143" s="58" t="n">
        <f aca="false">IF($A143&lt;FECHA_EXPORT,NETWORKDAYS($A143+1,FECHA_EXPORT,FESTIVOS),0)</f>
        <v>0</v>
      </c>
      <c r="AS143" s="61" t="n">
        <f aca="false">IF(AR143&gt;=5,1,INDEX(CDF_INC,1,AR143+1))</f>
        <v>0.14</v>
      </c>
      <c r="AT143" s="61" t="n">
        <f aca="false">TASA_USADA+(TASA_INC-TASA_USADA)*Q_INC*(1-AS143)/(1-Q_INC*AS143)</f>
        <v>0.655565427753311</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E144+AA144*AQ144</f>
        <v>0</v>
      </c>
      <c r="AE144" s="59" t="n">
        <f aca="false">F144+AB144*AQ144</f>
        <v>0</v>
      </c>
      <c r="AF144" s="59" t="n">
        <f aca="false">G144+AC144*AQ144</f>
        <v>0</v>
      </c>
      <c r="AG144" s="59" t="n">
        <f aca="false">H144+I144+J144+(AA144+AB144+AC144)*(1-AQ144)</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IF(ISNUMBER(L144),L144,E144*P1_LOG+F144*P2_LOG+G144*P3_LOG)+IF(ISNUMBER(M144),M144,AA144*P1_LOG+AB144*P2_LOG+AC144*P3_LOG)*AQ144</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c r="AP144" s="58" t="n">
        <f aca="false">MIN(N(K144),Q144)</f>
        <v>0</v>
      </c>
      <c r="AQ144" s="61" t="n">
        <f aca="false">IF(Q144&gt;0,((Q144-AP144)*AT144+AP144*TASA_INC)/Q144,AT144)</f>
        <v>0.655565427753311</v>
      </c>
      <c r="AR144" s="58" t="n">
        <f aca="false">IF($A144&lt;FECHA_EXPORT,NETWORKDAYS($A144+1,FECHA_EXPORT,FESTIVOS),0)</f>
        <v>0</v>
      </c>
      <c r="AS144" s="61" t="n">
        <f aca="false">IF(AR144&gt;=5,1,INDEX(CDF_INC,1,AR144+1))</f>
        <v>0.14</v>
      </c>
      <c r="AT144" s="61" t="n">
        <f aca="false">TASA_USADA+(TASA_INC-TASA_USADA)*Q_INC*(1-AS144)/(1-Q_INC*AS144)</f>
        <v>0.655565427753311</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E145+AA145*AQ145</f>
        <v>0</v>
      </c>
      <c r="AE145" s="59" t="n">
        <f aca="false">F145+AB145*AQ145</f>
        <v>0</v>
      </c>
      <c r="AF145" s="59" t="n">
        <f aca="false">G145+AC145*AQ145</f>
        <v>0</v>
      </c>
      <c r="AG145" s="59" t="n">
        <f aca="false">H145+I145+J145+(AA145+AB145+AC145)*(1-AQ145)</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IF(ISNUMBER(L145),L145,E145*P1_LOG+F145*P2_LOG+G145*P3_LOG)+IF(ISNUMBER(M145),M145,AA145*P1_LOG+AB145*P2_LOG+AC145*P3_LOG)*AQ145</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c r="AP145" s="58" t="n">
        <f aca="false">MIN(N(K145),Q145)</f>
        <v>0</v>
      </c>
      <c r="AQ145" s="61" t="n">
        <f aca="false">IF(Q145&gt;0,((Q145-AP145)*AT145+AP145*TASA_INC)/Q145,AT145)</f>
        <v>0.655565427753311</v>
      </c>
      <c r="AR145" s="58" t="n">
        <f aca="false">IF($A145&lt;FECHA_EXPORT,NETWORKDAYS($A145+1,FECHA_EXPORT,FESTIVOS),0)</f>
        <v>0</v>
      </c>
      <c r="AS145" s="61" t="n">
        <f aca="false">IF(AR145&gt;=5,1,INDEX(CDF_INC,1,AR145+1))</f>
        <v>0.14</v>
      </c>
      <c r="AT145" s="61" t="n">
        <f aca="false">TASA_USADA+(TASA_INC-TASA_USADA)*Q_INC*(1-AS145)/(1-Q_INC*AS145)</f>
        <v>0.655565427753311</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E146+AA146*AQ146</f>
        <v>0</v>
      </c>
      <c r="AE146" s="59" t="n">
        <f aca="false">F146+AB146*AQ146</f>
        <v>0</v>
      </c>
      <c r="AF146" s="59" t="n">
        <f aca="false">G146+AC146*AQ146</f>
        <v>0</v>
      </c>
      <c r="AG146" s="59" t="n">
        <f aca="false">H146+I146+J146+(AA146+AB146+AC146)*(1-AQ146)</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IF(ISNUMBER(L146),L146,E146*P1_LOG+F146*P2_LOG+G146*P3_LOG)+IF(ISNUMBER(M146),M146,AA146*P1_LOG+AB146*P2_LOG+AC146*P3_LOG)*AQ146</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c r="AP146" s="58" t="n">
        <f aca="false">MIN(N(K146),Q146)</f>
        <v>0</v>
      </c>
      <c r="AQ146" s="61" t="n">
        <f aca="false">IF(Q146&gt;0,((Q146-AP146)*AT146+AP146*TASA_INC)/Q146,AT146)</f>
        <v>0.655565427753311</v>
      </c>
      <c r="AR146" s="58" t="n">
        <f aca="false">IF($A146&lt;FECHA_EXPORT,NETWORKDAYS($A146+1,FECHA_EXPORT,FESTIVOS),0)</f>
        <v>0</v>
      </c>
      <c r="AS146" s="61" t="n">
        <f aca="false">IF(AR146&gt;=5,1,INDEX(CDF_INC,1,AR146+1))</f>
        <v>0.14</v>
      </c>
      <c r="AT146" s="61" t="n">
        <f aca="false">TASA_USADA+(TASA_INC-TASA_USADA)*Q_INC*(1-AS146)/(1-Q_INC*AS146)</f>
        <v>0.655565427753311</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E147+AA147*AQ147</f>
        <v>0</v>
      </c>
      <c r="AE147" s="59" t="n">
        <f aca="false">F147+AB147*AQ147</f>
        <v>0</v>
      </c>
      <c r="AF147" s="59" t="n">
        <f aca="false">G147+AC147*AQ147</f>
        <v>0</v>
      </c>
      <c r="AG147" s="59" t="n">
        <f aca="false">H147+I147+J147+(AA147+AB147+AC147)*(1-AQ147)</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IF(ISNUMBER(L147),L147,E147*P1_LOG+F147*P2_LOG+G147*P3_LOG)+IF(ISNUMBER(M147),M147,AA147*P1_LOG+AB147*P2_LOG+AC147*P3_LOG)*AQ147</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c r="AP147" s="58" t="n">
        <f aca="false">MIN(N(K147),Q147)</f>
        <v>0</v>
      </c>
      <c r="AQ147" s="61" t="n">
        <f aca="false">IF(Q147&gt;0,((Q147-AP147)*AT147+AP147*TASA_INC)/Q147,AT147)</f>
        <v>0.655565427753311</v>
      </c>
      <c r="AR147" s="58" t="n">
        <f aca="false">IF($A147&lt;FECHA_EXPORT,NETWORKDAYS($A147+1,FECHA_EXPORT,FESTIVOS),0)</f>
        <v>0</v>
      </c>
      <c r="AS147" s="61" t="n">
        <f aca="false">IF(AR147&gt;=5,1,INDEX(CDF_INC,1,AR147+1))</f>
        <v>0.14</v>
      </c>
      <c r="AT147" s="61" t="n">
        <f aca="false">TASA_USADA+(TASA_INC-TASA_USADA)*Q_INC*(1-AS147)/(1-Q_INC*AS147)</f>
        <v>0.655565427753311</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E148+AA148*AQ148</f>
        <v>0</v>
      </c>
      <c r="AE148" s="59" t="n">
        <f aca="false">F148+AB148*AQ148</f>
        <v>0</v>
      </c>
      <c r="AF148" s="59" t="n">
        <f aca="false">G148+AC148*AQ148</f>
        <v>0</v>
      </c>
      <c r="AG148" s="59" t="n">
        <f aca="false">H148+I148+J148+(AA148+AB148+AC148)*(1-AQ148)</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IF(ISNUMBER(L148),L148,E148*P1_LOG+F148*P2_LOG+G148*P3_LOG)+IF(ISNUMBER(M148),M148,AA148*P1_LOG+AB148*P2_LOG+AC148*P3_LOG)*AQ148</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c r="AP148" s="58" t="n">
        <f aca="false">MIN(N(K148),Q148)</f>
        <v>0</v>
      </c>
      <c r="AQ148" s="61" t="n">
        <f aca="false">IF(Q148&gt;0,((Q148-AP148)*AT148+AP148*TASA_INC)/Q148,AT148)</f>
        <v>0.655565427753311</v>
      </c>
      <c r="AR148" s="58" t="n">
        <f aca="false">IF($A148&lt;FECHA_EXPORT,NETWORKDAYS($A148+1,FECHA_EXPORT,FESTIVOS),0)</f>
        <v>0</v>
      </c>
      <c r="AS148" s="61" t="n">
        <f aca="false">IF(AR148&gt;=5,1,INDEX(CDF_INC,1,AR148+1))</f>
        <v>0.14</v>
      </c>
      <c r="AT148" s="61" t="n">
        <f aca="false">TASA_USADA+(TASA_INC-TASA_USADA)*Q_INC*(1-AS148)/(1-Q_INC*AS148)</f>
        <v>0.655565427753311</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E149+AA149*AQ149</f>
        <v>0</v>
      </c>
      <c r="AE149" s="59" t="n">
        <f aca="false">F149+AB149*AQ149</f>
        <v>0</v>
      </c>
      <c r="AF149" s="59" t="n">
        <f aca="false">G149+AC149*AQ149</f>
        <v>0</v>
      </c>
      <c r="AG149" s="59" t="n">
        <f aca="false">H149+I149+J149+(AA149+AB149+AC149)*(1-AQ149)</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IF(ISNUMBER(L149),L149,E149*P1_LOG+F149*P2_LOG+G149*P3_LOG)+IF(ISNUMBER(M149),M149,AA149*P1_LOG+AB149*P2_LOG+AC149*P3_LOG)*AQ149</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c r="AP149" s="58" t="n">
        <f aca="false">MIN(N(K149),Q149)</f>
        <v>0</v>
      </c>
      <c r="AQ149" s="61" t="n">
        <f aca="false">IF(Q149&gt;0,((Q149-AP149)*AT149+AP149*TASA_INC)/Q149,AT149)</f>
        <v>0.655565427753311</v>
      </c>
      <c r="AR149" s="58" t="n">
        <f aca="false">IF($A149&lt;FECHA_EXPORT,NETWORKDAYS($A149+1,FECHA_EXPORT,FESTIVOS),0)</f>
        <v>0</v>
      </c>
      <c r="AS149" s="61" t="n">
        <f aca="false">IF(AR149&gt;=5,1,INDEX(CDF_INC,1,AR149+1))</f>
        <v>0.14</v>
      </c>
      <c r="AT149" s="61" t="n">
        <f aca="false">TASA_USADA+(TASA_INC-TASA_USADA)*Q_INC*(1-AS149)/(1-Q_INC*AS149)</f>
        <v>0.655565427753311</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E150+AA150*AQ150</f>
        <v>0</v>
      </c>
      <c r="AE150" s="59" t="n">
        <f aca="false">F150+AB150*AQ150</f>
        <v>0</v>
      </c>
      <c r="AF150" s="59" t="n">
        <f aca="false">G150+AC150*AQ150</f>
        <v>0</v>
      </c>
      <c r="AG150" s="59" t="n">
        <f aca="false">H150+I150+J150+(AA150+AB150+AC150)*(1-AQ150)</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IF(ISNUMBER(L150),L150,E150*P1_LOG+F150*P2_LOG+G150*P3_LOG)+IF(ISNUMBER(M150),M150,AA150*P1_LOG+AB150*P2_LOG+AC150*P3_LOG)*AQ150</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c r="AP150" s="58" t="n">
        <f aca="false">MIN(N(K150),Q150)</f>
        <v>0</v>
      </c>
      <c r="AQ150" s="61" t="n">
        <f aca="false">IF(Q150&gt;0,((Q150-AP150)*AT150+AP150*TASA_INC)/Q150,AT150)</f>
        <v>0.655565427753311</v>
      </c>
      <c r="AR150" s="58" t="n">
        <f aca="false">IF($A150&lt;FECHA_EXPORT,NETWORKDAYS($A150+1,FECHA_EXPORT,FESTIVOS),0)</f>
        <v>0</v>
      </c>
      <c r="AS150" s="61" t="n">
        <f aca="false">IF(AR150&gt;=5,1,INDEX(CDF_INC,1,AR150+1))</f>
        <v>0.14</v>
      </c>
      <c r="AT150" s="61" t="n">
        <f aca="false">TASA_USADA+(TASA_INC-TASA_USADA)*Q_INC*(1-AS150)/(1-Q_INC*AS150)</f>
        <v>0.655565427753311</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E151+AA151*AQ151</f>
        <v>0</v>
      </c>
      <c r="AE151" s="59" t="n">
        <f aca="false">F151+AB151*AQ151</f>
        <v>0</v>
      </c>
      <c r="AF151" s="59" t="n">
        <f aca="false">G151+AC151*AQ151</f>
        <v>0</v>
      </c>
      <c r="AG151" s="59" t="n">
        <f aca="false">H151+I151+J151+(AA151+AB151+AC151)*(1-AQ151)</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IF(ISNUMBER(L151),L151,E151*P1_LOG+F151*P2_LOG+G151*P3_LOG)+IF(ISNUMBER(M151),M151,AA151*P1_LOG+AB151*P2_LOG+AC151*P3_LOG)*AQ151</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c r="AP151" s="58" t="n">
        <f aca="false">MIN(N(K151),Q151)</f>
        <v>0</v>
      </c>
      <c r="AQ151" s="61" t="n">
        <f aca="false">IF(Q151&gt;0,((Q151-AP151)*AT151+AP151*TASA_INC)/Q151,AT151)</f>
        <v>0.655565427753311</v>
      </c>
      <c r="AR151" s="58" t="n">
        <f aca="false">IF($A151&lt;FECHA_EXPORT,NETWORKDAYS($A151+1,FECHA_EXPORT,FESTIVOS),0)</f>
        <v>0</v>
      </c>
      <c r="AS151" s="61" t="n">
        <f aca="false">IF(AR151&gt;=5,1,INDEX(CDF_INC,1,AR151+1))</f>
        <v>0.14</v>
      </c>
      <c r="AT151" s="61" t="n">
        <f aca="false">TASA_USADA+(TASA_INC-TASA_USADA)*Q_INC*(1-AS151)/(1-Q_INC*AS151)</f>
        <v>0.655565427753311</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E152+AA152*AQ152</f>
        <v>0</v>
      </c>
      <c r="AE152" s="59" t="n">
        <f aca="false">F152+AB152*AQ152</f>
        <v>0</v>
      </c>
      <c r="AF152" s="59" t="n">
        <f aca="false">G152+AC152*AQ152</f>
        <v>0</v>
      </c>
      <c r="AG152" s="59" t="n">
        <f aca="false">H152+I152+J152+(AA152+AB152+AC152)*(1-AQ152)</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IF(ISNUMBER(L152),L152,E152*P1_LOG+F152*P2_LOG+G152*P3_LOG)+IF(ISNUMBER(M152),M152,AA152*P1_LOG+AB152*P2_LOG+AC152*P3_LOG)*AQ152</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c r="AP152" s="58" t="n">
        <f aca="false">MIN(N(K152),Q152)</f>
        <v>0</v>
      </c>
      <c r="AQ152" s="61" t="n">
        <f aca="false">IF(Q152&gt;0,((Q152-AP152)*AT152+AP152*TASA_INC)/Q152,AT152)</f>
        <v>0.655565427753311</v>
      </c>
      <c r="AR152" s="58" t="n">
        <f aca="false">IF($A152&lt;FECHA_EXPORT,NETWORKDAYS($A152+1,FECHA_EXPORT,FESTIVOS),0)</f>
        <v>0</v>
      </c>
      <c r="AS152" s="61" t="n">
        <f aca="false">IF(AR152&gt;=5,1,INDEX(CDF_INC,1,AR152+1))</f>
        <v>0.14</v>
      </c>
      <c r="AT152" s="61" t="n">
        <f aca="false">TASA_USADA+(TASA_INC-TASA_USADA)*Q_INC*(1-AS152)/(1-Q_INC*AS152)</f>
        <v>0.655565427753311</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E153+AA153*AQ153</f>
        <v>0</v>
      </c>
      <c r="AE153" s="59" t="n">
        <f aca="false">F153+AB153*AQ153</f>
        <v>0</v>
      </c>
      <c r="AF153" s="59" t="n">
        <f aca="false">G153+AC153*AQ153</f>
        <v>0</v>
      </c>
      <c r="AG153" s="59" t="n">
        <f aca="false">H153+I153+J153+(AA153+AB153+AC153)*(1-AQ153)</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IF(ISNUMBER(L153),L153,E153*P1_LOG+F153*P2_LOG+G153*P3_LOG)+IF(ISNUMBER(M153),M153,AA153*P1_LOG+AB153*P2_LOG+AC153*P3_LOG)*AQ153</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c r="AP153" s="58" t="n">
        <f aca="false">MIN(N(K153),Q153)</f>
        <v>0</v>
      </c>
      <c r="AQ153" s="61" t="n">
        <f aca="false">IF(Q153&gt;0,((Q153-AP153)*AT153+AP153*TASA_INC)/Q153,AT153)</f>
        <v>0.655565427753311</v>
      </c>
      <c r="AR153" s="58" t="n">
        <f aca="false">IF($A153&lt;FECHA_EXPORT,NETWORKDAYS($A153+1,FECHA_EXPORT,FESTIVOS),0)</f>
        <v>0</v>
      </c>
      <c r="AS153" s="61" t="n">
        <f aca="false">IF(AR153&gt;=5,1,INDEX(CDF_INC,1,AR153+1))</f>
        <v>0.14</v>
      </c>
      <c r="AT153" s="61" t="n">
        <f aca="false">TASA_USADA+(TASA_INC-TASA_USADA)*Q_INC*(1-AS153)/(1-Q_INC*AS153)</f>
        <v>0.655565427753311</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E154+AA154*AQ154</f>
        <v>0</v>
      </c>
      <c r="AE154" s="59" t="n">
        <f aca="false">F154+AB154*AQ154</f>
        <v>0</v>
      </c>
      <c r="AF154" s="59" t="n">
        <f aca="false">G154+AC154*AQ154</f>
        <v>0</v>
      </c>
      <c r="AG154" s="59" t="n">
        <f aca="false">H154+I154+J154+(AA154+AB154+AC154)*(1-AQ154)</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IF(ISNUMBER(L154),L154,E154*P1_LOG+F154*P2_LOG+G154*P3_LOG)+IF(ISNUMBER(M154),M154,AA154*P1_LOG+AB154*P2_LOG+AC154*P3_LOG)*AQ154</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c r="AP154" s="58" t="n">
        <f aca="false">MIN(N(K154),Q154)</f>
        <v>0</v>
      </c>
      <c r="AQ154" s="61" t="n">
        <f aca="false">IF(Q154&gt;0,((Q154-AP154)*AT154+AP154*TASA_INC)/Q154,AT154)</f>
        <v>0.655565427753311</v>
      </c>
      <c r="AR154" s="58" t="n">
        <f aca="false">IF($A154&lt;FECHA_EXPORT,NETWORKDAYS($A154+1,FECHA_EXPORT,FESTIVOS),0)</f>
        <v>0</v>
      </c>
      <c r="AS154" s="61" t="n">
        <f aca="false">IF(AR154&gt;=5,1,INDEX(CDF_INC,1,AR154+1))</f>
        <v>0.14</v>
      </c>
      <c r="AT154" s="61" t="n">
        <f aca="false">TASA_USADA+(TASA_INC-TASA_USADA)*Q_INC*(1-AS154)/(1-Q_INC*AS154)</f>
        <v>0.655565427753311</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E155+AA155*AQ155</f>
        <v>0</v>
      </c>
      <c r="AE155" s="59" t="n">
        <f aca="false">F155+AB155*AQ155</f>
        <v>0</v>
      </c>
      <c r="AF155" s="59" t="n">
        <f aca="false">G155+AC155*AQ155</f>
        <v>0</v>
      </c>
      <c r="AG155" s="59" t="n">
        <f aca="false">H155+I155+J155+(AA155+AB155+AC155)*(1-AQ155)</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IF(ISNUMBER(L155),L155,E155*P1_LOG+F155*P2_LOG+G155*P3_LOG)+IF(ISNUMBER(M155),M155,AA155*P1_LOG+AB155*P2_LOG+AC155*P3_LOG)*AQ155</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c r="AP155" s="58" t="n">
        <f aca="false">MIN(N(K155),Q155)</f>
        <v>0</v>
      </c>
      <c r="AQ155" s="61" t="n">
        <f aca="false">IF(Q155&gt;0,((Q155-AP155)*AT155+AP155*TASA_INC)/Q155,AT155)</f>
        <v>0.655565427753311</v>
      </c>
      <c r="AR155" s="58" t="n">
        <f aca="false">IF($A155&lt;FECHA_EXPORT,NETWORKDAYS($A155+1,FECHA_EXPORT,FESTIVOS),0)</f>
        <v>0</v>
      </c>
      <c r="AS155" s="61" t="n">
        <f aca="false">IF(AR155&gt;=5,1,INDEX(CDF_INC,1,AR155+1))</f>
        <v>0.14</v>
      </c>
      <c r="AT155" s="61" t="n">
        <f aca="false">TASA_USADA+(TASA_INC-TASA_USADA)*Q_INC*(1-AS155)/(1-Q_INC*AS155)</f>
        <v>0.655565427753311</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E156+AA156*AQ156</f>
        <v>0</v>
      </c>
      <c r="AE156" s="59" t="n">
        <f aca="false">F156+AB156*AQ156</f>
        <v>0</v>
      </c>
      <c r="AF156" s="59" t="n">
        <f aca="false">G156+AC156*AQ156</f>
        <v>0</v>
      </c>
      <c r="AG156" s="59" t="n">
        <f aca="false">H156+I156+J156+(AA156+AB156+AC156)*(1-AQ156)</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IF(ISNUMBER(L156),L156,E156*P1_LOG+F156*P2_LOG+G156*P3_LOG)+IF(ISNUMBER(M156),M156,AA156*P1_LOG+AB156*P2_LOG+AC156*P3_LOG)*AQ156</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c r="AP156" s="58" t="n">
        <f aca="false">MIN(N(K156),Q156)</f>
        <v>0</v>
      </c>
      <c r="AQ156" s="61" t="n">
        <f aca="false">IF(Q156&gt;0,((Q156-AP156)*AT156+AP156*TASA_INC)/Q156,AT156)</f>
        <v>0.655565427753311</v>
      </c>
      <c r="AR156" s="58" t="n">
        <f aca="false">IF($A156&lt;FECHA_EXPORT,NETWORKDAYS($A156+1,FECHA_EXPORT,FESTIVOS),0)</f>
        <v>0</v>
      </c>
      <c r="AS156" s="61" t="n">
        <f aca="false">IF(AR156&gt;=5,1,INDEX(CDF_INC,1,AR156+1))</f>
        <v>0.14</v>
      </c>
      <c r="AT156" s="61" t="n">
        <f aca="false">TASA_USADA+(TASA_INC-TASA_USADA)*Q_INC*(1-AS156)/(1-Q_INC*AS156)</f>
        <v>0.655565427753311</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E157+AA157*AQ157</f>
        <v>0</v>
      </c>
      <c r="AE157" s="59" t="n">
        <f aca="false">F157+AB157*AQ157</f>
        <v>0</v>
      </c>
      <c r="AF157" s="59" t="n">
        <f aca="false">G157+AC157*AQ157</f>
        <v>0</v>
      </c>
      <c r="AG157" s="59" t="n">
        <f aca="false">H157+I157+J157+(AA157+AB157+AC157)*(1-AQ157)</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IF(ISNUMBER(L157),L157,E157*P1_LOG+F157*P2_LOG+G157*P3_LOG)+IF(ISNUMBER(M157),M157,AA157*P1_LOG+AB157*P2_LOG+AC157*P3_LOG)*AQ157</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c r="AP157" s="58" t="n">
        <f aca="false">MIN(N(K157),Q157)</f>
        <v>0</v>
      </c>
      <c r="AQ157" s="61" t="n">
        <f aca="false">IF(Q157&gt;0,((Q157-AP157)*AT157+AP157*TASA_INC)/Q157,AT157)</f>
        <v>0.655565427753311</v>
      </c>
      <c r="AR157" s="58" t="n">
        <f aca="false">IF($A157&lt;FECHA_EXPORT,NETWORKDAYS($A157+1,FECHA_EXPORT,FESTIVOS),0)</f>
        <v>0</v>
      </c>
      <c r="AS157" s="61" t="n">
        <f aca="false">IF(AR157&gt;=5,1,INDEX(CDF_INC,1,AR157+1))</f>
        <v>0.14</v>
      </c>
      <c r="AT157" s="61" t="n">
        <f aca="false">TASA_USADA+(TASA_INC-TASA_USADA)*Q_INC*(1-AS157)/(1-Q_INC*AS157)</f>
        <v>0.655565427753311</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E158+AA158*AQ158</f>
        <v>0</v>
      </c>
      <c r="AE158" s="59" t="n">
        <f aca="false">F158+AB158*AQ158</f>
        <v>0</v>
      </c>
      <c r="AF158" s="59" t="n">
        <f aca="false">G158+AC158*AQ158</f>
        <v>0</v>
      </c>
      <c r="AG158" s="59" t="n">
        <f aca="false">H158+I158+J158+(AA158+AB158+AC158)*(1-AQ158)</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IF(ISNUMBER(L158),L158,E158*P1_LOG+F158*P2_LOG+G158*P3_LOG)+IF(ISNUMBER(M158),M158,AA158*P1_LOG+AB158*P2_LOG+AC158*P3_LOG)*AQ158</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c r="AP158" s="58" t="n">
        <f aca="false">MIN(N(K158),Q158)</f>
        <v>0</v>
      </c>
      <c r="AQ158" s="61" t="n">
        <f aca="false">IF(Q158&gt;0,((Q158-AP158)*AT158+AP158*TASA_INC)/Q158,AT158)</f>
        <v>0.655565427753311</v>
      </c>
      <c r="AR158" s="58" t="n">
        <f aca="false">IF($A158&lt;FECHA_EXPORT,NETWORKDAYS($A158+1,FECHA_EXPORT,FESTIVOS),0)</f>
        <v>0</v>
      </c>
      <c r="AS158" s="61" t="n">
        <f aca="false">IF(AR158&gt;=5,1,INDEX(CDF_INC,1,AR158+1))</f>
        <v>0.14</v>
      </c>
      <c r="AT158" s="61" t="n">
        <f aca="false">TASA_USADA+(TASA_INC-TASA_USADA)*Q_INC*(1-AS158)/(1-Q_INC*AS158)</f>
        <v>0.655565427753311</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E159+AA159*AQ159</f>
        <v>0</v>
      </c>
      <c r="AE159" s="59" t="n">
        <f aca="false">F159+AB159*AQ159</f>
        <v>0</v>
      </c>
      <c r="AF159" s="59" t="n">
        <f aca="false">G159+AC159*AQ159</f>
        <v>0</v>
      </c>
      <c r="AG159" s="59" t="n">
        <f aca="false">H159+I159+J159+(AA159+AB159+AC159)*(1-AQ159)</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IF(ISNUMBER(L159),L159,E159*P1_LOG+F159*P2_LOG+G159*P3_LOG)+IF(ISNUMBER(M159),M159,AA159*P1_LOG+AB159*P2_LOG+AC159*P3_LOG)*AQ159</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c r="AP159" s="58" t="n">
        <f aca="false">MIN(N(K159),Q159)</f>
        <v>0</v>
      </c>
      <c r="AQ159" s="61" t="n">
        <f aca="false">IF(Q159&gt;0,((Q159-AP159)*AT159+AP159*TASA_INC)/Q159,AT159)</f>
        <v>0.655565427753311</v>
      </c>
      <c r="AR159" s="58" t="n">
        <f aca="false">IF($A159&lt;FECHA_EXPORT,NETWORKDAYS($A159+1,FECHA_EXPORT,FESTIVOS),0)</f>
        <v>0</v>
      </c>
      <c r="AS159" s="61" t="n">
        <f aca="false">IF(AR159&gt;=5,1,INDEX(CDF_INC,1,AR159+1))</f>
        <v>0.14</v>
      </c>
      <c r="AT159" s="61" t="n">
        <f aca="false">TASA_USADA+(TASA_INC-TASA_USADA)*Q_INC*(1-AS159)/(1-Q_INC*AS159)</f>
        <v>0.655565427753311</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E160+AA160*AQ160</f>
        <v>0</v>
      </c>
      <c r="AE160" s="59" t="n">
        <f aca="false">F160+AB160*AQ160</f>
        <v>0</v>
      </c>
      <c r="AF160" s="59" t="n">
        <f aca="false">G160+AC160*AQ160</f>
        <v>0</v>
      </c>
      <c r="AG160" s="59" t="n">
        <f aca="false">H160+I160+J160+(AA160+AB160+AC160)*(1-AQ160)</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IF(ISNUMBER(L160),L160,E160*P1_LOG+F160*P2_LOG+G160*P3_LOG)+IF(ISNUMBER(M160),M160,AA160*P1_LOG+AB160*P2_LOG+AC160*P3_LOG)*AQ160</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c r="AP160" s="58" t="n">
        <f aca="false">MIN(N(K160),Q160)</f>
        <v>0</v>
      </c>
      <c r="AQ160" s="61" t="n">
        <f aca="false">IF(Q160&gt;0,((Q160-AP160)*AT160+AP160*TASA_INC)/Q160,AT160)</f>
        <v>0.655565427753311</v>
      </c>
      <c r="AR160" s="58" t="n">
        <f aca="false">IF($A160&lt;FECHA_EXPORT,NETWORKDAYS($A160+1,FECHA_EXPORT,FESTIVOS),0)</f>
        <v>0</v>
      </c>
      <c r="AS160" s="61" t="n">
        <f aca="false">IF(AR160&gt;=5,1,INDEX(CDF_INC,1,AR160+1))</f>
        <v>0.14</v>
      </c>
      <c r="AT160" s="61" t="n">
        <f aca="false">TASA_USADA+(TASA_INC-TASA_USADA)*Q_INC*(1-AS160)/(1-Q_INC*AS160)</f>
        <v>0.655565427753311</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E161+AA161*AQ161</f>
        <v>0</v>
      </c>
      <c r="AE161" s="59" t="n">
        <f aca="false">F161+AB161*AQ161</f>
        <v>0</v>
      </c>
      <c r="AF161" s="59" t="n">
        <f aca="false">G161+AC161*AQ161</f>
        <v>0</v>
      </c>
      <c r="AG161" s="59" t="n">
        <f aca="false">H161+I161+J161+(AA161+AB161+AC161)*(1-AQ161)</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IF(ISNUMBER(L161),L161,E161*P1_LOG+F161*P2_LOG+G161*P3_LOG)+IF(ISNUMBER(M161),M161,AA161*P1_LOG+AB161*P2_LOG+AC161*P3_LOG)*AQ161</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c r="AP161" s="58" t="n">
        <f aca="false">MIN(N(K161),Q161)</f>
        <v>0</v>
      </c>
      <c r="AQ161" s="61" t="n">
        <f aca="false">IF(Q161&gt;0,((Q161-AP161)*AT161+AP161*TASA_INC)/Q161,AT161)</f>
        <v>0.655565427753311</v>
      </c>
      <c r="AR161" s="58" t="n">
        <f aca="false">IF($A161&lt;FECHA_EXPORT,NETWORKDAYS($A161+1,FECHA_EXPORT,FESTIVOS),0)</f>
        <v>0</v>
      </c>
      <c r="AS161" s="61" t="n">
        <f aca="false">IF(AR161&gt;=5,1,INDEX(CDF_INC,1,AR161+1))</f>
        <v>0.14</v>
      </c>
      <c r="AT161" s="61" t="n">
        <f aca="false">TASA_USADA+(TASA_INC-TASA_USADA)*Q_INC*(1-AS161)/(1-Q_INC*AS161)</f>
        <v>0.655565427753311</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E162+AA162*AQ162</f>
        <v>0</v>
      </c>
      <c r="AE162" s="59" t="n">
        <f aca="false">F162+AB162*AQ162</f>
        <v>0</v>
      </c>
      <c r="AF162" s="59" t="n">
        <f aca="false">G162+AC162*AQ162</f>
        <v>0</v>
      </c>
      <c r="AG162" s="59" t="n">
        <f aca="false">H162+I162+J162+(AA162+AB162+AC162)*(1-AQ162)</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IF(ISNUMBER(L162),L162,E162*P1_LOG+F162*P2_LOG+G162*P3_LOG)+IF(ISNUMBER(M162),M162,AA162*P1_LOG+AB162*P2_LOG+AC162*P3_LOG)*AQ162</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c r="AP162" s="58" t="n">
        <f aca="false">MIN(N(K162),Q162)</f>
        <v>0</v>
      </c>
      <c r="AQ162" s="61" t="n">
        <f aca="false">IF(Q162&gt;0,((Q162-AP162)*AT162+AP162*TASA_INC)/Q162,AT162)</f>
        <v>0.655565427753311</v>
      </c>
      <c r="AR162" s="58" t="n">
        <f aca="false">IF($A162&lt;FECHA_EXPORT,NETWORKDAYS($A162+1,FECHA_EXPORT,FESTIVOS),0)</f>
        <v>0</v>
      </c>
      <c r="AS162" s="61" t="n">
        <f aca="false">IF(AR162&gt;=5,1,INDEX(CDF_INC,1,AR162+1))</f>
        <v>0.14</v>
      </c>
      <c r="AT162" s="61" t="n">
        <f aca="false">TASA_USADA+(TASA_INC-TASA_USADA)*Q_INC*(1-AS162)/(1-Q_INC*AS162)</f>
        <v>0.655565427753311</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E163+AA163*AQ163</f>
        <v>0</v>
      </c>
      <c r="AE163" s="59" t="n">
        <f aca="false">F163+AB163*AQ163</f>
        <v>0</v>
      </c>
      <c r="AF163" s="59" t="n">
        <f aca="false">G163+AC163*AQ163</f>
        <v>0</v>
      </c>
      <c r="AG163" s="59" t="n">
        <f aca="false">H163+I163+J163+(AA163+AB163+AC163)*(1-AQ163)</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IF(ISNUMBER(L163),L163,E163*P1_LOG+F163*P2_LOG+G163*P3_LOG)+IF(ISNUMBER(M163),M163,AA163*P1_LOG+AB163*P2_LOG+AC163*P3_LOG)*AQ163</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c r="AP163" s="58" t="n">
        <f aca="false">MIN(N(K163),Q163)</f>
        <v>0</v>
      </c>
      <c r="AQ163" s="61" t="n">
        <f aca="false">IF(Q163&gt;0,((Q163-AP163)*AT163+AP163*TASA_INC)/Q163,AT163)</f>
        <v>0.655565427753311</v>
      </c>
      <c r="AR163" s="58" t="n">
        <f aca="false">IF($A163&lt;FECHA_EXPORT,NETWORKDAYS($A163+1,FECHA_EXPORT,FESTIVOS),0)</f>
        <v>0</v>
      </c>
      <c r="AS163" s="61" t="n">
        <f aca="false">IF(AR163&gt;=5,1,INDEX(CDF_INC,1,AR163+1))</f>
        <v>0.14</v>
      </c>
      <c r="AT163" s="61" t="n">
        <f aca="false">TASA_USADA+(TASA_INC-TASA_USADA)*Q_INC*(1-AS163)/(1-Q_INC*AS163)</f>
        <v>0.655565427753311</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E164+AA164*AQ164</f>
        <v>0</v>
      </c>
      <c r="AE164" s="59" t="n">
        <f aca="false">F164+AB164*AQ164</f>
        <v>0</v>
      </c>
      <c r="AF164" s="59" t="n">
        <f aca="false">G164+AC164*AQ164</f>
        <v>0</v>
      </c>
      <c r="AG164" s="59" t="n">
        <f aca="false">H164+I164+J164+(AA164+AB164+AC164)*(1-AQ164)</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IF(ISNUMBER(L164),L164,E164*P1_LOG+F164*P2_LOG+G164*P3_LOG)+IF(ISNUMBER(M164),M164,AA164*P1_LOG+AB164*P2_LOG+AC164*P3_LOG)*AQ164</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c r="AP164" s="58" t="n">
        <f aca="false">MIN(N(K164),Q164)</f>
        <v>0</v>
      </c>
      <c r="AQ164" s="61" t="n">
        <f aca="false">IF(Q164&gt;0,((Q164-AP164)*AT164+AP164*TASA_INC)/Q164,AT164)</f>
        <v>0.655565427753311</v>
      </c>
      <c r="AR164" s="58" t="n">
        <f aca="false">IF($A164&lt;FECHA_EXPORT,NETWORKDAYS($A164+1,FECHA_EXPORT,FESTIVOS),0)</f>
        <v>0</v>
      </c>
      <c r="AS164" s="61" t="n">
        <f aca="false">IF(AR164&gt;=5,1,INDEX(CDF_INC,1,AR164+1))</f>
        <v>0.14</v>
      </c>
      <c r="AT164" s="61" t="n">
        <f aca="false">TASA_USADA+(TASA_INC-TASA_USADA)*Q_INC*(1-AS164)/(1-Q_INC*AS164)</f>
        <v>0.655565427753311</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E165+AA165*AQ165</f>
        <v>0</v>
      </c>
      <c r="AE165" s="59" t="n">
        <f aca="false">F165+AB165*AQ165</f>
        <v>0</v>
      </c>
      <c r="AF165" s="59" t="n">
        <f aca="false">G165+AC165*AQ165</f>
        <v>0</v>
      </c>
      <c r="AG165" s="59" t="n">
        <f aca="false">H165+I165+J165+(AA165+AB165+AC165)*(1-AQ165)</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IF(ISNUMBER(L165),L165,E165*P1_LOG+F165*P2_LOG+G165*P3_LOG)+IF(ISNUMBER(M165),M165,AA165*P1_LOG+AB165*P2_LOG+AC165*P3_LOG)*AQ165</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c r="AP165" s="58" t="n">
        <f aca="false">MIN(N(K165),Q165)</f>
        <v>0</v>
      </c>
      <c r="AQ165" s="61" t="n">
        <f aca="false">IF(Q165&gt;0,((Q165-AP165)*AT165+AP165*TASA_INC)/Q165,AT165)</f>
        <v>0.655565427753311</v>
      </c>
      <c r="AR165" s="58" t="n">
        <f aca="false">IF($A165&lt;FECHA_EXPORT,NETWORKDAYS($A165+1,FECHA_EXPORT,FESTIVOS),0)</f>
        <v>0</v>
      </c>
      <c r="AS165" s="61" t="n">
        <f aca="false">IF(AR165&gt;=5,1,INDEX(CDF_INC,1,AR165+1))</f>
        <v>0.14</v>
      </c>
      <c r="AT165" s="61" t="n">
        <f aca="false">TASA_USADA+(TASA_INC-TASA_USADA)*Q_INC*(1-AS165)/(1-Q_INC*AS165)</f>
        <v>0.655565427753311</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E166+AA166*AQ166</f>
        <v>0</v>
      </c>
      <c r="AE166" s="59" t="n">
        <f aca="false">F166+AB166*AQ166</f>
        <v>0</v>
      </c>
      <c r="AF166" s="59" t="n">
        <f aca="false">G166+AC166*AQ166</f>
        <v>0</v>
      </c>
      <c r="AG166" s="59" t="n">
        <f aca="false">H166+I166+J166+(AA166+AB166+AC166)*(1-AQ166)</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IF(ISNUMBER(L166),L166,E166*P1_LOG+F166*P2_LOG+G166*P3_LOG)+IF(ISNUMBER(M166),M166,AA166*P1_LOG+AB166*P2_LOG+AC166*P3_LOG)*AQ166</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c r="AP166" s="58" t="n">
        <f aca="false">MIN(N(K166),Q166)</f>
        <v>0</v>
      </c>
      <c r="AQ166" s="61" t="n">
        <f aca="false">IF(Q166&gt;0,((Q166-AP166)*AT166+AP166*TASA_INC)/Q166,AT166)</f>
        <v>0.655565427753311</v>
      </c>
      <c r="AR166" s="58" t="n">
        <f aca="false">IF($A166&lt;FECHA_EXPORT,NETWORKDAYS($A166+1,FECHA_EXPORT,FESTIVOS),0)</f>
        <v>0</v>
      </c>
      <c r="AS166" s="61" t="n">
        <f aca="false">IF(AR166&gt;=5,1,INDEX(CDF_INC,1,AR166+1))</f>
        <v>0.14</v>
      </c>
      <c r="AT166" s="61" t="n">
        <f aca="false">TASA_USADA+(TASA_INC-TASA_USADA)*Q_INC*(1-AS166)/(1-Q_INC*AS166)</f>
        <v>0.655565427753311</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E167+AA167*AQ167</f>
        <v>0</v>
      </c>
      <c r="AE167" s="59" t="n">
        <f aca="false">F167+AB167*AQ167</f>
        <v>0</v>
      </c>
      <c r="AF167" s="59" t="n">
        <f aca="false">G167+AC167*AQ167</f>
        <v>0</v>
      </c>
      <c r="AG167" s="59" t="n">
        <f aca="false">H167+I167+J167+(AA167+AB167+AC167)*(1-AQ167)</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IF(ISNUMBER(L167),L167,E167*P1_LOG+F167*P2_LOG+G167*P3_LOG)+IF(ISNUMBER(M167),M167,AA167*P1_LOG+AB167*P2_LOG+AC167*P3_LOG)*AQ167</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c r="AP167" s="58" t="n">
        <f aca="false">MIN(N(K167),Q167)</f>
        <v>0</v>
      </c>
      <c r="AQ167" s="61" t="n">
        <f aca="false">IF(Q167&gt;0,((Q167-AP167)*AT167+AP167*TASA_INC)/Q167,AT167)</f>
        <v>0.655565427753311</v>
      </c>
      <c r="AR167" s="58" t="n">
        <f aca="false">IF($A167&lt;FECHA_EXPORT,NETWORKDAYS($A167+1,FECHA_EXPORT,FESTIVOS),0)</f>
        <v>0</v>
      </c>
      <c r="AS167" s="61" t="n">
        <f aca="false">IF(AR167&gt;=5,1,INDEX(CDF_INC,1,AR167+1))</f>
        <v>0.14</v>
      </c>
      <c r="AT167" s="61" t="n">
        <f aca="false">TASA_USADA+(TASA_INC-TASA_USADA)*Q_INC*(1-AS167)/(1-Q_INC*AS167)</f>
        <v>0.655565427753311</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E168+AA168*AQ168</f>
        <v>0</v>
      </c>
      <c r="AE168" s="59" t="n">
        <f aca="false">F168+AB168*AQ168</f>
        <v>0</v>
      </c>
      <c r="AF168" s="59" t="n">
        <f aca="false">G168+AC168*AQ168</f>
        <v>0</v>
      </c>
      <c r="AG168" s="59" t="n">
        <f aca="false">H168+I168+J168+(AA168+AB168+AC168)*(1-AQ168)</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IF(ISNUMBER(L168),L168,E168*P1_LOG+F168*P2_LOG+G168*P3_LOG)+IF(ISNUMBER(M168),M168,AA168*P1_LOG+AB168*P2_LOG+AC168*P3_LOG)*AQ168</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c r="AP168" s="58" t="n">
        <f aca="false">MIN(N(K168),Q168)</f>
        <v>0</v>
      </c>
      <c r="AQ168" s="61" t="n">
        <f aca="false">IF(Q168&gt;0,((Q168-AP168)*AT168+AP168*TASA_INC)/Q168,AT168)</f>
        <v>0.655565427753311</v>
      </c>
      <c r="AR168" s="58" t="n">
        <f aca="false">IF($A168&lt;FECHA_EXPORT,NETWORKDAYS($A168+1,FECHA_EXPORT,FESTIVOS),0)</f>
        <v>0</v>
      </c>
      <c r="AS168" s="61" t="n">
        <f aca="false">IF(AR168&gt;=5,1,INDEX(CDF_INC,1,AR168+1))</f>
        <v>0.14</v>
      </c>
      <c r="AT168" s="61" t="n">
        <f aca="false">TASA_USADA+(TASA_INC-TASA_USADA)*Q_INC*(1-AS168)/(1-Q_INC*AS168)</f>
        <v>0.655565427753311</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E169+AA169*AQ169</f>
        <v>0</v>
      </c>
      <c r="AE169" s="59" t="n">
        <f aca="false">F169+AB169*AQ169</f>
        <v>0</v>
      </c>
      <c r="AF169" s="59" t="n">
        <f aca="false">G169+AC169*AQ169</f>
        <v>0</v>
      </c>
      <c r="AG169" s="59" t="n">
        <f aca="false">H169+I169+J169+(AA169+AB169+AC169)*(1-AQ169)</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IF(ISNUMBER(L169),L169,E169*P1_LOG+F169*P2_LOG+G169*P3_LOG)+IF(ISNUMBER(M169),M169,AA169*P1_LOG+AB169*P2_LOG+AC169*P3_LOG)*AQ169</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c r="AP169" s="58" t="n">
        <f aca="false">MIN(N(K169),Q169)</f>
        <v>0</v>
      </c>
      <c r="AQ169" s="61" t="n">
        <f aca="false">IF(Q169&gt;0,((Q169-AP169)*AT169+AP169*TASA_INC)/Q169,AT169)</f>
        <v>0.655565427753311</v>
      </c>
      <c r="AR169" s="58" t="n">
        <f aca="false">IF($A169&lt;FECHA_EXPORT,NETWORKDAYS($A169+1,FECHA_EXPORT,FESTIVOS),0)</f>
        <v>0</v>
      </c>
      <c r="AS169" s="61" t="n">
        <f aca="false">IF(AR169&gt;=5,1,INDEX(CDF_INC,1,AR169+1))</f>
        <v>0.14</v>
      </c>
      <c r="AT169" s="61" t="n">
        <f aca="false">TASA_USADA+(TASA_INC-TASA_USADA)*Q_INC*(1-AS169)/(1-Q_INC*AS169)</f>
        <v>0.655565427753311</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E170+AA170*AQ170</f>
        <v>0</v>
      </c>
      <c r="AE170" s="59" t="n">
        <f aca="false">F170+AB170*AQ170</f>
        <v>0</v>
      </c>
      <c r="AF170" s="59" t="n">
        <f aca="false">G170+AC170*AQ170</f>
        <v>0</v>
      </c>
      <c r="AG170" s="59" t="n">
        <f aca="false">H170+I170+J170+(AA170+AB170+AC170)*(1-AQ170)</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IF(ISNUMBER(L170),L170,E170*P1_LOG+F170*P2_LOG+G170*P3_LOG)+IF(ISNUMBER(M170),M170,AA170*P1_LOG+AB170*P2_LOG+AC170*P3_LOG)*AQ170</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c r="AP170" s="58" t="n">
        <f aca="false">MIN(N(K170),Q170)</f>
        <v>0</v>
      </c>
      <c r="AQ170" s="61" t="n">
        <f aca="false">IF(Q170&gt;0,((Q170-AP170)*AT170+AP170*TASA_INC)/Q170,AT170)</f>
        <v>0.655565427753311</v>
      </c>
      <c r="AR170" s="58" t="n">
        <f aca="false">IF($A170&lt;FECHA_EXPORT,NETWORKDAYS($A170+1,FECHA_EXPORT,FESTIVOS),0)</f>
        <v>0</v>
      </c>
      <c r="AS170" s="61" t="n">
        <f aca="false">IF(AR170&gt;=5,1,INDEX(CDF_INC,1,AR170+1))</f>
        <v>0.14</v>
      </c>
      <c r="AT170" s="61" t="n">
        <f aca="false">TASA_USADA+(TASA_INC-TASA_USADA)*Q_INC*(1-AS170)/(1-Q_INC*AS170)</f>
        <v>0.655565427753311</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E171+AA171*AQ171</f>
        <v>0</v>
      </c>
      <c r="AE171" s="59" t="n">
        <f aca="false">F171+AB171*AQ171</f>
        <v>0</v>
      </c>
      <c r="AF171" s="59" t="n">
        <f aca="false">G171+AC171*AQ171</f>
        <v>0</v>
      </c>
      <c r="AG171" s="59" t="n">
        <f aca="false">H171+I171+J171+(AA171+AB171+AC171)*(1-AQ171)</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IF(ISNUMBER(L171),L171,E171*P1_LOG+F171*P2_LOG+G171*P3_LOG)+IF(ISNUMBER(M171),M171,AA171*P1_LOG+AB171*P2_LOG+AC171*P3_LOG)*AQ171</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c r="AP171" s="58" t="n">
        <f aca="false">MIN(N(K171),Q171)</f>
        <v>0</v>
      </c>
      <c r="AQ171" s="61" t="n">
        <f aca="false">IF(Q171&gt;0,((Q171-AP171)*AT171+AP171*TASA_INC)/Q171,AT171)</f>
        <v>0.655565427753311</v>
      </c>
      <c r="AR171" s="58" t="n">
        <f aca="false">IF($A171&lt;FECHA_EXPORT,NETWORKDAYS($A171+1,FECHA_EXPORT,FESTIVOS),0)</f>
        <v>0</v>
      </c>
      <c r="AS171" s="61" t="n">
        <f aca="false">IF(AR171&gt;=5,1,INDEX(CDF_INC,1,AR171+1))</f>
        <v>0.14</v>
      </c>
      <c r="AT171" s="61" t="n">
        <f aca="false">TASA_USADA+(TASA_INC-TASA_USADA)*Q_INC*(1-AS171)/(1-Q_INC*AS171)</f>
        <v>0.655565427753311</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E172+AA172*AQ172</f>
        <v>0</v>
      </c>
      <c r="AE172" s="59" t="n">
        <f aca="false">F172+AB172*AQ172</f>
        <v>0</v>
      </c>
      <c r="AF172" s="59" t="n">
        <f aca="false">G172+AC172*AQ172</f>
        <v>0</v>
      </c>
      <c r="AG172" s="59" t="n">
        <f aca="false">H172+I172+J172+(AA172+AB172+AC172)*(1-AQ172)</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IF(ISNUMBER(L172),L172,E172*P1_LOG+F172*P2_LOG+G172*P3_LOG)+IF(ISNUMBER(M172),M172,AA172*P1_LOG+AB172*P2_LOG+AC172*P3_LOG)*AQ172</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c r="AP172" s="58" t="n">
        <f aca="false">MIN(N(K172),Q172)</f>
        <v>0</v>
      </c>
      <c r="AQ172" s="61" t="n">
        <f aca="false">IF(Q172&gt;0,((Q172-AP172)*AT172+AP172*TASA_INC)/Q172,AT172)</f>
        <v>0.655565427753311</v>
      </c>
      <c r="AR172" s="58" t="n">
        <f aca="false">IF($A172&lt;FECHA_EXPORT,NETWORKDAYS($A172+1,FECHA_EXPORT,FESTIVOS),0)</f>
        <v>0</v>
      </c>
      <c r="AS172" s="61" t="n">
        <f aca="false">IF(AR172&gt;=5,1,INDEX(CDF_INC,1,AR172+1))</f>
        <v>0.14</v>
      </c>
      <c r="AT172" s="61" t="n">
        <f aca="false">TASA_USADA+(TASA_INC-TASA_USADA)*Q_INC*(1-AS172)/(1-Q_INC*AS172)</f>
        <v>0.655565427753311</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E173+AA173*AQ173</f>
        <v>0</v>
      </c>
      <c r="AE173" s="59" t="n">
        <f aca="false">F173+AB173*AQ173</f>
        <v>0</v>
      </c>
      <c r="AF173" s="59" t="n">
        <f aca="false">G173+AC173*AQ173</f>
        <v>0</v>
      </c>
      <c r="AG173" s="59" t="n">
        <f aca="false">H173+I173+J173+(AA173+AB173+AC173)*(1-AQ173)</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IF(ISNUMBER(L173),L173,E173*P1_LOG+F173*P2_LOG+G173*P3_LOG)+IF(ISNUMBER(M173),M173,AA173*P1_LOG+AB173*P2_LOG+AC173*P3_LOG)*AQ173</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c r="AP173" s="58" t="n">
        <f aca="false">MIN(N(K173),Q173)</f>
        <v>0</v>
      </c>
      <c r="AQ173" s="61" t="n">
        <f aca="false">IF(Q173&gt;0,((Q173-AP173)*AT173+AP173*TASA_INC)/Q173,AT173)</f>
        <v>0.655565427753311</v>
      </c>
      <c r="AR173" s="58" t="n">
        <f aca="false">IF($A173&lt;FECHA_EXPORT,NETWORKDAYS($A173+1,FECHA_EXPORT,FESTIVOS),0)</f>
        <v>0</v>
      </c>
      <c r="AS173" s="61" t="n">
        <f aca="false">IF(AR173&gt;=5,1,INDEX(CDF_INC,1,AR173+1))</f>
        <v>0.14</v>
      </c>
      <c r="AT173" s="61" t="n">
        <f aca="false">TASA_USADA+(TASA_INC-TASA_USADA)*Q_INC*(1-AS173)/(1-Q_INC*AS173)</f>
        <v>0.655565427753311</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E174+AA174*AQ174</f>
        <v>0</v>
      </c>
      <c r="AE174" s="59" t="n">
        <f aca="false">F174+AB174*AQ174</f>
        <v>0</v>
      </c>
      <c r="AF174" s="59" t="n">
        <f aca="false">G174+AC174*AQ174</f>
        <v>0</v>
      </c>
      <c r="AG174" s="59" t="n">
        <f aca="false">H174+I174+J174+(AA174+AB174+AC174)*(1-AQ174)</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IF(ISNUMBER(L174),L174,E174*P1_LOG+F174*P2_LOG+G174*P3_LOG)+IF(ISNUMBER(M174),M174,AA174*P1_LOG+AB174*P2_LOG+AC174*P3_LOG)*AQ174</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c r="AP174" s="58" t="n">
        <f aca="false">MIN(N(K174),Q174)</f>
        <v>0</v>
      </c>
      <c r="AQ174" s="61" t="n">
        <f aca="false">IF(Q174&gt;0,((Q174-AP174)*AT174+AP174*TASA_INC)/Q174,AT174)</f>
        <v>0.655565427753311</v>
      </c>
      <c r="AR174" s="58" t="n">
        <f aca="false">IF($A174&lt;FECHA_EXPORT,NETWORKDAYS($A174+1,FECHA_EXPORT,FESTIVOS),0)</f>
        <v>0</v>
      </c>
      <c r="AS174" s="61" t="n">
        <f aca="false">IF(AR174&gt;=5,1,INDEX(CDF_INC,1,AR174+1))</f>
        <v>0.14</v>
      </c>
      <c r="AT174" s="61" t="n">
        <f aca="false">TASA_USADA+(TASA_INC-TASA_USADA)*Q_INC*(1-AS174)/(1-Q_INC*AS174)</f>
        <v>0.655565427753311</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E175+AA175*AQ175</f>
        <v>0</v>
      </c>
      <c r="AE175" s="59" t="n">
        <f aca="false">F175+AB175*AQ175</f>
        <v>0</v>
      </c>
      <c r="AF175" s="59" t="n">
        <f aca="false">G175+AC175*AQ175</f>
        <v>0</v>
      </c>
      <c r="AG175" s="59" t="n">
        <f aca="false">H175+I175+J175+(AA175+AB175+AC175)*(1-AQ175)</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IF(ISNUMBER(L175),L175,E175*P1_LOG+F175*P2_LOG+G175*P3_LOG)+IF(ISNUMBER(M175),M175,AA175*P1_LOG+AB175*P2_LOG+AC175*P3_LOG)*AQ175</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c r="AP175" s="58" t="n">
        <f aca="false">MIN(N(K175),Q175)</f>
        <v>0</v>
      </c>
      <c r="AQ175" s="61" t="n">
        <f aca="false">IF(Q175&gt;0,((Q175-AP175)*AT175+AP175*TASA_INC)/Q175,AT175)</f>
        <v>0.655565427753311</v>
      </c>
      <c r="AR175" s="58" t="n">
        <f aca="false">IF($A175&lt;FECHA_EXPORT,NETWORKDAYS($A175+1,FECHA_EXPORT,FESTIVOS),0)</f>
        <v>0</v>
      </c>
      <c r="AS175" s="61" t="n">
        <f aca="false">IF(AR175&gt;=5,1,INDEX(CDF_INC,1,AR175+1))</f>
        <v>0.14</v>
      </c>
      <c r="AT175" s="61" t="n">
        <f aca="false">TASA_USADA+(TASA_INC-TASA_USADA)*Q_INC*(1-AS175)/(1-Q_INC*AS175)</f>
        <v>0.655565427753311</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E176+AA176*AQ176</f>
        <v>0</v>
      </c>
      <c r="AE176" s="59" t="n">
        <f aca="false">F176+AB176*AQ176</f>
        <v>0</v>
      </c>
      <c r="AF176" s="59" t="n">
        <f aca="false">G176+AC176*AQ176</f>
        <v>0</v>
      </c>
      <c r="AG176" s="59" t="n">
        <f aca="false">H176+I176+J176+(AA176+AB176+AC176)*(1-AQ176)</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IF(ISNUMBER(L176),L176,E176*P1_LOG+F176*P2_LOG+G176*P3_LOG)+IF(ISNUMBER(M176),M176,AA176*P1_LOG+AB176*P2_LOG+AC176*P3_LOG)*AQ176</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c r="AP176" s="58" t="n">
        <f aca="false">MIN(N(K176),Q176)</f>
        <v>0</v>
      </c>
      <c r="AQ176" s="61" t="n">
        <f aca="false">IF(Q176&gt;0,((Q176-AP176)*AT176+AP176*TASA_INC)/Q176,AT176)</f>
        <v>0.655565427753311</v>
      </c>
      <c r="AR176" s="58" t="n">
        <f aca="false">IF($A176&lt;FECHA_EXPORT,NETWORKDAYS($A176+1,FECHA_EXPORT,FESTIVOS),0)</f>
        <v>0</v>
      </c>
      <c r="AS176" s="61" t="n">
        <f aca="false">IF(AR176&gt;=5,1,INDEX(CDF_INC,1,AR176+1))</f>
        <v>0.14</v>
      </c>
      <c r="AT176" s="61" t="n">
        <f aca="false">TASA_USADA+(TASA_INC-TASA_USADA)*Q_INC*(1-AS176)/(1-Q_INC*AS176)</f>
        <v>0.655565427753311</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E177+AA177*AQ177</f>
        <v>0</v>
      </c>
      <c r="AE177" s="59" t="n">
        <f aca="false">F177+AB177*AQ177</f>
        <v>0</v>
      </c>
      <c r="AF177" s="59" t="n">
        <f aca="false">G177+AC177*AQ177</f>
        <v>0</v>
      </c>
      <c r="AG177" s="59" t="n">
        <f aca="false">H177+I177+J177+(AA177+AB177+AC177)*(1-AQ177)</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IF(ISNUMBER(L177),L177,E177*P1_LOG+F177*P2_LOG+G177*P3_LOG)+IF(ISNUMBER(M177),M177,AA177*P1_LOG+AB177*P2_LOG+AC177*P3_LOG)*AQ177</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c r="AP177" s="58" t="n">
        <f aca="false">MIN(N(K177),Q177)</f>
        <v>0</v>
      </c>
      <c r="AQ177" s="61" t="n">
        <f aca="false">IF(Q177&gt;0,((Q177-AP177)*AT177+AP177*TASA_INC)/Q177,AT177)</f>
        <v>0.655565427753311</v>
      </c>
      <c r="AR177" s="58" t="n">
        <f aca="false">IF($A177&lt;FECHA_EXPORT,NETWORKDAYS($A177+1,FECHA_EXPORT,FESTIVOS),0)</f>
        <v>0</v>
      </c>
      <c r="AS177" s="61" t="n">
        <f aca="false">IF(AR177&gt;=5,1,INDEX(CDF_INC,1,AR177+1))</f>
        <v>0.14</v>
      </c>
      <c r="AT177" s="61" t="n">
        <f aca="false">TASA_USADA+(TASA_INC-TASA_USADA)*Q_INC*(1-AS177)/(1-Q_INC*AS177)</f>
        <v>0.655565427753311</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E178+AA178*AQ178</f>
        <v>0</v>
      </c>
      <c r="AE178" s="59" t="n">
        <f aca="false">F178+AB178*AQ178</f>
        <v>0</v>
      </c>
      <c r="AF178" s="59" t="n">
        <f aca="false">G178+AC178*AQ178</f>
        <v>0</v>
      </c>
      <c r="AG178" s="59" t="n">
        <f aca="false">H178+I178+J178+(AA178+AB178+AC178)*(1-AQ178)</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IF(ISNUMBER(L178),L178,E178*P1_LOG+F178*P2_LOG+G178*P3_LOG)+IF(ISNUMBER(M178),M178,AA178*P1_LOG+AB178*P2_LOG+AC178*P3_LOG)*AQ178</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c r="AP178" s="58" t="n">
        <f aca="false">MIN(N(K178),Q178)</f>
        <v>0</v>
      </c>
      <c r="AQ178" s="61" t="n">
        <f aca="false">IF(Q178&gt;0,((Q178-AP178)*AT178+AP178*TASA_INC)/Q178,AT178)</f>
        <v>0.655565427753311</v>
      </c>
      <c r="AR178" s="58" t="n">
        <f aca="false">IF($A178&lt;FECHA_EXPORT,NETWORKDAYS($A178+1,FECHA_EXPORT,FESTIVOS),0)</f>
        <v>0</v>
      </c>
      <c r="AS178" s="61" t="n">
        <f aca="false">IF(AR178&gt;=5,1,INDEX(CDF_INC,1,AR178+1))</f>
        <v>0.14</v>
      </c>
      <c r="AT178" s="61" t="n">
        <f aca="false">TASA_USADA+(TASA_INC-TASA_USADA)*Q_INC*(1-AS178)/(1-Q_INC*AS178)</f>
        <v>0.655565427753311</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E179+AA179*AQ179</f>
        <v>0</v>
      </c>
      <c r="AE179" s="59" t="n">
        <f aca="false">F179+AB179*AQ179</f>
        <v>0</v>
      </c>
      <c r="AF179" s="59" t="n">
        <f aca="false">G179+AC179*AQ179</f>
        <v>0</v>
      </c>
      <c r="AG179" s="59" t="n">
        <f aca="false">H179+I179+J179+(AA179+AB179+AC179)*(1-AQ179)</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IF(ISNUMBER(L179),L179,E179*P1_LOG+F179*P2_LOG+G179*P3_LOG)+IF(ISNUMBER(M179),M179,AA179*P1_LOG+AB179*P2_LOG+AC179*P3_LOG)*AQ179</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c r="AP179" s="58" t="n">
        <f aca="false">MIN(N(K179),Q179)</f>
        <v>0</v>
      </c>
      <c r="AQ179" s="61" t="n">
        <f aca="false">IF(Q179&gt;0,((Q179-AP179)*AT179+AP179*TASA_INC)/Q179,AT179)</f>
        <v>0.655565427753311</v>
      </c>
      <c r="AR179" s="58" t="n">
        <f aca="false">IF($A179&lt;FECHA_EXPORT,NETWORKDAYS($A179+1,FECHA_EXPORT,FESTIVOS),0)</f>
        <v>0</v>
      </c>
      <c r="AS179" s="61" t="n">
        <f aca="false">IF(AR179&gt;=5,1,INDEX(CDF_INC,1,AR179+1))</f>
        <v>0.14</v>
      </c>
      <c r="AT179" s="61" t="n">
        <f aca="false">TASA_USADA+(TASA_INC-TASA_USADA)*Q_INC*(1-AS179)/(1-Q_INC*AS179)</f>
        <v>0.655565427753311</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E180+AA180*AQ180</f>
        <v>0</v>
      </c>
      <c r="AE180" s="59" t="n">
        <f aca="false">F180+AB180*AQ180</f>
        <v>0</v>
      </c>
      <c r="AF180" s="59" t="n">
        <f aca="false">G180+AC180*AQ180</f>
        <v>0</v>
      </c>
      <c r="AG180" s="59" t="n">
        <f aca="false">H180+I180+J180+(AA180+AB180+AC180)*(1-AQ180)</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IF(ISNUMBER(L180),L180,E180*P1_LOG+F180*P2_LOG+G180*P3_LOG)+IF(ISNUMBER(M180),M180,AA180*P1_LOG+AB180*P2_LOG+AC180*P3_LOG)*AQ180</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c r="AP180" s="58" t="n">
        <f aca="false">MIN(N(K180),Q180)</f>
        <v>0</v>
      </c>
      <c r="AQ180" s="61" t="n">
        <f aca="false">IF(Q180&gt;0,((Q180-AP180)*AT180+AP180*TASA_INC)/Q180,AT180)</f>
        <v>0.655565427753311</v>
      </c>
      <c r="AR180" s="58" t="n">
        <f aca="false">IF($A180&lt;FECHA_EXPORT,NETWORKDAYS($A180+1,FECHA_EXPORT,FESTIVOS),0)</f>
        <v>0</v>
      </c>
      <c r="AS180" s="61" t="n">
        <f aca="false">IF(AR180&gt;=5,1,INDEX(CDF_INC,1,AR180+1))</f>
        <v>0.14</v>
      </c>
      <c r="AT180" s="61" t="n">
        <f aca="false">TASA_USADA+(TASA_INC-TASA_USADA)*Q_INC*(1-AS180)/(1-Q_INC*AS180)</f>
        <v>0.655565427753311</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E181+AA181*AQ181</f>
        <v>0</v>
      </c>
      <c r="AE181" s="59" t="n">
        <f aca="false">F181+AB181*AQ181</f>
        <v>0</v>
      </c>
      <c r="AF181" s="59" t="n">
        <f aca="false">G181+AC181*AQ181</f>
        <v>0</v>
      </c>
      <c r="AG181" s="59" t="n">
        <f aca="false">H181+I181+J181+(AA181+AB181+AC181)*(1-AQ181)</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IF(ISNUMBER(L181),L181,E181*P1_LOG+F181*P2_LOG+G181*P3_LOG)+IF(ISNUMBER(M181),M181,AA181*P1_LOG+AB181*P2_LOG+AC181*P3_LOG)*AQ181</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c r="AP181" s="58" t="n">
        <f aca="false">MIN(N(K181),Q181)</f>
        <v>0</v>
      </c>
      <c r="AQ181" s="61" t="n">
        <f aca="false">IF(Q181&gt;0,((Q181-AP181)*AT181+AP181*TASA_INC)/Q181,AT181)</f>
        <v>0.655565427753311</v>
      </c>
      <c r="AR181" s="58" t="n">
        <f aca="false">IF($A181&lt;FECHA_EXPORT,NETWORKDAYS($A181+1,FECHA_EXPORT,FESTIVOS),0)</f>
        <v>0</v>
      </c>
      <c r="AS181" s="61" t="n">
        <f aca="false">IF(AR181&gt;=5,1,INDEX(CDF_INC,1,AR181+1))</f>
        <v>0.14</v>
      </c>
      <c r="AT181" s="61" t="n">
        <f aca="false">TASA_USADA+(TASA_INC-TASA_USADA)*Q_INC*(1-AS181)/(1-Q_INC*AS181)</f>
        <v>0.655565427753311</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E182+AA182*AQ182</f>
        <v>0</v>
      </c>
      <c r="AE182" s="59" t="n">
        <f aca="false">F182+AB182*AQ182</f>
        <v>0</v>
      </c>
      <c r="AF182" s="59" t="n">
        <f aca="false">G182+AC182*AQ182</f>
        <v>0</v>
      </c>
      <c r="AG182" s="59" t="n">
        <f aca="false">H182+I182+J182+(AA182+AB182+AC182)*(1-AQ182)</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IF(ISNUMBER(L182),L182,E182*P1_LOG+F182*P2_LOG+G182*P3_LOG)+IF(ISNUMBER(M182),M182,AA182*P1_LOG+AB182*P2_LOG+AC182*P3_LOG)*AQ182</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c r="AP182" s="58" t="n">
        <f aca="false">MIN(N(K182),Q182)</f>
        <v>0</v>
      </c>
      <c r="AQ182" s="61" t="n">
        <f aca="false">IF(Q182&gt;0,((Q182-AP182)*AT182+AP182*TASA_INC)/Q182,AT182)</f>
        <v>0.655565427753311</v>
      </c>
      <c r="AR182" s="58" t="n">
        <f aca="false">IF($A182&lt;FECHA_EXPORT,NETWORKDAYS($A182+1,FECHA_EXPORT,FESTIVOS),0)</f>
        <v>0</v>
      </c>
      <c r="AS182" s="61" t="n">
        <f aca="false">IF(AR182&gt;=5,1,INDEX(CDF_INC,1,AR182+1))</f>
        <v>0.14</v>
      </c>
      <c r="AT182" s="61" t="n">
        <f aca="false">TASA_USADA+(TASA_INC-TASA_USADA)*Q_INC*(1-AS182)/(1-Q_INC*AS182)</f>
        <v>0.655565427753311</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E183+AA183*AQ183</f>
        <v>0</v>
      </c>
      <c r="AE183" s="59" t="n">
        <f aca="false">F183+AB183*AQ183</f>
        <v>0</v>
      </c>
      <c r="AF183" s="59" t="n">
        <f aca="false">G183+AC183*AQ183</f>
        <v>0</v>
      </c>
      <c r="AG183" s="59" t="n">
        <f aca="false">H183+I183+J183+(AA183+AB183+AC183)*(1-AQ183)</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IF(ISNUMBER(L183),L183,E183*P1_LOG+F183*P2_LOG+G183*P3_LOG)+IF(ISNUMBER(M183),M183,AA183*P1_LOG+AB183*P2_LOG+AC183*P3_LOG)*AQ183</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c r="AP183" s="58" t="n">
        <f aca="false">MIN(N(K183),Q183)</f>
        <v>0</v>
      </c>
      <c r="AQ183" s="61" t="n">
        <f aca="false">IF(Q183&gt;0,((Q183-AP183)*AT183+AP183*TASA_INC)/Q183,AT183)</f>
        <v>0.655565427753311</v>
      </c>
      <c r="AR183" s="58" t="n">
        <f aca="false">IF($A183&lt;FECHA_EXPORT,NETWORKDAYS($A183+1,FECHA_EXPORT,FESTIVOS),0)</f>
        <v>0</v>
      </c>
      <c r="AS183" s="61" t="n">
        <f aca="false">IF(AR183&gt;=5,1,INDEX(CDF_INC,1,AR183+1))</f>
        <v>0.14</v>
      </c>
      <c r="AT183" s="61" t="n">
        <f aca="false">TASA_USADA+(TASA_INC-TASA_USADA)*Q_INC*(1-AS183)/(1-Q_INC*AS183)</f>
        <v>0.655565427753311</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E184+AA184*AQ184</f>
        <v>0</v>
      </c>
      <c r="AE184" s="59" t="n">
        <f aca="false">F184+AB184*AQ184</f>
        <v>0</v>
      </c>
      <c r="AF184" s="59" t="n">
        <f aca="false">G184+AC184*AQ184</f>
        <v>0</v>
      </c>
      <c r="AG184" s="59" t="n">
        <f aca="false">H184+I184+J184+(AA184+AB184+AC184)*(1-AQ184)</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IF(ISNUMBER(L184),L184,E184*P1_LOG+F184*P2_LOG+G184*P3_LOG)+IF(ISNUMBER(M184),M184,AA184*P1_LOG+AB184*P2_LOG+AC184*P3_LOG)*AQ184</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c r="AP184" s="58" t="n">
        <f aca="false">MIN(N(K184),Q184)</f>
        <v>0</v>
      </c>
      <c r="AQ184" s="61" t="n">
        <f aca="false">IF(Q184&gt;0,((Q184-AP184)*AT184+AP184*TASA_INC)/Q184,AT184)</f>
        <v>0.655565427753311</v>
      </c>
      <c r="AR184" s="58" t="n">
        <f aca="false">IF($A184&lt;FECHA_EXPORT,NETWORKDAYS($A184+1,FECHA_EXPORT,FESTIVOS),0)</f>
        <v>0</v>
      </c>
      <c r="AS184" s="61" t="n">
        <f aca="false">IF(AR184&gt;=5,1,INDEX(CDF_INC,1,AR184+1))</f>
        <v>0.14</v>
      </c>
      <c r="AT184" s="61" t="n">
        <f aca="false">TASA_USADA+(TASA_INC-TASA_USADA)*Q_INC*(1-AS184)/(1-Q_INC*AS184)</f>
        <v>0.655565427753311</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E185+AA185*AQ185</f>
        <v>0</v>
      </c>
      <c r="AE185" s="59" t="n">
        <f aca="false">F185+AB185*AQ185</f>
        <v>0</v>
      </c>
      <c r="AF185" s="59" t="n">
        <f aca="false">G185+AC185*AQ185</f>
        <v>0</v>
      </c>
      <c r="AG185" s="59" t="n">
        <f aca="false">H185+I185+J185+(AA185+AB185+AC185)*(1-AQ185)</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IF(ISNUMBER(L185),L185,E185*P1_LOG+F185*P2_LOG+G185*P3_LOG)+IF(ISNUMBER(M185),M185,AA185*P1_LOG+AB185*P2_LOG+AC185*P3_LOG)*AQ185</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c r="AP185" s="58" t="n">
        <f aca="false">MIN(N(K185),Q185)</f>
        <v>0</v>
      </c>
      <c r="AQ185" s="61" t="n">
        <f aca="false">IF(Q185&gt;0,((Q185-AP185)*AT185+AP185*TASA_INC)/Q185,AT185)</f>
        <v>0.655565427753311</v>
      </c>
      <c r="AR185" s="58" t="n">
        <f aca="false">IF($A185&lt;FECHA_EXPORT,NETWORKDAYS($A185+1,FECHA_EXPORT,FESTIVOS),0)</f>
        <v>0</v>
      </c>
      <c r="AS185" s="61" t="n">
        <f aca="false">IF(AR185&gt;=5,1,INDEX(CDF_INC,1,AR185+1))</f>
        <v>0.14</v>
      </c>
      <c r="AT185" s="61" t="n">
        <f aca="false">TASA_USADA+(TASA_INC-TASA_USADA)*Q_INC*(1-AS185)/(1-Q_INC*AS185)</f>
        <v>0.655565427753311</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E186+AA186*AQ186</f>
        <v>0</v>
      </c>
      <c r="AE186" s="59" t="n">
        <f aca="false">F186+AB186*AQ186</f>
        <v>0</v>
      </c>
      <c r="AF186" s="59" t="n">
        <f aca="false">G186+AC186*AQ186</f>
        <v>0</v>
      </c>
      <c r="AG186" s="59" t="n">
        <f aca="false">H186+I186+J186+(AA186+AB186+AC186)*(1-AQ186)</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IF(ISNUMBER(L186),L186,E186*P1_LOG+F186*P2_LOG+G186*P3_LOG)+IF(ISNUMBER(M186),M186,AA186*P1_LOG+AB186*P2_LOG+AC186*P3_LOG)*AQ186</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c r="AP186" s="58" t="n">
        <f aca="false">MIN(N(K186),Q186)</f>
        <v>0</v>
      </c>
      <c r="AQ186" s="61" t="n">
        <f aca="false">IF(Q186&gt;0,((Q186-AP186)*AT186+AP186*TASA_INC)/Q186,AT186)</f>
        <v>0.655565427753311</v>
      </c>
      <c r="AR186" s="58" t="n">
        <f aca="false">IF($A186&lt;FECHA_EXPORT,NETWORKDAYS($A186+1,FECHA_EXPORT,FESTIVOS),0)</f>
        <v>0</v>
      </c>
      <c r="AS186" s="61" t="n">
        <f aca="false">IF(AR186&gt;=5,1,INDEX(CDF_INC,1,AR186+1))</f>
        <v>0.14</v>
      </c>
      <c r="AT186" s="61" t="n">
        <f aca="false">TASA_USADA+(TASA_INC-TASA_USADA)*Q_INC*(1-AS186)/(1-Q_INC*AS186)</f>
        <v>0.655565427753311</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E187+AA187*AQ187</f>
        <v>0</v>
      </c>
      <c r="AE187" s="59" t="n">
        <f aca="false">F187+AB187*AQ187</f>
        <v>0</v>
      </c>
      <c r="AF187" s="59" t="n">
        <f aca="false">G187+AC187*AQ187</f>
        <v>0</v>
      </c>
      <c r="AG187" s="59" t="n">
        <f aca="false">H187+I187+J187+(AA187+AB187+AC187)*(1-AQ187)</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IF(ISNUMBER(L187),L187,E187*P1_LOG+F187*P2_LOG+G187*P3_LOG)+IF(ISNUMBER(M187),M187,AA187*P1_LOG+AB187*P2_LOG+AC187*P3_LOG)*AQ187</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c r="AP187" s="58" t="n">
        <f aca="false">MIN(N(K187),Q187)</f>
        <v>0</v>
      </c>
      <c r="AQ187" s="61" t="n">
        <f aca="false">IF(Q187&gt;0,((Q187-AP187)*AT187+AP187*TASA_INC)/Q187,AT187)</f>
        <v>0.655565427753311</v>
      </c>
      <c r="AR187" s="58" t="n">
        <f aca="false">IF($A187&lt;FECHA_EXPORT,NETWORKDAYS($A187+1,FECHA_EXPORT,FESTIVOS),0)</f>
        <v>0</v>
      </c>
      <c r="AS187" s="61" t="n">
        <f aca="false">IF(AR187&gt;=5,1,INDEX(CDF_INC,1,AR187+1))</f>
        <v>0.14</v>
      </c>
      <c r="AT187" s="61" t="n">
        <f aca="false">TASA_USADA+(TASA_INC-TASA_USADA)*Q_INC*(1-AS187)/(1-Q_INC*AS187)</f>
        <v>0.655565427753311</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E188+AA188*AQ188</f>
        <v>0</v>
      </c>
      <c r="AE188" s="59" t="n">
        <f aca="false">F188+AB188*AQ188</f>
        <v>0</v>
      </c>
      <c r="AF188" s="59" t="n">
        <f aca="false">G188+AC188*AQ188</f>
        <v>0</v>
      </c>
      <c r="AG188" s="59" t="n">
        <f aca="false">H188+I188+J188+(AA188+AB188+AC188)*(1-AQ188)</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IF(ISNUMBER(L188),L188,E188*P1_LOG+F188*P2_LOG+G188*P3_LOG)+IF(ISNUMBER(M188),M188,AA188*P1_LOG+AB188*P2_LOG+AC188*P3_LOG)*AQ188</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c r="AP188" s="58" t="n">
        <f aca="false">MIN(N(K188),Q188)</f>
        <v>0</v>
      </c>
      <c r="AQ188" s="61" t="n">
        <f aca="false">IF(Q188&gt;0,((Q188-AP188)*AT188+AP188*TASA_INC)/Q188,AT188)</f>
        <v>0.655565427753311</v>
      </c>
      <c r="AR188" s="58" t="n">
        <f aca="false">IF($A188&lt;FECHA_EXPORT,NETWORKDAYS($A188+1,FECHA_EXPORT,FESTIVOS),0)</f>
        <v>0</v>
      </c>
      <c r="AS188" s="61" t="n">
        <f aca="false">IF(AR188&gt;=5,1,INDEX(CDF_INC,1,AR188+1))</f>
        <v>0.14</v>
      </c>
      <c r="AT188" s="61" t="n">
        <f aca="false">TASA_USADA+(TASA_INC-TASA_USADA)*Q_INC*(1-AS188)/(1-Q_INC*AS188)</f>
        <v>0.655565427753311</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E189+AA189*AQ189</f>
        <v>0</v>
      </c>
      <c r="AE189" s="59" t="n">
        <f aca="false">F189+AB189*AQ189</f>
        <v>0</v>
      </c>
      <c r="AF189" s="59" t="n">
        <f aca="false">G189+AC189*AQ189</f>
        <v>0</v>
      </c>
      <c r="AG189" s="59" t="n">
        <f aca="false">H189+I189+J189+(AA189+AB189+AC189)*(1-AQ189)</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IF(ISNUMBER(L189),L189,E189*P1_LOG+F189*P2_LOG+G189*P3_LOG)+IF(ISNUMBER(M189),M189,AA189*P1_LOG+AB189*P2_LOG+AC189*P3_LOG)*AQ189</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c r="AP189" s="58" t="n">
        <f aca="false">MIN(N(K189),Q189)</f>
        <v>0</v>
      </c>
      <c r="AQ189" s="61" t="n">
        <f aca="false">IF(Q189&gt;0,((Q189-AP189)*AT189+AP189*TASA_INC)/Q189,AT189)</f>
        <v>0.655565427753311</v>
      </c>
      <c r="AR189" s="58" t="n">
        <f aca="false">IF($A189&lt;FECHA_EXPORT,NETWORKDAYS($A189+1,FECHA_EXPORT,FESTIVOS),0)</f>
        <v>0</v>
      </c>
      <c r="AS189" s="61" t="n">
        <f aca="false">IF(AR189&gt;=5,1,INDEX(CDF_INC,1,AR189+1))</f>
        <v>0.14</v>
      </c>
      <c r="AT189" s="61" t="n">
        <f aca="false">TASA_USADA+(TASA_INC-TASA_USADA)*Q_INC*(1-AS189)/(1-Q_INC*AS189)</f>
        <v>0.655565427753311</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E190+AA190*AQ190</f>
        <v>0</v>
      </c>
      <c r="AE190" s="59" t="n">
        <f aca="false">F190+AB190*AQ190</f>
        <v>0</v>
      </c>
      <c r="AF190" s="59" t="n">
        <f aca="false">G190+AC190*AQ190</f>
        <v>0</v>
      </c>
      <c r="AG190" s="59" t="n">
        <f aca="false">H190+I190+J190+(AA190+AB190+AC190)*(1-AQ190)</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IF(ISNUMBER(L190),L190,E190*P1_LOG+F190*P2_LOG+G190*P3_LOG)+IF(ISNUMBER(M190),M190,AA190*P1_LOG+AB190*P2_LOG+AC190*P3_LOG)*AQ190</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c r="AP190" s="58" t="n">
        <f aca="false">MIN(N(K190),Q190)</f>
        <v>0</v>
      </c>
      <c r="AQ190" s="61" t="n">
        <f aca="false">IF(Q190&gt;0,((Q190-AP190)*AT190+AP190*TASA_INC)/Q190,AT190)</f>
        <v>0.655565427753311</v>
      </c>
      <c r="AR190" s="58" t="n">
        <f aca="false">IF($A190&lt;FECHA_EXPORT,NETWORKDAYS($A190+1,FECHA_EXPORT,FESTIVOS),0)</f>
        <v>0</v>
      </c>
      <c r="AS190" s="61" t="n">
        <f aca="false">IF(AR190&gt;=5,1,INDEX(CDF_INC,1,AR190+1))</f>
        <v>0.14</v>
      </c>
      <c r="AT190" s="61" t="n">
        <f aca="false">TASA_USADA+(TASA_INC-TASA_USADA)*Q_INC*(1-AS190)/(1-Q_INC*AS190)</f>
        <v>0.655565427753311</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E191+AA191*AQ191</f>
        <v>0</v>
      </c>
      <c r="AE191" s="59" t="n">
        <f aca="false">F191+AB191*AQ191</f>
        <v>0</v>
      </c>
      <c r="AF191" s="59" t="n">
        <f aca="false">G191+AC191*AQ191</f>
        <v>0</v>
      </c>
      <c r="AG191" s="59" t="n">
        <f aca="false">H191+I191+J191+(AA191+AB191+AC191)*(1-AQ191)</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IF(ISNUMBER(L191),L191,E191*P1_LOG+F191*P2_LOG+G191*P3_LOG)+IF(ISNUMBER(M191),M191,AA191*P1_LOG+AB191*P2_LOG+AC191*P3_LOG)*AQ191</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c r="AP191" s="58" t="n">
        <f aca="false">MIN(N(K191),Q191)</f>
        <v>0</v>
      </c>
      <c r="AQ191" s="61" t="n">
        <f aca="false">IF(Q191&gt;0,((Q191-AP191)*AT191+AP191*TASA_INC)/Q191,AT191)</f>
        <v>0.655565427753311</v>
      </c>
      <c r="AR191" s="58" t="n">
        <f aca="false">IF($A191&lt;FECHA_EXPORT,NETWORKDAYS($A191+1,FECHA_EXPORT,FESTIVOS),0)</f>
        <v>0</v>
      </c>
      <c r="AS191" s="61" t="n">
        <f aca="false">IF(AR191&gt;=5,1,INDEX(CDF_INC,1,AR191+1))</f>
        <v>0.14</v>
      </c>
      <c r="AT191" s="61" t="n">
        <f aca="false">TASA_USADA+(TASA_INC-TASA_USADA)*Q_INC*(1-AS191)/(1-Q_INC*AS191)</f>
        <v>0.655565427753311</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E192+AA192*AQ192</f>
        <v>0</v>
      </c>
      <c r="AE192" s="59" t="n">
        <f aca="false">F192+AB192*AQ192</f>
        <v>0</v>
      </c>
      <c r="AF192" s="59" t="n">
        <f aca="false">G192+AC192*AQ192</f>
        <v>0</v>
      </c>
      <c r="AG192" s="59" t="n">
        <f aca="false">H192+I192+J192+(AA192+AB192+AC192)*(1-AQ192)</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IF(ISNUMBER(L192),L192,E192*P1_LOG+F192*P2_LOG+G192*P3_LOG)+IF(ISNUMBER(M192),M192,AA192*P1_LOG+AB192*P2_LOG+AC192*P3_LOG)*AQ192</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c r="AP192" s="58" t="n">
        <f aca="false">MIN(N(K192),Q192)</f>
        <v>0</v>
      </c>
      <c r="AQ192" s="61" t="n">
        <f aca="false">IF(Q192&gt;0,((Q192-AP192)*AT192+AP192*TASA_INC)/Q192,AT192)</f>
        <v>0.655565427753311</v>
      </c>
      <c r="AR192" s="58" t="n">
        <f aca="false">IF($A192&lt;FECHA_EXPORT,NETWORKDAYS($A192+1,FECHA_EXPORT,FESTIVOS),0)</f>
        <v>0</v>
      </c>
      <c r="AS192" s="61" t="n">
        <f aca="false">IF(AR192&gt;=5,1,INDEX(CDF_INC,1,AR192+1))</f>
        <v>0.14</v>
      </c>
      <c r="AT192" s="61" t="n">
        <f aca="false">TASA_USADA+(TASA_INC-TASA_USADA)*Q_INC*(1-AS192)/(1-Q_INC*AS192)</f>
        <v>0.655565427753311</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E193+AA193*AQ193</f>
        <v>0</v>
      </c>
      <c r="AE193" s="59" t="n">
        <f aca="false">F193+AB193*AQ193</f>
        <v>0</v>
      </c>
      <c r="AF193" s="59" t="n">
        <f aca="false">G193+AC193*AQ193</f>
        <v>0</v>
      </c>
      <c r="AG193" s="59" t="n">
        <f aca="false">H193+I193+J193+(AA193+AB193+AC193)*(1-AQ193)</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IF(ISNUMBER(L193),L193,E193*P1_LOG+F193*P2_LOG+G193*P3_LOG)+IF(ISNUMBER(M193),M193,AA193*P1_LOG+AB193*P2_LOG+AC193*P3_LOG)*AQ193</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c r="AP193" s="58" t="n">
        <f aca="false">MIN(N(K193),Q193)</f>
        <v>0</v>
      </c>
      <c r="AQ193" s="61" t="n">
        <f aca="false">IF(Q193&gt;0,((Q193-AP193)*AT193+AP193*TASA_INC)/Q193,AT193)</f>
        <v>0.655565427753311</v>
      </c>
      <c r="AR193" s="58" t="n">
        <f aca="false">IF($A193&lt;FECHA_EXPORT,NETWORKDAYS($A193+1,FECHA_EXPORT,FESTIVOS),0)</f>
        <v>0</v>
      </c>
      <c r="AS193" s="61" t="n">
        <f aca="false">IF(AR193&gt;=5,1,INDEX(CDF_INC,1,AR193+1))</f>
        <v>0.14</v>
      </c>
      <c r="AT193" s="61" t="n">
        <f aca="false">TASA_USADA+(TASA_INC-TASA_USADA)*Q_INC*(1-AS193)/(1-Q_INC*AS193)</f>
        <v>0.655565427753311</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E194+AA194*AQ194</f>
        <v>0</v>
      </c>
      <c r="AE194" s="59" t="n">
        <f aca="false">F194+AB194*AQ194</f>
        <v>0</v>
      </c>
      <c r="AF194" s="59" t="n">
        <f aca="false">G194+AC194*AQ194</f>
        <v>0</v>
      </c>
      <c r="AG194" s="59" t="n">
        <f aca="false">H194+I194+J194+(AA194+AB194+AC194)*(1-AQ194)</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IF(ISNUMBER(L194),L194,E194*P1_LOG+F194*P2_LOG+G194*P3_LOG)+IF(ISNUMBER(M194),M194,AA194*P1_LOG+AB194*P2_LOG+AC194*P3_LOG)*AQ194</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c r="AP194" s="58" t="n">
        <f aca="false">MIN(N(K194),Q194)</f>
        <v>0</v>
      </c>
      <c r="AQ194" s="61" t="n">
        <f aca="false">IF(Q194&gt;0,((Q194-AP194)*AT194+AP194*TASA_INC)/Q194,AT194)</f>
        <v>0.655565427753311</v>
      </c>
      <c r="AR194" s="58" t="n">
        <f aca="false">IF($A194&lt;FECHA_EXPORT,NETWORKDAYS($A194+1,FECHA_EXPORT,FESTIVOS),0)</f>
        <v>0</v>
      </c>
      <c r="AS194" s="61" t="n">
        <f aca="false">IF(AR194&gt;=5,1,INDEX(CDF_INC,1,AR194+1))</f>
        <v>0.14</v>
      </c>
      <c r="AT194" s="61" t="n">
        <f aca="false">TASA_USADA+(TASA_INC-TASA_USADA)*Q_INC*(1-AS194)/(1-Q_INC*AS194)</f>
        <v>0.655565427753311</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E195+AA195*AQ195</f>
        <v>0</v>
      </c>
      <c r="AE195" s="59" t="n">
        <f aca="false">F195+AB195*AQ195</f>
        <v>0</v>
      </c>
      <c r="AF195" s="59" t="n">
        <f aca="false">G195+AC195*AQ195</f>
        <v>0</v>
      </c>
      <c r="AG195" s="59" t="n">
        <f aca="false">H195+I195+J195+(AA195+AB195+AC195)*(1-AQ195)</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IF(ISNUMBER(L195),L195,E195*P1_LOG+F195*P2_LOG+G195*P3_LOG)+IF(ISNUMBER(M195),M195,AA195*P1_LOG+AB195*P2_LOG+AC195*P3_LOG)*AQ195</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c r="AP195" s="58" t="n">
        <f aca="false">MIN(N(K195),Q195)</f>
        <v>0</v>
      </c>
      <c r="AQ195" s="61" t="n">
        <f aca="false">IF(Q195&gt;0,((Q195-AP195)*AT195+AP195*TASA_INC)/Q195,AT195)</f>
        <v>0.655565427753311</v>
      </c>
      <c r="AR195" s="58" t="n">
        <f aca="false">IF($A195&lt;FECHA_EXPORT,NETWORKDAYS($A195+1,FECHA_EXPORT,FESTIVOS),0)</f>
        <v>0</v>
      </c>
      <c r="AS195" s="61" t="n">
        <f aca="false">IF(AR195&gt;=5,1,INDEX(CDF_INC,1,AR195+1))</f>
        <v>0.14</v>
      </c>
      <c r="AT195" s="61" t="n">
        <f aca="false">TASA_USADA+(TASA_INC-TASA_USADA)*Q_INC*(1-AS195)/(1-Q_INC*AS195)</f>
        <v>0.655565427753311</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E196+AA196*AQ196</f>
        <v>0</v>
      </c>
      <c r="AE196" s="59" t="n">
        <f aca="false">F196+AB196*AQ196</f>
        <v>0</v>
      </c>
      <c r="AF196" s="59" t="n">
        <f aca="false">G196+AC196*AQ196</f>
        <v>0</v>
      </c>
      <c r="AG196" s="59" t="n">
        <f aca="false">H196+I196+J196+(AA196+AB196+AC196)*(1-AQ196)</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IF(ISNUMBER(L196),L196,E196*P1_LOG+F196*P2_LOG+G196*P3_LOG)+IF(ISNUMBER(M196),M196,AA196*P1_LOG+AB196*P2_LOG+AC196*P3_LOG)*AQ196</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c r="AP196" s="58" t="n">
        <f aca="false">MIN(N(K196),Q196)</f>
        <v>0</v>
      </c>
      <c r="AQ196" s="61" t="n">
        <f aca="false">IF(Q196&gt;0,((Q196-AP196)*AT196+AP196*TASA_INC)/Q196,AT196)</f>
        <v>0.655565427753311</v>
      </c>
      <c r="AR196" s="58" t="n">
        <f aca="false">IF($A196&lt;FECHA_EXPORT,NETWORKDAYS($A196+1,FECHA_EXPORT,FESTIVOS),0)</f>
        <v>0</v>
      </c>
      <c r="AS196" s="61" t="n">
        <f aca="false">IF(AR196&gt;=5,1,INDEX(CDF_INC,1,AR196+1))</f>
        <v>0.14</v>
      </c>
      <c r="AT196" s="61" t="n">
        <f aca="false">TASA_USADA+(TASA_INC-TASA_USADA)*Q_INC*(1-AS196)/(1-Q_INC*AS196)</f>
        <v>0.655565427753311</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E197+AA197*AQ197</f>
        <v>0</v>
      </c>
      <c r="AE197" s="59" t="n">
        <f aca="false">F197+AB197*AQ197</f>
        <v>0</v>
      </c>
      <c r="AF197" s="59" t="n">
        <f aca="false">G197+AC197*AQ197</f>
        <v>0</v>
      </c>
      <c r="AG197" s="59" t="n">
        <f aca="false">H197+I197+J197+(AA197+AB197+AC197)*(1-AQ197)</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IF(ISNUMBER(L197),L197,E197*P1_LOG+F197*P2_LOG+G197*P3_LOG)+IF(ISNUMBER(M197),M197,AA197*P1_LOG+AB197*P2_LOG+AC197*P3_LOG)*AQ197</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c r="AP197" s="58" t="n">
        <f aca="false">MIN(N(K197),Q197)</f>
        <v>0</v>
      </c>
      <c r="AQ197" s="61" t="n">
        <f aca="false">IF(Q197&gt;0,((Q197-AP197)*AT197+AP197*TASA_INC)/Q197,AT197)</f>
        <v>0.655565427753311</v>
      </c>
      <c r="AR197" s="58" t="n">
        <f aca="false">IF($A197&lt;FECHA_EXPORT,NETWORKDAYS($A197+1,FECHA_EXPORT,FESTIVOS),0)</f>
        <v>0</v>
      </c>
      <c r="AS197" s="61" t="n">
        <f aca="false">IF(AR197&gt;=5,1,INDEX(CDF_INC,1,AR197+1))</f>
        <v>0.14</v>
      </c>
      <c r="AT197" s="61" t="n">
        <f aca="false">TASA_USADA+(TASA_INC-TASA_USADA)*Q_INC*(1-AS197)/(1-Q_INC*AS197)</f>
        <v>0.655565427753311</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E198+AA198*AQ198</f>
        <v>0</v>
      </c>
      <c r="AE198" s="59" t="n">
        <f aca="false">F198+AB198*AQ198</f>
        <v>0</v>
      </c>
      <c r="AF198" s="59" t="n">
        <f aca="false">G198+AC198*AQ198</f>
        <v>0</v>
      </c>
      <c r="AG198" s="59" t="n">
        <f aca="false">H198+I198+J198+(AA198+AB198+AC198)*(1-AQ198)</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IF(ISNUMBER(L198),L198,E198*P1_LOG+F198*P2_LOG+G198*P3_LOG)+IF(ISNUMBER(M198),M198,AA198*P1_LOG+AB198*P2_LOG+AC198*P3_LOG)*AQ198</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c r="AP198" s="58" t="n">
        <f aca="false">MIN(N(K198),Q198)</f>
        <v>0</v>
      </c>
      <c r="AQ198" s="61" t="n">
        <f aca="false">IF(Q198&gt;0,((Q198-AP198)*AT198+AP198*TASA_INC)/Q198,AT198)</f>
        <v>0.655565427753311</v>
      </c>
      <c r="AR198" s="58" t="n">
        <f aca="false">IF($A198&lt;FECHA_EXPORT,NETWORKDAYS($A198+1,FECHA_EXPORT,FESTIVOS),0)</f>
        <v>0</v>
      </c>
      <c r="AS198" s="61" t="n">
        <f aca="false">IF(AR198&gt;=5,1,INDEX(CDF_INC,1,AR198+1))</f>
        <v>0.14</v>
      </c>
      <c r="AT198" s="61" t="n">
        <f aca="false">TASA_USADA+(TASA_INC-TASA_USADA)*Q_INC*(1-AS198)/(1-Q_INC*AS198)</f>
        <v>0.655565427753311</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E199+AA199*AQ199</f>
        <v>0</v>
      </c>
      <c r="AE199" s="59" t="n">
        <f aca="false">F199+AB199*AQ199</f>
        <v>0</v>
      </c>
      <c r="AF199" s="59" t="n">
        <f aca="false">G199+AC199*AQ199</f>
        <v>0</v>
      </c>
      <c r="AG199" s="59" t="n">
        <f aca="false">H199+I199+J199+(AA199+AB199+AC199)*(1-AQ199)</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IF(ISNUMBER(L199),L199,E199*P1_LOG+F199*P2_LOG+G199*P3_LOG)+IF(ISNUMBER(M199),M199,AA199*P1_LOG+AB199*P2_LOG+AC199*P3_LOG)*AQ199</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c r="AP199" s="58" t="n">
        <f aca="false">MIN(N(K199),Q199)</f>
        <v>0</v>
      </c>
      <c r="AQ199" s="61" t="n">
        <f aca="false">IF(Q199&gt;0,((Q199-AP199)*AT199+AP199*TASA_INC)/Q199,AT199)</f>
        <v>0.655565427753311</v>
      </c>
      <c r="AR199" s="58" t="n">
        <f aca="false">IF($A199&lt;FECHA_EXPORT,NETWORKDAYS($A199+1,FECHA_EXPORT,FESTIVOS),0)</f>
        <v>0</v>
      </c>
      <c r="AS199" s="61" t="n">
        <f aca="false">IF(AR199&gt;=5,1,INDEX(CDF_INC,1,AR199+1))</f>
        <v>0.14</v>
      </c>
      <c r="AT199" s="61" t="n">
        <f aca="false">TASA_USADA+(TASA_INC-TASA_USADA)*Q_INC*(1-AS199)/(1-Q_INC*AS199)</f>
        <v>0.655565427753311</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E200+AA200*AQ200</f>
        <v>0</v>
      </c>
      <c r="AE200" s="59" t="n">
        <f aca="false">F200+AB200*AQ200</f>
        <v>0</v>
      </c>
      <c r="AF200" s="59" t="n">
        <f aca="false">G200+AC200*AQ200</f>
        <v>0</v>
      </c>
      <c r="AG200" s="59" t="n">
        <f aca="false">H200+I200+J200+(AA200+AB200+AC200)*(1-AQ200)</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IF(ISNUMBER(L200),L200,E200*P1_LOG+F200*P2_LOG+G200*P3_LOG)+IF(ISNUMBER(M200),M200,AA200*P1_LOG+AB200*P2_LOG+AC200*P3_LOG)*AQ200</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c r="AP200" s="58" t="n">
        <f aca="false">MIN(N(K200),Q200)</f>
        <v>0</v>
      </c>
      <c r="AQ200" s="61" t="n">
        <f aca="false">IF(Q200&gt;0,((Q200-AP200)*AT200+AP200*TASA_INC)/Q200,AT200)</f>
        <v>0.655565427753311</v>
      </c>
      <c r="AR200" s="58" t="n">
        <f aca="false">IF($A200&lt;FECHA_EXPORT,NETWORKDAYS($A200+1,FECHA_EXPORT,FESTIVOS),0)</f>
        <v>0</v>
      </c>
      <c r="AS200" s="61" t="n">
        <f aca="false">IF(AR200&gt;=5,1,INDEX(CDF_INC,1,AR200+1))</f>
        <v>0.14</v>
      </c>
      <c r="AT200" s="61" t="n">
        <f aca="false">TASA_USADA+(TASA_INC-TASA_USADA)*Q_INC*(1-AS200)/(1-Q_INC*AS200)</f>
        <v>0.655565427753311</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E201+AA201*AQ201</f>
        <v>0</v>
      </c>
      <c r="AE201" s="59" t="n">
        <f aca="false">F201+AB201*AQ201</f>
        <v>0</v>
      </c>
      <c r="AF201" s="59" t="n">
        <f aca="false">G201+AC201*AQ201</f>
        <v>0</v>
      </c>
      <c r="AG201" s="59" t="n">
        <f aca="false">H201+I201+J201+(AA201+AB201+AC201)*(1-AQ201)</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IF(ISNUMBER(L201),L201,E201*P1_LOG+F201*P2_LOG+G201*P3_LOG)+IF(ISNUMBER(M201),M201,AA201*P1_LOG+AB201*P2_LOG+AC201*P3_LOG)*AQ201</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c r="AP201" s="58" t="n">
        <f aca="false">MIN(N(K201),Q201)</f>
        <v>0</v>
      </c>
      <c r="AQ201" s="61" t="n">
        <f aca="false">IF(Q201&gt;0,((Q201-AP201)*AT201+AP201*TASA_INC)/Q201,AT201)</f>
        <v>0.655565427753311</v>
      </c>
      <c r="AR201" s="58" t="n">
        <f aca="false">IF($A201&lt;FECHA_EXPORT,NETWORKDAYS($A201+1,FECHA_EXPORT,FESTIVOS),0)</f>
        <v>0</v>
      </c>
      <c r="AS201" s="61" t="n">
        <f aca="false">IF(AR201&gt;=5,1,INDEX(CDF_INC,1,AR201+1))</f>
        <v>0.14</v>
      </c>
      <c r="AT201" s="61" t="n">
        <f aca="false">TASA_USADA+(TASA_INC-TASA_USADA)*Q_INC*(1-AS201)/(1-Q_INC*AS201)</f>
        <v>0.655565427753311</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E202+AA202*AQ202</f>
        <v>0</v>
      </c>
      <c r="AE202" s="59" t="n">
        <f aca="false">F202+AB202*AQ202</f>
        <v>0</v>
      </c>
      <c r="AF202" s="59" t="n">
        <f aca="false">G202+AC202*AQ202</f>
        <v>0</v>
      </c>
      <c r="AG202" s="59" t="n">
        <f aca="false">H202+I202+J202+(AA202+AB202+AC202)*(1-AQ202)</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IF(ISNUMBER(L202),L202,E202*P1_LOG+F202*P2_LOG+G202*P3_LOG)+IF(ISNUMBER(M202),M202,AA202*P1_LOG+AB202*P2_LOG+AC202*P3_LOG)*AQ202</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c r="AP202" s="58" t="n">
        <f aca="false">MIN(N(K202),Q202)</f>
        <v>0</v>
      </c>
      <c r="AQ202" s="61" t="n">
        <f aca="false">IF(Q202&gt;0,((Q202-AP202)*AT202+AP202*TASA_INC)/Q202,AT202)</f>
        <v>0.655565427753311</v>
      </c>
      <c r="AR202" s="58" t="n">
        <f aca="false">IF($A202&lt;FECHA_EXPORT,NETWORKDAYS($A202+1,FECHA_EXPORT,FESTIVOS),0)</f>
        <v>0</v>
      </c>
      <c r="AS202" s="61" t="n">
        <f aca="false">IF(AR202&gt;=5,1,INDEX(CDF_INC,1,AR202+1))</f>
        <v>0.14</v>
      </c>
      <c r="AT202" s="61" t="n">
        <f aca="false">TASA_USADA+(TASA_INC-TASA_USADA)*Q_INC*(1-AS202)/(1-Q_INC*AS202)</f>
        <v>0.655565427753311</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E203+AA203*AQ203</f>
        <v>0</v>
      </c>
      <c r="AE203" s="59" t="n">
        <f aca="false">F203+AB203*AQ203</f>
        <v>0</v>
      </c>
      <c r="AF203" s="59" t="n">
        <f aca="false">G203+AC203*AQ203</f>
        <v>0</v>
      </c>
      <c r="AG203" s="59" t="n">
        <f aca="false">H203+I203+J203+(AA203+AB203+AC203)*(1-AQ203)</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IF(ISNUMBER(L203),L203,E203*P1_LOG+F203*P2_LOG+G203*P3_LOG)+IF(ISNUMBER(M203),M203,AA203*P1_LOG+AB203*P2_LOG+AC203*P3_LOG)*AQ203</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c r="AP203" s="58" t="n">
        <f aca="false">MIN(N(K203),Q203)</f>
        <v>0</v>
      </c>
      <c r="AQ203" s="61" t="n">
        <f aca="false">IF(Q203&gt;0,((Q203-AP203)*AT203+AP203*TASA_INC)/Q203,AT203)</f>
        <v>0.655565427753311</v>
      </c>
      <c r="AR203" s="58" t="n">
        <f aca="false">IF($A203&lt;FECHA_EXPORT,NETWORKDAYS($A203+1,FECHA_EXPORT,FESTIVOS),0)</f>
        <v>0</v>
      </c>
      <c r="AS203" s="61" t="n">
        <f aca="false">IF(AR203&gt;=5,1,INDEX(CDF_INC,1,AR203+1))</f>
        <v>0.14</v>
      </c>
      <c r="AT203" s="61" t="n">
        <f aca="false">TASA_USADA+(TASA_INC-TASA_USADA)*Q_INC*(1-AS203)/(1-Q_INC*AS203)</f>
        <v>0.655565427753311</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E204+AA204*AQ204</f>
        <v>0</v>
      </c>
      <c r="AE204" s="59" t="n">
        <f aca="false">F204+AB204*AQ204</f>
        <v>0</v>
      </c>
      <c r="AF204" s="59" t="n">
        <f aca="false">G204+AC204*AQ204</f>
        <v>0</v>
      </c>
      <c r="AG204" s="59" t="n">
        <f aca="false">H204+I204+J204+(AA204+AB204+AC204)*(1-AQ204)</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IF(ISNUMBER(L204),L204,E204*P1_LOG+F204*P2_LOG+G204*P3_LOG)+IF(ISNUMBER(M204),M204,AA204*P1_LOG+AB204*P2_LOG+AC204*P3_LOG)*AQ204</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c r="AP204" s="58" t="n">
        <f aca="false">MIN(N(K204),Q204)</f>
        <v>0</v>
      </c>
      <c r="AQ204" s="61" t="n">
        <f aca="false">IF(Q204&gt;0,((Q204-AP204)*AT204+AP204*TASA_INC)/Q204,AT204)</f>
        <v>0.655565427753311</v>
      </c>
      <c r="AR204" s="58" t="n">
        <f aca="false">IF($A204&lt;FECHA_EXPORT,NETWORKDAYS($A204+1,FECHA_EXPORT,FESTIVOS),0)</f>
        <v>0</v>
      </c>
      <c r="AS204" s="61" t="n">
        <f aca="false">IF(AR204&gt;=5,1,INDEX(CDF_INC,1,AR204+1))</f>
        <v>0.14</v>
      </c>
      <c r="AT204" s="61" t="n">
        <f aca="false">TASA_USADA+(TASA_INC-TASA_USADA)*Q_INC*(1-AS204)/(1-Q_INC*AS204)</f>
        <v>0.655565427753311</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E205+AA205*AQ205</f>
        <v>0</v>
      </c>
      <c r="AE205" s="59" t="n">
        <f aca="false">F205+AB205*AQ205</f>
        <v>0</v>
      </c>
      <c r="AF205" s="59" t="n">
        <f aca="false">G205+AC205*AQ205</f>
        <v>0</v>
      </c>
      <c r="AG205" s="59" t="n">
        <f aca="false">H205+I205+J205+(AA205+AB205+AC205)*(1-AQ205)</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IF(ISNUMBER(L205),L205,E205*P1_LOG+F205*P2_LOG+G205*P3_LOG)+IF(ISNUMBER(M205),M205,AA205*P1_LOG+AB205*P2_LOG+AC205*P3_LOG)*AQ205</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c r="AP205" s="58" t="n">
        <f aca="false">MIN(N(K205),Q205)</f>
        <v>0</v>
      </c>
      <c r="AQ205" s="61" t="n">
        <f aca="false">IF(Q205&gt;0,((Q205-AP205)*AT205+AP205*TASA_INC)/Q205,AT205)</f>
        <v>0.655565427753311</v>
      </c>
      <c r="AR205" s="58" t="n">
        <f aca="false">IF($A205&lt;FECHA_EXPORT,NETWORKDAYS($A205+1,FECHA_EXPORT,FESTIVOS),0)</f>
        <v>0</v>
      </c>
      <c r="AS205" s="61" t="n">
        <f aca="false">IF(AR205&gt;=5,1,INDEX(CDF_INC,1,AR205+1))</f>
        <v>0.14</v>
      </c>
      <c r="AT205" s="61" t="n">
        <f aca="false">TASA_USADA+(TASA_INC-TASA_USADA)*Q_INC*(1-AS205)/(1-Q_INC*AS205)</f>
        <v>0.655565427753311</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E206+AA206*AQ206</f>
        <v>0</v>
      </c>
      <c r="AE206" s="59" t="n">
        <f aca="false">F206+AB206*AQ206</f>
        <v>0</v>
      </c>
      <c r="AF206" s="59" t="n">
        <f aca="false">G206+AC206*AQ206</f>
        <v>0</v>
      </c>
      <c r="AG206" s="59" t="n">
        <f aca="false">H206+I206+J206+(AA206+AB206+AC206)*(1-AQ206)</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IF(ISNUMBER(L206),L206,E206*P1_LOG+F206*P2_LOG+G206*P3_LOG)+IF(ISNUMBER(M206),M206,AA206*P1_LOG+AB206*P2_LOG+AC206*P3_LOG)*AQ206</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c r="AP206" s="58" t="n">
        <f aca="false">MIN(N(K206),Q206)</f>
        <v>0</v>
      </c>
      <c r="AQ206" s="61" t="n">
        <f aca="false">IF(Q206&gt;0,((Q206-AP206)*AT206+AP206*TASA_INC)/Q206,AT206)</f>
        <v>0.655565427753311</v>
      </c>
      <c r="AR206" s="58" t="n">
        <f aca="false">IF($A206&lt;FECHA_EXPORT,NETWORKDAYS($A206+1,FECHA_EXPORT,FESTIVOS),0)</f>
        <v>0</v>
      </c>
      <c r="AS206" s="61" t="n">
        <f aca="false">IF(AR206&gt;=5,1,INDEX(CDF_INC,1,AR206+1))</f>
        <v>0.14</v>
      </c>
      <c r="AT206" s="61" t="n">
        <f aca="false">TASA_USADA+(TASA_INC-TASA_USADA)*Q_INC*(1-AS206)/(1-Q_INC*AS206)</f>
        <v>0.655565427753311</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E207+AA207*AQ207</f>
        <v>0</v>
      </c>
      <c r="AE207" s="59" t="n">
        <f aca="false">F207+AB207*AQ207</f>
        <v>0</v>
      </c>
      <c r="AF207" s="59" t="n">
        <f aca="false">G207+AC207*AQ207</f>
        <v>0</v>
      </c>
      <c r="AG207" s="59" t="n">
        <f aca="false">H207+I207+J207+(AA207+AB207+AC207)*(1-AQ207)</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IF(ISNUMBER(L207),L207,E207*P1_LOG+F207*P2_LOG+G207*P3_LOG)+IF(ISNUMBER(M207),M207,AA207*P1_LOG+AB207*P2_LOG+AC207*P3_LOG)*AQ207</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c r="AP207" s="58" t="n">
        <f aca="false">MIN(N(K207),Q207)</f>
        <v>0</v>
      </c>
      <c r="AQ207" s="61" t="n">
        <f aca="false">IF(Q207&gt;0,((Q207-AP207)*AT207+AP207*TASA_INC)/Q207,AT207)</f>
        <v>0.655565427753311</v>
      </c>
      <c r="AR207" s="58" t="n">
        <f aca="false">IF($A207&lt;FECHA_EXPORT,NETWORKDAYS($A207+1,FECHA_EXPORT,FESTIVOS),0)</f>
        <v>0</v>
      </c>
      <c r="AS207" s="61" t="n">
        <f aca="false">IF(AR207&gt;=5,1,INDEX(CDF_INC,1,AR207+1))</f>
        <v>0.14</v>
      </c>
      <c r="AT207" s="61" t="n">
        <f aca="false">TASA_USADA+(TASA_INC-TASA_USADA)*Q_INC*(1-AS207)/(1-Q_INC*AS207)</f>
        <v>0.655565427753311</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E208+AA208*AQ208</f>
        <v>0</v>
      </c>
      <c r="AE208" s="59" t="n">
        <f aca="false">F208+AB208*AQ208</f>
        <v>0</v>
      </c>
      <c r="AF208" s="59" t="n">
        <f aca="false">G208+AC208*AQ208</f>
        <v>0</v>
      </c>
      <c r="AG208" s="59" t="n">
        <f aca="false">H208+I208+J208+(AA208+AB208+AC208)*(1-AQ208)</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IF(ISNUMBER(L208),L208,E208*P1_LOG+F208*P2_LOG+G208*P3_LOG)+IF(ISNUMBER(M208),M208,AA208*P1_LOG+AB208*P2_LOG+AC208*P3_LOG)*AQ208</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c r="AP208" s="58" t="n">
        <f aca="false">MIN(N(K208),Q208)</f>
        <v>0</v>
      </c>
      <c r="AQ208" s="61" t="n">
        <f aca="false">IF(Q208&gt;0,((Q208-AP208)*AT208+AP208*TASA_INC)/Q208,AT208)</f>
        <v>0.655565427753311</v>
      </c>
      <c r="AR208" s="58" t="n">
        <f aca="false">IF($A208&lt;FECHA_EXPORT,NETWORKDAYS($A208+1,FECHA_EXPORT,FESTIVOS),0)</f>
        <v>0</v>
      </c>
      <c r="AS208" s="61" t="n">
        <f aca="false">IF(AR208&gt;=5,1,INDEX(CDF_INC,1,AR208+1))</f>
        <v>0.14</v>
      </c>
      <c r="AT208" s="61" t="n">
        <f aca="false">TASA_USADA+(TASA_INC-TASA_USADA)*Q_INC*(1-AS208)/(1-Q_INC*AS208)</f>
        <v>0.655565427753311</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E209+AA209*AQ209</f>
        <v>0</v>
      </c>
      <c r="AE209" s="59" t="n">
        <f aca="false">F209+AB209*AQ209</f>
        <v>0</v>
      </c>
      <c r="AF209" s="59" t="n">
        <f aca="false">G209+AC209*AQ209</f>
        <v>0</v>
      </c>
      <c r="AG209" s="59" t="n">
        <f aca="false">H209+I209+J209+(AA209+AB209+AC209)*(1-AQ209)</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IF(ISNUMBER(L209),L209,E209*P1_LOG+F209*P2_LOG+G209*P3_LOG)+IF(ISNUMBER(M209),M209,AA209*P1_LOG+AB209*P2_LOG+AC209*P3_LOG)*AQ209</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c r="AP209" s="58" t="n">
        <f aca="false">MIN(N(K209),Q209)</f>
        <v>0</v>
      </c>
      <c r="AQ209" s="61" t="n">
        <f aca="false">IF(Q209&gt;0,((Q209-AP209)*AT209+AP209*TASA_INC)/Q209,AT209)</f>
        <v>0.655565427753311</v>
      </c>
      <c r="AR209" s="58" t="n">
        <f aca="false">IF($A209&lt;FECHA_EXPORT,NETWORKDAYS($A209+1,FECHA_EXPORT,FESTIVOS),0)</f>
        <v>0</v>
      </c>
      <c r="AS209" s="61" t="n">
        <f aca="false">IF(AR209&gt;=5,1,INDEX(CDF_INC,1,AR209+1))</f>
        <v>0.14</v>
      </c>
      <c r="AT209" s="61" t="n">
        <f aca="false">TASA_USADA+(TASA_INC-TASA_USADA)*Q_INC*(1-AS209)/(1-Q_INC*AS209)</f>
        <v>0.655565427753311</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E210+AA210*AQ210</f>
        <v>0</v>
      </c>
      <c r="AE210" s="59" t="n">
        <f aca="false">F210+AB210*AQ210</f>
        <v>0</v>
      </c>
      <c r="AF210" s="59" t="n">
        <f aca="false">G210+AC210*AQ210</f>
        <v>0</v>
      </c>
      <c r="AG210" s="59" t="n">
        <f aca="false">H210+I210+J210+(AA210+AB210+AC210)*(1-AQ210)</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IF(ISNUMBER(L210),L210,E210*P1_LOG+F210*P2_LOG+G210*P3_LOG)+IF(ISNUMBER(M210),M210,AA210*P1_LOG+AB210*P2_LOG+AC210*P3_LOG)*AQ210</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c r="AP210" s="58" t="n">
        <f aca="false">MIN(N(K210),Q210)</f>
        <v>0</v>
      </c>
      <c r="AQ210" s="61" t="n">
        <f aca="false">IF(Q210&gt;0,((Q210-AP210)*AT210+AP210*TASA_INC)/Q210,AT210)</f>
        <v>0.655565427753311</v>
      </c>
      <c r="AR210" s="58" t="n">
        <f aca="false">IF($A210&lt;FECHA_EXPORT,NETWORKDAYS($A210+1,FECHA_EXPORT,FESTIVOS),0)</f>
        <v>0</v>
      </c>
      <c r="AS210" s="61" t="n">
        <f aca="false">IF(AR210&gt;=5,1,INDEX(CDF_INC,1,AR210+1))</f>
        <v>0.14</v>
      </c>
      <c r="AT210" s="61" t="n">
        <f aca="false">TASA_USADA+(TASA_INC-TASA_USADA)*Q_INC*(1-AS210)/(1-Q_INC*AS210)</f>
        <v>0.655565427753311</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E211+AA211*AQ211</f>
        <v>0</v>
      </c>
      <c r="AE211" s="59" t="n">
        <f aca="false">F211+AB211*AQ211</f>
        <v>0</v>
      </c>
      <c r="AF211" s="59" t="n">
        <f aca="false">G211+AC211*AQ211</f>
        <v>0</v>
      </c>
      <c r="AG211" s="59" t="n">
        <f aca="false">H211+I211+J211+(AA211+AB211+AC211)*(1-AQ211)</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IF(ISNUMBER(L211),L211,E211*P1_LOG+F211*P2_LOG+G211*P3_LOG)+IF(ISNUMBER(M211),M211,AA211*P1_LOG+AB211*P2_LOG+AC211*P3_LOG)*AQ211</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c r="AP211" s="58" t="n">
        <f aca="false">MIN(N(K211),Q211)</f>
        <v>0</v>
      </c>
      <c r="AQ211" s="61" t="n">
        <f aca="false">IF(Q211&gt;0,((Q211-AP211)*AT211+AP211*TASA_INC)/Q211,AT211)</f>
        <v>0.655565427753311</v>
      </c>
      <c r="AR211" s="58" t="n">
        <f aca="false">IF($A211&lt;FECHA_EXPORT,NETWORKDAYS($A211+1,FECHA_EXPORT,FESTIVOS),0)</f>
        <v>0</v>
      </c>
      <c r="AS211" s="61" t="n">
        <f aca="false">IF(AR211&gt;=5,1,INDEX(CDF_INC,1,AR211+1))</f>
        <v>0.14</v>
      </c>
      <c r="AT211" s="61" t="n">
        <f aca="false">TASA_USADA+(TASA_INC-TASA_USADA)*Q_INC*(1-AS211)/(1-Q_INC*AS211)</f>
        <v>0.655565427753311</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E212+AA212*AQ212</f>
        <v>0</v>
      </c>
      <c r="AE212" s="59" t="n">
        <f aca="false">F212+AB212*AQ212</f>
        <v>0</v>
      </c>
      <c r="AF212" s="59" t="n">
        <f aca="false">G212+AC212*AQ212</f>
        <v>0</v>
      </c>
      <c r="AG212" s="59" t="n">
        <f aca="false">H212+I212+J212+(AA212+AB212+AC212)*(1-AQ212)</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IF(ISNUMBER(L212),L212,E212*P1_LOG+F212*P2_LOG+G212*P3_LOG)+IF(ISNUMBER(M212),M212,AA212*P1_LOG+AB212*P2_LOG+AC212*P3_LOG)*AQ212</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c r="AP212" s="58" t="n">
        <f aca="false">MIN(N(K212),Q212)</f>
        <v>0</v>
      </c>
      <c r="AQ212" s="61" t="n">
        <f aca="false">IF(Q212&gt;0,((Q212-AP212)*AT212+AP212*TASA_INC)/Q212,AT212)</f>
        <v>0.655565427753311</v>
      </c>
      <c r="AR212" s="58" t="n">
        <f aca="false">IF($A212&lt;FECHA_EXPORT,NETWORKDAYS($A212+1,FECHA_EXPORT,FESTIVOS),0)</f>
        <v>0</v>
      </c>
      <c r="AS212" s="61" t="n">
        <f aca="false">IF(AR212&gt;=5,1,INDEX(CDF_INC,1,AR212+1))</f>
        <v>0.14</v>
      </c>
      <c r="AT212" s="61" t="n">
        <f aca="false">TASA_USADA+(TASA_INC-TASA_USADA)*Q_INC*(1-AS212)/(1-Q_INC*AS212)</f>
        <v>0.655565427753311</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E213+AA213*AQ213</f>
        <v>0</v>
      </c>
      <c r="AE213" s="59" t="n">
        <f aca="false">F213+AB213*AQ213</f>
        <v>0</v>
      </c>
      <c r="AF213" s="59" t="n">
        <f aca="false">G213+AC213*AQ213</f>
        <v>0</v>
      </c>
      <c r="AG213" s="59" t="n">
        <f aca="false">H213+I213+J213+(AA213+AB213+AC213)*(1-AQ213)</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IF(ISNUMBER(L213),L213,E213*P1_LOG+F213*P2_LOG+G213*P3_LOG)+IF(ISNUMBER(M213),M213,AA213*P1_LOG+AB213*P2_LOG+AC213*P3_LOG)*AQ213</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c r="AP213" s="58" t="n">
        <f aca="false">MIN(N(K213),Q213)</f>
        <v>0</v>
      </c>
      <c r="AQ213" s="61" t="n">
        <f aca="false">IF(Q213&gt;0,((Q213-AP213)*AT213+AP213*TASA_INC)/Q213,AT213)</f>
        <v>0.655565427753311</v>
      </c>
      <c r="AR213" s="58" t="n">
        <f aca="false">IF($A213&lt;FECHA_EXPORT,NETWORKDAYS($A213+1,FECHA_EXPORT,FESTIVOS),0)</f>
        <v>0</v>
      </c>
      <c r="AS213" s="61" t="n">
        <f aca="false">IF(AR213&gt;=5,1,INDEX(CDF_INC,1,AR213+1))</f>
        <v>0.14</v>
      </c>
      <c r="AT213" s="61" t="n">
        <f aca="false">TASA_USADA+(TASA_INC-TASA_USADA)*Q_INC*(1-AS213)/(1-Q_INC*AS213)</f>
        <v>0.655565427753311</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E214+AA214*AQ214</f>
        <v>0</v>
      </c>
      <c r="AE214" s="59" t="n">
        <f aca="false">F214+AB214*AQ214</f>
        <v>0</v>
      </c>
      <c r="AF214" s="59" t="n">
        <f aca="false">G214+AC214*AQ214</f>
        <v>0</v>
      </c>
      <c r="AG214" s="59" t="n">
        <f aca="false">H214+I214+J214+(AA214+AB214+AC214)*(1-AQ214)</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IF(ISNUMBER(L214),L214,E214*P1_LOG+F214*P2_LOG+G214*P3_LOG)+IF(ISNUMBER(M214),M214,AA214*P1_LOG+AB214*P2_LOG+AC214*P3_LOG)*AQ214</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c r="AP214" s="58" t="n">
        <f aca="false">MIN(N(K214),Q214)</f>
        <v>0</v>
      </c>
      <c r="AQ214" s="61" t="n">
        <f aca="false">IF(Q214&gt;0,((Q214-AP214)*AT214+AP214*TASA_INC)/Q214,AT214)</f>
        <v>0.655565427753311</v>
      </c>
      <c r="AR214" s="58" t="n">
        <f aca="false">IF($A214&lt;FECHA_EXPORT,NETWORKDAYS($A214+1,FECHA_EXPORT,FESTIVOS),0)</f>
        <v>0</v>
      </c>
      <c r="AS214" s="61" t="n">
        <f aca="false">IF(AR214&gt;=5,1,INDEX(CDF_INC,1,AR214+1))</f>
        <v>0.14</v>
      </c>
      <c r="AT214" s="61" t="n">
        <f aca="false">TASA_USADA+(TASA_INC-TASA_USADA)*Q_INC*(1-AS214)/(1-Q_INC*AS214)</f>
        <v>0.655565427753311</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E215+AA215*AQ215</f>
        <v>0</v>
      </c>
      <c r="AE215" s="59" t="n">
        <f aca="false">F215+AB215*AQ215</f>
        <v>0</v>
      </c>
      <c r="AF215" s="59" t="n">
        <f aca="false">G215+AC215*AQ215</f>
        <v>0</v>
      </c>
      <c r="AG215" s="59" t="n">
        <f aca="false">H215+I215+J215+(AA215+AB215+AC215)*(1-AQ215)</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IF(ISNUMBER(L215),L215,E215*P1_LOG+F215*P2_LOG+G215*P3_LOG)+IF(ISNUMBER(M215),M215,AA215*P1_LOG+AB215*P2_LOG+AC215*P3_LOG)*AQ215</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c r="AP215" s="58" t="n">
        <f aca="false">MIN(N(K215),Q215)</f>
        <v>0</v>
      </c>
      <c r="AQ215" s="61" t="n">
        <f aca="false">IF(Q215&gt;0,((Q215-AP215)*AT215+AP215*TASA_INC)/Q215,AT215)</f>
        <v>0.655565427753311</v>
      </c>
      <c r="AR215" s="58" t="n">
        <f aca="false">IF($A215&lt;FECHA_EXPORT,NETWORKDAYS($A215+1,FECHA_EXPORT,FESTIVOS),0)</f>
        <v>0</v>
      </c>
      <c r="AS215" s="61" t="n">
        <f aca="false">IF(AR215&gt;=5,1,INDEX(CDF_INC,1,AR215+1))</f>
        <v>0.14</v>
      </c>
      <c r="AT215" s="61" t="n">
        <f aca="false">TASA_USADA+(TASA_INC-TASA_USADA)*Q_INC*(1-AS215)/(1-Q_INC*AS215)</f>
        <v>0.655565427753311</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E216+AA216*AQ216</f>
        <v>0</v>
      </c>
      <c r="AE216" s="59" t="n">
        <f aca="false">F216+AB216*AQ216</f>
        <v>0</v>
      </c>
      <c r="AF216" s="59" t="n">
        <f aca="false">G216+AC216*AQ216</f>
        <v>0</v>
      </c>
      <c r="AG216" s="59" t="n">
        <f aca="false">H216+I216+J216+(AA216+AB216+AC216)*(1-AQ216)</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IF(ISNUMBER(L216),L216,E216*P1_LOG+F216*P2_LOG+G216*P3_LOG)+IF(ISNUMBER(M216),M216,AA216*P1_LOG+AB216*P2_LOG+AC216*P3_LOG)*AQ216</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c r="AP216" s="58" t="n">
        <f aca="false">MIN(N(K216),Q216)</f>
        <v>0</v>
      </c>
      <c r="AQ216" s="61" t="n">
        <f aca="false">IF(Q216&gt;0,((Q216-AP216)*AT216+AP216*TASA_INC)/Q216,AT216)</f>
        <v>0.655565427753311</v>
      </c>
      <c r="AR216" s="58" t="n">
        <f aca="false">IF($A216&lt;FECHA_EXPORT,NETWORKDAYS($A216+1,FECHA_EXPORT,FESTIVOS),0)</f>
        <v>0</v>
      </c>
      <c r="AS216" s="61" t="n">
        <f aca="false">IF(AR216&gt;=5,1,INDEX(CDF_INC,1,AR216+1))</f>
        <v>0.14</v>
      </c>
      <c r="AT216" s="61" t="n">
        <f aca="false">TASA_USADA+(TASA_INC-TASA_USADA)*Q_INC*(1-AS216)/(1-Q_INC*AS216)</f>
        <v>0.655565427753311</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E217+AA217*AQ217</f>
        <v>0</v>
      </c>
      <c r="AE217" s="59" t="n">
        <f aca="false">F217+AB217*AQ217</f>
        <v>0</v>
      </c>
      <c r="AF217" s="59" t="n">
        <f aca="false">G217+AC217*AQ217</f>
        <v>0</v>
      </c>
      <c r="AG217" s="59" t="n">
        <f aca="false">H217+I217+J217+(AA217+AB217+AC217)*(1-AQ217)</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IF(ISNUMBER(L217),L217,E217*P1_LOG+F217*P2_LOG+G217*P3_LOG)+IF(ISNUMBER(M217),M217,AA217*P1_LOG+AB217*P2_LOG+AC217*P3_LOG)*AQ217</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c r="AP217" s="58" t="n">
        <f aca="false">MIN(N(K217),Q217)</f>
        <v>0</v>
      </c>
      <c r="AQ217" s="61" t="n">
        <f aca="false">IF(Q217&gt;0,((Q217-AP217)*AT217+AP217*TASA_INC)/Q217,AT217)</f>
        <v>0.655565427753311</v>
      </c>
      <c r="AR217" s="58" t="n">
        <f aca="false">IF($A217&lt;FECHA_EXPORT,NETWORKDAYS($A217+1,FECHA_EXPORT,FESTIVOS),0)</f>
        <v>0</v>
      </c>
      <c r="AS217" s="61" t="n">
        <f aca="false">IF(AR217&gt;=5,1,INDEX(CDF_INC,1,AR217+1))</f>
        <v>0.14</v>
      </c>
      <c r="AT217" s="61" t="n">
        <f aca="false">TASA_USADA+(TASA_INC-TASA_USADA)*Q_INC*(1-AS217)/(1-Q_INC*AS217)</f>
        <v>0.655565427753311</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E218+AA218*AQ218</f>
        <v>0</v>
      </c>
      <c r="AE218" s="59" t="n">
        <f aca="false">F218+AB218*AQ218</f>
        <v>0</v>
      </c>
      <c r="AF218" s="59" t="n">
        <f aca="false">G218+AC218*AQ218</f>
        <v>0</v>
      </c>
      <c r="AG218" s="59" t="n">
        <f aca="false">H218+I218+J218+(AA218+AB218+AC218)*(1-AQ218)</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IF(ISNUMBER(L218),L218,E218*P1_LOG+F218*P2_LOG+G218*P3_LOG)+IF(ISNUMBER(M218),M218,AA218*P1_LOG+AB218*P2_LOG+AC218*P3_LOG)*AQ218</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c r="AP218" s="58" t="n">
        <f aca="false">MIN(N(K218),Q218)</f>
        <v>0</v>
      </c>
      <c r="AQ218" s="61" t="n">
        <f aca="false">IF(Q218&gt;0,((Q218-AP218)*AT218+AP218*TASA_INC)/Q218,AT218)</f>
        <v>0.655565427753311</v>
      </c>
      <c r="AR218" s="58" t="n">
        <f aca="false">IF($A218&lt;FECHA_EXPORT,NETWORKDAYS($A218+1,FECHA_EXPORT,FESTIVOS),0)</f>
        <v>0</v>
      </c>
      <c r="AS218" s="61" t="n">
        <f aca="false">IF(AR218&gt;=5,1,INDEX(CDF_INC,1,AR218+1))</f>
        <v>0.14</v>
      </c>
      <c r="AT218" s="61" t="n">
        <f aca="false">TASA_USADA+(TASA_INC-TASA_USADA)*Q_INC*(1-AS218)/(1-Q_INC*AS218)</f>
        <v>0.655565427753311</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E219+AA219*AQ219</f>
        <v>0</v>
      </c>
      <c r="AE219" s="59" t="n">
        <f aca="false">F219+AB219*AQ219</f>
        <v>0</v>
      </c>
      <c r="AF219" s="59" t="n">
        <f aca="false">G219+AC219*AQ219</f>
        <v>0</v>
      </c>
      <c r="AG219" s="59" t="n">
        <f aca="false">H219+I219+J219+(AA219+AB219+AC219)*(1-AQ219)</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IF(ISNUMBER(L219),L219,E219*P1_LOG+F219*P2_LOG+G219*P3_LOG)+IF(ISNUMBER(M219),M219,AA219*P1_LOG+AB219*P2_LOG+AC219*P3_LOG)*AQ219</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c r="AP219" s="58" t="n">
        <f aca="false">MIN(N(K219),Q219)</f>
        <v>0</v>
      </c>
      <c r="AQ219" s="61" t="n">
        <f aca="false">IF(Q219&gt;0,((Q219-AP219)*AT219+AP219*TASA_INC)/Q219,AT219)</f>
        <v>0.655565427753311</v>
      </c>
      <c r="AR219" s="58" t="n">
        <f aca="false">IF($A219&lt;FECHA_EXPORT,NETWORKDAYS($A219+1,FECHA_EXPORT,FESTIVOS),0)</f>
        <v>0</v>
      </c>
      <c r="AS219" s="61" t="n">
        <f aca="false">IF(AR219&gt;=5,1,INDEX(CDF_INC,1,AR219+1))</f>
        <v>0.14</v>
      </c>
      <c r="AT219" s="61" t="n">
        <f aca="false">TASA_USADA+(TASA_INC-TASA_USADA)*Q_INC*(1-AS219)/(1-Q_INC*AS219)</f>
        <v>0.655565427753311</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E220+AA220*AQ220</f>
        <v>0</v>
      </c>
      <c r="AE220" s="59" t="n">
        <f aca="false">F220+AB220*AQ220</f>
        <v>0</v>
      </c>
      <c r="AF220" s="59" t="n">
        <f aca="false">G220+AC220*AQ220</f>
        <v>0</v>
      </c>
      <c r="AG220" s="59" t="n">
        <f aca="false">H220+I220+J220+(AA220+AB220+AC220)*(1-AQ220)</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IF(ISNUMBER(L220),L220,E220*P1_LOG+F220*P2_LOG+G220*P3_LOG)+IF(ISNUMBER(M220),M220,AA220*P1_LOG+AB220*P2_LOG+AC220*P3_LOG)*AQ220</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c r="AP220" s="58" t="n">
        <f aca="false">MIN(N(K220),Q220)</f>
        <v>0</v>
      </c>
      <c r="AQ220" s="61" t="n">
        <f aca="false">IF(Q220&gt;0,((Q220-AP220)*AT220+AP220*TASA_INC)/Q220,AT220)</f>
        <v>0.655565427753311</v>
      </c>
      <c r="AR220" s="58" t="n">
        <f aca="false">IF($A220&lt;FECHA_EXPORT,NETWORKDAYS($A220+1,FECHA_EXPORT,FESTIVOS),0)</f>
        <v>0</v>
      </c>
      <c r="AS220" s="61" t="n">
        <f aca="false">IF(AR220&gt;=5,1,INDEX(CDF_INC,1,AR220+1))</f>
        <v>0.14</v>
      </c>
      <c r="AT220" s="61" t="n">
        <f aca="false">TASA_USADA+(TASA_INC-TASA_USADA)*Q_INC*(1-AS220)/(1-Q_INC*AS220)</f>
        <v>0.655565427753311</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E221+AA221*AQ221</f>
        <v>0</v>
      </c>
      <c r="AE221" s="59" t="n">
        <f aca="false">F221+AB221*AQ221</f>
        <v>0</v>
      </c>
      <c r="AF221" s="59" t="n">
        <f aca="false">G221+AC221*AQ221</f>
        <v>0</v>
      </c>
      <c r="AG221" s="59" t="n">
        <f aca="false">H221+I221+J221+(AA221+AB221+AC221)*(1-AQ221)</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IF(ISNUMBER(L221),L221,E221*P1_LOG+F221*P2_LOG+G221*P3_LOG)+IF(ISNUMBER(M221),M221,AA221*P1_LOG+AB221*P2_LOG+AC221*P3_LOG)*AQ221</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c r="AP221" s="58" t="n">
        <f aca="false">MIN(N(K221),Q221)</f>
        <v>0</v>
      </c>
      <c r="AQ221" s="61" t="n">
        <f aca="false">IF(Q221&gt;0,((Q221-AP221)*AT221+AP221*TASA_INC)/Q221,AT221)</f>
        <v>0.655565427753311</v>
      </c>
      <c r="AR221" s="58" t="n">
        <f aca="false">IF($A221&lt;FECHA_EXPORT,NETWORKDAYS($A221+1,FECHA_EXPORT,FESTIVOS),0)</f>
        <v>0</v>
      </c>
      <c r="AS221" s="61" t="n">
        <f aca="false">IF(AR221&gt;=5,1,INDEX(CDF_INC,1,AR221+1))</f>
        <v>0.14</v>
      </c>
      <c r="AT221" s="61" t="n">
        <f aca="false">TASA_USADA+(TASA_INC-TASA_USADA)*Q_INC*(1-AS221)/(1-Q_INC*AS221)</f>
        <v>0.655565427753311</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E222+AA222*AQ222</f>
        <v>0</v>
      </c>
      <c r="AE222" s="59" t="n">
        <f aca="false">F222+AB222*AQ222</f>
        <v>0</v>
      </c>
      <c r="AF222" s="59" t="n">
        <f aca="false">G222+AC222*AQ222</f>
        <v>0</v>
      </c>
      <c r="AG222" s="59" t="n">
        <f aca="false">H222+I222+J222+(AA222+AB222+AC222)*(1-AQ222)</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IF(ISNUMBER(L222),L222,E222*P1_LOG+F222*P2_LOG+G222*P3_LOG)+IF(ISNUMBER(M222),M222,AA222*P1_LOG+AB222*P2_LOG+AC222*P3_LOG)*AQ222</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c r="AP222" s="58" t="n">
        <f aca="false">MIN(N(K222),Q222)</f>
        <v>0</v>
      </c>
      <c r="AQ222" s="61" t="n">
        <f aca="false">IF(Q222&gt;0,((Q222-AP222)*AT222+AP222*TASA_INC)/Q222,AT222)</f>
        <v>0.655565427753311</v>
      </c>
      <c r="AR222" s="58" t="n">
        <f aca="false">IF($A222&lt;FECHA_EXPORT,NETWORKDAYS($A222+1,FECHA_EXPORT,FESTIVOS),0)</f>
        <v>0</v>
      </c>
      <c r="AS222" s="61" t="n">
        <f aca="false">IF(AR222&gt;=5,1,INDEX(CDF_INC,1,AR222+1))</f>
        <v>0.14</v>
      </c>
      <c r="AT222" s="61" t="n">
        <f aca="false">TASA_USADA+(TASA_INC-TASA_USADA)*Q_INC*(1-AS222)/(1-Q_INC*AS222)</f>
        <v>0.655565427753311</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E223+AA223*AQ223</f>
        <v>0</v>
      </c>
      <c r="AE223" s="59" t="n">
        <f aca="false">F223+AB223*AQ223</f>
        <v>0</v>
      </c>
      <c r="AF223" s="59" t="n">
        <f aca="false">G223+AC223*AQ223</f>
        <v>0</v>
      </c>
      <c r="AG223" s="59" t="n">
        <f aca="false">H223+I223+J223+(AA223+AB223+AC223)*(1-AQ223)</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IF(ISNUMBER(L223),L223,E223*P1_LOG+F223*P2_LOG+G223*P3_LOG)+IF(ISNUMBER(M223),M223,AA223*P1_LOG+AB223*P2_LOG+AC223*P3_LOG)*AQ223</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c r="AP223" s="58" t="n">
        <f aca="false">MIN(N(K223),Q223)</f>
        <v>0</v>
      </c>
      <c r="AQ223" s="61" t="n">
        <f aca="false">IF(Q223&gt;0,((Q223-AP223)*AT223+AP223*TASA_INC)/Q223,AT223)</f>
        <v>0.655565427753311</v>
      </c>
      <c r="AR223" s="58" t="n">
        <f aca="false">IF($A223&lt;FECHA_EXPORT,NETWORKDAYS($A223+1,FECHA_EXPORT,FESTIVOS),0)</f>
        <v>0</v>
      </c>
      <c r="AS223" s="61" t="n">
        <f aca="false">IF(AR223&gt;=5,1,INDEX(CDF_INC,1,AR223+1))</f>
        <v>0.14</v>
      </c>
      <c r="AT223" s="61" t="n">
        <f aca="false">TASA_USADA+(TASA_INC-TASA_USADA)*Q_INC*(1-AS223)/(1-Q_INC*AS223)</f>
        <v>0.655565427753311</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E224+AA224*AQ224</f>
        <v>0</v>
      </c>
      <c r="AE224" s="59" t="n">
        <f aca="false">F224+AB224*AQ224</f>
        <v>0</v>
      </c>
      <c r="AF224" s="59" t="n">
        <f aca="false">G224+AC224*AQ224</f>
        <v>0</v>
      </c>
      <c r="AG224" s="59" t="n">
        <f aca="false">H224+I224+J224+(AA224+AB224+AC224)*(1-AQ224)</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IF(ISNUMBER(L224),L224,E224*P1_LOG+F224*P2_LOG+G224*P3_LOG)+IF(ISNUMBER(M224),M224,AA224*P1_LOG+AB224*P2_LOG+AC224*P3_LOG)*AQ224</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c r="AP224" s="58" t="n">
        <f aca="false">MIN(N(K224),Q224)</f>
        <v>0</v>
      </c>
      <c r="AQ224" s="61" t="n">
        <f aca="false">IF(Q224&gt;0,((Q224-AP224)*AT224+AP224*TASA_INC)/Q224,AT224)</f>
        <v>0.655565427753311</v>
      </c>
      <c r="AR224" s="58" t="n">
        <f aca="false">IF($A224&lt;FECHA_EXPORT,NETWORKDAYS($A224+1,FECHA_EXPORT,FESTIVOS),0)</f>
        <v>0</v>
      </c>
      <c r="AS224" s="61" t="n">
        <f aca="false">IF(AR224&gt;=5,1,INDEX(CDF_INC,1,AR224+1))</f>
        <v>0.14</v>
      </c>
      <c r="AT224" s="61" t="n">
        <f aca="false">TASA_USADA+(TASA_INC-TASA_USADA)*Q_INC*(1-AS224)/(1-Q_INC*AS224)</f>
        <v>0.655565427753311</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E225+AA225*AQ225</f>
        <v>0</v>
      </c>
      <c r="AE225" s="59" t="n">
        <f aca="false">F225+AB225*AQ225</f>
        <v>0</v>
      </c>
      <c r="AF225" s="59" t="n">
        <f aca="false">G225+AC225*AQ225</f>
        <v>0</v>
      </c>
      <c r="AG225" s="59" t="n">
        <f aca="false">H225+I225+J225+(AA225+AB225+AC225)*(1-AQ225)</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IF(ISNUMBER(L225),L225,E225*P1_LOG+F225*P2_LOG+G225*P3_LOG)+IF(ISNUMBER(M225),M225,AA225*P1_LOG+AB225*P2_LOG+AC225*P3_LOG)*AQ225</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c r="AP225" s="58" t="n">
        <f aca="false">MIN(N(K225),Q225)</f>
        <v>0</v>
      </c>
      <c r="AQ225" s="61" t="n">
        <f aca="false">IF(Q225&gt;0,((Q225-AP225)*AT225+AP225*TASA_INC)/Q225,AT225)</f>
        <v>0.655565427753311</v>
      </c>
      <c r="AR225" s="58" t="n">
        <f aca="false">IF($A225&lt;FECHA_EXPORT,NETWORKDAYS($A225+1,FECHA_EXPORT,FESTIVOS),0)</f>
        <v>0</v>
      </c>
      <c r="AS225" s="61" t="n">
        <f aca="false">IF(AR225&gt;=5,1,INDEX(CDF_INC,1,AR225+1))</f>
        <v>0.14</v>
      </c>
      <c r="AT225" s="61" t="n">
        <f aca="false">TASA_USADA+(TASA_INC-TASA_USADA)*Q_INC*(1-AS225)/(1-Q_INC*AS225)</f>
        <v>0.655565427753311</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E226+AA226*AQ226</f>
        <v>0</v>
      </c>
      <c r="AE226" s="59" t="n">
        <f aca="false">F226+AB226*AQ226</f>
        <v>0</v>
      </c>
      <c r="AF226" s="59" t="n">
        <f aca="false">G226+AC226*AQ226</f>
        <v>0</v>
      </c>
      <c r="AG226" s="59" t="n">
        <f aca="false">H226+I226+J226+(AA226+AB226+AC226)*(1-AQ226)</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IF(ISNUMBER(L226),L226,E226*P1_LOG+F226*P2_LOG+G226*P3_LOG)+IF(ISNUMBER(M226),M226,AA226*P1_LOG+AB226*P2_LOG+AC226*P3_LOG)*AQ226</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c r="AP226" s="58" t="n">
        <f aca="false">MIN(N(K226),Q226)</f>
        <v>0</v>
      </c>
      <c r="AQ226" s="61" t="n">
        <f aca="false">IF(Q226&gt;0,((Q226-AP226)*AT226+AP226*TASA_INC)/Q226,AT226)</f>
        <v>0.655565427753311</v>
      </c>
      <c r="AR226" s="58" t="n">
        <f aca="false">IF($A226&lt;FECHA_EXPORT,NETWORKDAYS($A226+1,FECHA_EXPORT,FESTIVOS),0)</f>
        <v>0</v>
      </c>
      <c r="AS226" s="61" t="n">
        <f aca="false">IF(AR226&gt;=5,1,INDEX(CDF_INC,1,AR226+1))</f>
        <v>0.14</v>
      </c>
      <c r="AT226" s="61" t="n">
        <f aca="false">TASA_USADA+(TASA_INC-TASA_USADA)*Q_INC*(1-AS226)/(1-Q_INC*AS226)</f>
        <v>0.655565427753311</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E227+AA227*AQ227</f>
        <v>0</v>
      </c>
      <c r="AE227" s="59" t="n">
        <f aca="false">F227+AB227*AQ227</f>
        <v>0</v>
      </c>
      <c r="AF227" s="59" t="n">
        <f aca="false">G227+AC227*AQ227</f>
        <v>0</v>
      </c>
      <c r="AG227" s="59" t="n">
        <f aca="false">H227+I227+J227+(AA227+AB227+AC227)*(1-AQ227)</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IF(ISNUMBER(L227),L227,E227*P1_LOG+F227*P2_LOG+G227*P3_LOG)+IF(ISNUMBER(M227),M227,AA227*P1_LOG+AB227*P2_LOG+AC227*P3_LOG)*AQ227</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c r="AP227" s="58" t="n">
        <f aca="false">MIN(N(K227),Q227)</f>
        <v>0</v>
      </c>
      <c r="AQ227" s="61" t="n">
        <f aca="false">IF(Q227&gt;0,((Q227-AP227)*AT227+AP227*TASA_INC)/Q227,AT227)</f>
        <v>0.655565427753311</v>
      </c>
      <c r="AR227" s="58" t="n">
        <f aca="false">IF($A227&lt;FECHA_EXPORT,NETWORKDAYS($A227+1,FECHA_EXPORT,FESTIVOS),0)</f>
        <v>0</v>
      </c>
      <c r="AS227" s="61" t="n">
        <f aca="false">IF(AR227&gt;=5,1,INDEX(CDF_INC,1,AR227+1))</f>
        <v>0.14</v>
      </c>
      <c r="AT227" s="61" t="n">
        <f aca="false">TASA_USADA+(TASA_INC-TASA_USADA)*Q_INC*(1-AS227)/(1-Q_INC*AS227)</f>
        <v>0.655565427753311</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E228+AA228*AQ228</f>
        <v>0</v>
      </c>
      <c r="AE228" s="59" t="n">
        <f aca="false">F228+AB228*AQ228</f>
        <v>0</v>
      </c>
      <c r="AF228" s="59" t="n">
        <f aca="false">G228+AC228*AQ228</f>
        <v>0</v>
      </c>
      <c r="AG228" s="59" t="n">
        <f aca="false">H228+I228+J228+(AA228+AB228+AC228)*(1-AQ228)</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IF(ISNUMBER(L228),L228,E228*P1_LOG+F228*P2_LOG+G228*P3_LOG)+IF(ISNUMBER(M228),M228,AA228*P1_LOG+AB228*P2_LOG+AC228*P3_LOG)*AQ228</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c r="AP228" s="58" t="n">
        <f aca="false">MIN(N(K228),Q228)</f>
        <v>0</v>
      </c>
      <c r="AQ228" s="61" t="n">
        <f aca="false">IF(Q228&gt;0,((Q228-AP228)*AT228+AP228*TASA_INC)/Q228,AT228)</f>
        <v>0.655565427753311</v>
      </c>
      <c r="AR228" s="58" t="n">
        <f aca="false">IF($A228&lt;FECHA_EXPORT,NETWORKDAYS($A228+1,FECHA_EXPORT,FESTIVOS),0)</f>
        <v>0</v>
      </c>
      <c r="AS228" s="61" t="n">
        <f aca="false">IF(AR228&gt;=5,1,INDEX(CDF_INC,1,AR228+1))</f>
        <v>0.14</v>
      </c>
      <c r="AT228" s="61" t="n">
        <f aca="false">TASA_USADA+(TASA_INC-TASA_USADA)*Q_INC*(1-AS228)/(1-Q_INC*AS228)</f>
        <v>0.655565427753311</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E229+AA229*AQ229</f>
        <v>0</v>
      </c>
      <c r="AE229" s="59" t="n">
        <f aca="false">F229+AB229*AQ229</f>
        <v>0</v>
      </c>
      <c r="AF229" s="59" t="n">
        <f aca="false">G229+AC229*AQ229</f>
        <v>0</v>
      </c>
      <c r="AG229" s="59" t="n">
        <f aca="false">H229+I229+J229+(AA229+AB229+AC229)*(1-AQ229)</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IF(ISNUMBER(L229),L229,E229*P1_LOG+F229*P2_LOG+G229*P3_LOG)+IF(ISNUMBER(M229),M229,AA229*P1_LOG+AB229*P2_LOG+AC229*P3_LOG)*AQ229</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c r="AP229" s="58" t="n">
        <f aca="false">MIN(N(K229),Q229)</f>
        <v>0</v>
      </c>
      <c r="AQ229" s="61" t="n">
        <f aca="false">IF(Q229&gt;0,((Q229-AP229)*AT229+AP229*TASA_INC)/Q229,AT229)</f>
        <v>0.655565427753311</v>
      </c>
      <c r="AR229" s="58" t="n">
        <f aca="false">IF($A229&lt;FECHA_EXPORT,NETWORKDAYS($A229+1,FECHA_EXPORT,FESTIVOS),0)</f>
        <v>0</v>
      </c>
      <c r="AS229" s="61" t="n">
        <f aca="false">IF(AR229&gt;=5,1,INDEX(CDF_INC,1,AR229+1))</f>
        <v>0.14</v>
      </c>
      <c r="AT229" s="61" t="n">
        <f aca="false">TASA_USADA+(TASA_INC-TASA_USADA)*Q_INC*(1-AS229)/(1-Q_INC*AS229)</f>
        <v>0.655565427753311</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E230+AA230*AQ230</f>
        <v>0</v>
      </c>
      <c r="AE230" s="59" t="n">
        <f aca="false">F230+AB230*AQ230</f>
        <v>0</v>
      </c>
      <c r="AF230" s="59" t="n">
        <f aca="false">G230+AC230*AQ230</f>
        <v>0</v>
      </c>
      <c r="AG230" s="59" t="n">
        <f aca="false">H230+I230+J230+(AA230+AB230+AC230)*(1-AQ230)</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IF(ISNUMBER(L230),L230,E230*P1_LOG+F230*P2_LOG+G230*P3_LOG)+IF(ISNUMBER(M230),M230,AA230*P1_LOG+AB230*P2_LOG+AC230*P3_LOG)*AQ230</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c r="AP230" s="58" t="n">
        <f aca="false">MIN(N(K230),Q230)</f>
        <v>0</v>
      </c>
      <c r="AQ230" s="61" t="n">
        <f aca="false">IF(Q230&gt;0,((Q230-AP230)*AT230+AP230*TASA_INC)/Q230,AT230)</f>
        <v>0.655565427753311</v>
      </c>
      <c r="AR230" s="58" t="n">
        <f aca="false">IF($A230&lt;FECHA_EXPORT,NETWORKDAYS($A230+1,FECHA_EXPORT,FESTIVOS),0)</f>
        <v>0</v>
      </c>
      <c r="AS230" s="61" t="n">
        <f aca="false">IF(AR230&gt;=5,1,INDEX(CDF_INC,1,AR230+1))</f>
        <v>0.14</v>
      </c>
      <c r="AT230" s="61" t="n">
        <f aca="false">TASA_USADA+(TASA_INC-TASA_USADA)*Q_INC*(1-AS230)/(1-Q_INC*AS230)</f>
        <v>0.655565427753311</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E231+AA231*AQ231</f>
        <v>0</v>
      </c>
      <c r="AE231" s="59" t="n">
        <f aca="false">F231+AB231*AQ231</f>
        <v>0</v>
      </c>
      <c r="AF231" s="59" t="n">
        <f aca="false">G231+AC231*AQ231</f>
        <v>0</v>
      </c>
      <c r="AG231" s="59" t="n">
        <f aca="false">H231+I231+J231+(AA231+AB231+AC231)*(1-AQ231)</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IF(ISNUMBER(L231),L231,E231*P1_LOG+F231*P2_LOG+G231*P3_LOG)+IF(ISNUMBER(M231),M231,AA231*P1_LOG+AB231*P2_LOG+AC231*P3_LOG)*AQ231</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c r="AP231" s="58" t="n">
        <f aca="false">MIN(N(K231),Q231)</f>
        <v>0</v>
      </c>
      <c r="AQ231" s="61" t="n">
        <f aca="false">IF(Q231&gt;0,((Q231-AP231)*AT231+AP231*TASA_INC)/Q231,AT231)</f>
        <v>0.655565427753311</v>
      </c>
      <c r="AR231" s="58" t="n">
        <f aca="false">IF($A231&lt;FECHA_EXPORT,NETWORKDAYS($A231+1,FECHA_EXPORT,FESTIVOS),0)</f>
        <v>0</v>
      </c>
      <c r="AS231" s="61" t="n">
        <f aca="false">IF(AR231&gt;=5,1,INDEX(CDF_INC,1,AR231+1))</f>
        <v>0.14</v>
      </c>
      <c r="AT231" s="61" t="n">
        <f aca="false">TASA_USADA+(TASA_INC-TASA_USADA)*Q_INC*(1-AS231)/(1-Q_INC*AS231)</f>
        <v>0.655565427753311</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E232+AA232*AQ232</f>
        <v>0</v>
      </c>
      <c r="AE232" s="59" t="n">
        <f aca="false">F232+AB232*AQ232</f>
        <v>0</v>
      </c>
      <c r="AF232" s="59" t="n">
        <f aca="false">G232+AC232*AQ232</f>
        <v>0</v>
      </c>
      <c r="AG232" s="59" t="n">
        <f aca="false">H232+I232+J232+(AA232+AB232+AC232)*(1-AQ232)</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IF(ISNUMBER(L232),L232,E232*P1_LOG+F232*P2_LOG+G232*P3_LOG)+IF(ISNUMBER(M232),M232,AA232*P1_LOG+AB232*P2_LOG+AC232*P3_LOG)*AQ232</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c r="AP232" s="58" t="n">
        <f aca="false">MIN(N(K232),Q232)</f>
        <v>0</v>
      </c>
      <c r="AQ232" s="61" t="n">
        <f aca="false">IF(Q232&gt;0,((Q232-AP232)*AT232+AP232*TASA_INC)/Q232,AT232)</f>
        <v>0.655565427753311</v>
      </c>
      <c r="AR232" s="58" t="n">
        <f aca="false">IF($A232&lt;FECHA_EXPORT,NETWORKDAYS($A232+1,FECHA_EXPORT,FESTIVOS),0)</f>
        <v>0</v>
      </c>
      <c r="AS232" s="61" t="n">
        <f aca="false">IF(AR232&gt;=5,1,INDEX(CDF_INC,1,AR232+1))</f>
        <v>0.14</v>
      </c>
      <c r="AT232" s="61" t="n">
        <f aca="false">TASA_USADA+(TASA_INC-TASA_USADA)*Q_INC*(1-AS232)/(1-Q_INC*AS232)</f>
        <v>0.655565427753311</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E233+AA233*AQ233</f>
        <v>0</v>
      </c>
      <c r="AE233" s="59" t="n">
        <f aca="false">F233+AB233*AQ233</f>
        <v>0</v>
      </c>
      <c r="AF233" s="59" t="n">
        <f aca="false">G233+AC233*AQ233</f>
        <v>0</v>
      </c>
      <c r="AG233" s="59" t="n">
        <f aca="false">H233+I233+J233+(AA233+AB233+AC233)*(1-AQ233)</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IF(ISNUMBER(L233),L233,E233*P1_LOG+F233*P2_LOG+G233*P3_LOG)+IF(ISNUMBER(M233),M233,AA233*P1_LOG+AB233*P2_LOG+AC233*P3_LOG)*AQ233</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c r="AP233" s="58" t="n">
        <f aca="false">MIN(N(K233),Q233)</f>
        <v>0</v>
      </c>
      <c r="AQ233" s="61" t="n">
        <f aca="false">IF(Q233&gt;0,((Q233-AP233)*AT233+AP233*TASA_INC)/Q233,AT233)</f>
        <v>0.655565427753311</v>
      </c>
      <c r="AR233" s="58" t="n">
        <f aca="false">IF($A233&lt;FECHA_EXPORT,NETWORKDAYS($A233+1,FECHA_EXPORT,FESTIVOS),0)</f>
        <v>0</v>
      </c>
      <c r="AS233" s="61" t="n">
        <f aca="false">IF(AR233&gt;=5,1,INDEX(CDF_INC,1,AR233+1))</f>
        <v>0.14</v>
      </c>
      <c r="AT233" s="61" t="n">
        <f aca="false">TASA_USADA+(TASA_INC-TASA_USADA)*Q_INC*(1-AS233)/(1-Q_INC*AS233)</f>
        <v>0.655565427753311</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E234+AA234*AQ234</f>
        <v>0</v>
      </c>
      <c r="AE234" s="59" t="n">
        <f aca="false">F234+AB234*AQ234</f>
        <v>0</v>
      </c>
      <c r="AF234" s="59" t="n">
        <f aca="false">G234+AC234*AQ234</f>
        <v>0</v>
      </c>
      <c r="AG234" s="59" t="n">
        <f aca="false">H234+I234+J234+(AA234+AB234+AC234)*(1-AQ234)</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IF(ISNUMBER(L234),L234,E234*P1_LOG+F234*P2_LOG+G234*P3_LOG)+IF(ISNUMBER(M234),M234,AA234*P1_LOG+AB234*P2_LOG+AC234*P3_LOG)*AQ234</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c r="AP234" s="58" t="n">
        <f aca="false">MIN(N(K234),Q234)</f>
        <v>0</v>
      </c>
      <c r="AQ234" s="61" t="n">
        <f aca="false">IF(Q234&gt;0,((Q234-AP234)*AT234+AP234*TASA_INC)/Q234,AT234)</f>
        <v>0.655565427753311</v>
      </c>
      <c r="AR234" s="58" t="n">
        <f aca="false">IF($A234&lt;FECHA_EXPORT,NETWORKDAYS($A234+1,FECHA_EXPORT,FESTIVOS),0)</f>
        <v>0</v>
      </c>
      <c r="AS234" s="61" t="n">
        <f aca="false">IF(AR234&gt;=5,1,INDEX(CDF_INC,1,AR234+1))</f>
        <v>0.14</v>
      </c>
      <c r="AT234" s="61" t="n">
        <f aca="false">TASA_USADA+(TASA_INC-TASA_USADA)*Q_INC*(1-AS234)/(1-Q_INC*AS234)</f>
        <v>0.655565427753311</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E235+AA235*AQ235</f>
        <v>0</v>
      </c>
      <c r="AE235" s="59" t="n">
        <f aca="false">F235+AB235*AQ235</f>
        <v>0</v>
      </c>
      <c r="AF235" s="59" t="n">
        <f aca="false">G235+AC235*AQ235</f>
        <v>0</v>
      </c>
      <c r="AG235" s="59" t="n">
        <f aca="false">H235+I235+J235+(AA235+AB235+AC235)*(1-AQ235)</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IF(ISNUMBER(L235),L235,E235*P1_LOG+F235*P2_LOG+G235*P3_LOG)+IF(ISNUMBER(M235),M235,AA235*P1_LOG+AB235*P2_LOG+AC235*P3_LOG)*AQ235</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c r="AP235" s="58" t="n">
        <f aca="false">MIN(N(K235),Q235)</f>
        <v>0</v>
      </c>
      <c r="AQ235" s="61" t="n">
        <f aca="false">IF(Q235&gt;0,((Q235-AP235)*AT235+AP235*TASA_INC)/Q235,AT235)</f>
        <v>0.655565427753311</v>
      </c>
      <c r="AR235" s="58" t="n">
        <f aca="false">IF($A235&lt;FECHA_EXPORT,NETWORKDAYS($A235+1,FECHA_EXPORT,FESTIVOS),0)</f>
        <v>0</v>
      </c>
      <c r="AS235" s="61" t="n">
        <f aca="false">IF(AR235&gt;=5,1,INDEX(CDF_INC,1,AR235+1))</f>
        <v>0.14</v>
      </c>
      <c r="AT235" s="61" t="n">
        <f aca="false">TASA_USADA+(TASA_INC-TASA_USADA)*Q_INC*(1-AS235)/(1-Q_INC*AS235)</f>
        <v>0.655565427753311</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E236+AA236*AQ236</f>
        <v>0</v>
      </c>
      <c r="AE236" s="59" t="n">
        <f aca="false">F236+AB236*AQ236</f>
        <v>0</v>
      </c>
      <c r="AF236" s="59" t="n">
        <f aca="false">G236+AC236*AQ236</f>
        <v>0</v>
      </c>
      <c r="AG236" s="59" t="n">
        <f aca="false">H236+I236+J236+(AA236+AB236+AC236)*(1-AQ236)</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IF(ISNUMBER(L236),L236,E236*P1_LOG+F236*P2_LOG+G236*P3_LOG)+IF(ISNUMBER(M236),M236,AA236*P1_LOG+AB236*P2_LOG+AC236*P3_LOG)*AQ236</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c r="AP236" s="58" t="n">
        <f aca="false">MIN(N(K236),Q236)</f>
        <v>0</v>
      </c>
      <c r="AQ236" s="61" t="n">
        <f aca="false">IF(Q236&gt;0,((Q236-AP236)*AT236+AP236*TASA_INC)/Q236,AT236)</f>
        <v>0.655565427753311</v>
      </c>
      <c r="AR236" s="58" t="n">
        <f aca="false">IF($A236&lt;FECHA_EXPORT,NETWORKDAYS($A236+1,FECHA_EXPORT,FESTIVOS),0)</f>
        <v>0</v>
      </c>
      <c r="AS236" s="61" t="n">
        <f aca="false">IF(AR236&gt;=5,1,INDEX(CDF_INC,1,AR236+1))</f>
        <v>0.14</v>
      </c>
      <c r="AT236" s="61" t="n">
        <f aca="false">TASA_USADA+(TASA_INC-TASA_USADA)*Q_INC*(1-AS236)/(1-Q_INC*AS236)</f>
        <v>0.655565427753311</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E237+AA237*AQ237</f>
        <v>0</v>
      </c>
      <c r="AE237" s="59" t="n">
        <f aca="false">F237+AB237*AQ237</f>
        <v>0</v>
      </c>
      <c r="AF237" s="59" t="n">
        <f aca="false">G237+AC237*AQ237</f>
        <v>0</v>
      </c>
      <c r="AG237" s="59" t="n">
        <f aca="false">H237+I237+J237+(AA237+AB237+AC237)*(1-AQ237)</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IF(ISNUMBER(L237),L237,E237*P1_LOG+F237*P2_LOG+G237*P3_LOG)+IF(ISNUMBER(M237),M237,AA237*P1_LOG+AB237*P2_LOG+AC237*P3_LOG)*AQ237</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c r="AP237" s="58" t="n">
        <f aca="false">MIN(N(K237),Q237)</f>
        <v>0</v>
      </c>
      <c r="AQ237" s="61" t="n">
        <f aca="false">IF(Q237&gt;0,((Q237-AP237)*AT237+AP237*TASA_INC)/Q237,AT237)</f>
        <v>0.655565427753311</v>
      </c>
      <c r="AR237" s="58" t="n">
        <f aca="false">IF($A237&lt;FECHA_EXPORT,NETWORKDAYS($A237+1,FECHA_EXPORT,FESTIVOS),0)</f>
        <v>0</v>
      </c>
      <c r="AS237" s="61" t="n">
        <f aca="false">IF(AR237&gt;=5,1,INDEX(CDF_INC,1,AR237+1))</f>
        <v>0.14</v>
      </c>
      <c r="AT237" s="61" t="n">
        <f aca="false">TASA_USADA+(TASA_INC-TASA_USADA)*Q_INC*(1-AS237)/(1-Q_INC*AS237)</f>
        <v>0.655565427753311</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E238+AA238*AQ238</f>
        <v>0</v>
      </c>
      <c r="AE238" s="59" t="n">
        <f aca="false">F238+AB238*AQ238</f>
        <v>0</v>
      </c>
      <c r="AF238" s="59" t="n">
        <f aca="false">G238+AC238*AQ238</f>
        <v>0</v>
      </c>
      <c r="AG238" s="59" t="n">
        <f aca="false">H238+I238+J238+(AA238+AB238+AC238)*(1-AQ238)</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IF(ISNUMBER(L238),L238,E238*P1_LOG+F238*P2_LOG+G238*P3_LOG)+IF(ISNUMBER(M238),M238,AA238*P1_LOG+AB238*P2_LOG+AC238*P3_LOG)*AQ238</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c r="AP238" s="58" t="n">
        <f aca="false">MIN(N(K238),Q238)</f>
        <v>0</v>
      </c>
      <c r="AQ238" s="61" t="n">
        <f aca="false">IF(Q238&gt;0,((Q238-AP238)*AT238+AP238*TASA_INC)/Q238,AT238)</f>
        <v>0.655565427753311</v>
      </c>
      <c r="AR238" s="58" t="n">
        <f aca="false">IF($A238&lt;FECHA_EXPORT,NETWORKDAYS($A238+1,FECHA_EXPORT,FESTIVOS),0)</f>
        <v>0</v>
      </c>
      <c r="AS238" s="61" t="n">
        <f aca="false">IF(AR238&gt;=5,1,INDEX(CDF_INC,1,AR238+1))</f>
        <v>0.14</v>
      </c>
      <c r="AT238" s="61" t="n">
        <f aca="false">TASA_USADA+(TASA_INC-TASA_USADA)*Q_INC*(1-AS238)/(1-Q_INC*AS238)</f>
        <v>0.655565427753311</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E239+AA239*AQ239</f>
        <v>0</v>
      </c>
      <c r="AE239" s="59" t="n">
        <f aca="false">F239+AB239*AQ239</f>
        <v>0</v>
      </c>
      <c r="AF239" s="59" t="n">
        <f aca="false">G239+AC239*AQ239</f>
        <v>0</v>
      </c>
      <c r="AG239" s="59" t="n">
        <f aca="false">H239+I239+J239+(AA239+AB239+AC239)*(1-AQ239)</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IF(ISNUMBER(L239),L239,E239*P1_LOG+F239*P2_LOG+G239*P3_LOG)+IF(ISNUMBER(M239),M239,AA239*P1_LOG+AB239*P2_LOG+AC239*P3_LOG)*AQ239</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c r="AP239" s="58" t="n">
        <f aca="false">MIN(N(K239),Q239)</f>
        <v>0</v>
      </c>
      <c r="AQ239" s="61" t="n">
        <f aca="false">IF(Q239&gt;0,((Q239-AP239)*AT239+AP239*TASA_INC)/Q239,AT239)</f>
        <v>0.655565427753311</v>
      </c>
      <c r="AR239" s="58" t="n">
        <f aca="false">IF($A239&lt;FECHA_EXPORT,NETWORKDAYS($A239+1,FECHA_EXPORT,FESTIVOS),0)</f>
        <v>0</v>
      </c>
      <c r="AS239" s="61" t="n">
        <f aca="false">IF(AR239&gt;=5,1,INDEX(CDF_INC,1,AR239+1))</f>
        <v>0.14</v>
      </c>
      <c r="AT239" s="61" t="n">
        <f aca="false">TASA_USADA+(TASA_INC-TASA_USADA)*Q_INC*(1-AS239)/(1-Q_INC*AS239)</f>
        <v>0.655565427753311</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E240+AA240*AQ240</f>
        <v>0</v>
      </c>
      <c r="AE240" s="59" t="n">
        <f aca="false">F240+AB240*AQ240</f>
        <v>0</v>
      </c>
      <c r="AF240" s="59" t="n">
        <f aca="false">G240+AC240*AQ240</f>
        <v>0</v>
      </c>
      <c r="AG240" s="59" t="n">
        <f aca="false">H240+I240+J240+(AA240+AB240+AC240)*(1-AQ240)</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IF(ISNUMBER(L240),L240,E240*P1_LOG+F240*P2_LOG+G240*P3_LOG)+IF(ISNUMBER(M240),M240,AA240*P1_LOG+AB240*P2_LOG+AC240*P3_LOG)*AQ240</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c r="AP240" s="58" t="n">
        <f aca="false">MIN(N(K240),Q240)</f>
        <v>0</v>
      </c>
      <c r="AQ240" s="61" t="n">
        <f aca="false">IF(Q240&gt;0,((Q240-AP240)*AT240+AP240*TASA_INC)/Q240,AT240)</f>
        <v>0.655565427753311</v>
      </c>
      <c r="AR240" s="58" t="n">
        <f aca="false">IF($A240&lt;FECHA_EXPORT,NETWORKDAYS($A240+1,FECHA_EXPORT,FESTIVOS),0)</f>
        <v>0</v>
      </c>
      <c r="AS240" s="61" t="n">
        <f aca="false">IF(AR240&gt;=5,1,INDEX(CDF_INC,1,AR240+1))</f>
        <v>0.14</v>
      </c>
      <c r="AT240" s="61" t="n">
        <f aca="false">TASA_USADA+(TASA_INC-TASA_USADA)*Q_INC*(1-AS240)/(1-Q_INC*AS240)</f>
        <v>0.655565427753311</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E241+AA241*AQ241</f>
        <v>0</v>
      </c>
      <c r="AE241" s="59" t="n">
        <f aca="false">F241+AB241*AQ241</f>
        <v>0</v>
      </c>
      <c r="AF241" s="59" t="n">
        <f aca="false">G241+AC241*AQ241</f>
        <v>0</v>
      </c>
      <c r="AG241" s="59" t="n">
        <f aca="false">H241+I241+J241+(AA241+AB241+AC241)*(1-AQ241)</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IF(ISNUMBER(L241),L241,E241*P1_LOG+F241*P2_LOG+G241*P3_LOG)+IF(ISNUMBER(M241),M241,AA241*P1_LOG+AB241*P2_LOG+AC241*P3_LOG)*AQ241</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c r="AP241" s="58" t="n">
        <f aca="false">MIN(N(K241),Q241)</f>
        <v>0</v>
      </c>
      <c r="AQ241" s="61" t="n">
        <f aca="false">IF(Q241&gt;0,((Q241-AP241)*AT241+AP241*TASA_INC)/Q241,AT241)</f>
        <v>0.655565427753311</v>
      </c>
      <c r="AR241" s="58" t="n">
        <f aca="false">IF($A241&lt;FECHA_EXPORT,NETWORKDAYS($A241+1,FECHA_EXPORT,FESTIVOS),0)</f>
        <v>0</v>
      </c>
      <c r="AS241" s="61" t="n">
        <f aca="false">IF(AR241&gt;=5,1,INDEX(CDF_INC,1,AR241+1))</f>
        <v>0.14</v>
      </c>
      <c r="AT241" s="61" t="n">
        <f aca="false">TASA_USADA+(TASA_INC-TASA_USADA)*Q_INC*(1-AS241)/(1-Q_INC*AS241)</f>
        <v>0.655565427753311</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E242+AA242*AQ242</f>
        <v>0</v>
      </c>
      <c r="AE242" s="59" t="n">
        <f aca="false">F242+AB242*AQ242</f>
        <v>0</v>
      </c>
      <c r="AF242" s="59" t="n">
        <f aca="false">G242+AC242*AQ242</f>
        <v>0</v>
      </c>
      <c r="AG242" s="59" t="n">
        <f aca="false">H242+I242+J242+(AA242+AB242+AC242)*(1-AQ242)</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IF(ISNUMBER(L242),L242,E242*P1_LOG+F242*P2_LOG+G242*P3_LOG)+IF(ISNUMBER(M242),M242,AA242*P1_LOG+AB242*P2_LOG+AC242*P3_LOG)*AQ242</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c r="AP242" s="58" t="n">
        <f aca="false">MIN(N(K242),Q242)</f>
        <v>0</v>
      </c>
      <c r="AQ242" s="61" t="n">
        <f aca="false">IF(Q242&gt;0,((Q242-AP242)*AT242+AP242*TASA_INC)/Q242,AT242)</f>
        <v>0.655565427753311</v>
      </c>
      <c r="AR242" s="58" t="n">
        <f aca="false">IF($A242&lt;FECHA_EXPORT,NETWORKDAYS($A242+1,FECHA_EXPORT,FESTIVOS),0)</f>
        <v>0</v>
      </c>
      <c r="AS242" s="61" t="n">
        <f aca="false">IF(AR242&gt;=5,1,INDEX(CDF_INC,1,AR242+1))</f>
        <v>0.14</v>
      </c>
      <c r="AT242" s="61" t="n">
        <f aca="false">TASA_USADA+(TASA_INC-TASA_USADA)*Q_INC*(1-AS242)/(1-Q_INC*AS242)</f>
        <v>0.655565427753311</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E243+AA243*AQ243</f>
        <v>0</v>
      </c>
      <c r="AE243" s="59" t="n">
        <f aca="false">F243+AB243*AQ243</f>
        <v>0</v>
      </c>
      <c r="AF243" s="59" t="n">
        <f aca="false">G243+AC243*AQ243</f>
        <v>0</v>
      </c>
      <c r="AG243" s="59" t="n">
        <f aca="false">H243+I243+J243+(AA243+AB243+AC243)*(1-AQ243)</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IF(ISNUMBER(L243),L243,E243*P1_LOG+F243*P2_LOG+G243*P3_LOG)+IF(ISNUMBER(M243),M243,AA243*P1_LOG+AB243*P2_LOG+AC243*P3_LOG)*AQ243</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c r="AP243" s="58" t="n">
        <f aca="false">MIN(N(K243),Q243)</f>
        <v>0</v>
      </c>
      <c r="AQ243" s="61" t="n">
        <f aca="false">IF(Q243&gt;0,((Q243-AP243)*AT243+AP243*TASA_INC)/Q243,AT243)</f>
        <v>0.655565427753311</v>
      </c>
      <c r="AR243" s="58" t="n">
        <f aca="false">IF($A243&lt;FECHA_EXPORT,NETWORKDAYS($A243+1,FECHA_EXPORT,FESTIVOS),0)</f>
        <v>0</v>
      </c>
      <c r="AS243" s="61" t="n">
        <f aca="false">IF(AR243&gt;=5,1,INDEX(CDF_INC,1,AR243+1))</f>
        <v>0.14</v>
      </c>
      <c r="AT243" s="61" t="n">
        <f aca="false">TASA_USADA+(TASA_INC-TASA_USADA)*Q_INC*(1-AS243)/(1-Q_INC*AS243)</f>
        <v>0.655565427753311</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E244+AA244*AQ244</f>
        <v>0</v>
      </c>
      <c r="AE244" s="59" t="n">
        <f aca="false">F244+AB244*AQ244</f>
        <v>0</v>
      </c>
      <c r="AF244" s="59" t="n">
        <f aca="false">G244+AC244*AQ244</f>
        <v>0</v>
      </c>
      <c r="AG244" s="59" t="n">
        <f aca="false">H244+I244+J244+(AA244+AB244+AC244)*(1-AQ244)</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IF(ISNUMBER(L244),L244,E244*P1_LOG+F244*P2_LOG+G244*P3_LOG)+IF(ISNUMBER(M244),M244,AA244*P1_LOG+AB244*P2_LOG+AC244*P3_LOG)*AQ244</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c r="AP244" s="58" t="n">
        <f aca="false">MIN(N(K244),Q244)</f>
        <v>0</v>
      </c>
      <c r="AQ244" s="61" t="n">
        <f aca="false">IF(Q244&gt;0,((Q244-AP244)*AT244+AP244*TASA_INC)/Q244,AT244)</f>
        <v>0.655565427753311</v>
      </c>
      <c r="AR244" s="58" t="n">
        <f aca="false">IF($A244&lt;FECHA_EXPORT,NETWORKDAYS($A244+1,FECHA_EXPORT,FESTIVOS),0)</f>
        <v>0</v>
      </c>
      <c r="AS244" s="61" t="n">
        <f aca="false">IF(AR244&gt;=5,1,INDEX(CDF_INC,1,AR244+1))</f>
        <v>0.14</v>
      </c>
      <c r="AT244" s="61" t="n">
        <f aca="false">TASA_USADA+(TASA_INC-TASA_USADA)*Q_INC*(1-AS244)/(1-Q_INC*AS244)</f>
        <v>0.655565427753311</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E245+AA245*AQ245</f>
        <v>0</v>
      </c>
      <c r="AE245" s="59" t="n">
        <f aca="false">F245+AB245*AQ245</f>
        <v>0</v>
      </c>
      <c r="AF245" s="59" t="n">
        <f aca="false">G245+AC245*AQ245</f>
        <v>0</v>
      </c>
      <c r="AG245" s="59" t="n">
        <f aca="false">H245+I245+J245+(AA245+AB245+AC245)*(1-AQ245)</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IF(ISNUMBER(L245),L245,E245*P1_LOG+F245*P2_LOG+G245*P3_LOG)+IF(ISNUMBER(M245),M245,AA245*P1_LOG+AB245*P2_LOG+AC245*P3_LOG)*AQ245</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c r="AP245" s="58" t="n">
        <f aca="false">MIN(N(K245),Q245)</f>
        <v>0</v>
      </c>
      <c r="AQ245" s="61" t="n">
        <f aca="false">IF(Q245&gt;0,((Q245-AP245)*AT245+AP245*TASA_INC)/Q245,AT245)</f>
        <v>0.655565427753311</v>
      </c>
      <c r="AR245" s="58" t="n">
        <f aca="false">IF($A245&lt;FECHA_EXPORT,NETWORKDAYS($A245+1,FECHA_EXPORT,FESTIVOS),0)</f>
        <v>0</v>
      </c>
      <c r="AS245" s="61" t="n">
        <f aca="false">IF(AR245&gt;=5,1,INDEX(CDF_INC,1,AR245+1))</f>
        <v>0.14</v>
      </c>
      <c r="AT245" s="61" t="n">
        <f aca="false">TASA_USADA+(TASA_INC-TASA_USADA)*Q_INC*(1-AS245)/(1-Q_INC*AS245)</f>
        <v>0.655565427753311</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E246+AA246*AQ246</f>
        <v>0</v>
      </c>
      <c r="AE246" s="59" t="n">
        <f aca="false">F246+AB246*AQ246</f>
        <v>0</v>
      </c>
      <c r="AF246" s="59" t="n">
        <f aca="false">G246+AC246*AQ246</f>
        <v>0</v>
      </c>
      <c r="AG246" s="59" t="n">
        <f aca="false">H246+I246+J246+(AA246+AB246+AC246)*(1-AQ246)</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IF(ISNUMBER(L246),L246,E246*P1_LOG+F246*P2_LOG+G246*P3_LOG)+IF(ISNUMBER(M246),M246,AA246*P1_LOG+AB246*P2_LOG+AC246*P3_LOG)*AQ246</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c r="AP246" s="58" t="n">
        <f aca="false">MIN(N(K246),Q246)</f>
        <v>0</v>
      </c>
      <c r="AQ246" s="61" t="n">
        <f aca="false">IF(Q246&gt;0,((Q246-AP246)*AT246+AP246*TASA_INC)/Q246,AT246)</f>
        <v>0.655565427753311</v>
      </c>
      <c r="AR246" s="58" t="n">
        <f aca="false">IF($A246&lt;FECHA_EXPORT,NETWORKDAYS($A246+1,FECHA_EXPORT,FESTIVOS),0)</f>
        <v>0</v>
      </c>
      <c r="AS246" s="61" t="n">
        <f aca="false">IF(AR246&gt;=5,1,INDEX(CDF_INC,1,AR246+1))</f>
        <v>0.14</v>
      </c>
      <c r="AT246" s="61" t="n">
        <f aca="false">TASA_USADA+(TASA_INC-TASA_USADA)*Q_INC*(1-AS246)/(1-Q_INC*AS246)</f>
        <v>0.655565427753311</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E247+AA247*AQ247</f>
        <v>0</v>
      </c>
      <c r="AE247" s="59" t="n">
        <f aca="false">F247+AB247*AQ247</f>
        <v>0</v>
      </c>
      <c r="AF247" s="59" t="n">
        <f aca="false">G247+AC247*AQ247</f>
        <v>0</v>
      </c>
      <c r="AG247" s="59" t="n">
        <f aca="false">H247+I247+J247+(AA247+AB247+AC247)*(1-AQ247)</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IF(ISNUMBER(L247),L247,E247*P1_LOG+F247*P2_LOG+G247*P3_LOG)+IF(ISNUMBER(M247),M247,AA247*P1_LOG+AB247*P2_LOG+AC247*P3_LOG)*AQ247</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c r="AP247" s="58" t="n">
        <f aca="false">MIN(N(K247),Q247)</f>
        <v>0</v>
      </c>
      <c r="AQ247" s="61" t="n">
        <f aca="false">IF(Q247&gt;0,((Q247-AP247)*AT247+AP247*TASA_INC)/Q247,AT247)</f>
        <v>0.655565427753311</v>
      </c>
      <c r="AR247" s="58" t="n">
        <f aca="false">IF($A247&lt;FECHA_EXPORT,NETWORKDAYS($A247+1,FECHA_EXPORT,FESTIVOS),0)</f>
        <v>0</v>
      </c>
      <c r="AS247" s="61" t="n">
        <f aca="false">IF(AR247&gt;=5,1,INDEX(CDF_INC,1,AR247+1))</f>
        <v>0.14</v>
      </c>
      <c r="AT247" s="61" t="n">
        <f aca="false">TASA_USADA+(TASA_INC-TASA_USADA)*Q_INC*(1-AS247)/(1-Q_INC*AS247)</f>
        <v>0.655565427753311</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E248+AA248*AQ248</f>
        <v>0</v>
      </c>
      <c r="AE248" s="59" t="n">
        <f aca="false">F248+AB248*AQ248</f>
        <v>0</v>
      </c>
      <c r="AF248" s="59" t="n">
        <f aca="false">G248+AC248*AQ248</f>
        <v>0</v>
      </c>
      <c r="AG248" s="59" t="n">
        <f aca="false">H248+I248+J248+(AA248+AB248+AC248)*(1-AQ248)</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IF(ISNUMBER(L248),L248,E248*P1_LOG+F248*P2_LOG+G248*P3_LOG)+IF(ISNUMBER(M248),M248,AA248*P1_LOG+AB248*P2_LOG+AC248*P3_LOG)*AQ248</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c r="AP248" s="58" t="n">
        <f aca="false">MIN(N(K248),Q248)</f>
        <v>0</v>
      </c>
      <c r="AQ248" s="61" t="n">
        <f aca="false">IF(Q248&gt;0,((Q248-AP248)*AT248+AP248*TASA_INC)/Q248,AT248)</f>
        <v>0.655565427753311</v>
      </c>
      <c r="AR248" s="58" t="n">
        <f aca="false">IF($A248&lt;FECHA_EXPORT,NETWORKDAYS($A248+1,FECHA_EXPORT,FESTIVOS),0)</f>
        <v>0</v>
      </c>
      <c r="AS248" s="61" t="n">
        <f aca="false">IF(AR248&gt;=5,1,INDEX(CDF_INC,1,AR248+1))</f>
        <v>0.14</v>
      </c>
      <c r="AT248" s="61" t="n">
        <f aca="false">TASA_USADA+(TASA_INC-TASA_USADA)*Q_INC*(1-AS248)/(1-Q_INC*AS248)</f>
        <v>0.655565427753311</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E249+AA249*AQ249</f>
        <v>0</v>
      </c>
      <c r="AE249" s="59" t="n">
        <f aca="false">F249+AB249*AQ249</f>
        <v>0</v>
      </c>
      <c r="AF249" s="59" t="n">
        <f aca="false">G249+AC249*AQ249</f>
        <v>0</v>
      </c>
      <c r="AG249" s="59" t="n">
        <f aca="false">H249+I249+J249+(AA249+AB249+AC249)*(1-AQ249)</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IF(ISNUMBER(L249),L249,E249*P1_LOG+F249*P2_LOG+G249*P3_LOG)+IF(ISNUMBER(M249),M249,AA249*P1_LOG+AB249*P2_LOG+AC249*P3_LOG)*AQ249</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c r="AP249" s="58" t="n">
        <f aca="false">MIN(N(K249),Q249)</f>
        <v>0</v>
      </c>
      <c r="AQ249" s="61" t="n">
        <f aca="false">IF(Q249&gt;0,((Q249-AP249)*AT249+AP249*TASA_INC)/Q249,AT249)</f>
        <v>0.655565427753311</v>
      </c>
      <c r="AR249" s="58" t="n">
        <f aca="false">IF($A249&lt;FECHA_EXPORT,NETWORKDAYS($A249+1,FECHA_EXPORT,FESTIVOS),0)</f>
        <v>0</v>
      </c>
      <c r="AS249" s="61" t="n">
        <f aca="false">IF(AR249&gt;=5,1,INDEX(CDF_INC,1,AR249+1))</f>
        <v>0.14</v>
      </c>
      <c r="AT249" s="61" t="n">
        <f aca="false">TASA_USADA+(TASA_INC-TASA_USADA)*Q_INC*(1-AS249)/(1-Q_INC*AS249)</f>
        <v>0.655565427753311</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E250+AA250*AQ250</f>
        <v>0</v>
      </c>
      <c r="AE250" s="59" t="n">
        <f aca="false">F250+AB250*AQ250</f>
        <v>0</v>
      </c>
      <c r="AF250" s="59" t="n">
        <f aca="false">G250+AC250*AQ250</f>
        <v>0</v>
      </c>
      <c r="AG250" s="59" t="n">
        <f aca="false">H250+I250+J250+(AA250+AB250+AC250)*(1-AQ250)</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IF(ISNUMBER(L250),L250,E250*P1_LOG+F250*P2_LOG+G250*P3_LOG)+IF(ISNUMBER(M250),M250,AA250*P1_LOG+AB250*P2_LOG+AC250*P3_LOG)*AQ250</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c r="AP250" s="58" t="n">
        <f aca="false">MIN(N(K250),Q250)</f>
        <v>0</v>
      </c>
      <c r="AQ250" s="61" t="n">
        <f aca="false">IF(Q250&gt;0,((Q250-AP250)*AT250+AP250*TASA_INC)/Q250,AT250)</f>
        <v>0.655565427753311</v>
      </c>
      <c r="AR250" s="58" t="n">
        <f aca="false">IF($A250&lt;FECHA_EXPORT,NETWORKDAYS($A250+1,FECHA_EXPORT,FESTIVOS),0)</f>
        <v>0</v>
      </c>
      <c r="AS250" s="61" t="n">
        <f aca="false">IF(AR250&gt;=5,1,INDEX(CDF_INC,1,AR250+1))</f>
        <v>0.14</v>
      </c>
      <c r="AT250" s="61" t="n">
        <f aca="false">TASA_USADA+(TASA_INC-TASA_USADA)*Q_INC*(1-AS250)/(1-Q_INC*AS250)</f>
        <v>0.655565427753311</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E251+AA251*AQ251</f>
        <v>0</v>
      </c>
      <c r="AE251" s="59" t="n">
        <f aca="false">F251+AB251*AQ251</f>
        <v>0</v>
      </c>
      <c r="AF251" s="59" t="n">
        <f aca="false">G251+AC251*AQ251</f>
        <v>0</v>
      </c>
      <c r="AG251" s="59" t="n">
        <f aca="false">H251+I251+J251+(AA251+AB251+AC251)*(1-AQ251)</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IF(ISNUMBER(L251),L251,E251*P1_LOG+F251*P2_LOG+G251*P3_LOG)+IF(ISNUMBER(M251),M251,AA251*P1_LOG+AB251*P2_LOG+AC251*P3_LOG)*AQ251</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c r="AP251" s="58" t="n">
        <f aca="false">MIN(N(K251),Q251)</f>
        <v>0</v>
      </c>
      <c r="AQ251" s="61" t="n">
        <f aca="false">IF(Q251&gt;0,((Q251-AP251)*AT251+AP251*TASA_INC)/Q251,AT251)</f>
        <v>0.655565427753311</v>
      </c>
      <c r="AR251" s="58" t="n">
        <f aca="false">IF($A251&lt;FECHA_EXPORT,NETWORKDAYS($A251+1,FECHA_EXPORT,FESTIVOS),0)</f>
        <v>0</v>
      </c>
      <c r="AS251" s="61" t="n">
        <f aca="false">IF(AR251&gt;=5,1,INDEX(CDF_INC,1,AR251+1))</f>
        <v>0.14</v>
      </c>
      <c r="AT251" s="61" t="n">
        <f aca="false">TASA_USADA+(TASA_INC-TASA_USADA)*Q_INC*(1-AS251)/(1-Q_INC*AS251)</f>
        <v>0.655565427753311</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E252+AA252*AQ252</f>
        <v>0</v>
      </c>
      <c r="AE252" s="59" t="n">
        <f aca="false">F252+AB252*AQ252</f>
        <v>0</v>
      </c>
      <c r="AF252" s="59" t="n">
        <f aca="false">G252+AC252*AQ252</f>
        <v>0</v>
      </c>
      <c r="AG252" s="59" t="n">
        <f aca="false">H252+I252+J252+(AA252+AB252+AC252)*(1-AQ252)</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IF(ISNUMBER(L252),L252,E252*P1_LOG+F252*P2_LOG+G252*P3_LOG)+IF(ISNUMBER(M252),M252,AA252*P1_LOG+AB252*P2_LOG+AC252*P3_LOG)*AQ252</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c r="AP252" s="58" t="n">
        <f aca="false">MIN(N(K252),Q252)</f>
        <v>0</v>
      </c>
      <c r="AQ252" s="61" t="n">
        <f aca="false">IF(Q252&gt;0,((Q252-AP252)*AT252+AP252*TASA_INC)/Q252,AT252)</f>
        <v>0.655565427753311</v>
      </c>
      <c r="AR252" s="58" t="n">
        <f aca="false">IF($A252&lt;FECHA_EXPORT,NETWORKDAYS($A252+1,FECHA_EXPORT,FESTIVOS),0)</f>
        <v>0</v>
      </c>
      <c r="AS252" s="61" t="n">
        <f aca="false">IF(AR252&gt;=5,1,INDEX(CDF_INC,1,AR252+1))</f>
        <v>0.14</v>
      </c>
      <c r="AT252" s="61" t="n">
        <f aca="false">TASA_USADA+(TASA_INC-TASA_USADA)*Q_INC*(1-AS252)/(1-Q_INC*AS252)</f>
        <v>0.655565427753311</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E253+AA253*AQ253</f>
        <v>0</v>
      </c>
      <c r="AE253" s="59" t="n">
        <f aca="false">F253+AB253*AQ253</f>
        <v>0</v>
      </c>
      <c r="AF253" s="59" t="n">
        <f aca="false">G253+AC253*AQ253</f>
        <v>0</v>
      </c>
      <c r="AG253" s="59" t="n">
        <f aca="false">H253+I253+J253+(AA253+AB253+AC253)*(1-AQ253)</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IF(ISNUMBER(L253),L253,E253*P1_LOG+F253*P2_LOG+G253*P3_LOG)+IF(ISNUMBER(M253),M253,AA253*P1_LOG+AB253*P2_LOG+AC253*P3_LOG)*AQ253</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c r="AP253" s="58" t="n">
        <f aca="false">MIN(N(K253),Q253)</f>
        <v>0</v>
      </c>
      <c r="AQ253" s="61" t="n">
        <f aca="false">IF(Q253&gt;0,((Q253-AP253)*AT253+AP253*TASA_INC)/Q253,AT253)</f>
        <v>0.655565427753311</v>
      </c>
      <c r="AR253" s="58" t="n">
        <f aca="false">IF($A253&lt;FECHA_EXPORT,NETWORKDAYS($A253+1,FECHA_EXPORT,FESTIVOS),0)</f>
        <v>0</v>
      </c>
      <c r="AS253" s="61" t="n">
        <f aca="false">IF(AR253&gt;=5,1,INDEX(CDF_INC,1,AR253+1))</f>
        <v>0.14</v>
      </c>
      <c r="AT253" s="61" t="n">
        <f aca="false">TASA_USADA+(TASA_INC-TASA_USADA)*Q_INC*(1-AS253)/(1-Q_INC*AS253)</f>
        <v>0.655565427753311</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E254+AA254*AQ254</f>
        <v>0</v>
      </c>
      <c r="AE254" s="59" t="n">
        <f aca="false">F254+AB254*AQ254</f>
        <v>0</v>
      </c>
      <c r="AF254" s="59" t="n">
        <f aca="false">G254+AC254*AQ254</f>
        <v>0</v>
      </c>
      <c r="AG254" s="59" t="n">
        <f aca="false">H254+I254+J254+(AA254+AB254+AC254)*(1-AQ254)</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IF(ISNUMBER(L254),L254,E254*P1_LOG+F254*P2_LOG+G254*P3_LOG)+IF(ISNUMBER(M254),M254,AA254*P1_LOG+AB254*P2_LOG+AC254*P3_LOG)*AQ254</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c r="AP254" s="58" t="n">
        <f aca="false">MIN(N(K254),Q254)</f>
        <v>0</v>
      </c>
      <c r="AQ254" s="61" t="n">
        <f aca="false">IF(Q254&gt;0,((Q254-AP254)*AT254+AP254*TASA_INC)/Q254,AT254)</f>
        <v>0.655565427753311</v>
      </c>
      <c r="AR254" s="58" t="n">
        <f aca="false">IF($A254&lt;FECHA_EXPORT,NETWORKDAYS($A254+1,FECHA_EXPORT,FESTIVOS),0)</f>
        <v>0</v>
      </c>
      <c r="AS254" s="61" t="n">
        <f aca="false">IF(AR254&gt;=5,1,INDEX(CDF_INC,1,AR254+1))</f>
        <v>0.14</v>
      </c>
      <c r="AT254" s="61" t="n">
        <f aca="false">TASA_USADA+(TASA_INC-TASA_USADA)*Q_INC*(1-AS254)/(1-Q_INC*AS254)</f>
        <v>0.655565427753311</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E255+AA255*AQ255</f>
        <v>0</v>
      </c>
      <c r="AE255" s="59" t="n">
        <f aca="false">F255+AB255*AQ255</f>
        <v>0</v>
      </c>
      <c r="AF255" s="59" t="n">
        <f aca="false">G255+AC255*AQ255</f>
        <v>0</v>
      </c>
      <c r="AG255" s="59" t="n">
        <f aca="false">H255+I255+J255+(AA255+AB255+AC255)*(1-AQ255)</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IF(ISNUMBER(L255),L255,E255*P1_LOG+F255*P2_LOG+G255*P3_LOG)+IF(ISNUMBER(M255),M255,AA255*P1_LOG+AB255*P2_LOG+AC255*P3_LOG)*AQ255</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c r="AP255" s="58" t="n">
        <f aca="false">MIN(N(K255),Q255)</f>
        <v>0</v>
      </c>
      <c r="AQ255" s="61" t="n">
        <f aca="false">IF(Q255&gt;0,((Q255-AP255)*AT255+AP255*TASA_INC)/Q255,AT255)</f>
        <v>0.655565427753311</v>
      </c>
      <c r="AR255" s="58" t="n">
        <f aca="false">IF($A255&lt;FECHA_EXPORT,NETWORKDAYS($A255+1,FECHA_EXPORT,FESTIVOS),0)</f>
        <v>0</v>
      </c>
      <c r="AS255" s="61" t="n">
        <f aca="false">IF(AR255&gt;=5,1,INDEX(CDF_INC,1,AR255+1))</f>
        <v>0.14</v>
      </c>
      <c r="AT255" s="61" t="n">
        <f aca="false">TASA_USADA+(TASA_INC-TASA_USADA)*Q_INC*(1-AS255)/(1-Q_INC*AS255)</f>
        <v>0.655565427753311</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E256+AA256*AQ256</f>
        <v>0</v>
      </c>
      <c r="AE256" s="59" t="n">
        <f aca="false">F256+AB256*AQ256</f>
        <v>0</v>
      </c>
      <c r="AF256" s="59" t="n">
        <f aca="false">G256+AC256*AQ256</f>
        <v>0</v>
      </c>
      <c r="AG256" s="59" t="n">
        <f aca="false">H256+I256+J256+(AA256+AB256+AC256)*(1-AQ256)</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IF(ISNUMBER(L256),L256,E256*P1_LOG+F256*P2_LOG+G256*P3_LOG)+IF(ISNUMBER(M256),M256,AA256*P1_LOG+AB256*P2_LOG+AC256*P3_LOG)*AQ256</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c r="AP256" s="58" t="n">
        <f aca="false">MIN(N(K256),Q256)</f>
        <v>0</v>
      </c>
      <c r="AQ256" s="61" t="n">
        <f aca="false">IF(Q256&gt;0,((Q256-AP256)*AT256+AP256*TASA_INC)/Q256,AT256)</f>
        <v>0.655565427753311</v>
      </c>
      <c r="AR256" s="58" t="n">
        <f aca="false">IF($A256&lt;FECHA_EXPORT,NETWORKDAYS($A256+1,FECHA_EXPORT,FESTIVOS),0)</f>
        <v>0</v>
      </c>
      <c r="AS256" s="61" t="n">
        <f aca="false">IF(AR256&gt;=5,1,INDEX(CDF_INC,1,AR256+1))</f>
        <v>0.14</v>
      </c>
      <c r="AT256" s="61" t="n">
        <f aca="false">TASA_USADA+(TASA_INC-TASA_USADA)*Q_INC*(1-AS256)/(1-Q_INC*AS256)</f>
        <v>0.655565427753311</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E257+AA257*AQ257</f>
        <v>0</v>
      </c>
      <c r="AE257" s="59" t="n">
        <f aca="false">F257+AB257*AQ257</f>
        <v>0</v>
      </c>
      <c r="AF257" s="59" t="n">
        <f aca="false">G257+AC257*AQ257</f>
        <v>0</v>
      </c>
      <c r="AG257" s="59" t="n">
        <f aca="false">H257+I257+J257+(AA257+AB257+AC257)*(1-AQ257)</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IF(ISNUMBER(L257),L257,E257*P1_LOG+F257*P2_LOG+G257*P3_LOG)+IF(ISNUMBER(M257),M257,AA257*P1_LOG+AB257*P2_LOG+AC257*P3_LOG)*AQ257</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c r="AP257" s="58" t="n">
        <f aca="false">MIN(N(K257),Q257)</f>
        <v>0</v>
      </c>
      <c r="AQ257" s="61" t="n">
        <f aca="false">IF(Q257&gt;0,((Q257-AP257)*AT257+AP257*TASA_INC)/Q257,AT257)</f>
        <v>0.655565427753311</v>
      </c>
      <c r="AR257" s="58" t="n">
        <f aca="false">IF($A257&lt;FECHA_EXPORT,NETWORKDAYS($A257+1,FECHA_EXPORT,FESTIVOS),0)</f>
        <v>0</v>
      </c>
      <c r="AS257" s="61" t="n">
        <f aca="false">IF(AR257&gt;=5,1,INDEX(CDF_INC,1,AR257+1))</f>
        <v>0.14</v>
      </c>
      <c r="AT257" s="61" t="n">
        <f aca="false">TASA_USADA+(TASA_INC-TASA_USADA)*Q_INC*(1-AS257)/(1-Q_INC*AS257)</f>
        <v>0.655565427753311</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E258+AA258*AQ258</f>
        <v>0</v>
      </c>
      <c r="AE258" s="59" t="n">
        <f aca="false">F258+AB258*AQ258</f>
        <v>0</v>
      </c>
      <c r="AF258" s="59" t="n">
        <f aca="false">G258+AC258*AQ258</f>
        <v>0</v>
      </c>
      <c r="AG258" s="59" t="n">
        <f aca="false">H258+I258+J258+(AA258+AB258+AC258)*(1-AQ258)</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IF(ISNUMBER(L258),L258,E258*P1_LOG+F258*P2_LOG+G258*P3_LOG)+IF(ISNUMBER(M258),M258,AA258*P1_LOG+AB258*P2_LOG+AC258*P3_LOG)*AQ258</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c r="AP258" s="58" t="n">
        <f aca="false">MIN(N(K258),Q258)</f>
        <v>0</v>
      </c>
      <c r="AQ258" s="61" t="n">
        <f aca="false">IF(Q258&gt;0,((Q258-AP258)*AT258+AP258*TASA_INC)/Q258,AT258)</f>
        <v>0.655565427753311</v>
      </c>
      <c r="AR258" s="58" t="n">
        <f aca="false">IF($A258&lt;FECHA_EXPORT,NETWORKDAYS($A258+1,FECHA_EXPORT,FESTIVOS),0)</f>
        <v>0</v>
      </c>
      <c r="AS258" s="61" t="n">
        <f aca="false">IF(AR258&gt;=5,1,INDEX(CDF_INC,1,AR258+1))</f>
        <v>0.14</v>
      </c>
      <c r="AT258" s="61" t="n">
        <f aca="false">TASA_USADA+(TASA_INC-TASA_USADA)*Q_INC*(1-AS258)/(1-Q_INC*AS258)</f>
        <v>0.655565427753311</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E259+AA259*AQ259</f>
        <v>0</v>
      </c>
      <c r="AE259" s="59" t="n">
        <f aca="false">F259+AB259*AQ259</f>
        <v>0</v>
      </c>
      <c r="AF259" s="59" t="n">
        <f aca="false">G259+AC259*AQ259</f>
        <v>0</v>
      </c>
      <c r="AG259" s="59" t="n">
        <f aca="false">H259+I259+J259+(AA259+AB259+AC259)*(1-AQ259)</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IF(ISNUMBER(L259),L259,E259*P1_LOG+F259*P2_LOG+G259*P3_LOG)+IF(ISNUMBER(M259),M259,AA259*P1_LOG+AB259*P2_LOG+AC259*P3_LOG)*AQ259</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c r="AP259" s="58" t="n">
        <f aca="false">MIN(N(K259),Q259)</f>
        <v>0</v>
      </c>
      <c r="AQ259" s="61" t="n">
        <f aca="false">IF(Q259&gt;0,((Q259-AP259)*AT259+AP259*TASA_INC)/Q259,AT259)</f>
        <v>0.655565427753311</v>
      </c>
      <c r="AR259" s="58" t="n">
        <f aca="false">IF($A259&lt;FECHA_EXPORT,NETWORKDAYS($A259+1,FECHA_EXPORT,FESTIVOS),0)</f>
        <v>0</v>
      </c>
      <c r="AS259" s="61" t="n">
        <f aca="false">IF(AR259&gt;=5,1,INDEX(CDF_INC,1,AR259+1))</f>
        <v>0.14</v>
      </c>
      <c r="AT259" s="61" t="n">
        <f aca="false">TASA_USADA+(TASA_INC-TASA_USADA)*Q_INC*(1-AS259)/(1-Q_INC*AS259)</f>
        <v>0.655565427753311</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E260+AA260*AQ260</f>
        <v>0</v>
      </c>
      <c r="AE260" s="59" t="n">
        <f aca="false">F260+AB260*AQ260</f>
        <v>0</v>
      </c>
      <c r="AF260" s="59" t="n">
        <f aca="false">G260+AC260*AQ260</f>
        <v>0</v>
      </c>
      <c r="AG260" s="59" t="n">
        <f aca="false">H260+I260+J260+(AA260+AB260+AC260)*(1-AQ260)</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IF(ISNUMBER(L260),L260,E260*P1_LOG+F260*P2_LOG+G260*P3_LOG)+IF(ISNUMBER(M260),M260,AA260*P1_LOG+AB260*P2_LOG+AC260*P3_LOG)*AQ260</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c r="AP260" s="58" t="n">
        <f aca="false">MIN(N(K260),Q260)</f>
        <v>0</v>
      </c>
      <c r="AQ260" s="61" t="n">
        <f aca="false">IF(Q260&gt;0,((Q260-AP260)*AT260+AP260*TASA_INC)/Q260,AT260)</f>
        <v>0.655565427753311</v>
      </c>
      <c r="AR260" s="58" t="n">
        <f aca="false">IF($A260&lt;FECHA_EXPORT,NETWORKDAYS($A260+1,FECHA_EXPORT,FESTIVOS),0)</f>
        <v>0</v>
      </c>
      <c r="AS260" s="61" t="n">
        <f aca="false">IF(AR260&gt;=5,1,INDEX(CDF_INC,1,AR260+1))</f>
        <v>0.14</v>
      </c>
      <c r="AT260" s="61" t="n">
        <f aca="false">TASA_USADA+(TASA_INC-TASA_USADA)*Q_INC*(1-AS260)/(1-Q_INC*AS260)</f>
        <v>0.655565427753311</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E261+AA261*AQ261</f>
        <v>0</v>
      </c>
      <c r="AE261" s="59" t="n">
        <f aca="false">F261+AB261*AQ261</f>
        <v>0</v>
      </c>
      <c r="AF261" s="59" t="n">
        <f aca="false">G261+AC261*AQ261</f>
        <v>0</v>
      </c>
      <c r="AG261" s="59" t="n">
        <f aca="false">H261+I261+J261+(AA261+AB261+AC261)*(1-AQ261)</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IF(ISNUMBER(L261),L261,E261*P1_LOG+F261*P2_LOG+G261*P3_LOG)+IF(ISNUMBER(M261),M261,AA261*P1_LOG+AB261*P2_LOG+AC261*P3_LOG)*AQ261</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c r="AP261" s="58" t="n">
        <f aca="false">MIN(N(K261),Q261)</f>
        <v>0</v>
      </c>
      <c r="AQ261" s="61" t="n">
        <f aca="false">IF(Q261&gt;0,((Q261-AP261)*AT261+AP261*TASA_INC)/Q261,AT261)</f>
        <v>0.655565427753311</v>
      </c>
      <c r="AR261" s="58" t="n">
        <f aca="false">IF($A261&lt;FECHA_EXPORT,NETWORKDAYS($A261+1,FECHA_EXPORT,FESTIVOS),0)</f>
        <v>0</v>
      </c>
      <c r="AS261" s="61" t="n">
        <f aca="false">IF(AR261&gt;=5,1,INDEX(CDF_INC,1,AR261+1))</f>
        <v>0.14</v>
      </c>
      <c r="AT261" s="61" t="n">
        <f aca="false">TASA_USADA+(TASA_INC-TASA_USADA)*Q_INC*(1-AS261)/(1-Q_INC*AS261)</f>
        <v>0.655565427753311</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E262+AA262*AQ262</f>
        <v>0</v>
      </c>
      <c r="AE262" s="59" t="n">
        <f aca="false">F262+AB262*AQ262</f>
        <v>0</v>
      </c>
      <c r="AF262" s="59" t="n">
        <f aca="false">G262+AC262*AQ262</f>
        <v>0</v>
      </c>
      <c r="AG262" s="59" t="n">
        <f aca="false">H262+I262+J262+(AA262+AB262+AC262)*(1-AQ262)</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IF(ISNUMBER(L262),L262,E262*P1_LOG+F262*P2_LOG+G262*P3_LOG)+IF(ISNUMBER(M262),M262,AA262*P1_LOG+AB262*P2_LOG+AC262*P3_LOG)*AQ262</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c r="AP262" s="58" t="n">
        <f aca="false">MIN(N(K262),Q262)</f>
        <v>0</v>
      </c>
      <c r="AQ262" s="61" t="n">
        <f aca="false">IF(Q262&gt;0,((Q262-AP262)*AT262+AP262*TASA_INC)/Q262,AT262)</f>
        <v>0.655565427753311</v>
      </c>
      <c r="AR262" s="58" t="n">
        <f aca="false">IF($A262&lt;FECHA_EXPORT,NETWORKDAYS($A262+1,FECHA_EXPORT,FESTIVOS),0)</f>
        <v>0</v>
      </c>
      <c r="AS262" s="61" t="n">
        <f aca="false">IF(AR262&gt;=5,1,INDEX(CDF_INC,1,AR262+1))</f>
        <v>0.14</v>
      </c>
      <c r="AT262" s="61" t="n">
        <f aca="false">TASA_USADA+(TASA_INC-TASA_USADA)*Q_INC*(1-AS262)/(1-Q_INC*AS262)</f>
        <v>0.655565427753311</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E263+AA263*AQ263</f>
        <v>0</v>
      </c>
      <c r="AE263" s="59" t="n">
        <f aca="false">F263+AB263*AQ263</f>
        <v>0</v>
      </c>
      <c r="AF263" s="59" t="n">
        <f aca="false">G263+AC263*AQ263</f>
        <v>0</v>
      </c>
      <c r="AG263" s="59" t="n">
        <f aca="false">H263+I263+J263+(AA263+AB263+AC263)*(1-AQ263)</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IF(ISNUMBER(L263),L263,E263*P1_LOG+F263*P2_LOG+G263*P3_LOG)+IF(ISNUMBER(M263),M263,AA263*P1_LOG+AB263*P2_LOG+AC263*P3_LOG)*AQ263</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c r="AP263" s="58" t="n">
        <f aca="false">MIN(N(K263),Q263)</f>
        <v>0</v>
      </c>
      <c r="AQ263" s="61" t="n">
        <f aca="false">IF(Q263&gt;0,((Q263-AP263)*AT263+AP263*TASA_INC)/Q263,AT263)</f>
        <v>0.655565427753311</v>
      </c>
      <c r="AR263" s="58" t="n">
        <f aca="false">IF($A263&lt;FECHA_EXPORT,NETWORKDAYS($A263+1,FECHA_EXPORT,FESTIVOS),0)</f>
        <v>0</v>
      </c>
      <c r="AS263" s="61" t="n">
        <f aca="false">IF(AR263&gt;=5,1,INDEX(CDF_INC,1,AR263+1))</f>
        <v>0.14</v>
      </c>
      <c r="AT263" s="61" t="n">
        <f aca="false">TASA_USADA+(TASA_INC-TASA_USADA)*Q_INC*(1-AS263)/(1-Q_INC*AS263)</f>
        <v>0.655565427753311</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E264+AA264*AQ264</f>
        <v>0</v>
      </c>
      <c r="AE264" s="59" t="n">
        <f aca="false">F264+AB264*AQ264</f>
        <v>0</v>
      </c>
      <c r="AF264" s="59" t="n">
        <f aca="false">G264+AC264*AQ264</f>
        <v>0</v>
      </c>
      <c r="AG264" s="59" t="n">
        <f aca="false">H264+I264+J264+(AA264+AB264+AC264)*(1-AQ264)</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IF(ISNUMBER(L264),L264,E264*P1_LOG+F264*P2_LOG+G264*P3_LOG)+IF(ISNUMBER(M264),M264,AA264*P1_LOG+AB264*P2_LOG+AC264*P3_LOG)*AQ264</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c r="AP264" s="58" t="n">
        <f aca="false">MIN(N(K264),Q264)</f>
        <v>0</v>
      </c>
      <c r="AQ264" s="61" t="n">
        <f aca="false">IF(Q264&gt;0,((Q264-AP264)*AT264+AP264*TASA_INC)/Q264,AT264)</f>
        <v>0.655565427753311</v>
      </c>
      <c r="AR264" s="58" t="n">
        <f aca="false">IF($A264&lt;FECHA_EXPORT,NETWORKDAYS($A264+1,FECHA_EXPORT,FESTIVOS),0)</f>
        <v>0</v>
      </c>
      <c r="AS264" s="61" t="n">
        <f aca="false">IF(AR264&gt;=5,1,INDEX(CDF_INC,1,AR264+1))</f>
        <v>0.14</v>
      </c>
      <c r="AT264" s="61" t="n">
        <f aca="false">TASA_USADA+(TASA_INC-TASA_USADA)*Q_INC*(1-AS264)/(1-Q_INC*AS264)</f>
        <v>0.655565427753311</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E265+AA265*AQ265</f>
        <v>0</v>
      </c>
      <c r="AE265" s="59" t="n">
        <f aca="false">F265+AB265*AQ265</f>
        <v>0</v>
      </c>
      <c r="AF265" s="59" t="n">
        <f aca="false">G265+AC265*AQ265</f>
        <v>0</v>
      </c>
      <c r="AG265" s="59" t="n">
        <f aca="false">H265+I265+J265+(AA265+AB265+AC265)*(1-AQ265)</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IF(ISNUMBER(L265),L265,E265*P1_LOG+F265*P2_LOG+G265*P3_LOG)+IF(ISNUMBER(M265),M265,AA265*P1_LOG+AB265*P2_LOG+AC265*P3_LOG)*AQ265</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c r="AP265" s="58" t="n">
        <f aca="false">MIN(N(K265),Q265)</f>
        <v>0</v>
      </c>
      <c r="AQ265" s="61" t="n">
        <f aca="false">IF(Q265&gt;0,((Q265-AP265)*AT265+AP265*TASA_INC)/Q265,AT265)</f>
        <v>0.655565427753311</v>
      </c>
      <c r="AR265" s="58" t="n">
        <f aca="false">IF($A265&lt;FECHA_EXPORT,NETWORKDAYS($A265+1,FECHA_EXPORT,FESTIVOS),0)</f>
        <v>0</v>
      </c>
      <c r="AS265" s="61" t="n">
        <f aca="false">IF(AR265&gt;=5,1,INDEX(CDF_INC,1,AR265+1))</f>
        <v>0.14</v>
      </c>
      <c r="AT265" s="61" t="n">
        <f aca="false">TASA_USADA+(TASA_INC-TASA_USADA)*Q_INC*(1-AS265)/(1-Q_INC*AS265)</f>
        <v>0.655565427753311</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E266+AA266*AQ266</f>
        <v>0</v>
      </c>
      <c r="AE266" s="59" t="n">
        <f aca="false">F266+AB266*AQ266</f>
        <v>0</v>
      </c>
      <c r="AF266" s="59" t="n">
        <f aca="false">G266+AC266*AQ266</f>
        <v>0</v>
      </c>
      <c r="AG266" s="59" t="n">
        <f aca="false">H266+I266+J266+(AA266+AB266+AC266)*(1-AQ266)</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IF(ISNUMBER(L266),L266,E266*P1_LOG+F266*P2_LOG+G266*P3_LOG)+IF(ISNUMBER(M266),M266,AA266*P1_LOG+AB266*P2_LOG+AC266*P3_LOG)*AQ266</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c r="AP266" s="58" t="n">
        <f aca="false">MIN(N(K266),Q266)</f>
        <v>0</v>
      </c>
      <c r="AQ266" s="61" t="n">
        <f aca="false">IF(Q266&gt;0,((Q266-AP266)*AT266+AP266*TASA_INC)/Q266,AT266)</f>
        <v>0.655565427753311</v>
      </c>
      <c r="AR266" s="58" t="n">
        <f aca="false">IF($A266&lt;FECHA_EXPORT,NETWORKDAYS($A266+1,FECHA_EXPORT,FESTIVOS),0)</f>
        <v>0</v>
      </c>
      <c r="AS266" s="61" t="n">
        <f aca="false">IF(AR266&gt;=5,1,INDEX(CDF_INC,1,AR266+1))</f>
        <v>0.14</v>
      </c>
      <c r="AT266" s="61" t="n">
        <f aca="false">TASA_USADA+(TASA_INC-TASA_USADA)*Q_INC*(1-AS266)/(1-Q_INC*AS266)</f>
        <v>0.655565427753311</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E267+AA267*AQ267</f>
        <v>0</v>
      </c>
      <c r="AE267" s="59" t="n">
        <f aca="false">F267+AB267*AQ267</f>
        <v>0</v>
      </c>
      <c r="AF267" s="59" t="n">
        <f aca="false">G267+AC267*AQ267</f>
        <v>0</v>
      </c>
      <c r="AG267" s="59" t="n">
        <f aca="false">H267+I267+J267+(AA267+AB267+AC267)*(1-AQ267)</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IF(ISNUMBER(L267),L267,E267*P1_LOG+F267*P2_LOG+G267*P3_LOG)+IF(ISNUMBER(M267),M267,AA267*P1_LOG+AB267*P2_LOG+AC267*P3_LOG)*AQ267</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c r="AP267" s="58" t="n">
        <f aca="false">MIN(N(K267),Q267)</f>
        <v>0</v>
      </c>
      <c r="AQ267" s="61" t="n">
        <f aca="false">IF(Q267&gt;0,((Q267-AP267)*AT267+AP267*TASA_INC)/Q267,AT267)</f>
        <v>0.655565427753311</v>
      </c>
      <c r="AR267" s="58" t="n">
        <f aca="false">IF($A267&lt;FECHA_EXPORT,NETWORKDAYS($A267+1,FECHA_EXPORT,FESTIVOS),0)</f>
        <v>0</v>
      </c>
      <c r="AS267" s="61" t="n">
        <f aca="false">IF(AR267&gt;=5,1,INDEX(CDF_INC,1,AR267+1))</f>
        <v>0.14</v>
      </c>
      <c r="AT267" s="61" t="n">
        <f aca="false">TASA_USADA+(TASA_INC-TASA_USADA)*Q_INC*(1-AS267)/(1-Q_INC*AS267)</f>
        <v>0.655565427753311</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E268+AA268*AQ268</f>
        <v>0</v>
      </c>
      <c r="AE268" s="59" t="n">
        <f aca="false">F268+AB268*AQ268</f>
        <v>0</v>
      </c>
      <c r="AF268" s="59" t="n">
        <f aca="false">G268+AC268*AQ268</f>
        <v>0</v>
      </c>
      <c r="AG268" s="59" t="n">
        <f aca="false">H268+I268+J268+(AA268+AB268+AC268)*(1-AQ268)</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IF(ISNUMBER(L268),L268,E268*P1_LOG+F268*P2_LOG+G268*P3_LOG)+IF(ISNUMBER(M268),M268,AA268*P1_LOG+AB268*P2_LOG+AC268*P3_LOG)*AQ268</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c r="AP268" s="58" t="n">
        <f aca="false">MIN(N(K268),Q268)</f>
        <v>0</v>
      </c>
      <c r="AQ268" s="61" t="n">
        <f aca="false">IF(Q268&gt;0,((Q268-AP268)*AT268+AP268*TASA_INC)/Q268,AT268)</f>
        <v>0.655565427753311</v>
      </c>
      <c r="AR268" s="58" t="n">
        <f aca="false">IF($A268&lt;FECHA_EXPORT,NETWORKDAYS($A268+1,FECHA_EXPORT,FESTIVOS),0)</f>
        <v>0</v>
      </c>
      <c r="AS268" s="61" t="n">
        <f aca="false">IF(AR268&gt;=5,1,INDEX(CDF_INC,1,AR268+1))</f>
        <v>0.14</v>
      </c>
      <c r="AT268" s="61" t="n">
        <f aca="false">TASA_USADA+(TASA_INC-TASA_USADA)*Q_INC*(1-AS268)/(1-Q_INC*AS268)</f>
        <v>0.655565427753311</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E269+AA269*AQ269</f>
        <v>0</v>
      </c>
      <c r="AE269" s="59" t="n">
        <f aca="false">F269+AB269*AQ269</f>
        <v>0</v>
      </c>
      <c r="AF269" s="59" t="n">
        <f aca="false">G269+AC269*AQ269</f>
        <v>0</v>
      </c>
      <c r="AG269" s="59" t="n">
        <f aca="false">H269+I269+J269+(AA269+AB269+AC269)*(1-AQ269)</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IF(ISNUMBER(L269),L269,E269*P1_LOG+F269*P2_LOG+G269*P3_LOG)+IF(ISNUMBER(M269),M269,AA269*P1_LOG+AB269*P2_LOG+AC269*P3_LOG)*AQ269</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c r="AP269" s="58" t="n">
        <f aca="false">MIN(N(K269),Q269)</f>
        <v>0</v>
      </c>
      <c r="AQ269" s="61" t="n">
        <f aca="false">IF(Q269&gt;0,((Q269-AP269)*AT269+AP269*TASA_INC)/Q269,AT269)</f>
        <v>0.655565427753311</v>
      </c>
      <c r="AR269" s="58" t="n">
        <f aca="false">IF($A269&lt;FECHA_EXPORT,NETWORKDAYS($A269+1,FECHA_EXPORT,FESTIVOS),0)</f>
        <v>0</v>
      </c>
      <c r="AS269" s="61" t="n">
        <f aca="false">IF(AR269&gt;=5,1,INDEX(CDF_INC,1,AR269+1))</f>
        <v>0.14</v>
      </c>
      <c r="AT269" s="61" t="n">
        <f aca="false">TASA_USADA+(TASA_INC-TASA_USADA)*Q_INC*(1-AS269)/(1-Q_INC*AS269)</f>
        <v>0.655565427753311</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E270+AA270*AQ270</f>
        <v>0</v>
      </c>
      <c r="AE270" s="59" t="n">
        <f aca="false">F270+AB270*AQ270</f>
        <v>0</v>
      </c>
      <c r="AF270" s="59" t="n">
        <f aca="false">G270+AC270*AQ270</f>
        <v>0</v>
      </c>
      <c r="AG270" s="59" t="n">
        <f aca="false">H270+I270+J270+(AA270+AB270+AC270)*(1-AQ270)</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IF(ISNUMBER(L270),L270,E270*P1_LOG+F270*P2_LOG+G270*P3_LOG)+IF(ISNUMBER(M270),M270,AA270*P1_LOG+AB270*P2_LOG+AC270*P3_LOG)*AQ270</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c r="AP270" s="58" t="n">
        <f aca="false">MIN(N(K270),Q270)</f>
        <v>0</v>
      </c>
      <c r="AQ270" s="61" t="n">
        <f aca="false">IF(Q270&gt;0,((Q270-AP270)*AT270+AP270*TASA_INC)/Q270,AT270)</f>
        <v>0.655565427753311</v>
      </c>
      <c r="AR270" s="58" t="n">
        <f aca="false">IF($A270&lt;FECHA_EXPORT,NETWORKDAYS($A270+1,FECHA_EXPORT,FESTIVOS),0)</f>
        <v>0</v>
      </c>
      <c r="AS270" s="61" t="n">
        <f aca="false">IF(AR270&gt;=5,1,INDEX(CDF_INC,1,AR270+1))</f>
        <v>0.14</v>
      </c>
      <c r="AT270" s="61" t="n">
        <f aca="false">TASA_USADA+(TASA_INC-TASA_USADA)*Q_INC*(1-AS270)/(1-Q_INC*AS270)</f>
        <v>0.655565427753311</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E271+AA271*AQ271</f>
        <v>0</v>
      </c>
      <c r="AE271" s="59" t="n">
        <f aca="false">F271+AB271*AQ271</f>
        <v>0</v>
      </c>
      <c r="AF271" s="59" t="n">
        <f aca="false">G271+AC271*AQ271</f>
        <v>0</v>
      </c>
      <c r="AG271" s="59" t="n">
        <f aca="false">H271+I271+J271+(AA271+AB271+AC271)*(1-AQ271)</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IF(ISNUMBER(L271),L271,E271*P1_LOG+F271*P2_LOG+G271*P3_LOG)+IF(ISNUMBER(M271),M271,AA271*P1_LOG+AB271*P2_LOG+AC271*P3_LOG)*AQ271</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c r="AP271" s="58" t="n">
        <f aca="false">MIN(N(K271),Q271)</f>
        <v>0</v>
      </c>
      <c r="AQ271" s="61" t="n">
        <f aca="false">IF(Q271&gt;0,((Q271-AP271)*AT271+AP271*TASA_INC)/Q271,AT271)</f>
        <v>0.655565427753311</v>
      </c>
      <c r="AR271" s="58" t="n">
        <f aca="false">IF($A271&lt;FECHA_EXPORT,NETWORKDAYS($A271+1,FECHA_EXPORT,FESTIVOS),0)</f>
        <v>0</v>
      </c>
      <c r="AS271" s="61" t="n">
        <f aca="false">IF(AR271&gt;=5,1,INDEX(CDF_INC,1,AR271+1))</f>
        <v>0.14</v>
      </c>
      <c r="AT271" s="61" t="n">
        <f aca="false">TASA_USADA+(TASA_INC-TASA_USADA)*Q_INC*(1-AS271)/(1-Q_INC*AS271)</f>
        <v>0.655565427753311</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E272+AA272*AQ272</f>
        <v>0</v>
      </c>
      <c r="AE272" s="59" t="n">
        <f aca="false">F272+AB272*AQ272</f>
        <v>0</v>
      </c>
      <c r="AF272" s="59" t="n">
        <f aca="false">G272+AC272*AQ272</f>
        <v>0</v>
      </c>
      <c r="AG272" s="59" t="n">
        <f aca="false">H272+I272+J272+(AA272+AB272+AC272)*(1-AQ272)</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IF(ISNUMBER(L272),L272,E272*P1_LOG+F272*P2_LOG+G272*P3_LOG)+IF(ISNUMBER(M272),M272,AA272*P1_LOG+AB272*P2_LOG+AC272*P3_LOG)*AQ272</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c r="AP272" s="58" t="n">
        <f aca="false">MIN(N(K272),Q272)</f>
        <v>0</v>
      </c>
      <c r="AQ272" s="61" t="n">
        <f aca="false">IF(Q272&gt;0,((Q272-AP272)*AT272+AP272*TASA_INC)/Q272,AT272)</f>
        <v>0.655565427753311</v>
      </c>
      <c r="AR272" s="58" t="n">
        <f aca="false">IF($A272&lt;FECHA_EXPORT,NETWORKDAYS($A272+1,FECHA_EXPORT,FESTIVOS),0)</f>
        <v>0</v>
      </c>
      <c r="AS272" s="61" t="n">
        <f aca="false">IF(AR272&gt;=5,1,INDEX(CDF_INC,1,AR272+1))</f>
        <v>0.14</v>
      </c>
      <c r="AT272" s="61" t="n">
        <f aca="false">TASA_USADA+(TASA_INC-TASA_USADA)*Q_INC*(1-AS272)/(1-Q_INC*AS272)</f>
        <v>0.655565427753311</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E273+AA273*AQ273</f>
        <v>0</v>
      </c>
      <c r="AE273" s="59" t="n">
        <f aca="false">F273+AB273*AQ273</f>
        <v>0</v>
      </c>
      <c r="AF273" s="59" t="n">
        <f aca="false">G273+AC273*AQ273</f>
        <v>0</v>
      </c>
      <c r="AG273" s="59" t="n">
        <f aca="false">H273+I273+J273+(AA273+AB273+AC273)*(1-AQ273)</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IF(ISNUMBER(L273),L273,E273*P1_LOG+F273*P2_LOG+G273*P3_LOG)+IF(ISNUMBER(M273),M273,AA273*P1_LOG+AB273*P2_LOG+AC273*P3_LOG)*AQ273</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c r="AP273" s="58" t="n">
        <f aca="false">MIN(N(K273),Q273)</f>
        <v>0</v>
      </c>
      <c r="AQ273" s="61" t="n">
        <f aca="false">IF(Q273&gt;0,((Q273-AP273)*AT273+AP273*TASA_INC)/Q273,AT273)</f>
        <v>0.655565427753311</v>
      </c>
      <c r="AR273" s="58" t="n">
        <f aca="false">IF($A273&lt;FECHA_EXPORT,NETWORKDAYS($A273+1,FECHA_EXPORT,FESTIVOS),0)</f>
        <v>0</v>
      </c>
      <c r="AS273" s="61" t="n">
        <f aca="false">IF(AR273&gt;=5,1,INDEX(CDF_INC,1,AR273+1))</f>
        <v>0.14</v>
      </c>
      <c r="AT273" s="61" t="n">
        <f aca="false">TASA_USADA+(TASA_INC-TASA_USADA)*Q_INC*(1-AS273)/(1-Q_INC*AS273)</f>
        <v>0.655565427753311</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E274+AA274*AQ274</f>
        <v>0</v>
      </c>
      <c r="AE274" s="59" t="n">
        <f aca="false">F274+AB274*AQ274</f>
        <v>0</v>
      </c>
      <c r="AF274" s="59" t="n">
        <f aca="false">G274+AC274*AQ274</f>
        <v>0</v>
      </c>
      <c r="AG274" s="59" t="n">
        <f aca="false">H274+I274+J274+(AA274+AB274+AC274)*(1-AQ274)</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IF(ISNUMBER(L274),L274,E274*P1_LOG+F274*P2_LOG+G274*P3_LOG)+IF(ISNUMBER(M274),M274,AA274*P1_LOG+AB274*P2_LOG+AC274*P3_LOG)*AQ274</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c r="AP274" s="58" t="n">
        <f aca="false">MIN(N(K274),Q274)</f>
        <v>0</v>
      </c>
      <c r="AQ274" s="61" t="n">
        <f aca="false">IF(Q274&gt;0,((Q274-AP274)*AT274+AP274*TASA_INC)/Q274,AT274)</f>
        <v>0.655565427753311</v>
      </c>
      <c r="AR274" s="58" t="n">
        <f aca="false">IF($A274&lt;FECHA_EXPORT,NETWORKDAYS($A274+1,FECHA_EXPORT,FESTIVOS),0)</f>
        <v>0</v>
      </c>
      <c r="AS274" s="61" t="n">
        <f aca="false">IF(AR274&gt;=5,1,INDEX(CDF_INC,1,AR274+1))</f>
        <v>0.14</v>
      </c>
      <c r="AT274" s="61" t="n">
        <f aca="false">TASA_USADA+(TASA_INC-TASA_USADA)*Q_INC*(1-AS274)/(1-Q_INC*AS274)</f>
        <v>0.655565427753311</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E275+AA275*AQ275</f>
        <v>0</v>
      </c>
      <c r="AE275" s="59" t="n">
        <f aca="false">F275+AB275*AQ275</f>
        <v>0</v>
      </c>
      <c r="AF275" s="59" t="n">
        <f aca="false">G275+AC275*AQ275</f>
        <v>0</v>
      </c>
      <c r="AG275" s="59" t="n">
        <f aca="false">H275+I275+J275+(AA275+AB275+AC275)*(1-AQ275)</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IF(ISNUMBER(L275),L275,E275*P1_LOG+F275*P2_LOG+G275*P3_LOG)+IF(ISNUMBER(M275),M275,AA275*P1_LOG+AB275*P2_LOG+AC275*P3_LOG)*AQ275</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c r="AP275" s="58" t="n">
        <f aca="false">MIN(N(K275),Q275)</f>
        <v>0</v>
      </c>
      <c r="AQ275" s="61" t="n">
        <f aca="false">IF(Q275&gt;0,((Q275-AP275)*AT275+AP275*TASA_INC)/Q275,AT275)</f>
        <v>0.655565427753311</v>
      </c>
      <c r="AR275" s="58" t="n">
        <f aca="false">IF($A275&lt;FECHA_EXPORT,NETWORKDAYS($A275+1,FECHA_EXPORT,FESTIVOS),0)</f>
        <v>0</v>
      </c>
      <c r="AS275" s="61" t="n">
        <f aca="false">IF(AR275&gt;=5,1,INDEX(CDF_INC,1,AR275+1))</f>
        <v>0.14</v>
      </c>
      <c r="AT275" s="61" t="n">
        <f aca="false">TASA_USADA+(TASA_INC-TASA_USADA)*Q_INC*(1-AS275)/(1-Q_INC*AS275)</f>
        <v>0.655565427753311</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E276+AA276*AQ276</f>
        <v>0</v>
      </c>
      <c r="AE276" s="59" t="n">
        <f aca="false">F276+AB276*AQ276</f>
        <v>0</v>
      </c>
      <c r="AF276" s="59" t="n">
        <f aca="false">G276+AC276*AQ276</f>
        <v>0</v>
      </c>
      <c r="AG276" s="59" t="n">
        <f aca="false">H276+I276+J276+(AA276+AB276+AC276)*(1-AQ276)</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IF(ISNUMBER(L276),L276,E276*P1_LOG+F276*P2_LOG+G276*P3_LOG)+IF(ISNUMBER(M276),M276,AA276*P1_LOG+AB276*P2_LOG+AC276*P3_LOG)*AQ276</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c r="AP276" s="58" t="n">
        <f aca="false">MIN(N(K276),Q276)</f>
        <v>0</v>
      </c>
      <c r="AQ276" s="61" t="n">
        <f aca="false">IF(Q276&gt;0,((Q276-AP276)*AT276+AP276*TASA_INC)/Q276,AT276)</f>
        <v>0.655565427753311</v>
      </c>
      <c r="AR276" s="58" t="n">
        <f aca="false">IF($A276&lt;FECHA_EXPORT,NETWORKDAYS($A276+1,FECHA_EXPORT,FESTIVOS),0)</f>
        <v>0</v>
      </c>
      <c r="AS276" s="61" t="n">
        <f aca="false">IF(AR276&gt;=5,1,INDEX(CDF_INC,1,AR276+1))</f>
        <v>0.14</v>
      </c>
      <c r="AT276" s="61" t="n">
        <f aca="false">TASA_USADA+(TASA_INC-TASA_USADA)*Q_INC*(1-AS276)/(1-Q_INC*AS276)</f>
        <v>0.655565427753311</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E277+AA277*AQ277</f>
        <v>0</v>
      </c>
      <c r="AE277" s="59" t="n">
        <f aca="false">F277+AB277*AQ277</f>
        <v>0</v>
      </c>
      <c r="AF277" s="59" t="n">
        <f aca="false">G277+AC277*AQ277</f>
        <v>0</v>
      </c>
      <c r="AG277" s="59" t="n">
        <f aca="false">H277+I277+J277+(AA277+AB277+AC277)*(1-AQ277)</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IF(ISNUMBER(L277),L277,E277*P1_LOG+F277*P2_LOG+G277*P3_LOG)+IF(ISNUMBER(M277),M277,AA277*P1_LOG+AB277*P2_LOG+AC277*P3_LOG)*AQ277</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c r="AP277" s="58" t="n">
        <f aca="false">MIN(N(K277),Q277)</f>
        <v>0</v>
      </c>
      <c r="AQ277" s="61" t="n">
        <f aca="false">IF(Q277&gt;0,((Q277-AP277)*AT277+AP277*TASA_INC)/Q277,AT277)</f>
        <v>0.655565427753311</v>
      </c>
      <c r="AR277" s="58" t="n">
        <f aca="false">IF($A277&lt;FECHA_EXPORT,NETWORKDAYS($A277+1,FECHA_EXPORT,FESTIVOS),0)</f>
        <v>0</v>
      </c>
      <c r="AS277" s="61" t="n">
        <f aca="false">IF(AR277&gt;=5,1,INDEX(CDF_INC,1,AR277+1))</f>
        <v>0.14</v>
      </c>
      <c r="AT277" s="61" t="n">
        <f aca="false">TASA_USADA+(TASA_INC-TASA_USADA)*Q_INC*(1-AS277)/(1-Q_INC*AS277)</f>
        <v>0.655565427753311</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E278+AA278*AQ278</f>
        <v>0</v>
      </c>
      <c r="AE278" s="59" t="n">
        <f aca="false">F278+AB278*AQ278</f>
        <v>0</v>
      </c>
      <c r="AF278" s="59" t="n">
        <f aca="false">G278+AC278*AQ278</f>
        <v>0</v>
      </c>
      <c r="AG278" s="59" t="n">
        <f aca="false">H278+I278+J278+(AA278+AB278+AC278)*(1-AQ278)</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IF(ISNUMBER(L278),L278,E278*P1_LOG+F278*P2_LOG+G278*P3_LOG)+IF(ISNUMBER(M278),M278,AA278*P1_LOG+AB278*P2_LOG+AC278*P3_LOG)*AQ278</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c r="AP278" s="58" t="n">
        <f aca="false">MIN(N(K278),Q278)</f>
        <v>0</v>
      </c>
      <c r="AQ278" s="61" t="n">
        <f aca="false">IF(Q278&gt;0,((Q278-AP278)*AT278+AP278*TASA_INC)/Q278,AT278)</f>
        <v>0.655565427753311</v>
      </c>
      <c r="AR278" s="58" t="n">
        <f aca="false">IF($A278&lt;FECHA_EXPORT,NETWORKDAYS($A278+1,FECHA_EXPORT,FESTIVOS),0)</f>
        <v>0</v>
      </c>
      <c r="AS278" s="61" t="n">
        <f aca="false">IF(AR278&gt;=5,1,INDEX(CDF_INC,1,AR278+1))</f>
        <v>0.14</v>
      </c>
      <c r="AT278" s="61" t="n">
        <f aca="false">TASA_USADA+(TASA_INC-TASA_USADA)*Q_INC*(1-AS278)/(1-Q_INC*AS278)</f>
        <v>0.655565427753311</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E279+AA279*AQ279</f>
        <v>0</v>
      </c>
      <c r="AE279" s="59" t="n">
        <f aca="false">F279+AB279*AQ279</f>
        <v>0</v>
      </c>
      <c r="AF279" s="59" t="n">
        <f aca="false">G279+AC279*AQ279</f>
        <v>0</v>
      </c>
      <c r="AG279" s="59" t="n">
        <f aca="false">H279+I279+J279+(AA279+AB279+AC279)*(1-AQ279)</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IF(ISNUMBER(L279),L279,E279*P1_LOG+F279*P2_LOG+G279*P3_LOG)+IF(ISNUMBER(M279),M279,AA279*P1_LOG+AB279*P2_LOG+AC279*P3_LOG)*AQ279</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c r="AP279" s="58" t="n">
        <f aca="false">MIN(N(K279),Q279)</f>
        <v>0</v>
      </c>
      <c r="AQ279" s="61" t="n">
        <f aca="false">IF(Q279&gt;0,((Q279-AP279)*AT279+AP279*TASA_INC)/Q279,AT279)</f>
        <v>0.655565427753311</v>
      </c>
      <c r="AR279" s="58" t="n">
        <f aca="false">IF($A279&lt;FECHA_EXPORT,NETWORKDAYS($A279+1,FECHA_EXPORT,FESTIVOS),0)</f>
        <v>0</v>
      </c>
      <c r="AS279" s="61" t="n">
        <f aca="false">IF(AR279&gt;=5,1,INDEX(CDF_INC,1,AR279+1))</f>
        <v>0.14</v>
      </c>
      <c r="AT279" s="61" t="n">
        <f aca="false">TASA_USADA+(TASA_INC-TASA_USADA)*Q_INC*(1-AS279)/(1-Q_INC*AS279)</f>
        <v>0.655565427753311</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E280+AA280*AQ280</f>
        <v>0</v>
      </c>
      <c r="AE280" s="59" t="n">
        <f aca="false">F280+AB280*AQ280</f>
        <v>0</v>
      </c>
      <c r="AF280" s="59" t="n">
        <f aca="false">G280+AC280*AQ280</f>
        <v>0</v>
      </c>
      <c r="AG280" s="59" t="n">
        <f aca="false">H280+I280+J280+(AA280+AB280+AC280)*(1-AQ280)</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IF(ISNUMBER(L280),L280,E280*P1_LOG+F280*P2_LOG+G280*P3_LOG)+IF(ISNUMBER(M280),M280,AA280*P1_LOG+AB280*P2_LOG+AC280*P3_LOG)*AQ280</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c r="AP280" s="58" t="n">
        <f aca="false">MIN(N(K280),Q280)</f>
        <v>0</v>
      </c>
      <c r="AQ280" s="61" t="n">
        <f aca="false">IF(Q280&gt;0,((Q280-AP280)*AT280+AP280*TASA_INC)/Q280,AT280)</f>
        <v>0.655565427753311</v>
      </c>
      <c r="AR280" s="58" t="n">
        <f aca="false">IF($A280&lt;FECHA_EXPORT,NETWORKDAYS($A280+1,FECHA_EXPORT,FESTIVOS),0)</f>
        <v>0</v>
      </c>
      <c r="AS280" s="61" t="n">
        <f aca="false">IF(AR280&gt;=5,1,INDEX(CDF_INC,1,AR280+1))</f>
        <v>0.14</v>
      </c>
      <c r="AT280" s="61" t="n">
        <f aca="false">TASA_USADA+(TASA_INC-TASA_USADA)*Q_INC*(1-AS280)/(1-Q_INC*AS280)</f>
        <v>0.655565427753311</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E281+AA281*AQ281</f>
        <v>0</v>
      </c>
      <c r="AE281" s="59" t="n">
        <f aca="false">F281+AB281*AQ281</f>
        <v>0</v>
      </c>
      <c r="AF281" s="59" t="n">
        <f aca="false">G281+AC281*AQ281</f>
        <v>0</v>
      </c>
      <c r="AG281" s="59" t="n">
        <f aca="false">H281+I281+J281+(AA281+AB281+AC281)*(1-AQ281)</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IF(ISNUMBER(L281),L281,E281*P1_LOG+F281*P2_LOG+G281*P3_LOG)+IF(ISNUMBER(M281),M281,AA281*P1_LOG+AB281*P2_LOG+AC281*P3_LOG)*AQ281</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c r="AP281" s="58" t="n">
        <f aca="false">MIN(N(K281),Q281)</f>
        <v>0</v>
      </c>
      <c r="AQ281" s="61" t="n">
        <f aca="false">IF(Q281&gt;0,((Q281-AP281)*AT281+AP281*TASA_INC)/Q281,AT281)</f>
        <v>0.655565427753311</v>
      </c>
      <c r="AR281" s="58" t="n">
        <f aca="false">IF($A281&lt;FECHA_EXPORT,NETWORKDAYS($A281+1,FECHA_EXPORT,FESTIVOS),0)</f>
        <v>0</v>
      </c>
      <c r="AS281" s="61" t="n">
        <f aca="false">IF(AR281&gt;=5,1,INDEX(CDF_INC,1,AR281+1))</f>
        <v>0.14</v>
      </c>
      <c r="AT281" s="61" t="n">
        <f aca="false">TASA_USADA+(TASA_INC-TASA_USADA)*Q_INC*(1-AS281)/(1-Q_INC*AS281)</f>
        <v>0.655565427753311</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E282+AA282*AQ282</f>
        <v>0</v>
      </c>
      <c r="AE282" s="59" t="n">
        <f aca="false">F282+AB282*AQ282</f>
        <v>0</v>
      </c>
      <c r="AF282" s="59" t="n">
        <f aca="false">G282+AC282*AQ282</f>
        <v>0</v>
      </c>
      <c r="AG282" s="59" t="n">
        <f aca="false">H282+I282+J282+(AA282+AB282+AC282)*(1-AQ282)</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IF(ISNUMBER(L282),L282,E282*P1_LOG+F282*P2_LOG+G282*P3_LOG)+IF(ISNUMBER(M282),M282,AA282*P1_LOG+AB282*P2_LOG+AC282*P3_LOG)*AQ282</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c r="AP282" s="58" t="n">
        <f aca="false">MIN(N(K282),Q282)</f>
        <v>0</v>
      </c>
      <c r="AQ282" s="61" t="n">
        <f aca="false">IF(Q282&gt;0,((Q282-AP282)*AT282+AP282*TASA_INC)/Q282,AT282)</f>
        <v>0.655565427753311</v>
      </c>
      <c r="AR282" s="58" t="n">
        <f aca="false">IF($A282&lt;FECHA_EXPORT,NETWORKDAYS($A282+1,FECHA_EXPORT,FESTIVOS),0)</f>
        <v>0</v>
      </c>
      <c r="AS282" s="61" t="n">
        <f aca="false">IF(AR282&gt;=5,1,INDEX(CDF_INC,1,AR282+1))</f>
        <v>0.14</v>
      </c>
      <c r="AT282" s="61" t="n">
        <f aca="false">TASA_USADA+(TASA_INC-TASA_USADA)*Q_INC*(1-AS282)/(1-Q_INC*AS282)</f>
        <v>0.655565427753311</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E283+AA283*AQ283</f>
        <v>0</v>
      </c>
      <c r="AE283" s="59" t="n">
        <f aca="false">F283+AB283*AQ283</f>
        <v>0</v>
      </c>
      <c r="AF283" s="59" t="n">
        <f aca="false">G283+AC283*AQ283</f>
        <v>0</v>
      </c>
      <c r="AG283" s="59" t="n">
        <f aca="false">H283+I283+J283+(AA283+AB283+AC283)*(1-AQ283)</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IF(ISNUMBER(L283),L283,E283*P1_LOG+F283*P2_LOG+G283*P3_LOG)+IF(ISNUMBER(M283),M283,AA283*P1_LOG+AB283*P2_LOG+AC283*P3_LOG)*AQ283</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c r="AP283" s="58" t="n">
        <f aca="false">MIN(N(K283),Q283)</f>
        <v>0</v>
      </c>
      <c r="AQ283" s="61" t="n">
        <f aca="false">IF(Q283&gt;0,((Q283-AP283)*AT283+AP283*TASA_INC)/Q283,AT283)</f>
        <v>0.655565427753311</v>
      </c>
      <c r="AR283" s="58" t="n">
        <f aca="false">IF($A283&lt;FECHA_EXPORT,NETWORKDAYS($A283+1,FECHA_EXPORT,FESTIVOS),0)</f>
        <v>0</v>
      </c>
      <c r="AS283" s="61" t="n">
        <f aca="false">IF(AR283&gt;=5,1,INDEX(CDF_INC,1,AR283+1))</f>
        <v>0.14</v>
      </c>
      <c r="AT283" s="61" t="n">
        <f aca="false">TASA_USADA+(TASA_INC-TASA_USADA)*Q_INC*(1-AS283)/(1-Q_INC*AS283)</f>
        <v>0.655565427753311</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E284+AA284*AQ284</f>
        <v>0</v>
      </c>
      <c r="AE284" s="59" t="n">
        <f aca="false">F284+AB284*AQ284</f>
        <v>0</v>
      </c>
      <c r="AF284" s="59" t="n">
        <f aca="false">G284+AC284*AQ284</f>
        <v>0</v>
      </c>
      <c r="AG284" s="59" t="n">
        <f aca="false">H284+I284+J284+(AA284+AB284+AC284)*(1-AQ284)</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IF(ISNUMBER(L284),L284,E284*P1_LOG+F284*P2_LOG+G284*P3_LOG)+IF(ISNUMBER(M284),M284,AA284*P1_LOG+AB284*P2_LOG+AC284*P3_LOG)*AQ284</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c r="AP284" s="58" t="n">
        <f aca="false">MIN(N(K284),Q284)</f>
        <v>0</v>
      </c>
      <c r="AQ284" s="61" t="n">
        <f aca="false">IF(Q284&gt;0,((Q284-AP284)*AT284+AP284*TASA_INC)/Q284,AT284)</f>
        <v>0.655565427753311</v>
      </c>
      <c r="AR284" s="58" t="n">
        <f aca="false">IF($A284&lt;FECHA_EXPORT,NETWORKDAYS($A284+1,FECHA_EXPORT,FESTIVOS),0)</f>
        <v>0</v>
      </c>
      <c r="AS284" s="61" t="n">
        <f aca="false">IF(AR284&gt;=5,1,INDEX(CDF_INC,1,AR284+1))</f>
        <v>0.14</v>
      </c>
      <c r="AT284" s="61" t="n">
        <f aca="false">TASA_USADA+(TASA_INC-TASA_USADA)*Q_INC*(1-AS284)/(1-Q_INC*AS284)</f>
        <v>0.655565427753311</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E285+AA285*AQ285</f>
        <v>0</v>
      </c>
      <c r="AE285" s="59" t="n">
        <f aca="false">F285+AB285*AQ285</f>
        <v>0</v>
      </c>
      <c r="AF285" s="59" t="n">
        <f aca="false">G285+AC285*AQ285</f>
        <v>0</v>
      </c>
      <c r="AG285" s="59" t="n">
        <f aca="false">H285+I285+J285+(AA285+AB285+AC285)*(1-AQ285)</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IF(ISNUMBER(L285),L285,E285*P1_LOG+F285*P2_LOG+G285*P3_LOG)+IF(ISNUMBER(M285),M285,AA285*P1_LOG+AB285*P2_LOG+AC285*P3_LOG)*AQ285</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c r="AP285" s="58" t="n">
        <f aca="false">MIN(N(K285),Q285)</f>
        <v>0</v>
      </c>
      <c r="AQ285" s="61" t="n">
        <f aca="false">IF(Q285&gt;0,((Q285-AP285)*AT285+AP285*TASA_INC)/Q285,AT285)</f>
        <v>0.655565427753311</v>
      </c>
      <c r="AR285" s="58" t="n">
        <f aca="false">IF($A285&lt;FECHA_EXPORT,NETWORKDAYS($A285+1,FECHA_EXPORT,FESTIVOS),0)</f>
        <v>0</v>
      </c>
      <c r="AS285" s="61" t="n">
        <f aca="false">IF(AR285&gt;=5,1,INDEX(CDF_INC,1,AR285+1))</f>
        <v>0.14</v>
      </c>
      <c r="AT285" s="61" t="n">
        <f aca="false">TASA_USADA+(TASA_INC-TASA_USADA)*Q_INC*(1-AS285)/(1-Q_INC*AS285)</f>
        <v>0.655565427753311</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E286+AA286*AQ286</f>
        <v>0</v>
      </c>
      <c r="AE286" s="59" t="n">
        <f aca="false">F286+AB286*AQ286</f>
        <v>0</v>
      </c>
      <c r="AF286" s="59" t="n">
        <f aca="false">G286+AC286*AQ286</f>
        <v>0</v>
      </c>
      <c r="AG286" s="59" t="n">
        <f aca="false">H286+I286+J286+(AA286+AB286+AC286)*(1-AQ286)</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IF(ISNUMBER(L286),L286,E286*P1_LOG+F286*P2_LOG+G286*P3_LOG)+IF(ISNUMBER(M286),M286,AA286*P1_LOG+AB286*P2_LOG+AC286*P3_LOG)*AQ286</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c r="AP286" s="58" t="n">
        <f aca="false">MIN(N(K286),Q286)</f>
        <v>0</v>
      </c>
      <c r="AQ286" s="61" t="n">
        <f aca="false">IF(Q286&gt;0,((Q286-AP286)*AT286+AP286*TASA_INC)/Q286,AT286)</f>
        <v>0.655565427753311</v>
      </c>
      <c r="AR286" s="58" t="n">
        <f aca="false">IF($A286&lt;FECHA_EXPORT,NETWORKDAYS($A286+1,FECHA_EXPORT,FESTIVOS),0)</f>
        <v>0</v>
      </c>
      <c r="AS286" s="61" t="n">
        <f aca="false">IF(AR286&gt;=5,1,INDEX(CDF_INC,1,AR286+1))</f>
        <v>0.14</v>
      </c>
      <c r="AT286" s="61" t="n">
        <f aca="false">TASA_USADA+(TASA_INC-TASA_USADA)*Q_INC*(1-AS286)/(1-Q_INC*AS286)</f>
        <v>0.655565427753311</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E287+AA287*AQ287</f>
        <v>0</v>
      </c>
      <c r="AE287" s="59" t="n">
        <f aca="false">F287+AB287*AQ287</f>
        <v>0</v>
      </c>
      <c r="AF287" s="59" t="n">
        <f aca="false">G287+AC287*AQ287</f>
        <v>0</v>
      </c>
      <c r="AG287" s="59" t="n">
        <f aca="false">H287+I287+J287+(AA287+AB287+AC287)*(1-AQ287)</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IF(ISNUMBER(L287),L287,E287*P1_LOG+F287*P2_LOG+G287*P3_LOG)+IF(ISNUMBER(M287),M287,AA287*P1_LOG+AB287*P2_LOG+AC287*P3_LOG)*AQ287</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c r="AP287" s="58" t="n">
        <f aca="false">MIN(N(K287),Q287)</f>
        <v>0</v>
      </c>
      <c r="AQ287" s="61" t="n">
        <f aca="false">IF(Q287&gt;0,((Q287-AP287)*AT287+AP287*TASA_INC)/Q287,AT287)</f>
        <v>0.655565427753311</v>
      </c>
      <c r="AR287" s="58" t="n">
        <f aca="false">IF($A287&lt;FECHA_EXPORT,NETWORKDAYS($A287+1,FECHA_EXPORT,FESTIVOS),0)</f>
        <v>0</v>
      </c>
      <c r="AS287" s="61" t="n">
        <f aca="false">IF(AR287&gt;=5,1,INDEX(CDF_INC,1,AR287+1))</f>
        <v>0.14</v>
      </c>
      <c r="AT287" s="61" t="n">
        <f aca="false">TASA_USADA+(TASA_INC-TASA_USADA)*Q_INC*(1-AS287)/(1-Q_INC*AS287)</f>
        <v>0.655565427753311</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E288+AA288*AQ288</f>
        <v>0</v>
      </c>
      <c r="AE288" s="59" t="n">
        <f aca="false">F288+AB288*AQ288</f>
        <v>0</v>
      </c>
      <c r="AF288" s="59" t="n">
        <f aca="false">G288+AC288*AQ288</f>
        <v>0</v>
      </c>
      <c r="AG288" s="59" t="n">
        <f aca="false">H288+I288+J288+(AA288+AB288+AC288)*(1-AQ288)</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IF(ISNUMBER(L288),L288,E288*P1_LOG+F288*P2_LOG+G288*P3_LOG)+IF(ISNUMBER(M288),M288,AA288*P1_LOG+AB288*P2_LOG+AC288*P3_LOG)*AQ288</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c r="AP288" s="58" t="n">
        <f aca="false">MIN(N(K288),Q288)</f>
        <v>0</v>
      </c>
      <c r="AQ288" s="61" t="n">
        <f aca="false">IF(Q288&gt;0,((Q288-AP288)*AT288+AP288*TASA_INC)/Q288,AT288)</f>
        <v>0.655565427753311</v>
      </c>
      <c r="AR288" s="58" t="n">
        <f aca="false">IF($A288&lt;FECHA_EXPORT,NETWORKDAYS($A288+1,FECHA_EXPORT,FESTIVOS),0)</f>
        <v>0</v>
      </c>
      <c r="AS288" s="61" t="n">
        <f aca="false">IF(AR288&gt;=5,1,INDEX(CDF_INC,1,AR288+1))</f>
        <v>0.14</v>
      </c>
      <c r="AT288" s="61" t="n">
        <f aca="false">TASA_USADA+(TASA_INC-TASA_USADA)*Q_INC*(1-AS288)/(1-Q_INC*AS288)</f>
        <v>0.655565427753311</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E289+AA289*AQ289</f>
        <v>0</v>
      </c>
      <c r="AE289" s="59" t="n">
        <f aca="false">F289+AB289*AQ289</f>
        <v>0</v>
      </c>
      <c r="AF289" s="59" t="n">
        <f aca="false">G289+AC289*AQ289</f>
        <v>0</v>
      </c>
      <c r="AG289" s="59" t="n">
        <f aca="false">H289+I289+J289+(AA289+AB289+AC289)*(1-AQ289)</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IF(ISNUMBER(L289),L289,E289*P1_LOG+F289*P2_LOG+G289*P3_LOG)+IF(ISNUMBER(M289),M289,AA289*P1_LOG+AB289*P2_LOG+AC289*P3_LOG)*AQ289</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c r="AP289" s="58" t="n">
        <f aca="false">MIN(N(K289),Q289)</f>
        <v>0</v>
      </c>
      <c r="AQ289" s="61" t="n">
        <f aca="false">IF(Q289&gt;0,((Q289-AP289)*AT289+AP289*TASA_INC)/Q289,AT289)</f>
        <v>0.655565427753311</v>
      </c>
      <c r="AR289" s="58" t="n">
        <f aca="false">IF($A289&lt;FECHA_EXPORT,NETWORKDAYS($A289+1,FECHA_EXPORT,FESTIVOS),0)</f>
        <v>0</v>
      </c>
      <c r="AS289" s="61" t="n">
        <f aca="false">IF(AR289&gt;=5,1,INDEX(CDF_INC,1,AR289+1))</f>
        <v>0.14</v>
      </c>
      <c r="AT289" s="61" t="n">
        <f aca="false">TASA_USADA+(TASA_INC-TASA_USADA)*Q_INC*(1-AS289)/(1-Q_INC*AS289)</f>
        <v>0.655565427753311</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E290+AA290*AQ290</f>
        <v>0</v>
      </c>
      <c r="AE290" s="59" t="n">
        <f aca="false">F290+AB290*AQ290</f>
        <v>0</v>
      </c>
      <c r="AF290" s="59" t="n">
        <f aca="false">G290+AC290*AQ290</f>
        <v>0</v>
      </c>
      <c r="AG290" s="59" t="n">
        <f aca="false">H290+I290+J290+(AA290+AB290+AC290)*(1-AQ290)</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IF(ISNUMBER(L290),L290,E290*P1_LOG+F290*P2_LOG+G290*P3_LOG)+IF(ISNUMBER(M290),M290,AA290*P1_LOG+AB290*P2_LOG+AC290*P3_LOG)*AQ290</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c r="AP290" s="58" t="n">
        <f aca="false">MIN(N(K290),Q290)</f>
        <v>0</v>
      </c>
      <c r="AQ290" s="61" t="n">
        <f aca="false">IF(Q290&gt;0,((Q290-AP290)*AT290+AP290*TASA_INC)/Q290,AT290)</f>
        <v>0.655565427753311</v>
      </c>
      <c r="AR290" s="58" t="n">
        <f aca="false">IF($A290&lt;FECHA_EXPORT,NETWORKDAYS($A290+1,FECHA_EXPORT,FESTIVOS),0)</f>
        <v>0</v>
      </c>
      <c r="AS290" s="61" t="n">
        <f aca="false">IF(AR290&gt;=5,1,INDEX(CDF_INC,1,AR290+1))</f>
        <v>0.14</v>
      </c>
      <c r="AT290" s="61" t="n">
        <f aca="false">TASA_USADA+(TASA_INC-TASA_USADA)*Q_INC*(1-AS290)/(1-Q_INC*AS290)</f>
        <v>0.655565427753311</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E291+AA291*AQ291</f>
        <v>0</v>
      </c>
      <c r="AE291" s="59" t="n">
        <f aca="false">F291+AB291*AQ291</f>
        <v>0</v>
      </c>
      <c r="AF291" s="59" t="n">
        <f aca="false">G291+AC291*AQ291</f>
        <v>0</v>
      </c>
      <c r="AG291" s="59" t="n">
        <f aca="false">H291+I291+J291+(AA291+AB291+AC291)*(1-AQ291)</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IF(ISNUMBER(L291),L291,E291*P1_LOG+F291*P2_LOG+G291*P3_LOG)+IF(ISNUMBER(M291),M291,AA291*P1_LOG+AB291*P2_LOG+AC291*P3_LOG)*AQ291</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c r="AP291" s="58" t="n">
        <f aca="false">MIN(N(K291),Q291)</f>
        <v>0</v>
      </c>
      <c r="AQ291" s="61" t="n">
        <f aca="false">IF(Q291&gt;0,((Q291-AP291)*AT291+AP291*TASA_INC)/Q291,AT291)</f>
        <v>0.655565427753311</v>
      </c>
      <c r="AR291" s="58" t="n">
        <f aca="false">IF($A291&lt;FECHA_EXPORT,NETWORKDAYS($A291+1,FECHA_EXPORT,FESTIVOS),0)</f>
        <v>0</v>
      </c>
      <c r="AS291" s="61" t="n">
        <f aca="false">IF(AR291&gt;=5,1,INDEX(CDF_INC,1,AR291+1))</f>
        <v>0.14</v>
      </c>
      <c r="AT291" s="61" t="n">
        <f aca="false">TASA_USADA+(TASA_INC-TASA_USADA)*Q_INC*(1-AS291)/(1-Q_INC*AS291)</f>
        <v>0.655565427753311</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E292+AA292*AQ292</f>
        <v>0</v>
      </c>
      <c r="AE292" s="59" t="n">
        <f aca="false">F292+AB292*AQ292</f>
        <v>0</v>
      </c>
      <c r="AF292" s="59" t="n">
        <f aca="false">G292+AC292*AQ292</f>
        <v>0</v>
      </c>
      <c r="AG292" s="59" t="n">
        <f aca="false">H292+I292+J292+(AA292+AB292+AC292)*(1-AQ292)</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IF(ISNUMBER(L292),L292,E292*P1_LOG+F292*P2_LOG+G292*P3_LOG)+IF(ISNUMBER(M292),M292,AA292*P1_LOG+AB292*P2_LOG+AC292*P3_LOG)*AQ292</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c r="AP292" s="58" t="n">
        <f aca="false">MIN(N(K292),Q292)</f>
        <v>0</v>
      </c>
      <c r="AQ292" s="61" t="n">
        <f aca="false">IF(Q292&gt;0,((Q292-AP292)*AT292+AP292*TASA_INC)/Q292,AT292)</f>
        <v>0.655565427753311</v>
      </c>
      <c r="AR292" s="58" t="n">
        <f aca="false">IF($A292&lt;FECHA_EXPORT,NETWORKDAYS($A292+1,FECHA_EXPORT,FESTIVOS),0)</f>
        <v>0</v>
      </c>
      <c r="AS292" s="61" t="n">
        <f aca="false">IF(AR292&gt;=5,1,INDEX(CDF_INC,1,AR292+1))</f>
        <v>0.14</v>
      </c>
      <c r="AT292" s="61" t="n">
        <f aca="false">TASA_USADA+(TASA_INC-TASA_USADA)*Q_INC*(1-AS292)/(1-Q_INC*AS292)</f>
        <v>0.655565427753311</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E293+AA293*AQ293</f>
        <v>0</v>
      </c>
      <c r="AE293" s="59" t="n">
        <f aca="false">F293+AB293*AQ293</f>
        <v>0</v>
      </c>
      <c r="AF293" s="59" t="n">
        <f aca="false">G293+AC293*AQ293</f>
        <v>0</v>
      </c>
      <c r="AG293" s="59" t="n">
        <f aca="false">H293+I293+J293+(AA293+AB293+AC293)*(1-AQ293)</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IF(ISNUMBER(L293),L293,E293*P1_LOG+F293*P2_LOG+G293*P3_LOG)+IF(ISNUMBER(M293),M293,AA293*P1_LOG+AB293*P2_LOG+AC293*P3_LOG)*AQ293</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c r="AP293" s="58" t="n">
        <f aca="false">MIN(N(K293),Q293)</f>
        <v>0</v>
      </c>
      <c r="AQ293" s="61" t="n">
        <f aca="false">IF(Q293&gt;0,((Q293-AP293)*AT293+AP293*TASA_INC)/Q293,AT293)</f>
        <v>0.655565427753311</v>
      </c>
      <c r="AR293" s="58" t="n">
        <f aca="false">IF($A293&lt;FECHA_EXPORT,NETWORKDAYS($A293+1,FECHA_EXPORT,FESTIVOS),0)</f>
        <v>0</v>
      </c>
      <c r="AS293" s="61" t="n">
        <f aca="false">IF(AR293&gt;=5,1,INDEX(CDF_INC,1,AR293+1))</f>
        <v>0.14</v>
      </c>
      <c r="AT293" s="61" t="n">
        <f aca="false">TASA_USADA+(TASA_INC-TASA_USADA)*Q_INC*(1-AS293)/(1-Q_INC*AS293)</f>
        <v>0.655565427753311</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E294+AA294*AQ294</f>
        <v>0</v>
      </c>
      <c r="AE294" s="59" t="n">
        <f aca="false">F294+AB294*AQ294</f>
        <v>0</v>
      </c>
      <c r="AF294" s="59" t="n">
        <f aca="false">G294+AC294*AQ294</f>
        <v>0</v>
      </c>
      <c r="AG294" s="59" t="n">
        <f aca="false">H294+I294+J294+(AA294+AB294+AC294)*(1-AQ294)</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IF(ISNUMBER(L294),L294,E294*P1_LOG+F294*P2_LOG+G294*P3_LOG)+IF(ISNUMBER(M294),M294,AA294*P1_LOG+AB294*P2_LOG+AC294*P3_LOG)*AQ294</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c r="AP294" s="58" t="n">
        <f aca="false">MIN(N(K294),Q294)</f>
        <v>0</v>
      </c>
      <c r="AQ294" s="61" t="n">
        <f aca="false">IF(Q294&gt;0,((Q294-AP294)*AT294+AP294*TASA_INC)/Q294,AT294)</f>
        <v>0.655565427753311</v>
      </c>
      <c r="AR294" s="58" t="n">
        <f aca="false">IF($A294&lt;FECHA_EXPORT,NETWORKDAYS($A294+1,FECHA_EXPORT,FESTIVOS),0)</f>
        <v>0</v>
      </c>
      <c r="AS294" s="61" t="n">
        <f aca="false">IF(AR294&gt;=5,1,INDEX(CDF_INC,1,AR294+1))</f>
        <v>0.14</v>
      </c>
      <c r="AT294" s="61" t="n">
        <f aca="false">TASA_USADA+(TASA_INC-TASA_USADA)*Q_INC*(1-AS294)/(1-Q_INC*AS294)</f>
        <v>0.655565427753311</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E295+AA295*AQ295</f>
        <v>0</v>
      </c>
      <c r="AE295" s="59" t="n">
        <f aca="false">F295+AB295*AQ295</f>
        <v>0</v>
      </c>
      <c r="AF295" s="59" t="n">
        <f aca="false">G295+AC295*AQ295</f>
        <v>0</v>
      </c>
      <c r="AG295" s="59" t="n">
        <f aca="false">H295+I295+J295+(AA295+AB295+AC295)*(1-AQ295)</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IF(ISNUMBER(L295),L295,E295*P1_LOG+F295*P2_LOG+G295*P3_LOG)+IF(ISNUMBER(M295),M295,AA295*P1_LOG+AB295*P2_LOG+AC295*P3_LOG)*AQ295</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c r="AP295" s="58" t="n">
        <f aca="false">MIN(N(K295),Q295)</f>
        <v>0</v>
      </c>
      <c r="AQ295" s="61" t="n">
        <f aca="false">IF(Q295&gt;0,((Q295-AP295)*AT295+AP295*TASA_INC)/Q295,AT295)</f>
        <v>0.655565427753311</v>
      </c>
      <c r="AR295" s="58" t="n">
        <f aca="false">IF($A295&lt;FECHA_EXPORT,NETWORKDAYS($A295+1,FECHA_EXPORT,FESTIVOS),0)</f>
        <v>0</v>
      </c>
      <c r="AS295" s="61" t="n">
        <f aca="false">IF(AR295&gt;=5,1,INDEX(CDF_INC,1,AR295+1))</f>
        <v>0.14</v>
      </c>
      <c r="AT295" s="61" t="n">
        <f aca="false">TASA_USADA+(TASA_INC-TASA_USADA)*Q_INC*(1-AS295)/(1-Q_INC*AS295)</f>
        <v>0.655565427753311</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E296+AA296*AQ296</f>
        <v>0</v>
      </c>
      <c r="AE296" s="59" t="n">
        <f aca="false">F296+AB296*AQ296</f>
        <v>0</v>
      </c>
      <c r="AF296" s="59" t="n">
        <f aca="false">G296+AC296*AQ296</f>
        <v>0</v>
      </c>
      <c r="AG296" s="59" t="n">
        <f aca="false">H296+I296+J296+(AA296+AB296+AC296)*(1-AQ296)</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IF(ISNUMBER(L296),L296,E296*P1_LOG+F296*P2_LOG+G296*P3_LOG)+IF(ISNUMBER(M296),M296,AA296*P1_LOG+AB296*P2_LOG+AC296*P3_LOG)*AQ296</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c r="AP296" s="58" t="n">
        <f aca="false">MIN(N(K296),Q296)</f>
        <v>0</v>
      </c>
      <c r="AQ296" s="61" t="n">
        <f aca="false">IF(Q296&gt;0,((Q296-AP296)*AT296+AP296*TASA_INC)/Q296,AT296)</f>
        <v>0.655565427753311</v>
      </c>
      <c r="AR296" s="58" t="n">
        <f aca="false">IF($A296&lt;FECHA_EXPORT,NETWORKDAYS($A296+1,FECHA_EXPORT,FESTIVOS),0)</f>
        <v>0</v>
      </c>
      <c r="AS296" s="61" t="n">
        <f aca="false">IF(AR296&gt;=5,1,INDEX(CDF_INC,1,AR296+1))</f>
        <v>0.14</v>
      </c>
      <c r="AT296" s="61" t="n">
        <f aca="false">TASA_USADA+(TASA_INC-TASA_USADA)*Q_INC*(1-AS296)/(1-Q_INC*AS296)</f>
        <v>0.655565427753311</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E297+AA297*AQ297</f>
        <v>0</v>
      </c>
      <c r="AE297" s="59" t="n">
        <f aca="false">F297+AB297*AQ297</f>
        <v>0</v>
      </c>
      <c r="AF297" s="59" t="n">
        <f aca="false">G297+AC297*AQ297</f>
        <v>0</v>
      </c>
      <c r="AG297" s="59" t="n">
        <f aca="false">H297+I297+J297+(AA297+AB297+AC297)*(1-AQ297)</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IF(ISNUMBER(L297),L297,E297*P1_LOG+F297*P2_LOG+G297*P3_LOG)+IF(ISNUMBER(M297),M297,AA297*P1_LOG+AB297*P2_LOG+AC297*P3_LOG)*AQ297</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c r="AP297" s="58" t="n">
        <f aca="false">MIN(N(K297),Q297)</f>
        <v>0</v>
      </c>
      <c r="AQ297" s="61" t="n">
        <f aca="false">IF(Q297&gt;0,((Q297-AP297)*AT297+AP297*TASA_INC)/Q297,AT297)</f>
        <v>0.655565427753311</v>
      </c>
      <c r="AR297" s="58" t="n">
        <f aca="false">IF($A297&lt;FECHA_EXPORT,NETWORKDAYS($A297+1,FECHA_EXPORT,FESTIVOS),0)</f>
        <v>0</v>
      </c>
      <c r="AS297" s="61" t="n">
        <f aca="false">IF(AR297&gt;=5,1,INDEX(CDF_INC,1,AR297+1))</f>
        <v>0.14</v>
      </c>
      <c r="AT297" s="61" t="n">
        <f aca="false">TASA_USADA+(TASA_INC-TASA_USADA)*Q_INC*(1-AS297)/(1-Q_INC*AS297)</f>
        <v>0.655565427753311</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E298+AA298*AQ298</f>
        <v>0</v>
      </c>
      <c r="AE298" s="59" t="n">
        <f aca="false">F298+AB298*AQ298</f>
        <v>0</v>
      </c>
      <c r="AF298" s="59" t="n">
        <f aca="false">G298+AC298*AQ298</f>
        <v>0</v>
      </c>
      <c r="AG298" s="59" t="n">
        <f aca="false">H298+I298+J298+(AA298+AB298+AC298)*(1-AQ298)</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IF(ISNUMBER(L298),L298,E298*P1_LOG+F298*P2_LOG+G298*P3_LOG)+IF(ISNUMBER(M298),M298,AA298*P1_LOG+AB298*P2_LOG+AC298*P3_LOG)*AQ298</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c r="AP298" s="58" t="n">
        <f aca="false">MIN(N(K298),Q298)</f>
        <v>0</v>
      </c>
      <c r="AQ298" s="61" t="n">
        <f aca="false">IF(Q298&gt;0,((Q298-AP298)*AT298+AP298*TASA_INC)/Q298,AT298)</f>
        <v>0.655565427753311</v>
      </c>
      <c r="AR298" s="58" t="n">
        <f aca="false">IF($A298&lt;FECHA_EXPORT,NETWORKDAYS($A298+1,FECHA_EXPORT,FESTIVOS),0)</f>
        <v>0</v>
      </c>
      <c r="AS298" s="61" t="n">
        <f aca="false">IF(AR298&gt;=5,1,INDEX(CDF_INC,1,AR298+1))</f>
        <v>0.14</v>
      </c>
      <c r="AT298" s="61" t="n">
        <f aca="false">TASA_USADA+(TASA_INC-TASA_USADA)*Q_INC*(1-AS298)/(1-Q_INC*AS298)</f>
        <v>0.655565427753311</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E299+AA299*AQ299</f>
        <v>0</v>
      </c>
      <c r="AE299" s="59" t="n">
        <f aca="false">F299+AB299*AQ299</f>
        <v>0</v>
      </c>
      <c r="AF299" s="59" t="n">
        <f aca="false">G299+AC299*AQ299</f>
        <v>0</v>
      </c>
      <c r="AG299" s="59" t="n">
        <f aca="false">H299+I299+J299+(AA299+AB299+AC299)*(1-AQ299)</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IF(ISNUMBER(L299),L299,E299*P1_LOG+F299*P2_LOG+G299*P3_LOG)+IF(ISNUMBER(M299),M299,AA299*P1_LOG+AB299*P2_LOG+AC299*P3_LOG)*AQ299</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c r="AP299" s="58" t="n">
        <f aca="false">MIN(N(K299),Q299)</f>
        <v>0</v>
      </c>
      <c r="AQ299" s="61" t="n">
        <f aca="false">IF(Q299&gt;0,((Q299-AP299)*AT299+AP299*TASA_INC)/Q299,AT299)</f>
        <v>0.655565427753311</v>
      </c>
      <c r="AR299" s="58" t="n">
        <f aca="false">IF($A299&lt;FECHA_EXPORT,NETWORKDAYS($A299+1,FECHA_EXPORT,FESTIVOS),0)</f>
        <v>0</v>
      </c>
      <c r="AS299" s="61" t="n">
        <f aca="false">IF(AR299&gt;=5,1,INDEX(CDF_INC,1,AR299+1))</f>
        <v>0.14</v>
      </c>
      <c r="AT299" s="61" t="n">
        <f aca="false">TASA_USADA+(TASA_INC-TASA_USADA)*Q_INC*(1-AS299)/(1-Q_INC*AS299)</f>
        <v>0.655565427753311</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E300+AA300*AQ300</f>
        <v>0</v>
      </c>
      <c r="AE300" s="59" t="n">
        <f aca="false">F300+AB300*AQ300</f>
        <v>0</v>
      </c>
      <c r="AF300" s="59" t="n">
        <f aca="false">G300+AC300*AQ300</f>
        <v>0</v>
      </c>
      <c r="AG300" s="59" t="n">
        <f aca="false">H300+I300+J300+(AA300+AB300+AC300)*(1-AQ300)</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IF(ISNUMBER(L300),L300,E300*P1_LOG+F300*P2_LOG+G300*P3_LOG)+IF(ISNUMBER(M300),M300,AA300*P1_LOG+AB300*P2_LOG+AC300*P3_LOG)*AQ300</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c r="AP300" s="58" t="n">
        <f aca="false">MIN(N(K300),Q300)</f>
        <v>0</v>
      </c>
      <c r="AQ300" s="61" t="n">
        <f aca="false">IF(Q300&gt;0,((Q300-AP300)*AT300+AP300*TASA_INC)/Q300,AT300)</f>
        <v>0.655565427753311</v>
      </c>
      <c r="AR300" s="58" t="n">
        <f aca="false">IF($A300&lt;FECHA_EXPORT,NETWORKDAYS($A300+1,FECHA_EXPORT,FESTIVOS),0)</f>
        <v>0</v>
      </c>
      <c r="AS300" s="61" t="n">
        <f aca="false">IF(AR300&gt;=5,1,INDEX(CDF_INC,1,AR300+1))</f>
        <v>0.14</v>
      </c>
      <c r="AT300" s="61" t="n">
        <f aca="false">TASA_USADA+(TASA_INC-TASA_USADA)*Q_INC*(1-AS300)/(1-Q_INC*AS300)</f>
        <v>0.655565427753311</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E301+AA301*AQ301</f>
        <v>0</v>
      </c>
      <c r="AE301" s="59" t="n">
        <f aca="false">F301+AB301*AQ301</f>
        <v>0</v>
      </c>
      <c r="AF301" s="59" t="n">
        <f aca="false">G301+AC301*AQ301</f>
        <v>0</v>
      </c>
      <c r="AG301" s="59" t="n">
        <f aca="false">H301+I301+J301+(AA301+AB301+AC301)*(1-AQ301)</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IF(ISNUMBER(L301),L301,E301*P1_LOG+F301*P2_LOG+G301*P3_LOG)+IF(ISNUMBER(M301),M301,AA301*P1_LOG+AB301*P2_LOG+AC301*P3_LOG)*AQ301</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c r="AP301" s="58" t="n">
        <f aca="false">MIN(N(K301),Q301)</f>
        <v>0</v>
      </c>
      <c r="AQ301" s="61" t="n">
        <f aca="false">IF(Q301&gt;0,((Q301-AP301)*AT301+AP301*TASA_INC)/Q301,AT301)</f>
        <v>0.655565427753311</v>
      </c>
      <c r="AR301" s="58" t="n">
        <f aca="false">IF($A301&lt;FECHA_EXPORT,NETWORKDAYS($A301+1,FECHA_EXPORT,FESTIVOS),0)</f>
        <v>0</v>
      </c>
      <c r="AS301" s="61" t="n">
        <f aca="false">IF(AR301&gt;=5,1,INDEX(CDF_INC,1,AR301+1))</f>
        <v>0.14</v>
      </c>
      <c r="AT301" s="61" t="n">
        <f aca="false">TASA_USADA+(TASA_INC-TASA_USADA)*Q_INC*(1-AS301)/(1-Q_INC*AS301)</f>
        <v>0.655565427753311</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E302+AA302*AQ302</f>
        <v>0</v>
      </c>
      <c r="AE302" s="59" t="n">
        <f aca="false">F302+AB302*AQ302</f>
        <v>0</v>
      </c>
      <c r="AF302" s="59" t="n">
        <f aca="false">G302+AC302*AQ302</f>
        <v>0</v>
      </c>
      <c r="AG302" s="59" t="n">
        <f aca="false">H302+I302+J302+(AA302+AB302+AC302)*(1-AQ302)</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IF(ISNUMBER(L302),L302,E302*P1_LOG+F302*P2_LOG+G302*P3_LOG)+IF(ISNUMBER(M302),M302,AA302*P1_LOG+AB302*P2_LOG+AC302*P3_LOG)*AQ302</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c r="AP302" s="58" t="n">
        <f aca="false">MIN(N(K302),Q302)</f>
        <v>0</v>
      </c>
      <c r="AQ302" s="61" t="n">
        <f aca="false">IF(Q302&gt;0,((Q302-AP302)*AT302+AP302*TASA_INC)/Q302,AT302)</f>
        <v>0.655565427753311</v>
      </c>
      <c r="AR302" s="58" t="n">
        <f aca="false">IF($A302&lt;FECHA_EXPORT,NETWORKDAYS($A302+1,FECHA_EXPORT,FESTIVOS),0)</f>
        <v>0</v>
      </c>
      <c r="AS302" s="61" t="n">
        <f aca="false">IF(AR302&gt;=5,1,INDEX(CDF_INC,1,AR302+1))</f>
        <v>0.14</v>
      </c>
      <c r="AT302" s="61" t="n">
        <f aca="false">TASA_USADA+(TASA_INC-TASA_USADA)*Q_INC*(1-AS302)/(1-Q_INC*AS302)</f>
        <v>0.655565427753311</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E303+AA303*AQ303</f>
        <v>0</v>
      </c>
      <c r="AE303" s="59" t="n">
        <f aca="false">F303+AB303*AQ303</f>
        <v>0</v>
      </c>
      <c r="AF303" s="59" t="n">
        <f aca="false">G303+AC303*AQ303</f>
        <v>0</v>
      </c>
      <c r="AG303" s="59" t="n">
        <f aca="false">H303+I303+J303+(AA303+AB303+AC303)*(1-AQ303)</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IF(ISNUMBER(L303),L303,E303*P1_LOG+F303*P2_LOG+G303*P3_LOG)+IF(ISNUMBER(M303),M303,AA303*P1_LOG+AB303*P2_LOG+AC303*P3_LOG)*AQ303</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c r="AP303" s="58" t="n">
        <f aca="false">MIN(N(K303),Q303)</f>
        <v>0</v>
      </c>
      <c r="AQ303" s="61" t="n">
        <f aca="false">IF(Q303&gt;0,((Q303-AP303)*AT303+AP303*TASA_INC)/Q303,AT303)</f>
        <v>0.655565427753311</v>
      </c>
      <c r="AR303" s="58" t="n">
        <f aca="false">IF($A303&lt;FECHA_EXPORT,NETWORKDAYS($A303+1,FECHA_EXPORT,FESTIVOS),0)</f>
        <v>0</v>
      </c>
      <c r="AS303" s="61" t="n">
        <f aca="false">IF(AR303&gt;=5,1,INDEX(CDF_INC,1,AR303+1))</f>
        <v>0.14</v>
      </c>
      <c r="AT303" s="61" t="n">
        <f aca="false">TASA_USADA+(TASA_INC-TASA_USADA)*Q_INC*(1-AS303)/(1-Q_INC*AS303)</f>
        <v>0.655565427753311</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E304+AA304*AQ304</f>
        <v>0</v>
      </c>
      <c r="AE304" s="59" t="n">
        <f aca="false">F304+AB304*AQ304</f>
        <v>0</v>
      </c>
      <c r="AF304" s="59" t="n">
        <f aca="false">G304+AC304*AQ304</f>
        <v>0</v>
      </c>
      <c r="AG304" s="59" t="n">
        <f aca="false">H304+I304+J304+(AA304+AB304+AC304)*(1-AQ304)</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IF(ISNUMBER(L304),L304,E304*P1_LOG+F304*P2_LOG+G304*P3_LOG)+IF(ISNUMBER(M304),M304,AA304*P1_LOG+AB304*P2_LOG+AC304*P3_LOG)*AQ304</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c r="AP304" s="58" t="n">
        <f aca="false">MIN(N(K304),Q304)</f>
        <v>0</v>
      </c>
      <c r="AQ304" s="61" t="n">
        <f aca="false">IF(Q304&gt;0,((Q304-AP304)*AT304+AP304*TASA_INC)/Q304,AT304)</f>
        <v>0.655565427753311</v>
      </c>
      <c r="AR304" s="58" t="n">
        <f aca="false">IF($A304&lt;FECHA_EXPORT,NETWORKDAYS($A304+1,FECHA_EXPORT,FESTIVOS),0)</f>
        <v>0</v>
      </c>
      <c r="AS304" s="61" t="n">
        <f aca="false">IF(AR304&gt;=5,1,INDEX(CDF_INC,1,AR304+1))</f>
        <v>0.14</v>
      </c>
      <c r="AT304" s="61" t="n">
        <f aca="false">TASA_USADA+(TASA_INC-TASA_USADA)*Q_INC*(1-AS304)/(1-Q_INC*AS304)</f>
        <v>0.655565427753311</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E305+AA305*AQ305</f>
        <v>0</v>
      </c>
      <c r="AE305" s="59" t="n">
        <f aca="false">F305+AB305*AQ305</f>
        <v>0</v>
      </c>
      <c r="AF305" s="59" t="n">
        <f aca="false">G305+AC305*AQ305</f>
        <v>0</v>
      </c>
      <c r="AG305" s="59" t="n">
        <f aca="false">H305+I305+J305+(AA305+AB305+AC305)*(1-AQ305)</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IF(ISNUMBER(L305),L305,E305*P1_LOG+F305*P2_LOG+G305*P3_LOG)+IF(ISNUMBER(M305),M305,AA305*P1_LOG+AB305*P2_LOG+AC305*P3_LOG)*AQ305</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c r="AP305" s="58" t="n">
        <f aca="false">MIN(N(K305),Q305)</f>
        <v>0</v>
      </c>
      <c r="AQ305" s="61" t="n">
        <f aca="false">IF(Q305&gt;0,((Q305-AP305)*AT305+AP305*TASA_INC)/Q305,AT305)</f>
        <v>0.655565427753311</v>
      </c>
      <c r="AR305" s="58" t="n">
        <f aca="false">IF($A305&lt;FECHA_EXPORT,NETWORKDAYS($A305+1,FECHA_EXPORT,FESTIVOS),0)</f>
        <v>0</v>
      </c>
      <c r="AS305" s="61" t="n">
        <f aca="false">IF(AR305&gt;=5,1,INDEX(CDF_INC,1,AR305+1))</f>
        <v>0.14</v>
      </c>
      <c r="AT305" s="61" t="n">
        <f aca="false">TASA_USADA+(TASA_INC-TASA_USADA)*Q_INC*(1-AS305)/(1-Q_INC*AS305)</f>
        <v>0.655565427753311</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E306+AA306*AQ306</f>
        <v>0</v>
      </c>
      <c r="AE306" s="59" t="n">
        <f aca="false">F306+AB306*AQ306</f>
        <v>0</v>
      </c>
      <c r="AF306" s="59" t="n">
        <f aca="false">G306+AC306*AQ306</f>
        <v>0</v>
      </c>
      <c r="AG306" s="59" t="n">
        <f aca="false">H306+I306+J306+(AA306+AB306+AC306)*(1-AQ306)</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IF(ISNUMBER(L306),L306,E306*P1_LOG+F306*P2_LOG+G306*P3_LOG)+IF(ISNUMBER(M306),M306,AA306*P1_LOG+AB306*P2_LOG+AC306*P3_LOG)*AQ306</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c r="AP306" s="58" t="n">
        <f aca="false">MIN(N(K306),Q306)</f>
        <v>0</v>
      </c>
      <c r="AQ306" s="61" t="n">
        <f aca="false">IF(Q306&gt;0,((Q306-AP306)*AT306+AP306*TASA_INC)/Q306,AT306)</f>
        <v>0.655565427753311</v>
      </c>
      <c r="AR306" s="58" t="n">
        <f aca="false">IF($A306&lt;FECHA_EXPORT,NETWORKDAYS($A306+1,FECHA_EXPORT,FESTIVOS),0)</f>
        <v>0</v>
      </c>
      <c r="AS306" s="61" t="n">
        <f aca="false">IF(AR306&gt;=5,1,INDEX(CDF_INC,1,AR306+1))</f>
        <v>0.14</v>
      </c>
      <c r="AT306" s="61" t="n">
        <f aca="false">TASA_USADA+(TASA_INC-TASA_USADA)*Q_INC*(1-AS306)/(1-Q_INC*AS306)</f>
        <v>0.655565427753311</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E307+AA307*AQ307</f>
        <v>0</v>
      </c>
      <c r="AE307" s="59" t="n">
        <f aca="false">F307+AB307*AQ307</f>
        <v>0</v>
      </c>
      <c r="AF307" s="59" t="n">
        <f aca="false">G307+AC307*AQ307</f>
        <v>0</v>
      </c>
      <c r="AG307" s="59" t="n">
        <f aca="false">H307+I307+J307+(AA307+AB307+AC307)*(1-AQ307)</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IF(ISNUMBER(L307),L307,E307*P1_LOG+F307*P2_LOG+G307*P3_LOG)+IF(ISNUMBER(M307),M307,AA307*P1_LOG+AB307*P2_LOG+AC307*P3_LOG)*AQ307</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c r="AP307" s="58" t="n">
        <f aca="false">MIN(N(K307),Q307)</f>
        <v>0</v>
      </c>
      <c r="AQ307" s="61" t="n">
        <f aca="false">IF(Q307&gt;0,((Q307-AP307)*AT307+AP307*TASA_INC)/Q307,AT307)</f>
        <v>0.655565427753311</v>
      </c>
      <c r="AR307" s="58" t="n">
        <f aca="false">IF($A307&lt;FECHA_EXPORT,NETWORKDAYS($A307+1,FECHA_EXPORT,FESTIVOS),0)</f>
        <v>0</v>
      </c>
      <c r="AS307" s="61" t="n">
        <f aca="false">IF(AR307&gt;=5,1,INDEX(CDF_INC,1,AR307+1))</f>
        <v>0.14</v>
      </c>
      <c r="AT307" s="61" t="n">
        <f aca="false">TASA_USADA+(TASA_INC-TASA_USADA)*Q_INC*(1-AS307)/(1-Q_INC*AS307)</f>
        <v>0.655565427753311</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E308+AA308*AQ308</f>
        <v>0</v>
      </c>
      <c r="AE308" s="59" t="n">
        <f aca="false">F308+AB308*AQ308</f>
        <v>0</v>
      </c>
      <c r="AF308" s="59" t="n">
        <f aca="false">G308+AC308*AQ308</f>
        <v>0</v>
      </c>
      <c r="AG308" s="59" t="n">
        <f aca="false">H308+I308+J308+(AA308+AB308+AC308)*(1-AQ308)</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IF(ISNUMBER(L308),L308,E308*P1_LOG+F308*P2_LOG+G308*P3_LOG)+IF(ISNUMBER(M308),M308,AA308*P1_LOG+AB308*P2_LOG+AC308*P3_LOG)*AQ308</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c r="AP308" s="58" t="n">
        <f aca="false">MIN(N(K308),Q308)</f>
        <v>0</v>
      </c>
      <c r="AQ308" s="61" t="n">
        <f aca="false">IF(Q308&gt;0,((Q308-AP308)*AT308+AP308*TASA_INC)/Q308,AT308)</f>
        <v>0.655565427753311</v>
      </c>
      <c r="AR308" s="58" t="n">
        <f aca="false">IF($A308&lt;FECHA_EXPORT,NETWORKDAYS($A308+1,FECHA_EXPORT,FESTIVOS),0)</f>
        <v>0</v>
      </c>
      <c r="AS308" s="61" t="n">
        <f aca="false">IF(AR308&gt;=5,1,INDEX(CDF_INC,1,AR308+1))</f>
        <v>0.14</v>
      </c>
      <c r="AT308" s="61" t="n">
        <f aca="false">TASA_USADA+(TASA_INC-TASA_USADA)*Q_INC*(1-AS308)/(1-Q_INC*AS308)</f>
        <v>0.655565427753311</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E309+AA309*AQ309</f>
        <v>0</v>
      </c>
      <c r="AE309" s="59" t="n">
        <f aca="false">F309+AB309*AQ309</f>
        <v>0</v>
      </c>
      <c r="AF309" s="59" t="n">
        <f aca="false">G309+AC309*AQ309</f>
        <v>0</v>
      </c>
      <c r="AG309" s="59" t="n">
        <f aca="false">H309+I309+J309+(AA309+AB309+AC309)*(1-AQ309)</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IF(ISNUMBER(L309),L309,E309*P1_LOG+F309*P2_LOG+G309*P3_LOG)+IF(ISNUMBER(M309),M309,AA309*P1_LOG+AB309*P2_LOG+AC309*P3_LOG)*AQ309</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c r="AP309" s="58" t="n">
        <f aca="false">MIN(N(K309),Q309)</f>
        <v>0</v>
      </c>
      <c r="AQ309" s="61" t="n">
        <f aca="false">IF(Q309&gt;0,((Q309-AP309)*AT309+AP309*TASA_INC)/Q309,AT309)</f>
        <v>0.655565427753311</v>
      </c>
      <c r="AR309" s="58" t="n">
        <f aca="false">IF($A309&lt;FECHA_EXPORT,NETWORKDAYS($A309+1,FECHA_EXPORT,FESTIVOS),0)</f>
        <v>0</v>
      </c>
      <c r="AS309" s="61" t="n">
        <f aca="false">IF(AR309&gt;=5,1,INDEX(CDF_INC,1,AR309+1))</f>
        <v>0.14</v>
      </c>
      <c r="AT309" s="61" t="n">
        <f aca="false">TASA_USADA+(TASA_INC-TASA_USADA)*Q_INC*(1-AS309)/(1-Q_INC*AS309)</f>
        <v>0.655565427753311</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E310+AA310*AQ310</f>
        <v>0</v>
      </c>
      <c r="AE310" s="59" t="n">
        <f aca="false">F310+AB310*AQ310</f>
        <v>0</v>
      </c>
      <c r="AF310" s="59" t="n">
        <f aca="false">G310+AC310*AQ310</f>
        <v>0</v>
      </c>
      <c r="AG310" s="59" t="n">
        <f aca="false">H310+I310+J310+(AA310+AB310+AC310)*(1-AQ310)</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IF(ISNUMBER(L310),L310,E310*P1_LOG+F310*P2_LOG+G310*P3_LOG)+IF(ISNUMBER(M310),M310,AA310*P1_LOG+AB310*P2_LOG+AC310*P3_LOG)*AQ310</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c r="AP310" s="58" t="n">
        <f aca="false">MIN(N(K310),Q310)</f>
        <v>0</v>
      </c>
      <c r="AQ310" s="61" t="n">
        <f aca="false">IF(Q310&gt;0,((Q310-AP310)*AT310+AP310*TASA_INC)/Q310,AT310)</f>
        <v>0.655565427753311</v>
      </c>
      <c r="AR310" s="58" t="n">
        <f aca="false">IF($A310&lt;FECHA_EXPORT,NETWORKDAYS($A310+1,FECHA_EXPORT,FESTIVOS),0)</f>
        <v>0</v>
      </c>
      <c r="AS310" s="61" t="n">
        <f aca="false">IF(AR310&gt;=5,1,INDEX(CDF_INC,1,AR310+1))</f>
        <v>0.14</v>
      </c>
      <c r="AT310" s="61" t="n">
        <f aca="false">TASA_USADA+(TASA_INC-TASA_USADA)*Q_INC*(1-AS310)/(1-Q_INC*AS310)</f>
        <v>0.655565427753311</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E311+AA311*AQ311</f>
        <v>0</v>
      </c>
      <c r="AE311" s="59" t="n">
        <f aca="false">F311+AB311*AQ311</f>
        <v>0</v>
      </c>
      <c r="AF311" s="59" t="n">
        <f aca="false">G311+AC311*AQ311</f>
        <v>0</v>
      </c>
      <c r="AG311" s="59" t="n">
        <f aca="false">H311+I311+J311+(AA311+AB311+AC311)*(1-AQ311)</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IF(ISNUMBER(L311),L311,E311*P1_LOG+F311*P2_LOG+G311*P3_LOG)+IF(ISNUMBER(M311),M311,AA311*P1_LOG+AB311*P2_LOG+AC311*P3_LOG)*AQ311</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c r="AP311" s="58" t="n">
        <f aca="false">MIN(N(K311),Q311)</f>
        <v>0</v>
      </c>
      <c r="AQ311" s="61" t="n">
        <f aca="false">IF(Q311&gt;0,((Q311-AP311)*AT311+AP311*TASA_INC)/Q311,AT311)</f>
        <v>0.655565427753311</v>
      </c>
      <c r="AR311" s="58" t="n">
        <f aca="false">IF($A311&lt;FECHA_EXPORT,NETWORKDAYS($A311+1,FECHA_EXPORT,FESTIVOS),0)</f>
        <v>0</v>
      </c>
      <c r="AS311" s="61" t="n">
        <f aca="false">IF(AR311&gt;=5,1,INDEX(CDF_INC,1,AR311+1))</f>
        <v>0.14</v>
      </c>
      <c r="AT311" s="61" t="n">
        <f aca="false">TASA_USADA+(TASA_INC-TASA_USADA)*Q_INC*(1-AS311)/(1-Q_INC*AS311)</f>
        <v>0.655565427753311</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E312+AA312*AQ312</f>
        <v>0</v>
      </c>
      <c r="AE312" s="59" t="n">
        <f aca="false">F312+AB312*AQ312</f>
        <v>0</v>
      </c>
      <c r="AF312" s="59" t="n">
        <f aca="false">G312+AC312*AQ312</f>
        <v>0</v>
      </c>
      <c r="AG312" s="59" t="n">
        <f aca="false">H312+I312+J312+(AA312+AB312+AC312)*(1-AQ312)</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IF(ISNUMBER(L312),L312,E312*P1_LOG+F312*P2_LOG+G312*P3_LOG)+IF(ISNUMBER(M312),M312,AA312*P1_LOG+AB312*P2_LOG+AC312*P3_LOG)*AQ312</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c r="AP312" s="58" t="n">
        <f aca="false">MIN(N(K312),Q312)</f>
        <v>0</v>
      </c>
      <c r="AQ312" s="61" t="n">
        <f aca="false">IF(Q312&gt;0,((Q312-AP312)*AT312+AP312*TASA_INC)/Q312,AT312)</f>
        <v>0.655565427753311</v>
      </c>
      <c r="AR312" s="58" t="n">
        <f aca="false">IF($A312&lt;FECHA_EXPORT,NETWORKDAYS($A312+1,FECHA_EXPORT,FESTIVOS),0)</f>
        <v>0</v>
      </c>
      <c r="AS312" s="61" t="n">
        <f aca="false">IF(AR312&gt;=5,1,INDEX(CDF_INC,1,AR312+1))</f>
        <v>0.14</v>
      </c>
      <c r="AT312" s="61" t="n">
        <f aca="false">TASA_USADA+(TASA_INC-TASA_USADA)*Q_INC*(1-AS312)/(1-Q_INC*AS312)</f>
        <v>0.655565427753311</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E313+AA313*AQ313</f>
        <v>0</v>
      </c>
      <c r="AE313" s="59" t="n">
        <f aca="false">F313+AB313*AQ313</f>
        <v>0</v>
      </c>
      <c r="AF313" s="59" t="n">
        <f aca="false">G313+AC313*AQ313</f>
        <v>0</v>
      </c>
      <c r="AG313" s="59" t="n">
        <f aca="false">H313+I313+J313+(AA313+AB313+AC313)*(1-AQ313)</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IF(ISNUMBER(L313),L313,E313*P1_LOG+F313*P2_LOG+G313*P3_LOG)+IF(ISNUMBER(M313),M313,AA313*P1_LOG+AB313*P2_LOG+AC313*P3_LOG)*AQ313</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c r="AP313" s="58" t="n">
        <f aca="false">MIN(N(K313),Q313)</f>
        <v>0</v>
      </c>
      <c r="AQ313" s="61" t="n">
        <f aca="false">IF(Q313&gt;0,((Q313-AP313)*AT313+AP313*TASA_INC)/Q313,AT313)</f>
        <v>0.655565427753311</v>
      </c>
      <c r="AR313" s="58" t="n">
        <f aca="false">IF($A313&lt;FECHA_EXPORT,NETWORKDAYS($A313+1,FECHA_EXPORT,FESTIVOS),0)</f>
        <v>0</v>
      </c>
      <c r="AS313" s="61" t="n">
        <f aca="false">IF(AR313&gt;=5,1,INDEX(CDF_INC,1,AR313+1))</f>
        <v>0.14</v>
      </c>
      <c r="AT313" s="61" t="n">
        <f aca="false">TASA_USADA+(TASA_INC-TASA_USADA)*Q_INC*(1-AS313)/(1-Q_INC*AS313)</f>
        <v>0.655565427753311</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E314+AA314*AQ314</f>
        <v>0</v>
      </c>
      <c r="AE314" s="59" t="n">
        <f aca="false">F314+AB314*AQ314</f>
        <v>0</v>
      </c>
      <c r="AF314" s="59" t="n">
        <f aca="false">G314+AC314*AQ314</f>
        <v>0</v>
      </c>
      <c r="AG314" s="59" t="n">
        <f aca="false">H314+I314+J314+(AA314+AB314+AC314)*(1-AQ314)</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IF(ISNUMBER(L314),L314,E314*P1_LOG+F314*P2_LOG+G314*P3_LOG)+IF(ISNUMBER(M314),M314,AA314*P1_LOG+AB314*P2_LOG+AC314*P3_LOG)*AQ314</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c r="AP314" s="58" t="n">
        <f aca="false">MIN(N(K314),Q314)</f>
        <v>0</v>
      </c>
      <c r="AQ314" s="61" t="n">
        <f aca="false">IF(Q314&gt;0,((Q314-AP314)*AT314+AP314*TASA_INC)/Q314,AT314)</f>
        <v>0.655565427753311</v>
      </c>
      <c r="AR314" s="58" t="n">
        <f aca="false">IF($A314&lt;FECHA_EXPORT,NETWORKDAYS($A314+1,FECHA_EXPORT,FESTIVOS),0)</f>
        <v>0</v>
      </c>
      <c r="AS314" s="61" t="n">
        <f aca="false">IF(AR314&gt;=5,1,INDEX(CDF_INC,1,AR314+1))</f>
        <v>0.14</v>
      </c>
      <c r="AT314" s="61" t="n">
        <f aca="false">TASA_USADA+(TASA_INC-TASA_USADA)*Q_INC*(1-AS314)/(1-Q_INC*AS314)</f>
        <v>0.655565427753311</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E315+AA315*AQ315</f>
        <v>0</v>
      </c>
      <c r="AE315" s="59" t="n">
        <f aca="false">F315+AB315*AQ315</f>
        <v>0</v>
      </c>
      <c r="AF315" s="59" t="n">
        <f aca="false">G315+AC315*AQ315</f>
        <v>0</v>
      </c>
      <c r="AG315" s="59" t="n">
        <f aca="false">H315+I315+J315+(AA315+AB315+AC315)*(1-AQ315)</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IF(ISNUMBER(L315),L315,E315*P1_LOG+F315*P2_LOG+G315*P3_LOG)+IF(ISNUMBER(M315),M315,AA315*P1_LOG+AB315*P2_LOG+AC315*P3_LOG)*AQ315</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c r="AP315" s="58" t="n">
        <f aca="false">MIN(N(K315),Q315)</f>
        <v>0</v>
      </c>
      <c r="AQ315" s="61" t="n">
        <f aca="false">IF(Q315&gt;0,((Q315-AP315)*AT315+AP315*TASA_INC)/Q315,AT315)</f>
        <v>0.655565427753311</v>
      </c>
      <c r="AR315" s="58" t="n">
        <f aca="false">IF($A315&lt;FECHA_EXPORT,NETWORKDAYS($A315+1,FECHA_EXPORT,FESTIVOS),0)</f>
        <v>0</v>
      </c>
      <c r="AS315" s="61" t="n">
        <f aca="false">IF(AR315&gt;=5,1,INDEX(CDF_INC,1,AR315+1))</f>
        <v>0.14</v>
      </c>
      <c r="AT315" s="61" t="n">
        <f aca="false">TASA_USADA+(TASA_INC-TASA_USADA)*Q_INC*(1-AS315)/(1-Q_INC*AS315)</f>
        <v>0.655565427753311</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E316+AA316*AQ316</f>
        <v>0</v>
      </c>
      <c r="AE316" s="59" t="n">
        <f aca="false">F316+AB316*AQ316</f>
        <v>0</v>
      </c>
      <c r="AF316" s="59" t="n">
        <f aca="false">G316+AC316*AQ316</f>
        <v>0</v>
      </c>
      <c r="AG316" s="59" t="n">
        <f aca="false">H316+I316+J316+(AA316+AB316+AC316)*(1-AQ316)</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IF(ISNUMBER(L316),L316,E316*P1_LOG+F316*P2_LOG+G316*P3_LOG)+IF(ISNUMBER(M316),M316,AA316*P1_LOG+AB316*P2_LOG+AC316*P3_LOG)*AQ316</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c r="AP316" s="58" t="n">
        <f aca="false">MIN(N(K316),Q316)</f>
        <v>0</v>
      </c>
      <c r="AQ316" s="61" t="n">
        <f aca="false">IF(Q316&gt;0,((Q316-AP316)*AT316+AP316*TASA_INC)/Q316,AT316)</f>
        <v>0.655565427753311</v>
      </c>
      <c r="AR316" s="58" t="n">
        <f aca="false">IF($A316&lt;FECHA_EXPORT,NETWORKDAYS($A316+1,FECHA_EXPORT,FESTIVOS),0)</f>
        <v>0</v>
      </c>
      <c r="AS316" s="61" t="n">
        <f aca="false">IF(AR316&gt;=5,1,INDEX(CDF_INC,1,AR316+1))</f>
        <v>0.14</v>
      </c>
      <c r="AT316" s="61" t="n">
        <f aca="false">TASA_USADA+(TASA_INC-TASA_USADA)*Q_INC*(1-AS316)/(1-Q_INC*AS316)</f>
        <v>0.655565427753311</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E317+AA317*AQ317</f>
        <v>0</v>
      </c>
      <c r="AE317" s="59" t="n">
        <f aca="false">F317+AB317*AQ317</f>
        <v>0</v>
      </c>
      <c r="AF317" s="59" t="n">
        <f aca="false">G317+AC317*AQ317</f>
        <v>0</v>
      </c>
      <c r="AG317" s="59" t="n">
        <f aca="false">H317+I317+J317+(AA317+AB317+AC317)*(1-AQ317)</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IF(ISNUMBER(L317),L317,E317*P1_LOG+F317*P2_LOG+G317*P3_LOG)+IF(ISNUMBER(M317),M317,AA317*P1_LOG+AB317*P2_LOG+AC317*P3_LOG)*AQ317</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c r="AP317" s="58" t="n">
        <f aca="false">MIN(N(K317),Q317)</f>
        <v>0</v>
      </c>
      <c r="AQ317" s="61" t="n">
        <f aca="false">IF(Q317&gt;0,((Q317-AP317)*AT317+AP317*TASA_INC)/Q317,AT317)</f>
        <v>0.655565427753311</v>
      </c>
      <c r="AR317" s="58" t="n">
        <f aca="false">IF($A317&lt;FECHA_EXPORT,NETWORKDAYS($A317+1,FECHA_EXPORT,FESTIVOS),0)</f>
        <v>0</v>
      </c>
      <c r="AS317" s="61" t="n">
        <f aca="false">IF(AR317&gt;=5,1,INDEX(CDF_INC,1,AR317+1))</f>
        <v>0.14</v>
      </c>
      <c r="AT317" s="61" t="n">
        <f aca="false">TASA_USADA+(TASA_INC-TASA_USADA)*Q_INC*(1-AS317)/(1-Q_INC*AS317)</f>
        <v>0.655565427753311</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E318+AA318*AQ318</f>
        <v>0</v>
      </c>
      <c r="AE318" s="59" t="n">
        <f aca="false">F318+AB318*AQ318</f>
        <v>0</v>
      </c>
      <c r="AF318" s="59" t="n">
        <f aca="false">G318+AC318*AQ318</f>
        <v>0</v>
      </c>
      <c r="AG318" s="59" t="n">
        <f aca="false">H318+I318+J318+(AA318+AB318+AC318)*(1-AQ318)</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IF(ISNUMBER(L318),L318,E318*P1_LOG+F318*P2_LOG+G318*P3_LOG)+IF(ISNUMBER(M318),M318,AA318*P1_LOG+AB318*P2_LOG+AC318*P3_LOG)*AQ318</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c r="AP318" s="58" t="n">
        <f aca="false">MIN(N(K318),Q318)</f>
        <v>0</v>
      </c>
      <c r="AQ318" s="61" t="n">
        <f aca="false">IF(Q318&gt;0,((Q318-AP318)*AT318+AP318*TASA_INC)/Q318,AT318)</f>
        <v>0.655565427753311</v>
      </c>
      <c r="AR318" s="58" t="n">
        <f aca="false">IF($A318&lt;FECHA_EXPORT,NETWORKDAYS($A318+1,FECHA_EXPORT,FESTIVOS),0)</f>
        <v>0</v>
      </c>
      <c r="AS318" s="61" t="n">
        <f aca="false">IF(AR318&gt;=5,1,INDEX(CDF_INC,1,AR318+1))</f>
        <v>0.14</v>
      </c>
      <c r="AT318" s="61" t="n">
        <f aca="false">TASA_USADA+(TASA_INC-TASA_USADA)*Q_INC*(1-AS318)/(1-Q_INC*AS318)</f>
        <v>0.655565427753311</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E319+AA319*AQ319</f>
        <v>0</v>
      </c>
      <c r="AE319" s="59" t="n">
        <f aca="false">F319+AB319*AQ319</f>
        <v>0</v>
      </c>
      <c r="AF319" s="59" t="n">
        <f aca="false">G319+AC319*AQ319</f>
        <v>0</v>
      </c>
      <c r="AG319" s="59" t="n">
        <f aca="false">H319+I319+J319+(AA319+AB319+AC319)*(1-AQ319)</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IF(ISNUMBER(L319),L319,E319*P1_LOG+F319*P2_LOG+G319*P3_LOG)+IF(ISNUMBER(M319),M319,AA319*P1_LOG+AB319*P2_LOG+AC319*P3_LOG)*AQ319</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c r="AP319" s="58" t="n">
        <f aca="false">MIN(N(K319),Q319)</f>
        <v>0</v>
      </c>
      <c r="AQ319" s="61" t="n">
        <f aca="false">IF(Q319&gt;0,((Q319-AP319)*AT319+AP319*TASA_INC)/Q319,AT319)</f>
        <v>0.655565427753311</v>
      </c>
      <c r="AR319" s="58" t="n">
        <f aca="false">IF($A319&lt;FECHA_EXPORT,NETWORKDAYS($A319+1,FECHA_EXPORT,FESTIVOS),0)</f>
        <v>0</v>
      </c>
      <c r="AS319" s="61" t="n">
        <f aca="false">IF(AR319&gt;=5,1,INDEX(CDF_INC,1,AR319+1))</f>
        <v>0.14</v>
      </c>
      <c r="AT319" s="61" t="n">
        <f aca="false">TASA_USADA+(TASA_INC-TASA_USADA)*Q_INC*(1-AS319)/(1-Q_INC*AS319)</f>
        <v>0.655565427753311</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E320+AA320*AQ320</f>
        <v>0</v>
      </c>
      <c r="AE320" s="59" t="n">
        <f aca="false">F320+AB320*AQ320</f>
        <v>0</v>
      </c>
      <c r="AF320" s="59" t="n">
        <f aca="false">G320+AC320*AQ320</f>
        <v>0</v>
      </c>
      <c r="AG320" s="59" t="n">
        <f aca="false">H320+I320+J320+(AA320+AB320+AC320)*(1-AQ320)</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IF(ISNUMBER(L320),L320,E320*P1_LOG+F320*P2_LOG+G320*P3_LOG)+IF(ISNUMBER(M320),M320,AA320*P1_LOG+AB320*P2_LOG+AC320*P3_LOG)*AQ320</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c r="AP320" s="58" t="n">
        <f aca="false">MIN(N(K320),Q320)</f>
        <v>0</v>
      </c>
      <c r="AQ320" s="61" t="n">
        <f aca="false">IF(Q320&gt;0,((Q320-AP320)*AT320+AP320*TASA_INC)/Q320,AT320)</f>
        <v>0.655565427753311</v>
      </c>
      <c r="AR320" s="58" t="n">
        <f aca="false">IF($A320&lt;FECHA_EXPORT,NETWORKDAYS($A320+1,FECHA_EXPORT,FESTIVOS),0)</f>
        <v>0</v>
      </c>
      <c r="AS320" s="61" t="n">
        <f aca="false">IF(AR320&gt;=5,1,INDEX(CDF_INC,1,AR320+1))</f>
        <v>0.14</v>
      </c>
      <c r="AT320" s="61" t="n">
        <f aca="false">TASA_USADA+(TASA_INC-TASA_USADA)*Q_INC*(1-AS320)/(1-Q_INC*AS320)</f>
        <v>0.655565427753311</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E321+AA321*AQ321</f>
        <v>0</v>
      </c>
      <c r="AE321" s="59" t="n">
        <f aca="false">F321+AB321*AQ321</f>
        <v>0</v>
      </c>
      <c r="AF321" s="59" t="n">
        <f aca="false">G321+AC321*AQ321</f>
        <v>0</v>
      </c>
      <c r="AG321" s="59" t="n">
        <f aca="false">H321+I321+J321+(AA321+AB321+AC321)*(1-AQ321)</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IF(ISNUMBER(L321),L321,E321*P1_LOG+F321*P2_LOG+G321*P3_LOG)+IF(ISNUMBER(M321),M321,AA321*P1_LOG+AB321*P2_LOG+AC321*P3_LOG)*AQ321</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c r="AP321" s="58" t="n">
        <f aca="false">MIN(N(K321),Q321)</f>
        <v>0</v>
      </c>
      <c r="AQ321" s="61" t="n">
        <f aca="false">IF(Q321&gt;0,((Q321-AP321)*AT321+AP321*TASA_INC)/Q321,AT321)</f>
        <v>0.655565427753311</v>
      </c>
      <c r="AR321" s="58" t="n">
        <f aca="false">IF($A321&lt;FECHA_EXPORT,NETWORKDAYS($A321+1,FECHA_EXPORT,FESTIVOS),0)</f>
        <v>0</v>
      </c>
      <c r="AS321" s="61" t="n">
        <f aca="false">IF(AR321&gt;=5,1,INDEX(CDF_INC,1,AR321+1))</f>
        <v>0.14</v>
      </c>
      <c r="AT321" s="61" t="n">
        <f aca="false">TASA_USADA+(TASA_INC-TASA_USADA)*Q_INC*(1-AS321)/(1-Q_INC*AS321)</f>
        <v>0.655565427753311</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E322+AA322*AQ322</f>
        <v>0</v>
      </c>
      <c r="AE322" s="59" t="n">
        <f aca="false">F322+AB322*AQ322</f>
        <v>0</v>
      </c>
      <c r="AF322" s="59" t="n">
        <f aca="false">G322+AC322*AQ322</f>
        <v>0</v>
      </c>
      <c r="AG322" s="59" t="n">
        <f aca="false">H322+I322+J322+(AA322+AB322+AC322)*(1-AQ322)</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IF(ISNUMBER(L322),L322,E322*P1_LOG+F322*P2_LOG+G322*P3_LOG)+IF(ISNUMBER(M322),M322,AA322*P1_LOG+AB322*P2_LOG+AC322*P3_LOG)*AQ322</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c r="AP322" s="58" t="n">
        <f aca="false">MIN(N(K322),Q322)</f>
        <v>0</v>
      </c>
      <c r="AQ322" s="61" t="n">
        <f aca="false">IF(Q322&gt;0,((Q322-AP322)*AT322+AP322*TASA_INC)/Q322,AT322)</f>
        <v>0.655565427753311</v>
      </c>
      <c r="AR322" s="58" t="n">
        <f aca="false">IF($A322&lt;FECHA_EXPORT,NETWORKDAYS($A322+1,FECHA_EXPORT,FESTIVOS),0)</f>
        <v>0</v>
      </c>
      <c r="AS322" s="61" t="n">
        <f aca="false">IF(AR322&gt;=5,1,INDEX(CDF_INC,1,AR322+1))</f>
        <v>0.14</v>
      </c>
      <c r="AT322" s="61" t="n">
        <f aca="false">TASA_USADA+(TASA_INC-TASA_USADA)*Q_INC*(1-AS322)/(1-Q_INC*AS322)</f>
        <v>0.655565427753311</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E323+AA323*AQ323</f>
        <v>0</v>
      </c>
      <c r="AE323" s="59" t="n">
        <f aca="false">F323+AB323*AQ323</f>
        <v>0</v>
      </c>
      <c r="AF323" s="59" t="n">
        <f aca="false">G323+AC323*AQ323</f>
        <v>0</v>
      </c>
      <c r="AG323" s="59" t="n">
        <f aca="false">H323+I323+J323+(AA323+AB323+AC323)*(1-AQ323)</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IF(ISNUMBER(L323),L323,E323*P1_LOG+F323*P2_LOG+G323*P3_LOG)+IF(ISNUMBER(M323),M323,AA323*P1_LOG+AB323*P2_LOG+AC323*P3_LOG)*AQ323</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c r="AP323" s="58" t="n">
        <f aca="false">MIN(N(K323),Q323)</f>
        <v>0</v>
      </c>
      <c r="AQ323" s="61" t="n">
        <f aca="false">IF(Q323&gt;0,((Q323-AP323)*AT323+AP323*TASA_INC)/Q323,AT323)</f>
        <v>0.655565427753311</v>
      </c>
      <c r="AR323" s="58" t="n">
        <f aca="false">IF($A323&lt;FECHA_EXPORT,NETWORKDAYS($A323+1,FECHA_EXPORT,FESTIVOS),0)</f>
        <v>0</v>
      </c>
      <c r="AS323" s="61" t="n">
        <f aca="false">IF(AR323&gt;=5,1,INDEX(CDF_INC,1,AR323+1))</f>
        <v>0.14</v>
      </c>
      <c r="AT323" s="61" t="n">
        <f aca="false">TASA_USADA+(TASA_INC-TASA_USADA)*Q_INC*(1-AS323)/(1-Q_INC*AS323)</f>
        <v>0.655565427753311</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E324+AA324*AQ324</f>
        <v>0</v>
      </c>
      <c r="AE324" s="59" t="n">
        <f aca="false">F324+AB324*AQ324</f>
        <v>0</v>
      </c>
      <c r="AF324" s="59" t="n">
        <f aca="false">G324+AC324*AQ324</f>
        <v>0</v>
      </c>
      <c r="AG324" s="59" t="n">
        <f aca="false">H324+I324+J324+(AA324+AB324+AC324)*(1-AQ324)</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IF(ISNUMBER(L324),L324,E324*P1_LOG+F324*P2_LOG+G324*P3_LOG)+IF(ISNUMBER(M324),M324,AA324*P1_LOG+AB324*P2_LOG+AC324*P3_LOG)*AQ324</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c r="AP324" s="58" t="n">
        <f aca="false">MIN(N(K324),Q324)</f>
        <v>0</v>
      </c>
      <c r="AQ324" s="61" t="n">
        <f aca="false">IF(Q324&gt;0,((Q324-AP324)*AT324+AP324*TASA_INC)/Q324,AT324)</f>
        <v>0.655565427753311</v>
      </c>
      <c r="AR324" s="58" t="n">
        <f aca="false">IF($A324&lt;FECHA_EXPORT,NETWORKDAYS($A324+1,FECHA_EXPORT,FESTIVOS),0)</f>
        <v>0</v>
      </c>
      <c r="AS324" s="61" t="n">
        <f aca="false">IF(AR324&gt;=5,1,INDEX(CDF_INC,1,AR324+1))</f>
        <v>0.14</v>
      </c>
      <c r="AT324" s="61" t="n">
        <f aca="false">TASA_USADA+(TASA_INC-TASA_USADA)*Q_INC*(1-AS324)/(1-Q_INC*AS324)</f>
        <v>0.655565427753311</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E325+AA325*AQ325</f>
        <v>0</v>
      </c>
      <c r="AE325" s="59" t="n">
        <f aca="false">F325+AB325*AQ325</f>
        <v>0</v>
      </c>
      <c r="AF325" s="59" t="n">
        <f aca="false">G325+AC325*AQ325</f>
        <v>0</v>
      </c>
      <c r="AG325" s="59" t="n">
        <f aca="false">H325+I325+J325+(AA325+AB325+AC325)*(1-AQ325)</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IF(ISNUMBER(L325),L325,E325*P1_LOG+F325*P2_LOG+G325*P3_LOG)+IF(ISNUMBER(M325),M325,AA325*P1_LOG+AB325*P2_LOG+AC325*P3_LOG)*AQ325</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c r="AP325" s="58" t="n">
        <f aca="false">MIN(N(K325),Q325)</f>
        <v>0</v>
      </c>
      <c r="AQ325" s="61" t="n">
        <f aca="false">IF(Q325&gt;0,((Q325-AP325)*AT325+AP325*TASA_INC)/Q325,AT325)</f>
        <v>0.655565427753311</v>
      </c>
      <c r="AR325" s="58" t="n">
        <f aca="false">IF($A325&lt;FECHA_EXPORT,NETWORKDAYS($A325+1,FECHA_EXPORT,FESTIVOS),0)</f>
        <v>0</v>
      </c>
      <c r="AS325" s="61" t="n">
        <f aca="false">IF(AR325&gt;=5,1,INDEX(CDF_INC,1,AR325+1))</f>
        <v>0.14</v>
      </c>
      <c r="AT325" s="61" t="n">
        <f aca="false">TASA_USADA+(TASA_INC-TASA_USADA)*Q_INC*(1-AS325)/(1-Q_INC*AS325)</f>
        <v>0.655565427753311</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E326+AA326*AQ326</f>
        <v>0</v>
      </c>
      <c r="AE326" s="59" t="n">
        <f aca="false">F326+AB326*AQ326</f>
        <v>0</v>
      </c>
      <c r="AF326" s="59" t="n">
        <f aca="false">G326+AC326*AQ326</f>
        <v>0</v>
      </c>
      <c r="AG326" s="59" t="n">
        <f aca="false">H326+I326+J326+(AA326+AB326+AC326)*(1-AQ326)</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IF(ISNUMBER(L326),L326,E326*P1_LOG+F326*P2_LOG+G326*P3_LOG)+IF(ISNUMBER(M326),M326,AA326*P1_LOG+AB326*P2_LOG+AC326*P3_LOG)*AQ326</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c r="AP326" s="58" t="n">
        <f aca="false">MIN(N(K326),Q326)</f>
        <v>0</v>
      </c>
      <c r="AQ326" s="61" t="n">
        <f aca="false">IF(Q326&gt;0,((Q326-AP326)*AT326+AP326*TASA_INC)/Q326,AT326)</f>
        <v>0.655565427753311</v>
      </c>
      <c r="AR326" s="58" t="n">
        <f aca="false">IF($A326&lt;FECHA_EXPORT,NETWORKDAYS($A326+1,FECHA_EXPORT,FESTIVOS),0)</f>
        <v>0</v>
      </c>
      <c r="AS326" s="61" t="n">
        <f aca="false">IF(AR326&gt;=5,1,INDEX(CDF_INC,1,AR326+1))</f>
        <v>0.14</v>
      </c>
      <c r="AT326" s="61" t="n">
        <f aca="false">TASA_USADA+(TASA_INC-TASA_USADA)*Q_INC*(1-AS326)/(1-Q_INC*AS326)</f>
        <v>0.655565427753311</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E327+AA327*AQ327</f>
        <v>0</v>
      </c>
      <c r="AE327" s="59" t="n">
        <f aca="false">F327+AB327*AQ327</f>
        <v>0</v>
      </c>
      <c r="AF327" s="59" t="n">
        <f aca="false">G327+AC327*AQ327</f>
        <v>0</v>
      </c>
      <c r="AG327" s="59" t="n">
        <f aca="false">H327+I327+J327+(AA327+AB327+AC327)*(1-AQ327)</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IF(ISNUMBER(L327),L327,E327*P1_LOG+F327*P2_LOG+G327*P3_LOG)+IF(ISNUMBER(M327),M327,AA327*P1_LOG+AB327*P2_LOG+AC327*P3_LOG)*AQ327</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c r="AP327" s="58" t="n">
        <f aca="false">MIN(N(K327),Q327)</f>
        <v>0</v>
      </c>
      <c r="AQ327" s="61" t="n">
        <f aca="false">IF(Q327&gt;0,((Q327-AP327)*AT327+AP327*TASA_INC)/Q327,AT327)</f>
        <v>0.655565427753311</v>
      </c>
      <c r="AR327" s="58" t="n">
        <f aca="false">IF($A327&lt;FECHA_EXPORT,NETWORKDAYS($A327+1,FECHA_EXPORT,FESTIVOS),0)</f>
        <v>0</v>
      </c>
      <c r="AS327" s="61" t="n">
        <f aca="false">IF(AR327&gt;=5,1,INDEX(CDF_INC,1,AR327+1))</f>
        <v>0.14</v>
      </c>
      <c r="AT327" s="61" t="n">
        <f aca="false">TASA_USADA+(TASA_INC-TASA_USADA)*Q_INC*(1-AS327)/(1-Q_INC*AS327)</f>
        <v>0.655565427753311</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E328+AA328*AQ328</f>
        <v>0</v>
      </c>
      <c r="AE328" s="59" t="n">
        <f aca="false">F328+AB328*AQ328</f>
        <v>0</v>
      </c>
      <c r="AF328" s="59" t="n">
        <f aca="false">G328+AC328*AQ328</f>
        <v>0</v>
      </c>
      <c r="AG328" s="59" t="n">
        <f aca="false">H328+I328+J328+(AA328+AB328+AC328)*(1-AQ328)</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IF(ISNUMBER(L328),L328,E328*P1_LOG+F328*P2_LOG+G328*P3_LOG)+IF(ISNUMBER(M328),M328,AA328*P1_LOG+AB328*P2_LOG+AC328*P3_LOG)*AQ328</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c r="AP328" s="58" t="n">
        <f aca="false">MIN(N(K328),Q328)</f>
        <v>0</v>
      </c>
      <c r="AQ328" s="61" t="n">
        <f aca="false">IF(Q328&gt;0,((Q328-AP328)*AT328+AP328*TASA_INC)/Q328,AT328)</f>
        <v>0.655565427753311</v>
      </c>
      <c r="AR328" s="58" t="n">
        <f aca="false">IF($A328&lt;FECHA_EXPORT,NETWORKDAYS($A328+1,FECHA_EXPORT,FESTIVOS),0)</f>
        <v>0</v>
      </c>
      <c r="AS328" s="61" t="n">
        <f aca="false">IF(AR328&gt;=5,1,INDEX(CDF_INC,1,AR328+1))</f>
        <v>0.14</v>
      </c>
      <c r="AT328" s="61" t="n">
        <f aca="false">TASA_USADA+(TASA_INC-TASA_USADA)*Q_INC*(1-AS328)/(1-Q_INC*AS328)</f>
        <v>0.655565427753311</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E329+AA329*AQ329</f>
        <v>0</v>
      </c>
      <c r="AE329" s="59" t="n">
        <f aca="false">F329+AB329*AQ329</f>
        <v>0</v>
      </c>
      <c r="AF329" s="59" t="n">
        <f aca="false">G329+AC329*AQ329</f>
        <v>0</v>
      </c>
      <c r="AG329" s="59" t="n">
        <f aca="false">H329+I329+J329+(AA329+AB329+AC329)*(1-AQ329)</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IF(ISNUMBER(L329),L329,E329*P1_LOG+F329*P2_LOG+G329*P3_LOG)+IF(ISNUMBER(M329),M329,AA329*P1_LOG+AB329*P2_LOG+AC329*P3_LOG)*AQ329</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c r="AP329" s="58" t="n">
        <f aca="false">MIN(N(K329),Q329)</f>
        <v>0</v>
      </c>
      <c r="AQ329" s="61" t="n">
        <f aca="false">IF(Q329&gt;0,((Q329-AP329)*AT329+AP329*TASA_INC)/Q329,AT329)</f>
        <v>0.655565427753311</v>
      </c>
      <c r="AR329" s="58" t="n">
        <f aca="false">IF($A329&lt;FECHA_EXPORT,NETWORKDAYS($A329+1,FECHA_EXPORT,FESTIVOS),0)</f>
        <v>0</v>
      </c>
      <c r="AS329" s="61" t="n">
        <f aca="false">IF(AR329&gt;=5,1,INDEX(CDF_INC,1,AR329+1))</f>
        <v>0.14</v>
      </c>
      <c r="AT329" s="61" t="n">
        <f aca="false">TASA_USADA+(TASA_INC-TASA_USADA)*Q_INC*(1-AS329)/(1-Q_INC*AS329)</f>
        <v>0.655565427753311</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E330+AA330*AQ330</f>
        <v>0</v>
      </c>
      <c r="AE330" s="59" t="n">
        <f aca="false">F330+AB330*AQ330</f>
        <v>0</v>
      </c>
      <c r="AF330" s="59" t="n">
        <f aca="false">G330+AC330*AQ330</f>
        <v>0</v>
      </c>
      <c r="AG330" s="59" t="n">
        <f aca="false">H330+I330+J330+(AA330+AB330+AC330)*(1-AQ330)</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IF(ISNUMBER(L330),L330,E330*P1_LOG+F330*P2_LOG+G330*P3_LOG)+IF(ISNUMBER(M330),M330,AA330*P1_LOG+AB330*P2_LOG+AC330*P3_LOG)*AQ330</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c r="AP330" s="58" t="n">
        <f aca="false">MIN(N(K330),Q330)</f>
        <v>0</v>
      </c>
      <c r="AQ330" s="61" t="n">
        <f aca="false">IF(Q330&gt;0,((Q330-AP330)*AT330+AP330*TASA_INC)/Q330,AT330)</f>
        <v>0.655565427753311</v>
      </c>
      <c r="AR330" s="58" t="n">
        <f aca="false">IF($A330&lt;FECHA_EXPORT,NETWORKDAYS($A330+1,FECHA_EXPORT,FESTIVOS),0)</f>
        <v>0</v>
      </c>
      <c r="AS330" s="61" t="n">
        <f aca="false">IF(AR330&gt;=5,1,INDEX(CDF_INC,1,AR330+1))</f>
        <v>0.14</v>
      </c>
      <c r="AT330" s="61" t="n">
        <f aca="false">TASA_USADA+(TASA_INC-TASA_USADA)*Q_INC*(1-AS330)/(1-Q_INC*AS330)</f>
        <v>0.655565427753311</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E331+AA331*AQ331</f>
        <v>0</v>
      </c>
      <c r="AE331" s="59" t="n">
        <f aca="false">F331+AB331*AQ331</f>
        <v>0</v>
      </c>
      <c r="AF331" s="59" t="n">
        <f aca="false">G331+AC331*AQ331</f>
        <v>0</v>
      </c>
      <c r="AG331" s="59" t="n">
        <f aca="false">H331+I331+J331+(AA331+AB331+AC331)*(1-AQ331)</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IF(ISNUMBER(L331),L331,E331*P1_LOG+F331*P2_LOG+G331*P3_LOG)+IF(ISNUMBER(M331),M331,AA331*P1_LOG+AB331*P2_LOG+AC331*P3_LOG)*AQ331</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c r="AP331" s="58" t="n">
        <f aca="false">MIN(N(K331),Q331)</f>
        <v>0</v>
      </c>
      <c r="AQ331" s="61" t="n">
        <f aca="false">IF(Q331&gt;0,((Q331-AP331)*AT331+AP331*TASA_INC)/Q331,AT331)</f>
        <v>0.655565427753311</v>
      </c>
      <c r="AR331" s="58" t="n">
        <f aca="false">IF($A331&lt;FECHA_EXPORT,NETWORKDAYS($A331+1,FECHA_EXPORT,FESTIVOS),0)</f>
        <v>0</v>
      </c>
      <c r="AS331" s="61" t="n">
        <f aca="false">IF(AR331&gt;=5,1,INDEX(CDF_INC,1,AR331+1))</f>
        <v>0.14</v>
      </c>
      <c r="AT331" s="61" t="n">
        <f aca="false">TASA_USADA+(TASA_INC-TASA_USADA)*Q_INC*(1-AS331)/(1-Q_INC*AS331)</f>
        <v>0.655565427753311</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E332+AA332*AQ332</f>
        <v>0</v>
      </c>
      <c r="AE332" s="59" t="n">
        <f aca="false">F332+AB332*AQ332</f>
        <v>0</v>
      </c>
      <c r="AF332" s="59" t="n">
        <f aca="false">G332+AC332*AQ332</f>
        <v>0</v>
      </c>
      <c r="AG332" s="59" t="n">
        <f aca="false">H332+I332+J332+(AA332+AB332+AC332)*(1-AQ332)</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IF(ISNUMBER(L332),L332,E332*P1_LOG+F332*P2_LOG+G332*P3_LOG)+IF(ISNUMBER(M332),M332,AA332*P1_LOG+AB332*P2_LOG+AC332*P3_LOG)*AQ332</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c r="AP332" s="58" t="n">
        <f aca="false">MIN(N(K332),Q332)</f>
        <v>0</v>
      </c>
      <c r="AQ332" s="61" t="n">
        <f aca="false">IF(Q332&gt;0,((Q332-AP332)*AT332+AP332*TASA_INC)/Q332,AT332)</f>
        <v>0.655565427753311</v>
      </c>
      <c r="AR332" s="58" t="n">
        <f aca="false">IF($A332&lt;FECHA_EXPORT,NETWORKDAYS($A332+1,FECHA_EXPORT,FESTIVOS),0)</f>
        <v>0</v>
      </c>
      <c r="AS332" s="61" t="n">
        <f aca="false">IF(AR332&gt;=5,1,INDEX(CDF_INC,1,AR332+1))</f>
        <v>0.14</v>
      </c>
      <c r="AT332" s="61" t="n">
        <f aca="false">TASA_USADA+(TASA_INC-TASA_USADA)*Q_INC*(1-AS332)/(1-Q_INC*AS332)</f>
        <v>0.655565427753311</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E333+AA333*AQ333</f>
        <v>0</v>
      </c>
      <c r="AE333" s="59" t="n">
        <f aca="false">F333+AB333*AQ333</f>
        <v>0</v>
      </c>
      <c r="AF333" s="59" t="n">
        <f aca="false">G333+AC333*AQ333</f>
        <v>0</v>
      </c>
      <c r="AG333" s="59" t="n">
        <f aca="false">H333+I333+J333+(AA333+AB333+AC333)*(1-AQ333)</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IF(ISNUMBER(L333),L333,E333*P1_LOG+F333*P2_LOG+G333*P3_LOG)+IF(ISNUMBER(M333),M333,AA333*P1_LOG+AB333*P2_LOG+AC333*P3_LOG)*AQ333</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c r="AP333" s="58" t="n">
        <f aca="false">MIN(N(K333),Q333)</f>
        <v>0</v>
      </c>
      <c r="AQ333" s="61" t="n">
        <f aca="false">IF(Q333&gt;0,((Q333-AP333)*AT333+AP333*TASA_INC)/Q333,AT333)</f>
        <v>0.655565427753311</v>
      </c>
      <c r="AR333" s="58" t="n">
        <f aca="false">IF($A333&lt;FECHA_EXPORT,NETWORKDAYS($A333+1,FECHA_EXPORT,FESTIVOS),0)</f>
        <v>0</v>
      </c>
      <c r="AS333" s="61" t="n">
        <f aca="false">IF(AR333&gt;=5,1,INDEX(CDF_INC,1,AR333+1))</f>
        <v>0.14</v>
      </c>
      <c r="AT333" s="61" t="n">
        <f aca="false">TASA_USADA+(TASA_INC-TASA_USADA)*Q_INC*(1-AS333)/(1-Q_INC*AS333)</f>
        <v>0.655565427753311</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E334+AA334*AQ334</f>
        <v>0</v>
      </c>
      <c r="AE334" s="59" t="n">
        <f aca="false">F334+AB334*AQ334</f>
        <v>0</v>
      </c>
      <c r="AF334" s="59" t="n">
        <f aca="false">G334+AC334*AQ334</f>
        <v>0</v>
      </c>
      <c r="AG334" s="59" t="n">
        <f aca="false">H334+I334+J334+(AA334+AB334+AC334)*(1-AQ334)</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IF(ISNUMBER(L334),L334,E334*P1_LOG+F334*P2_LOG+G334*P3_LOG)+IF(ISNUMBER(M334),M334,AA334*P1_LOG+AB334*P2_LOG+AC334*P3_LOG)*AQ334</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c r="AP334" s="58" t="n">
        <f aca="false">MIN(N(K334),Q334)</f>
        <v>0</v>
      </c>
      <c r="AQ334" s="61" t="n">
        <f aca="false">IF(Q334&gt;0,((Q334-AP334)*AT334+AP334*TASA_INC)/Q334,AT334)</f>
        <v>0.655565427753311</v>
      </c>
      <c r="AR334" s="58" t="n">
        <f aca="false">IF($A334&lt;FECHA_EXPORT,NETWORKDAYS($A334+1,FECHA_EXPORT,FESTIVOS),0)</f>
        <v>0</v>
      </c>
      <c r="AS334" s="61" t="n">
        <f aca="false">IF(AR334&gt;=5,1,INDEX(CDF_INC,1,AR334+1))</f>
        <v>0.14</v>
      </c>
      <c r="AT334" s="61" t="n">
        <f aca="false">TASA_USADA+(TASA_INC-TASA_USADA)*Q_INC*(1-AS334)/(1-Q_INC*AS334)</f>
        <v>0.655565427753311</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E335+AA335*AQ335</f>
        <v>0</v>
      </c>
      <c r="AE335" s="59" t="n">
        <f aca="false">F335+AB335*AQ335</f>
        <v>0</v>
      </c>
      <c r="AF335" s="59" t="n">
        <f aca="false">G335+AC335*AQ335</f>
        <v>0</v>
      </c>
      <c r="AG335" s="59" t="n">
        <f aca="false">H335+I335+J335+(AA335+AB335+AC335)*(1-AQ335)</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IF(ISNUMBER(L335),L335,E335*P1_LOG+F335*P2_LOG+G335*P3_LOG)+IF(ISNUMBER(M335),M335,AA335*P1_LOG+AB335*P2_LOG+AC335*P3_LOG)*AQ335</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c r="AP335" s="58" t="n">
        <f aca="false">MIN(N(K335),Q335)</f>
        <v>0</v>
      </c>
      <c r="AQ335" s="61" t="n">
        <f aca="false">IF(Q335&gt;0,((Q335-AP335)*AT335+AP335*TASA_INC)/Q335,AT335)</f>
        <v>0.655565427753311</v>
      </c>
      <c r="AR335" s="58" t="n">
        <f aca="false">IF($A335&lt;FECHA_EXPORT,NETWORKDAYS($A335+1,FECHA_EXPORT,FESTIVOS),0)</f>
        <v>0</v>
      </c>
      <c r="AS335" s="61" t="n">
        <f aca="false">IF(AR335&gt;=5,1,INDEX(CDF_INC,1,AR335+1))</f>
        <v>0.14</v>
      </c>
      <c r="AT335" s="61" t="n">
        <f aca="false">TASA_USADA+(TASA_INC-TASA_USADA)*Q_INC*(1-AS335)/(1-Q_INC*AS335)</f>
        <v>0.655565427753311</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E336+AA336*AQ336</f>
        <v>0</v>
      </c>
      <c r="AE336" s="59" t="n">
        <f aca="false">F336+AB336*AQ336</f>
        <v>0</v>
      </c>
      <c r="AF336" s="59" t="n">
        <f aca="false">G336+AC336*AQ336</f>
        <v>0</v>
      </c>
      <c r="AG336" s="59" t="n">
        <f aca="false">H336+I336+J336+(AA336+AB336+AC336)*(1-AQ336)</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IF(ISNUMBER(L336),L336,E336*P1_LOG+F336*P2_LOG+G336*P3_LOG)+IF(ISNUMBER(M336),M336,AA336*P1_LOG+AB336*P2_LOG+AC336*P3_LOG)*AQ336</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c r="AP336" s="58" t="n">
        <f aca="false">MIN(N(K336),Q336)</f>
        <v>0</v>
      </c>
      <c r="AQ336" s="61" t="n">
        <f aca="false">IF(Q336&gt;0,((Q336-AP336)*AT336+AP336*TASA_INC)/Q336,AT336)</f>
        <v>0.655565427753311</v>
      </c>
      <c r="AR336" s="58" t="n">
        <f aca="false">IF($A336&lt;FECHA_EXPORT,NETWORKDAYS($A336+1,FECHA_EXPORT,FESTIVOS),0)</f>
        <v>0</v>
      </c>
      <c r="AS336" s="61" t="n">
        <f aca="false">IF(AR336&gt;=5,1,INDEX(CDF_INC,1,AR336+1))</f>
        <v>0.14</v>
      </c>
      <c r="AT336" s="61" t="n">
        <f aca="false">TASA_USADA+(TASA_INC-TASA_USADA)*Q_INC*(1-AS336)/(1-Q_INC*AS336)</f>
        <v>0.655565427753311</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E337+AA337*AQ337</f>
        <v>0</v>
      </c>
      <c r="AE337" s="59" t="n">
        <f aca="false">F337+AB337*AQ337</f>
        <v>0</v>
      </c>
      <c r="AF337" s="59" t="n">
        <f aca="false">G337+AC337*AQ337</f>
        <v>0</v>
      </c>
      <c r="AG337" s="59" t="n">
        <f aca="false">H337+I337+J337+(AA337+AB337+AC337)*(1-AQ337)</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IF(ISNUMBER(L337),L337,E337*P1_LOG+F337*P2_LOG+G337*P3_LOG)+IF(ISNUMBER(M337),M337,AA337*P1_LOG+AB337*P2_LOG+AC337*P3_LOG)*AQ337</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c r="AP337" s="58" t="n">
        <f aca="false">MIN(N(K337),Q337)</f>
        <v>0</v>
      </c>
      <c r="AQ337" s="61" t="n">
        <f aca="false">IF(Q337&gt;0,((Q337-AP337)*AT337+AP337*TASA_INC)/Q337,AT337)</f>
        <v>0.655565427753311</v>
      </c>
      <c r="AR337" s="58" t="n">
        <f aca="false">IF($A337&lt;FECHA_EXPORT,NETWORKDAYS($A337+1,FECHA_EXPORT,FESTIVOS),0)</f>
        <v>0</v>
      </c>
      <c r="AS337" s="61" t="n">
        <f aca="false">IF(AR337&gt;=5,1,INDEX(CDF_INC,1,AR337+1))</f>
        <v>0.14</v>
      </c>
      <c r="AT337" s="61" t="n">
        <f aca="false">TASA_USADA+(TASA_INC-TASA_USADA)*Q_INC*(1-AS337)/(1-Q_INC*AS337)</f>
        <v>0.655565427753311</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E338+AA338*AQ338</f>
        <v>0</v>
      </c>
      <c r="AE338" s="59" t="n">
        <f aca="false">F338+AB338*AQ338</f>
        <v>0</v>
      </c>
      <c r="AF338" s="59" t="n">
        <f aca="false">G338+AC338*AQ338</f>
        <v>0</v>
      </c>
      <c r="AG338" s="59" t="n">
        <f aca="false">H338+I338+J338+(AA338+AB338+AC338)*(1-AQ338)</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IF(ISNUMBER(L338),L338,E338*P1_LOG+F338*P2_LOG+G338*P3_LOG)+IF(ISNUMBER(M338),M338,AA338*P1_LOG+AB338*P2_LOG+AC338*P3_LOG)*AQ338</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c r="AP338" s="58" t="n">
        <f aca="false">MIN(N(K338),Q338)</f>
        <v>0</v>
      </c>
      <c r="AQ338" s="61" t="n">
        <f aca="false">IF(Q338&gt;0,((Q338-AP338)*AT338+AP338*TASA_INC)/Q338,AT338)</f>
        <v>0.655565427753311</v>
      </c>
      <c r="AR338" s="58" t="n">
        <f aca="false">IF($A338&lt;FECHA_EXPORT,NETWORKDAYS($A338+1,FECHA_EXPORT,FESTIVOS),0)</f>
        <v>0</v>
      </c>
      <c r="AS338" s="61" t="n">
        <f aca="false">IF(AR338&gt;=5,1,INDEX(CDF_INC,1,AR338+1))</f>
        <v>0.14</v>
      </c>
      <c r="AT338" s="61" t="n">
        <f aca="false">TASA_USADA+(TASA_INC-TASA_USADA)*Q_INC*(1-AS338)/(1-Q_INC*AS338)</f>
        <v>0.655565427753311</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E339+AA339*AQ339</f>
        <v>0</v>
      </c>
      <c r="AE339" s="59" t="n">
        <f aca="false">F339+AB339*AQ339</f>
        <v>0</v>
      </c>
      <c r="AF339" s="59" t="n">
        <f aca="false">G339+AC339*AQ339</f>
        <v>0</v>
      </c>
      <c r="AG339" s="59" t="n">
        <f aca="false">H339+I339+J339+(AA339+AB339+AC339)*(1-AQ339)</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IF(ISNUMBER(L339),L339,E339*P1_LOG+F339*P2_LOG+G339*P3_LOG)+IF(ISNUMBER(M339),M339,AA339*P1_LOG+AB339*P2_LOG+AC339*P3_LOG)*AQ339</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c r="AP339" s="58" t="n">
        <f aca="false">MIN(N(K339),Q339)</f>
        <v>0</v>
      </c>
      <c r="AQ339" s="61" t="n">
        <f aca="false">IF(Q339&gt;0,((Q339-AP339)*AT339+AP339*TASA_INC)/Q339,AT339)</f>
        <v>0.655565427753311</v>
      </c>
      <c r="AR339" s="58" t="n">
        <f aca="false">IF($A339&lt;FECHA_EXPORT,NETWORKDAYS($A339+1,FECHA_EXPORT,FESTIVOS),0)</f>
        <v>0</v>
      </c>
      <c r="AS339" s="61" t="n">
        <f aca="false">IF(AR339&gt;=5,1,INDEX(CDF_INC,1,AR339+1))</f>
        <v>0.14</v>
      </c>
      <c r="AT339" s="61" t="n">
        <f aca="false">TASA_USADA+(TASA_INC-TASA_USADA)*Q_INC*(1-AS339)/(1-Q_INC*AS339)</f>
        <v>0.655565427753311</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E340+AA340*AQ340</f>
        <v>0</v>
      </c>
      <c r="AE340" s="59" t="n">
        <f aca="false">F340+AB340*AQ340</f>
        <v>0</v>
      </c>
      <c r="AF340" s="59" t="n">
        <f aca="false">G340+AC340*AQ340</f>
        <v>0</v>
      </c>
      <c r="AG340" s="59" t="n">
        <f aca="false">H340+I340+J340+(AA340+AB340+AC340)*(1-AQ340)</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IF(ISNUMBER(L340),L340,E340*P1_LOG+F340*P2_LOG+G340*P3_LOG)+IF(ISNUMBER(M340),M340,AA340*P1_LOG+AB340*P2_LOG+AC340*P3_LOG)*AQ340</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c r="AP340" s="58" t="n">
        <f aca="false">MIN(N(K340),Q340)</f>
        <v>0</v>
      </c>
      <c r="AQ340" s="61" t="n">
        <f aca="false">IF(Q340&gt;0,((Q340-AP340)*AT340+AP340*TASA_INC)/Q340,AT340)</f>
        <v>0.655565427753311</v>
      </c>
      <c r="AR340" s="58" t="n">
        <f aca="false">IF($A340&lt;FECHA_EXPORT,NETWORKDAYS($A340+1,FECHA_EXPORT,FESTIVOS),0)</f>
        <v>0</v>
      </c>
      <c r="AS340" s="61" t="n">
        <f aca="false">IF(AR340&gt;=5,1,INDEX(CDF_INC,1,AR340+1))</f>
        <v>0.14</v>
      </c>
      <c r="AT340" s="61" t="n">
        <f aca="false">TASA_USADA+(TASA_INC-TASA_USADA)*Q_INC*(1-AS340)/(1-Q_INC*AS340)</f>
        <v>0.655565427753311</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E341+AA341*AQ341</f>
        <v>0</v>
      </c>
      <c r="AE341" s="59" t="n">
        <f aca="false">F341+AB341*AQ341</f>
        <v>0</v>
      </c>
      <c r="AF341" s="59" t="n">
        <f aca="false">G341+AC341*AQ341</f>
        <v>0</v>
      </c>
      <c r="AG341" s="59" t="n">
        <f aca="false">H341+I341+J341+(AA341+AB341+AC341)*(1-AQ341)</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IF(ISNUMBER(L341),L341,E341*P1_LOG+F341*P2_LOG+G341*P3_LOG)+IF(ISNUMBER(M341),M341,AA341*P1_LOG+AB341*P2_LOG+AC341*P3_LOG)*AQ341</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c r="AP341" s="58" t="n">
        <f aca="false">MIN(N(K341),Q341)</f>
        <v>0</v>
      </c>
      <c r="AQ341" s="61" t="n">
        <f aca="false">IF(Q341&gt;0,((Q341-AP341)*AT341+AP341*TASA_INC)/Q341,AT341)</f>
        <v>0.655565427753311</v>
      </c>
      <c r="AR341" s="58" t="n">
        <f aca="false">IF($A341&lt;FECHA_EXPORT,NETWORKDAYS($A341+1,FECHA_EXPORT,FESTIVOS),0)</f>
        <v>0</v>
      </c>
      <c r="AS341" s="61" t="n">
        <f aca="false">IF(AR341&gt;=5,1,INDEX(CDF_INC,1,AR341+1))</f>
        <v>0.14</v>
      </c>
      <c r="AT341" s="61" t="n">
        <f aca="false">TASA_USADA+(TASA_INC-TASA_USADA)*Q_INC*(1-AS341)/(1-Q_INC*AS341)</f>
        <v>0.655565427753311</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E342+AA342*AQ342</f>
        <v>0</v>
      </c>
      <c r="AE342" s="59" t="n">
        <f aca="false">F342+AB342*AQ342</f>
        <v>0</v>
      </c>
      <c r="AF342" s="59" t="n">
        <f aca="false">G342+AC342*AQ342</f>
        <v>0</v>
      </c>
      <c r="AG342" s="59" t="n">
        <f aca="false">H342+I342+J342+(AA342+AB342+AC342)*(1-AQ342)</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IF(ISNUMBER(L342),L342,E342*P1_LOG+F342*P2_LOG+G342*P3_LOG)+IF(ISNUMBER(M342),M342,AA342*P1_LOG+AB342*P2_LOG+AC342*P3_LOG)*AQ342</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c r="AP342" s="58" t="n">
        <f aca="false">MIN(N(K342),Q342)</f>
        <v>0</v>
      </c>
      <c r="AQ342" s="61" t="n">
        <f aca="false">IF(Q342&gt;0,((Q342-AP342)*AT342+AP342*TASA_INC)/Q342,AT342)</f>
        <v>0.655565427753311</v>
      </c>
      <c r="AR342" s="58" t="n">
        <f aca="false">IF($A342&lt;FECHA_EXPORT,NETWORKDAYS($A342+1,FECHA_EXPORT,FESTIVOS),0)</f>
        <v>0</v>
      </c>
      <c r="AS342" s="61" t="n">
        <f aca="false">IF(AR342&gt;=5,1,INDEX(CDF_INC,1,AR342+1))</f>
        <v>0.14</v>
      </c>
      <c r="AT342" s="61" t="n">
        <f aca="false">TASA_USADA+(TASA_INC-TASA_USADA)*Q_INC*(1-AS342)/(1-Q_INC*AS342)</f>
        <v>0.655565427753311</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E343+AA343*AQ343</f>
        <v>0</v>
      </c>
      <c r="AE343" s="59" t="n">
        <f aca="false">F343+AB343*AQ343</f>
        <v>0</v>
      </c>
      <c r="AF343" s="59" t="n">
        <f aca="false">G343+AC343*AQ343</f>
        <v>0</v>
      </c>
      <c r="AG343" s="59" t="n">
        <f aca="false">H343+I343+J343+(AA343+AB343+AC343)*(1-AQ343)</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IF(ISNUMBER(L343),L343,E343*P1_LOG+F343*P2_LOG+G343*P3_LOG)+IF(ISNUMBER(M343),M343,AA343*P1_LOG+AB343*P2_LOG+AC343*P3_LOG)*AQ343</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c r="AP343" s="58" t="n">
        <f aca="false">MIN(N(K343),Q343)</f>
        <v>0</v>
      </c>
      <c r="AQ343" s="61" t="n">
        <f aca="false">IF(Q343&gt;0,((Q343-AP343)*AT343+AP343*TASA_INC)/Q343,AT343)</f>
        <v>0.655565427753311</v>
      </c>
      <c r="AR343" s="58" t="n">
        <f aca="false">IF($A343&lt;FECHA_EXPORT,NETWORKDAYS($A343+1,FECHA_EXPORT,FESTIVOS),0)</f>
        <v>0</v>
      </c>
      <c r="AS343" s="61" t="n">
        <f aca="false">IF(AR343&gt;=5,1,INDEX(CDF_INC,1,AR343+1))</f>
        <v>0.14</v>
      </c>
      <c r="AT343" s="61" t="n">
        <f aca="false">TASA_USADA+(TASA_INC-TASA_USADA)*Q_INC*(1-AS343)/(1-Q_INC*AS343)</f>
        <v>0.655565427753311</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E344+AA344*AQ344</f>
        <v>0</v>
      </c>
      <c r="AE344" s="59" t="n">
        <f aca="false">F344+AB344*AQ344</f>
        <v>0</v>
      </c>
      <c r="AF344" s="59" t="n">
        <f aca="false">G344+AC344*AQ344</f>
        <v>0</v>
      </c>
      <c r="AG344" s="59" t="n">
        <f aca="false">H344+I344+J344+(AA344+AB344+AC344)*(1-AQ344)</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IF(ISNUMBER(L344),L344,E344*P1_LOG+F344*P2_LOG+G344*P3_LOG)+IF(ISNUMBER(M344),M344,AA344*P1_LOG+AB344*P2_LOG+AC344*P3_LOG)*AQ344</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c r="AP344" s="58" t="n">
        <f aca="false">MIN(N(K344),Q344)</f>
        <v>0</v>
      </c>
      <c r="AQ344" s="61" t="n">
        <f aca="false">IF(Q344&gt;0,((Q344-AP344)*AT344+AP344*TASA_INC)/Q344,AT344)</f>
        <v>0.655565427753311</v>
      </c>
      <c r="AR344" s="58" t="n">
        <f aca="false">IF($A344&lt;FECHA_EXPORT,NETWORKDAYS($A344+1,FECHA_EXPORT,FESTIVOS),0)</f>
        <v>0</v>
      </c>
      <c r="AS344" s="61" t="n">
        <f aca="false">IF(AR344&gt;=5,1,INDEX(CDF_INC,1,AR344+1))</f>
        <v>0.14</v>
      </c>
      <c r="AT344" s="61" t="n">
        <f aca="false">TASA_USADA+(TASA_INC-TASA_USADA)*Q_INC*(1-AS344)/(1-Q_INC*AS344)</f>
        <v>0.655565427753311</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E345+AA345*AQ345</f>
        <v>0</v>
      </c>
      <c r="AE345" s="59" t="n">
        <f aca="false">F345+AB345*AQ345</f>
        <v>0</v>
      </c>
      <c r="AF345" s="59" t="n">
        <f aca="false">G345+AC345*AQ345</f>
        <v>0</v>
      </c>
      <c r="AG345" s="59" t="n">
        <f aca="false">H345+I345+J345+(AA345+AB345+AC345)*(1-AQ345)</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IF(ISNUMBER(L345),L345,E345*P1_LOG+F345*P2_LOG+G345*P3_LOG)+IF(ISNUMBER(M345),M345,AA345*P1_LOG+AB345*P2_LOG+AC345*P3_LOG)*AQ345</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c r="AP345" s="58" t="n">
        <f aca="false">MIN(N(K345),Q345)</f>
        <v>0</v>
      </c>
      <c r="AQ345" s="61" t="n">
        <f aca="false">IF(Q345&gt;0,((Q345-AP345)*AT345+AP345*TASA_INC)/Q345,AT345)</f>
        <v>0.655565427753311</v>
      </c>
      <c r="AR345" s="58" t="n">
        <f aca="false">IF($A345&lt;FECHA_EXPORT,NETWORKDAYS($A345+1,FECHA_EXPORT,FESTIVOS),0)</f>
        <v>0</v>
      </c>
      <c r="AS345" s="61" t="n">
        <f aca="false">IF(AR345&gt;=5,1,INDEX(CDF_INC,1,AR345+1))</f>
        <v>0.14</v>
      </c>
      <c r="AT345" s="61" t="n">
        <f aca="false">TASA_USADA+(TASA_INC-TASA_USADA)*Q_INC*(1-AS345)/(1-Q_INC*AS345)</f>
        <v>0.655565427753311</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E346+AA346*AQ346</f>
        <v>0</v>
      </c>
      <c r="AE346" s="59" t="n">
        <f aca="false">F346+AB346*AQ346</f>
        <v>0</v>
      </c>
      <c r="AF346" s="59" t="n">
        <f aca="false">G346+AC346*AQ346</f>
        <v>0</v>
      </c>
      <c r="AG346" s="59" t="n">
        <f aca="false">H346+I346+J346+(AA346+AB346+AC346)*(1-AQ346)</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IF(ISNUMBER(L346),L346,E346*P1_LOG+F346*P2_LOG+G346*P3_LOG)+IF(ISNUMBER(M346),M346,AA346*P1_LOG+AB346*P2_LOG+AC346*P3_LOG)*AQ346</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c r="AP346" s="58" t="n">
        <f aca="false">MIN(N(K346),Q346)</f>
        <v>0</v>
      </c>
      <c r="AQ346" s="61" t="n">
        <f aca="false">IF(Q346&gt;0,((Q346-AP346)*AT346+AP346*TASA_INC)/Q346,AT346)</f>
        <v>0.655565427753311</v>
      </c>
      <c r="AR346" s="58" t="n">
        <f aca="false">IF($A346&lt;FECHA_EXPORT,NETWORKDAYS($A346+1,FECHA_EXPORT,FESTIVOS),0)</f>
        <v>0</v>
      </c>
      <c r="AS346" s="61" t="n">
        <f aca="false">IF(AR346&gt;=5,1,INDEX(CDF_INC,1,AR346+1))</f>
        <v>0.14</v>
      </c>
      <c r="AT346" s="61" t="n">
        <f aca="false">TASA_USADA+(TASA_INC-TASA_USADA)*Q_INC*(1-AS346)/(1-Q_INC*AS346)</f>
        <v>0.655565427753311</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E347+AA347*AQ347</f>
        <v>0</v>
      </c>
      <c r="AE347" s="59" t="n">
        <f aca="false">F347+AB347*AQ347</f>
        <v>0</v>
      </c>
      <c r="AF347" s="59" t="n">
        <f aca="false">G347+AC347*AQ347</f>
        <v>0</v>
      </c>
      <c r="AG347" s="59" t="n">
        <f aca="false">H347+I347+J347+(AA347+AB347+AC347)*(1-AQ347)</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IF(ISNUMBER(L347),L347,E347*P1_LOG+F347*P2_LOG+G347*P3_LOG)+IF(ISNUMBER(M347),M347,AA347*P1_LOG+AB347*P2_LOG+AC347*P3_LOG)*AQ347</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c r="AP347" s="58" t="n">
        <f aca="false">MIN(N(K347),Q347)</f>
        <v>0</v>
      </c>
      <c r="AQ347" s="61" t="n">
        <f aca="false">IF(Q347&gt;0,((Q347-AP347)*AT347+AP347*TASA_INC)/Q347,AT347)</f>
        <v>0.655565427753311</v>
      </c>
      <c r="AR347" s="58" t="n">
        <f aca="false">IF($A347&lt;FECHA_EXPORT,NETWORKDAYS($A347+1,FECHA_EXPORT,FESTIVOS),0)</f>
        <v>0</v>
      </c>
      <c r="AS347" s="61" t="n">
        <f aca="false">IF(AR347&gt;=5,1,INDEX(CDF_INC,1,AR347+1))</f>
        <v>0.14</v>
      </c>
      <c r="AT347" s="61" t="n">
        <f aca="false">TASA_USADA+(TASA_INC-TASA_USADA)*Q_INC*(1-AS347)/(1-Q_INC*AS347)</f>
        <v>0.655565427753311</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E348+AA348*AQ348</f>
        <v>0</v>
      </c>
      <c r="AE348" s="59" t="n">
        <f aca="false">F348+AB348*AQ348</f>
        <v>0</v>
      </c>
      <c r="AF348" s="59" t="n">
        <f aca="false">G348+AC348*AQ348</f>
        <v>0</v>
      </c>
      <c r="AG348" s="59" t="n">
        <f aca="false">H348+I348+J348+(AA348+AB348+AC348)*(1-AQ348)</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IF(ISNUMBER(L348),L348,E348*P1_LOG+F348*P2_LOG+G348*P3_LOG)+IF(ISNUMBER(M348),M348,AA348*P1_LOG+AB348*P2_LOG+AC348*P3_LOG)*AQ348</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c r="AP348" s="58" t="n">
        <f aca="false">MIN(N(K348),Q348)</f>
        <v>0</v>
      </c>
      <c r="AQ348" s="61" t="n">
        <f aca="false">IF(Q348&gt;0,((Q348-AP348)*AT348+AP348*TASA_INC)/Q348,AT348)</f>
        <v>0.655565427753311</v>
      </c>
      <c r="AR348" s="58" t="n">
        <f aca="false">IF($A348&lt;FECHA_EXPORT,NETWORKDAYS($A348+1,FECHA_EXPORT,FESTIVOS),0)</f>
        <v>0</v>
      </c>
      <c r="AS348" s="61" t="n">
        <f aca="false">IF(AR348&gt;=5,1,INDEX(CDF_INC,1,AR348+1))</f>
        <v>0.14</v>
      </c>
      <c r="AT348" s="61" t="n">
        <f aca="false">TASA_USADA+(TASA_INC-TASA_USADA)*Q_INC*(1-AS348)/(1-Q_INC*AS348)</f>
        <v>0.655565427753311</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E349+AA349*AQ349</f>
        <v>0</v>
      </c>
      <c r="AE349" s="59" t="n">
        <f aca="false">F349+AB349*AQ349</f>
        <v>0</v>
      </c>
      <c r="AF349" s="59" t="n">
        <f aca="false">G349+AC349*AQ349</f>
        <v>0</v>
      </c>
      <c r="AG349" s="59" t="n">
        <f aca="false">H349+I349+J349+(AA349+AB349+AC349)*(1-AQ349)</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IF(ISNUMBER(L349),L349,E349*P1_LOG+F349*P2_LOG+G349*P3_LOG)+IF(ISNUMBER(M349),M349,AA349*P1_LOG+AB349*P2_LOG+AC349*P3_LOG)*AQ349</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c r="AP349" s="58" t="n">
        <f aca="false">MIN(N(K349),Q349)</f>
        <v>0</v>
      </c>
      <c r="AQ349" s="61" t="n">
        <f aca="false">IF(Q349&gt;0,((Q349-AP349)*AT349+AP349*TASA_INC)/Q349,AT349)</f>
        <v>0.655565427753311</v>
      </c>
      <c r="AR349" s="58" t="n">
        <f aca="false">IF($A349&lt;FECHA_EXPORT,NETWORKDAYS($A349+1,FECHA_EXPORT,FESTIVOS),0)</f>
        <v>0</v>
      </c>
      <c r="AS349" s="61" t="n">
        <f aca="false">IF(AR349&gt;=5,1,INDEX(CDF_INC,1,AR349+1))</f>
        <v>0.14</v>
      </c>
      <c r="AT349" s="61" t="n">
        <f aca="false">TASA_USADA+(TASA_INC-TASA_USADA)*Q_INC*(1-AS349)/(1-Q_INC*AS349)</f>
        <v>0.655565427753311</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E350+AA350*AQ350</f>
        <v>0</v>
      </c>
      <c r="AE350" s="59" t="n">
        <f aca="false">F350+AB350*AQ350</f>
        <v>0</v>
      </c>
      <c r="AF350" s="59" t="n">
        <f aca="false">G350+AC350*AQ350</f>
        <v>0</v>
      </c>
      <c r="AG350" s="59" t="n">
        <f aca="false">H350+I350+J350+(AA350+AB350+AC350)*(1-AQ350)</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IF(ISNUMBER(L350),L350,E350*P1_LOG+F350*P2_LOG+G350*P3_LOG)+IF(ISNUMBER(M350),M350,AA350*P1_LOG+AB350*P2_LOG+AC350*P3_LOG)*AQ350</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c r="AP350" s="58" t="n">
        <f aca="false">MIN(N(K350),Q350)</f>
        <v>0</v>
      </c>
      <c r="AQ350" s="61" t="n">
        <f aca="false">IF(Q350&gt;0,((Q350-AP350)*AT350+AP350*TASA_INC)/Q350,AT350)</f>
        <v>0.655565427753311</v>
      </c>
      <c r="AR350" s="58" t="n">
        <f aca="false">IF($A350&lt;FECHA_EXPORT,NETWORKDAYS($A350+1,FECHA_EXPORT,FESTIVOS),0)</f>
        <v>0</v>
      </c>
      <c r="AS350" s="61" t="n">
        <f aca="false">IF(AR350&gt;=5,1,INDEX(CDF_INC,1,AR350+1))</f>
        <v>0.14</v>
      </c>
      <c r="AT350" s="61" t="n">
        <f aca="false">TASA_USADA+(TASA_INC-TASA_USADA)*Q_INC*(1-AS350)/(1-Q_INC*AS350)</f>
        <v>0.655565427753311</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E351+AA351*AQ351</f>
        <v>0</v>
      </c>
      <c r="AE351" s="59" t="n">
        <f aca="false">F351+AB351*AQ351</f>
        <v>0</v>
      </c>
      <c r="AF351" s="59" t="n">
        <f aca="false">G351+AC351*AQ351</f>
        <v>0</v>
      </c>
      <c r="AG351" s="59" t="n">
        <f aca="false">H351+I351+J351+(AA351+AB351+AC351)*(1-AQ351)</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IF(ISNUMBER(L351),L351,E351*P1_LOG+F351*P2_LOG+G351*P3_LOG)+IF(ISNUMBER(M351),M351,AA351*P1_LOG+AB351*P2_LOG+AC351*P3_LOG)*AQ351</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c r="AP351" s="58" t="n">
        <f aca="false">MIN(N(K351),Q351)</f>
        <v>0</v>
      </c>
      <c r="AQ351" s="61" t="n">
        <f aca="false">IF(Q351&gt;0,((Q351-AP351)*AT351+AP351*TASA_INC)/Q351,AT351)</f>
        <v>0.655565427753311</v>
      </c>
      <c r="AR351" s="58" t="n">
        <f aca="false">IF($A351&lt;FECHA_EXPORT,NETWORKDAYS($A351+1,FECHA_EXPORT,FESTIVOS),0)</f>
        <v>0</v>
      </c>
      <c r="AS351" s="61" t="n">
        <f aca="false">IF(AR351&gt;=5,1,INDEX(CDF_INC,1,AR351+1))</f>
        <v>0.14</v>
      </c>
      <c r="AT351" s="61" t="n">
        <f aca="false">TASA_USADA+(TASA_INC-TASA_USADA)*Q_INC*(1-AS351)/(1-Q_INC*AS351)</f>
        <v>0.655565427753311</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E352+AA352*AQ352</f>
        <v>0</v>
      </c>
      <c r="AE352" s="59" t="n">
        <f aca="false">F352+AB352*AQ352</f>
        <v>0</v>
      </c>
      <c r="AF352" s="59" t="n">
        <f aca="false">G352+AC352*AQ352</f>
        <v>0</v>
      </c>
      <c r="AG352" s="59" t="n">
        <f aca="false">H352+I352+J352+(AA352+AB352+AC352)*(1-AQ352)</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IF(ISNUMBER(L352),L352,E352*P1_LOG+F352*P2_LOG+G352*P3_LOG)+IF(ISNUMBER(M352),M352,AA352*P1_LOG+AB352*P2_LOG+AC352*P3_LOG)*AQ352</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c r="AP352" s="58" t="n">
        <f aca="false">MIN(N(K352),Q352)</f>
        <v>0</v>
      </c>
      <c r="AQ352" s="61" t="n">
        <f aca="false">IF(Q352&gt;0,((Q352-AP352)*AT352+AP352*TASA_INC)/Q352,AT352)</f>
        <v>0.655565427753311</v>
      </c>
      <c r="AR352" s="58" t="n">
        <f aca="false">IF($A352&lt;FECHA_EXPORT,NETWORKDAYS($A352+1,FECHA_EXPORT,FESTIVOS),0)</f>
        <v>0</v>
      </c>
      <c r="AS352" s="61" t="n">
        <f aca="false">IF(AR352&gt;=5,1,INDEX(CDF_INC,1,AR352+1))</f>
        <v>0.14</v>
      </c>
      <c r="AT352" s="61" t="n">
        <f aca="false">TASA_USADA+(TASA_INC-TASA_USADA)*Q_INC*(1-AS352)/(1-Q_INC*AS352)</f>
        <v>0.655565427753311</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E353+AA353*AQ353</f>
        <v>0</v>
      </c>
      <c r="AE353" s="59" t="n">
        <f aca="false">F353+AB353*AQ353</f>
        <v>0</v>
      </c>
      <c r="AF353" s="59" t="n">
        <f aca="false">G353+AC353*AQ353</f>
        <v>0</v>
      </c>
      <c r="AG353" s="59" t="n">
        <f aca="false">H353+I353+J353+(AA353+AB353+AC353)*(1-AQ353)</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IF(ISNUMBER(L353),L353,E353*P1_LOG+F353*P2_LOG+G353*P3_LOG)+IF(ISNUMBER(M353),M353,AA353*P1_LOG+AB353*P2_LOG+AC353*P3_LOG)*AQ353</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c r="AP353" s="58" t="n">
        <f aca="false">MIN(N(K353),Q353)</f>
        <v>0</v>
      </c>
      <c r="AQ353" s="61" t="n">
        <f aca="false">IF(Q353&gt;0,((Q353-AP353)*AT353+AP353*TASA_INC)/Q353,AT353)</f>
        <v>0.655565427753311</v>
      </c>
      <c r="AR353" s="58" t="n">
        <f aca="false">IF($A353&lt;FECHA_EXPORT,NETWORKDAYS($A353+1,FECHA_EXPORT,FESTIVOS),0)</f>
        <v>0</v>
      </c>
      <c r="AS353" s="61" t="n">
        <f aca="false">IF(AR353&gt;=5,1,INDEX(CDF_INC,1,AR353+1))</f>
        <v>0.14</v>
      </c>
      <c r="AT353" s="61" t="n">
        <f aca="false">TASA_USADA+(TASA_INC-TASA_USADA)*Q_INC*(1-AS353)/(1-Q_INC*AS353)</f>
        <v>0.655565427753311</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E354+AA354*AQ354</f>
        <v>0</v>
      </c>
      <c r="AE354" s="59" t="n">
        <f aca="false">F354+AB354*AQ354</f>
        <v>0</v>
      </c>
      <c r="AF354" s="59" t="n">
        <f aca="false">G354+AC354*AQ354</f>
        <v>0</v>
      </c>
      <c r="AG354" s="59" t="n">
        <f aca="false">H354+I354+J354+(AA354+AB354+AC354)*(1-AQ354)</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IF(ISNUMBER(L354),L354,E354*P1_LOG+F354*P2_LOG+G354*P3_LOG)+IF(ISNUMBER(M354),M354,AA354*P1_LOG+AB354*P2_LOG+AC354*P3_LOG)*AQ354</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c r="AP354" s="58" t="n">
        <f aca="false">MIN(N(K354),Q354)</f>
        <v>0</v>
      </c>
      <c r="AQ354" s="61" t="n">
        <f aca="false">IF(Q354&gt;0,((Q354-AP354)*AT354+AP354*TASA_INC)/Q354,AT354)</f>
        <v>0.655565427753311</v>
      </c>
      <c r="AR354" s="58" t="n">
        <f aca="false">IF($A354&lt;FECHA_EXPORT,NETWORKDAYS($A354+1,FECHA_EXPORT,FESTIVOS),0)</f>
        <v>0</v>
      </c>
      <c r="AS354" s="61" t="n">
        <f aca="false">IF(AR354&gt;=5,1,INDEX(CDF_INC,1,AR354+1))</f>
        <v>0.14</v>
      </c>
      <c r="AT354" s="61" t="n">
        <f aca="false">TASA_USADA+(TASA_INC-TASA_USADA)*Q_INC*(1-AS354)/(1-Q_INC*AS354)</f>
        <v>0.655565427753311</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E355+AA355*AQ355</f>
        <v>0</v>
      </c>
      <c r="AE355" s="59" t="n">
        <f aca="false">F355+AB355*AQ355</f>
        <v>0</v>
      </c>
      <c r="AF355" s="59" t="n">
        <f aca="false">G355+AC355*AQ355</f>
        <v>0</v>
      </c>
      <c r="AG355" s="59" t="n">
        <f aca="false">H355+I355+J355+(AA355+AB355+AC355)*(1-AQ355)</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IF(ISNUMBER(L355),L355,E355*P1_LOG+F355*P2_LOG+G355*P3_LOG)+IF(ISNUMBER(M355),M355,AA355*P1_LOG+AB355*P2_LOG+AC355*P3_LOG)*AQ355</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c r="AP355" s="58" t="n">
        <f aca="false">MIN(N(K355),Q355)</f>
        <v>0</v>
      </c>
      <c r="AQ355" s="61" t="n">
        <f aca="false">IF(Q355&gt;0,((Q355-AP355)*AT355+AP355*TASA_INC)/Q355,AT355)</f>
        <v>0.655565427753311</v>
      </c>
      <c r="AR355" s="58" t="n">
        <f aca="false">IF($A355&lt;FECHA_EXPORT,NETWORKDAYS($A355+1,FECHA_EXPORT,FESTIVOS),0)</f>
        <v>0</v>
      </c>
      <c r="AS355" s="61" t="n">
        <f aca="false">IF(AR355&gt;=5,1,INDEX(CDF_INC,1,AR355+1))</f>
        <v>0.14</v>
      </c>
      <c r="AT355" s="61" t="n">
        <f aca="false">TASA_USADA+(TASA_INC-TASA_USADA)*Q_INC*(1-AS355)/(1-Q_INC*AS355)</f>
        <v>0.655565427753311</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E356+AA356*AQ356</f>
        <v>0</v>
      </c>
      <c r="AE356" s="59" t="n">
        <f aca="false">F356+AB356*AQ356</f>
        <v>0</v>
      </c>
      <c r="AF356" s="59" t="n">
        <f aca="false">G356+AC356*AQ356</f>
        <v>0</v>
      </c>
      <c r="AG356" s="59" t="n">
        <f aca="false">H356+I356+J356+(AA356+AB356+AC356)*(1-AQ356)</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IF(ISNUMBER(L356),L356,E356*P1_LOG+F356*P2_LOG+G356*P3_LOG)+IF(ISNUMBER(M356),M356,AA356*P1_LOG+AB356*P2_LOG+AC356*P3_LOG)*AQ356</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c r="AP356" s="58" t="n">
        <f aca="false">MIN(N(K356),Q356)</f>
        <v>0</v>
      </c>
      <c r="AQ356" s="61" t="n">
        <f aca="false">IF(Q356&gt;0,((Q356-AP356)*AT356+AP356*TASA_INC)/Q356,AT356)</f>
        <v>0.655565427753311</v>
      </c>
      <c r="AR356" s="58" t="n">
        <f aca="false">IF($A356&lt;FECHA_EXPORT,NETWORKDAYS($A356+1,FECHA_EXPORT,FESTIVOS),0)</f>
        <v>0</v>
      </c>
      <c r="AS356" s="61" t="n">
        <f aca="false">IF(AR356&gt;=5,1,INDEX(CDF_INC,1,AR356+1))</f>
        <v>0.14</v>
      </c>
      <c r="AT356" s="61" t="n">
        <f aca="false">TASA_USADA+(TASA_INC-TASA_USADA)*Q_INC*(1-AS356)/(1-Q_INC*AS356)</f>
        <v>0.655565427753311</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E357+AA357*AQ357</f>
        <v>0</v>
      </c>
      <c r="AE357" s="59" t="n">
        <f aca="false">F357+AB357*AQ357</f>
        <v>0</v>
      </c>
      <c r="AF357" s="59" t="n">
        <f aca="false">G357+AC357*AQ357</f>
        <v>0</v>
      </c>
      <c r="AG357" s="59" t="n">
        <f aca="false">H357+I357+J357+(AA357+AB357+AC357)*(1-AQ357)</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IF(ISNUMBER(L357),L357,E357*P1_LOG+F357*P2_LOG+G357*P3_LOG)+IF(ISNUMBER(M357),M357,AA357*P1_LOG+AB357*P2_LOG+AC357*P3_LOG)*AQ357</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c r="AP357" s="58" t="n">
        <f aca="false">MIN(N(K357),Q357)</f>
        <v>0</v>
      </c>
      <c r="AQ357" s="61" t="n">
        <f aca="false">IF(Q357&gt;0,((Q357-AP357)*AT357+AP357*TASA_INC)/Q357,AT357)</f>
        <v>0.655565427753311</v>
      </c>
      <c r="AR357" s="58" t="n">
        <f aca="false">IF($A357&lt;FECHA_EXPORT,NETWORKDAYS($A357+1,FECHA_EXPORT,FESTIVOS),0)</f>
        <v>0</v>
      </c>
      <c r="AS357" s="61" t="n">
        <f aca="false">IF(AR357&gt;=5,1,INDEX(CDF_INC,1,AR357+1))</f>
        <v>0.14</v>
      </c>
      <c r="AT357" s="61" t="n">
        <f aca="false">TASA_USADA+(TASA_INC-TASA_USADA)*Q_INC*(1-AS357)/(1-Q_INC*AS357)</f>
        <v>0.655565427753311</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E358+AA358*AQ358</f>
        <v>0</v>
      </c>
      <c r="AE358" s="59" t="n">
        <f aca="false">F358+AB358*AQ358</f>
        <v>0</v>
      </c>
      <c r="AF358" s="59" t="n">
        <f aca="false">G358+AC358*AQ358</f>
        <v>0</v>
      </c>
      <c r="AG358" s="59" t="n">
        <f aca="false">H358+I358+J358+(AA358+AB358+AC358)*(1-AQ358)</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IF(ISNUMBER(L358),L358,E358*P1_LOG+F358*P2_LOG+G358*P3_LOG)+IF(ISNUMBER(M358),M358,AA358*P1_LOG+AB358*P2_LOG+AC358*P3_LOG)*AQ358</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c r="AP358" s="58" t="n">
        <f aca="false">MIN(N(K358),Q358)</f>
        <v>0</v>
      </c>
      <c r="AQ358" s="61" t="n">
        <f aca="false">IF(Q358&gt;0,((Q358-AP358)*AT358+AP358*TASA_INC)/Q358,AT358)</f>
        <v>0.655565427753311</v>
      </c>
      <c r="AR358" s="58" t="n">
        <f aca="false">IF($A358&lt;FECHA_EXPORT,NETWORKDAYS($A358+1,FECHA_EXPORT,FESTIVOS),0)</f>
        <v>0</v>
      </c>
      <c r="AS358" s="61" t="n">
        <f aca="false">IF(AR358&gt;=5,1,INDEX(CDF_INC,1,AR358+1))</f>
        <v>0.14</v>
      </c>
      <c r="AT358" s="61" t="n">
        <f aca="false">TASA_USADA+(TASA_INC-TASA_USADA)*Q_INC*(1-AS358)/(1-Q_INC*AS358)</f>
        <v>0.655565427753311</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E359+AA359*AQ359</f>
        <v>0</v>
      </c>
      <c r="AE359" s="59" t="n">
        <f aca="false">F359+AB359*AQ359</f>
        <v>0</v>
      </c>
      <c r="AF359" s="59" t="n">
        <f aca="false">G359+AC359*AQ359</f>
        <v>0</v>
      </c>
      <c r="AG359" s="59" t="n">
        <f aca="false">H359+I359+J359+(AA359+AB359+AC359)*(1-AQ359)</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IF(ISNUMBER(L359),L359,E359*P1_LOG+F359*P2_LOG+G359*P3_LOG)+IF(ISNUMBER(M359),M359,AA359*P1_LOG+AB359*P2_LOG+AC359*P3_LOG)*AQ359</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c r="AP359" s="58" t="n">
        <f aca="false">MIN(N(K359),Q359)</f>
        <v>0</v>
      </c>
      <c r="AQ359" s="61" t="n">
        <f aca="false">IF(Q359&gt;0,((Q359-AP359)*AT359+AP359*TASA_INC)/Q359,AT359)</f>
        <v>0.655565427753311</v>
      </c>
      <c r="AR359" s="58" t="n">
        <f aca="false">IF($A359&lt;FECHA_EXPORT,NETWORKDAYS($A359+1,FECHA_EXPORT,FESTIVOS),0)</f>
        <v>0</v>
      </c>
      <c r="AS359" s="61" t="n">
        <f aca="false">IF(AR359&gt;=5,1,INDEX(CDF_INC,1,AR359+1))</f>
        <v>0.14</v>
      </c>
      <c r="AT359" s="61" t="n">
        <f aca="false">TASA_USADA+(TASA_INC-TASA_USADA)*Q_INC*(1-AS359)/(1-Q_INC*AS359)</f>
        <v>0.655565427753311</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E360+AA360*AQ360</f>
        <v>0</v>
      </c>
      <c r="AE360" s="59" t="n">
        <f aca="false">F360+AB360*AQ360</f>
        <v>0</v>
      </c>
      <c r="AF360" s="59" t="n">
        <f aca="false">G360+AC360*AQ360</f>
        <v>0</v>
      </c>
      <c r="AG360" s="59" t="n">
        <f aca="false">H360+I360+J360+(AA360+AB360+AC360)*(1-AQ360)</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IF(ISNUMBER(L360),L360,E360*P1_LOG+F360*P2_LOG+G360*P3_LOG)+IF(ISNUMBER(M360),M360,AA360*P1_LOG+AB360*P2_LOG+AC360*P3_LOG)*AQ360</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c r="AP360" s="58" t="n">
        <f aca="false">MIN(N(K360),Q360)</f>
        <v>0</v>
      </c>
      <c r="AQ360" s="61" t="n">
        <f aca="false">IF(Q360&gt;0,((Q360-AP360)*AT360+AP360*TASA_INC)/Q360,AT360)</f>
        <v>0.655565427753311</v>
      </c>
      <c r="AR360" s="58" t="n">
        <f aca="false">IF($A360&lt;FECHA_EXPORT,NETWORKDAYS($A360+1,FECHA_EXPORT,FESTIVOS),0)</f>
        <v>0</v>
      </c>
      <c r="AS360" s="61" t="n">
        <f aca="false">IF(AR360&gt;=5,1,INDEX(CDF_INC,1,AR360+1))</f>
        <v>0.14</v>
      </c>
      <c r="AT360" s="61" t="n">
        <f aca="false">TASA_USADA+(TASA_INC-TASA_USADA)*Q_INC*(1-AS360)/(1-Q_INC*AS360)</f>
        <v>0.655565427753311</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E361+AA361*AQ361</f>
        <v>0</v>
      </c>
      <c r="AE361" s="59" t="n">
        <f aca="false">F361+AB361*AQ361</f>
        <v>0</v>
      </c>
      <c r="AF361" s="59" t="n">
        <f aca="false">G361+AC361*AQ361</f>
        <v>0</v>
      </c>
      <c r="AG361" s="59" t="n">
        <f aca="false">H361+I361+J361+(AA361+AB361+AC361)*(1-AQ361)</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IF(ISNUMBER(L361),L361,E361*P1_LOG+F361*P2_LOG+G361*P3_LOG)+IF(ISNUMBER(M361),M361,AA361*P1_LOG+AB361*P2_LOG+AC361*P3_LOG)*AQ361</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c r="AP361" s="58" t="n">
        <f aca="false">MIN(N(K361),Q361)</f>
        <v>0</v>
      </c>
      <c r="AQ361" s="61" t="n">
        <f aca="false">IF(Q361&gt;0,((Q361-AP361)*AT361+AP361*TASA_INC)/Q361,AT361)</f>
        <v>0.655565427753311</v>
      </c>
      <c r="AR361" s="58" t="n">
        <f aca="false">IF($A361&lt;FECHA_EXPORT,NETWORKDAYS($A361+1,FECHA_EXPORT,FESTIVOS),0)</f>
        <v>0</v>
      </c>
      <c r="AS361" s="61" t="n">
        <f aca="false">IF(AR361&gt;=5,1,INDEX(CDF_INC,1,AR361+1))</f>
        <v>0.14</v>
      </c>
      <c r="AT361" s="61" t="n">
        <f aca="false">TASA_USADA+(TASA_INC-TASA_USADA)*Q_INC*(1-AS361)/(1-Q_INC*AS361)</f>
        <v>0.655565427753311</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E362+AA362*AQ362</f>
        <v>0</v>
      </c>
      <c r="AE362" s="59" t="n">
        <f aca="false">F362+AB362*AQ362</f>
        <v>0</v>
      </c>
      <c r="AF362" s="59" t="n">
        <f aca="false">G362+AC362*AQ362</f>
        <v>0</v>
      </c>
      <c r="AG362" s="59" t="n">
        <f aca="false">H362+I362+J362+(AA362+AB362+AC362)*(1-AQ362)</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IF(ISNUMBER(L362),L362,E362*P1_LOG+F362*P2_LOG+G362*P3_LOG)+IF(ISNUMBER(M362),M362,AA362*P1_LOG+AB362*P2_LOG+AC362*P3_LOG)*AQ362</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c r="AP362" s="58" t="n">
        <f aca="false">MIN(N(K362),Q362)</f>
        <v>0</v>
      </c>
      <c r="AQ362" s="61" t="n">
        <f aca="false">IF(Q362&gt;0,((Q362-AP362)*AT362+AP362*TASA_INC)/Q362,AT362)</f>
        <v>0.655565427753311</v>
      </c>
      <c r="AR362" s="58" t="n">
        <f aca="false">IF($A362&lt;FECHA_EXPORT,NETWORKDAYS($A362+1,FECHA_EXPORT,FESTIVOS),0)</f>
        <v>0</v>
      </c>
      <c r="AS362" s="61" t="n">
        <f aca="false">IF(AR362&gt;=5,1,INDEX(CDF_INC,1,AR362+1))</f>
        <v>0.14</v>
      </c>
      <c r="AT362" s="61" t="n">
        <f aca="false">TASA_USADA+(TASA_INC-TASA_USADA)*Q_INC*(1-AS362)/(1-Q_INC*AS362)</f>
        <v>0.655565427753311</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E363+AA363*AQ363</f>
        <v>0</v>
      </c>
      <c r="AE363" s="59" t="n">
        <f aca="false">F363+AB363*AQ363</f>
        <v>0</v>
      </c>
      <c r="AF363" s="59" t="n">
        <f aca="false">G363+AC363*AQ363</f>
        <v>0</v>
      </c>
      <c r="AG363" s="59" t="n">
        <f aca="false">H363+I363+J363+(AA363+AB363+AC363)*(1-AQ363)</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IF(ISNUMBER(L363),L363,E363*P1_LOG+F363*P2_LOG+G363*P3_LOG)+IF(ISNUMBER(M363),M363,AA363*P1_LOG+AB363*P2_LOG+AC363*P3_LOG)*AQ363</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c r="AP363" s="58" t="n">
        <f aca="false">MIN(N(K363),Q363)</f>
        <v>0</v>
      </c>
      <c r="AQ363" s="61" t="n">
        <f aca="false">IF(Q363&gt;0,((Q363-AP363)*AT363+AP363*TASA_INC)/Q363,AT363)</f>
        <v>0.655565427753311</v>
      </c>
      <c r="AR363" s="58" t="n">
        <f aca="false">IF($A363&lt;FECHA_EXPORT,NETWORKDAYS($A363+1,FECHA_EXPORT,FESTIVOS),0)</f>
        <v>0</v>
      </c>
      <c r="AS363" s="61" t="n">
        <f aca="false">IF(AR363&gt;=5,1,INDEX(CDF_INC,1,AR363+1))</f>
        <v>0.14</v>
      </c>
      <c r="AT363" s="61" t="n">
        <f aca="false">TASA_USADA+(TASA_INC-TASA_USADA)*Q_INC*(1-AS363)/(1-Q_INC*AS363)</f>
        <v>0.655565427753311</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E364+AA364*AQ364</f>
        <v>0</v>
      </c>
      <c r="AE364" s="59" t="n">
        <f aca="false">F364+AB364*AQ364</f>
        <v>0</v>
      </c>
      <c r="AF364" s="59" t="n">
        <f aca="false">G364+AC364*AQ364</f>
        <v>0</v>
      </c>
      <c r="AG364" s="59" t="n">
        <f aca="false">H364+I364+J364+(AA364+AB364+AC364)*(1-AQ364)</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IF(ISNUMBER(L364),L364,E364*P1_LOG+F364*P2_LOG+G364*P3_LOG)+IF(ISNUMBER(M364),M364,AA364*P1_LOG+AB364*P2_LOG+AC364*P3_LOG)*AQ364</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c r="AP364" s="58" t="n">
        <f aca="false">MIN(N(K364),Q364)</f>
        <v>0</v>
      </c>
      <c r="AQ364" s="61" t="n">
        <f aca="false">IF(Q364&gt;0,((Q364-AP364)*AT364+AP364*TASA_INC)/Q364,AT364)</f>
        <v>0.655565427753311</v>
      </c>
      <c r="AR364" s="58" t="n">
        <f aca="false">IF($A364&lt;FECHA_EXPORT,NETWORKDAYS($A364+1,FECHA_EXPORT,FESTIVOS),0)</f>
        <v>0</v>
      </c>
      <c r="AS364" s="61" t="n">
        <f aca="false">IF(AR364&gt;=5,1,INDEX(CDF_INC,1,AR364+1))</f>
        <v>0.14</v>
      </c>
      <c r="AT364" s="61" t="n">
        <f aca="false">TASA_USADA+(TASA_INC-TASA_USADA)*Q_INC*(1-AS364)/(1-Q_INC*AS364)</f>
        <v>0.655565427753311</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E365+AA365*AQ365</f>
        <v>0</v>
      </c>
      <c r="AE365" s="59" t="n">
        <f aca="false">F365+AB365*AQ365</f>
        <v>0</v>
      </c>
      <c r="AF365" s="59" t="n">
        <f aca="false">G365+AC365*AQ365</f>
        <v>0</v>
      </c>
      <c r="AG365" s="59" t="n">
        <f aca="false">H365+I365+J365+(AA365+AB365+AC365)*(1-AQ365)</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IF(ISNUMBER(L365),L365,E365*P1_LOG+F365*P2_LOG+G365*P3_LOG)+IF(ISNUMBER(M365),M365,AA365*P1_LOG+AB365*P2_LOG+AC365*P3_LOG)*AQ365</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c r="AP365" s="58" t="n">
        <f aca="false">MIN(N(K365),Q365)</f>
        <v>0</v>
      </c>
      <c r="AQ365" s="61" t="n">
        <f aca="false">IF(Q365&gt;0,((Q365-AP365)*AT365+AP365*TASA_INC)/Q365,AT365)</f>
        <v>0.655565427753311</v>
      </c>
      <c r="AR365" s="58" t="n">
        <f aca="false">IF($A365&lt;FECHA_EXPORT,NETWORKDAYS($A365+1,FECHA_EXPORT,FESTIVOS),0)</f>
        <v>0</v>
      </c>
      <c r="AS365" s="61" t="n">
        <f aca="false">IF(AR365&gt;=5,1,INDEX(CDF_INC,1,AR365+1))</f>
        <v>0.14</v>
      </c>
      <c r="AT365" s="61" t="n">
        <f aca="false">TASA_USADA+(TASA_INC-TASA_USADA)*Q_INC*(1-AS365)/(1-Q_INC*AS365)</f>
        <v>0.655565427753311</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E366+AA366*AQ366</f>
        <v>0</v>
      </c>
      <c r="AE366" s="59" t="n">
        <f aca="false">F366+AB366*AQ366</f>
        <v>0</v>
      </c>
      <c r="AF366" s="59" t="n">
        <f aca="false">G366+AC366*AQ366</f>
        <v>0</v>
      </c>
      <c r="AG366" s="59" t="n">
        <f aca="false">H366+I366+J366+(AA366+AB366+AC366)*(1-AQ366)</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IF(ISNUMBER(L366),L366,E366*P1_LOG+F366*P2_LOG+G366*P3_LOG)+IF(ISNUMBER(M366),M366,AA366*P1_LOG+AB366*P2_LOG+AC366*P3_LOG)*AQ366</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c r="AP366" s="58" t="n">
        <f aca="false">MIN(N(K366),Q366)</f>
        <v>0</v>
      </c>
      <c r="AQ366" s="61" t="n">
        <f aca="false">IF(Q366&gt;0,((Q366-AP366)*AT366+AP366*TASA_INC)/Q366,AT366)</f>
        <v>0.655565427753311</v>
      </c>
      <c r="AR366" s="58" t="n">
        <f aca="false">IF($A366&lt;FECHA_EXPORT,NETWORKDAYS($A366+1,FECHA_EXPORT,FESTIVOS),0)</f>
        <v>0</v>
      </c>
      <c r="AS366" s="61" t="n">
        <f aca="false">IF(AR366&gt;=5,1,INDEX(CDF_INC,1,AR366+1))</f>
        <v>0.14</v>
      </c>
      <c r="AT366" s="61" t="n">
        <f aca="false">TASA_USADA+(TASA_INC-TASA_USADA)*Q_INC*(1-AS366)/(1-Q_INC*AS366)</f>
        <v>0.655565427753311</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E367+AA367*AQ367</f>
        <v>0</v>
      </c>
      <c r="AE367" s="59" t="n">
        <f aca="false">F367+AB367*AQ367</f>
        <v>0</v>
      </c>
      <c r="AF367" s="59" t="n">
        <f aca="false">G367+AC367*AQ367</f>
        <v>0</v>
      </c>
      <c r="AG367" s="59" t="n">
        <f aca="false">H367+I367+J367+(AA367+AB367+AC367)*(1-AQ367)</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IF(ISNUMBER(L367),L367,E367*P1_LOG+F367*P2_LOG+G367*P3_LOG)+IF(ISNUMBER(M367),M367,AA367*P1_LOG+AB367*P2_LOG+AC367*P3_LOG)*AQ367</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c r="AP367" s="58" t="n">
        <f aca="false">MIN(N(K367),Q367)</f>
        <v>0</v>
      </c>
      <c r="AQ367" s="61" t="n">
        <f aca="false">IF(Q367&gt;0,((Q367-AP367)*AT367+AP367*TASA_INC)/Q367,AT367)</f>
        <v>0.655565427753311</v>
      </c>
      <c r="AR367" s="58" t="n">
        <f aca="false">IF($A367&lt;FECHA_EXPORT,NETWORKDAYS($A367+1,FECHA_EXPORT,FESTIVOS),0)</f>
        <v>0</v>
      </c>
      <c r="AS367" s="61" t="n">
        <f aca="false">IF(AR367&gt;=5,1,INDEX(CDF_INC,1,AR367+1))</f>
        <v>0.14</v>
      </c>
      <c r="AT367" s="61" t="n">
        <f aca="false">TASA_USADA+(TASA_INC-TASA_USADA)*Q_INC*(1-AS367)/(1-Q_INC*AS367)</f>
        <v>0.655565427753311</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E368+AA368*AQ368</f>
        <v>0</v>
      </c>
      <c r="AE368" s="59" t="n">
        <f aca="false">F368+AB368*AQ368</f>
        <v>0</v>
      </c>
      <c r="AF368" s="59" t="n">
        <f aca="false">G368+AC368*AQ368</f>
        <v>0</v>
      </c>
      <c r="AG368" s="59" t="n">
        <f aca="false">H368+I368+J368+(AA368+AB368+AC368)*(1-AQ368)</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IF(ISNUMBER(L368),L368,E368*P1_LOG+F368*P2_LOG+G368*P3_LOG)+IF(ISNUMBER(M368),M368,AA368*P1_LOG+AB368*P2_LOG+AC368*P3_LOG)*AQ368</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c r="AP368" s="58" t="n">
        <f aca="false">MIN(N(K368),Q368)</f>
        <v>0</v>
      </c>
      <c r="AQ368" s="61" t="n">
        <f aca="false">IF(Q368&gt;0,((Q368-AP368)*AT368+AP368*TASA_INC)/Q368,AT368)</f>
        <v>0.655565427753311</v>
      </c>
      <c r="AR368" s="58" t="n">
        <f aca="false">IF($A368&lt;FECHA_EXPORT,NETWORKDAYS($A368+1,FECHA_EXPORT,FESTIVOS),0)</f>
        <v>0</v>
      </c>
      <c r="AS368" s="61" t="n">
        <f aca="false">IF(AR368&gt;=5,1,INDEX(CDF_INC,1,AR368+1))</f>
        <v>0.14</v>
      </c>
      <c r="AT368" s="61" t="n">
        <f aca="false">TASA_USADA+(TASA_INC-TASA_USADA)*Q_INC*(1-AS368)/(1-Q_INC*AS368)</f>
        <v>0.655565427753311</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E369+AA369*AQ369</f>
        <v>0</v>
      </c>
      <c r="AE369" s="59" t="n">
        <f aca="false">F369+AB369*AQ369</f>
        <v>0</v>
      </c>
      <c r="AF369" s="59" t="n">
        <f aca="false">G369+AC369*AQ369</f>
        <v>0</v>
      </c>
      <c r="AG369" s="59" t="n">
        <f aca="false">H369+I369+J369+(AA369+AB369+AC369)*(1-AQ369)</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IF(ISNUMBER(L369),L369,E369*P1_LOG+F369*P2_LOG+G369*P3_LOG)+IF(ISNUMBER(M369),M369,AA369*P1_LOG+AB369*P2_LOG+AC369*P3_LOG)*AQ369</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c r="AP369" s="58" t="n">
        <f aca="false">MIN(N(K369),Q369)</f>
        <v>0</v>
      </c>
      <c r="AQ369" s="61" t="n">
        <f aca="false">IF(Q369&gt;0,((Q369-AP369)*AT369+AP369*TASA_INC)/Q369,AT369)</f>
        <v>0.655565427753311</v>
      </c>
      <c r="AR369" s="58" t="n">
        <f aca="false">IF($A369&lt;FECHA_EXPORT,NETWORKDAYS($A369+1,FECHA_EXPORT,FESTIVOS),0)</f>
        <v>0</v>
      </c>
      <c r="AS369" s="61" t="n">
        <f aca="false">IF(AR369&gt;=5,1,INDEX(CDF_INC,1,AR369+1))</f>
        <v>0.14</v>
      </c>
      <c r="AT369" s="61" t="n">
        <f aca="false">TASA_USADA+(TASA_INC-TASA_USADA)*Q_INC*(1-AS369)/(1-Q_INC*AS369)</f>
        <v>0.655565427753311</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E370+AA370*AQ370</f>
        <v>0</v>
      </c>
      <c r="AE370" s="59" t="n">
        <f aca="false">F370+AB370*AQ370</f>
        <v>0</v>
      </c>
      <c r="AF370" s="59" t="n">
        <f aca="false">G370+AC370*AQ370</f>
        <v>0</v>
      </c>
      <c r="AG370" s="59" t="n">
        <f aca="false">H370+I370+J370+(AA370+AB370+AC370)*(1-AQ370)</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IF(ISNUMBER(L370),L370,E370*P1_LOG+F370*P2_LOG+G370*P3_LOG)+IF(ISNUMBER(M370),M370,AA370*P1_LOG+AB370*P2_LOG+AC370*P3_LOG)*AQ370</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c r="AP370" s="58" t="n">
        <f aca="false">MIN(N(K370),Q370)</f>
        <v>0</v>
      </c>
      <c r="AQ370" s="61" t="n">
        <f aca="false">IF(Q370&gt;0,((Q370-AP370)*AT370+AP370*TASA_INC)/Q370,AT370)</f>
        <v>0.655565427753311</v>
      </c>
      <c r="AR370" s="58" t="n">
        <f aca="false">IF($A370&lt;FECHA_EXPORT,NETWORKDAYS($A370+1,FECHA_EXPORT,FESTIVOS),0)</f>
        <v>0</v>
      </c>
      <c r="AS370" s="61" t="n">
        <f aca="false">IF(AR370&gt;=5,1,INDEX(CDF_INC,1,AR370+1))</f>
        <v>0.14</v>
      </c>
      <c r="AT370" s="61" t="n">
        <f aca="false">TASA_USADA+(TASA_INC-TASA_USADA)*Q_INC*(1-AS370)/(1-Q_INC*AS370)</f>
        <v>0.655565427753311</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113</v>
      </c>
    </row>
    <row r="3" customFormat="false" ht="15" hidden="false" customHeight="false" outlineLevel="0" collapsed="false">
      <c r="A3" s="2" t="s">
        <v>114</v>
      </c>
    </row>
    <row r="4" customFormat="false" ht="15" hidden="false" customHeight="false" outlineLevel="0" collapsed="false">
      <c r="A4" s="52" t="s">
        <v>49</v>
      </c>
      <c r="B4" s="52" t="s">
        <v>115</v>
      </c>
      <c r="C4" s="52" t="s">
        <v>116</v>
      </c>
      <c r="D4" s="52" t="s">
        <v>117</v>
      </c>
      <c r="E4" s="52" t="s">
        <v>84</v>
      </c>
    </row>
    <row r="5" customFormat="false" ht="15" hidden="false" customHeight="false" outlineLevel="0" collapsed="false">
      <c r="A5" s="62"/>
      <c r="B5" s="56"/>
      <c r="C5" s="56"/>
      <c r="D5" s="55"/>
      <c r="E5" s="56"/>
    </row>
    <row r="6" customFormat="false" ht="15" hidden="false" customHeight="false" outlineLevel="0" collapsed="false">
      <c r="A6" s="62"/>
      <c r="B6" s="56"/>
      <c r="C6" s="56"/>
      <c r="D6" s="55"/>
      <c r="E6" s="56"/>
    </row>
    <row r="7" customFormat="false" ht="15" hidden="false" customHeight="false" outlineLevel="0" collapsed="false">
      <c r="A7" s="62"/>
      <c r="B7" s="56"/>
      <c r="C7" s="56"/>
      <c r="D7" s="55"/>
      <c r="E7" s="56"/>
    </row>
    <row r="8" customFormat="false" ht="15" hidden="false" customHeight="false" outlineLevel="0" collapsed="false">
      <c r="A8" s="62"/>
      <c r="B8" s="56"/>
      <c r="C8" s="56"/>
      <c r="D8" s="55"/>
      <c r="E8" s="56"/>
    </row>
    <row r="9" customFormat="false" ht="15" hidden="false" customHeight="false" outlineLevel="0" collapsed="false">
      <c r="A9" s="62"/>
      <c r="B9" s="56"/>
      <c r="C9" s="56"/>
      <c r="D9" s="55"/>
      <c r="E9" s="56"/>
    </row>
    <row r="10" customFormat="false" ht="15" hidden="false" customHeight="false" outlineLevel="0" collapsed="false">
      <c r="A10" s="62"/>
      <c r="B10" s="56"/>
      <c r="C10" s="56"/>
      <c r="D10" s="55"/>
      <c r="E10" s="56"/>
    </row>
    <row r="11" customFormat="false" ht="15" hidden="false" customHeight="false" outlineLevel="0" collapsed="false">
      <c r="A11" s="62"/>
      <c r="B11" s="56"/>
      <c r="C11" s="56"/>
      <c r="D11" s="55"/>
      <c r="E11" s="56"/>
    </row>
    <row r="12" customFormat="false" ht="15" hidden="false" customHeight="false" outlineLevel="0" collapsed="false">
      <c r="A12" s="62"/>
      <c r="B12" s="56"/>
      <c r="C12" s="56"/>
      <c r="D12" s="55"/>
      <c r="E12" s="56"/>
    </row>
    <row r="13" customFormat="false" ht="15" hidden="false" customHeight="false" outlineLevel="0" collapsed="false">
      <c r="A13" s="62"/>
      <c r="B13" s="56"/>
      <c r="C13" s="56"/>
      <c r="D13" s="55"/>
      <c r="E13" s="56"/>
    </row>
    <row r="14" customFormat="false" ht="15" hidden="false" customHeight="false" outlineLevel="0" collapsed="false">
      <c r="A14" s="62"/>
      <c r="B14" s="56"/>
      <c r="C14" s="56"/>
      <c r="D14" s="55"/>
      <c r="E14" s="56"/>
    </row>
    <row r="15" customFormat="false" ht="15" hidden="false" customHeight="false" outlineLevel="0" collapsed="false">
      <c r="A15" s="62"/>
      <c r="B15" s="56"/>
      <c r="C15" s="56"/>
      <c r="D15" s="55"/>
      <c r="E15" s="56"/>
    </row>
    <row r="16" customFormat="false" ht="15" hidden="false" customHeight="false" outlineLevel="0" collapsed="false">
      <c r="A16" s="62"/>
      <c r="B16" s="56"/>
      <c r="C16" s="56"/>
      <c r="D16" s="55"/>
      <c r="E16" s="56"/>
    </row>
    <row r="17" customFormat="false" ht="15" hidden="false" customHeight="false" outlineLevel="0" collapsed="false">
      <c r="A17" s="62"/>
      <c r="B17" s="56"/>
      <c r="C17" s="56"/>
      <c r="D17" s="55"/>
      <c r="E17" s="56"/>
    </row>
    <row r="18" customFormat="false" ht="15" hidden="false" customHeight="false" outlineLevel="0" collapsed="false">
      <c r="A18" s="62"/>
      <c r="B18" s="56"/>
      <c r="C18" s="56"/>
      <c r="D18" s="55"/>
      <c r="E18" s="56"/>
    </row>
    <row r="19" customFormat="false" ht="15" hidden="false" customHeight="false" outlineLevel="0" collapsed="false">
      <c r="A19" s="62"/>
      <c r="B19" s="56"/>
      <c r="C19" s="56"/>
      <c r="D19" s="55"/>
      <c r="E19" s="56"/>
    </row>
    <row r="20" customFormat="false" ht="15" hidden="false" customHeight="false" outlineLevel="0" collapsed="false">
      <c r="A20" s="62"/>
      <c r="B20" s="56"/>
      <c r="C20" s="56"/>
      <c r="D20" s="55"/>
      <c r="E20" s="56"/>
    </row>
    <row r="21" customFormat="false" ht="15" hidden="false" customHeight="false" outlineLevel="0" collapsed="false">
      <c r="A21" s="62"/>
      <c r="B21" s="56"/>
      <c r="C21" s="56"/>
      <c r="D21" s="55"/>
      <c r="E21" s="56"/>
    </row>
    <row r="22" customFormat="false" ht="15" hidden="false" customHeight="false" outlineLevel="0" collapsed="false">
      <c r="A22" s="62"/>
      <c r="B22" s="56"/>
      <c r="C22" s="56"/>
      <c r="D22" s="55"/>
      <c r="E22" s="56"/>
    </row>
    <row r="23" customFormat="false" ht="15" hidden="false" customHeight="false" outlineLevel="0" collapsed="false">
      <c r="A23" s="62"/>
      <c r="B23" s="56"/>
      <c r="C23" s="56"/>
      <c r="D23" s="55"/>
      <c r="E23" s="56"/>
    </row>
    <row r="24" customFormat="false" ht="15" hidden="false" customHeight="false" outlineLevel="0" collapsed="false">
      <c r="A24" s="62"/>
      <c r="B24" s="56"/>
      <c r="C24" s="56"/>
      <c r="D24" s="55"/>
      <c r="E24" s="56"/>
    </row>
    <row r="25" customFormat="false" ht="15" hidden="false" customHeight="false" outlineLevel="0" collapsed="false">
      <c r="A25" s="62"/>
      <c r="B25" s="56"/>
      <c r="C25" s="56"/>
      <c r="D25" s="55"/>
      <c r="E25" s="56"/>
    </row>
    <row r="26" customFormat="false" ht="15" hidden="false" customHeight="false" outlineLevel="0" collapsed="false">
      <c r="A26" s="62"/>
      <c r="B26" s="56"/>
      <c r="C26" s="56"/>
      <c r="D26" s="55"/>
      <c r="E26" s="56"/>
    </row>
    <row r="27" customFormat="false" ht="15" hidden="false" customHeight="false" outlineLevel="0" collapsed="false">
      <c r="A27" s="62"/>
      <c r="B27" s="56"/>
      <c r="C27" s="56"/>
      <c r="D27" s="55"/>
      <c r="E27" s="56"/>
    </row>
    <row r="28" customFormat="false" ht="15" hidden="false" customHeight="false" outlineLevel="0" collapsed="false">
      <c r="A28" s="62"/>
      <c r="B28" s="56"/>
      <c r="C28" s="56"/>
      <c r="D28" s="55"/>
      <c r="E28" s="56"/>
    </row>
    <row r="29" customFormat="false" ht="15" hidden="false" customHeight="false" outlineLevel="0" collapsed="false">
      <c r="A29" s="62"/>
      <c r="B29" s="56"/>
      <c r="C29" s="56"/>
      <c r="D29" s="55"/>
      <c r="E29" s="56"/>
    </row>
    <row r="30" customFormat="false" ht="15" hidden="false" customHeight="false" outlineLevel="0" collapsed="false">
      <c r="A30" s="62"/>
      <c r="B30" s="56"/>
      <c r="C30" s="56"/>
      <c r="D30" s="55"/>
      <c r="E30" s="56"/>
    </row>
    <row r="31" customFormat="false" ht="15" hidden="false" customHeight="false" outlineLevel="0" collapsed="false">
      <c r="A31" s="62"/>
      <c r="B31" s="56"/>
      <c r="C31" s="56"/>
      <c r="D31" s="55"/>
      <c r="E31" s="56"/>
    </row>
    <row r="32" customFormat="false" ht="15" hidden="false" customHeight="false" outlineLevel="0" collapsed="false">
      <c r="A32" s="62"/>
      <c r="B32" s="56"/>
      <c r="C32" s="56"/>
      <c r="D32" s="55"/>
      <c r="E32" s="56"/>
    </row>
    <row r="33" customFormat="false" ht="15" hidden="false" customHeight="false" outlineLevel="0" collapsed="false">
      <c r="A33" s="62"/>
      <c r="B33" s="56"/>
      <c r="C33" s="56"/>
      <c r="D33" s="55"/>
      <c r="E33" s="56"/>
    </row>
    <row r="34" customFormat="false" ht="15" hidden="false" customHeight="false" outlineLevel="0" collapsed="false">
      <c r="A34" s="62"/>
      <c r="B34" s="56"/>
      <c r="C34" s="56"/>
      <c r="D34" s="55"/>
      <c r="E34" s="56"/>
    </row>
    <row r="35" customFormat="false" ht="15" hidden="false" customHeight="false" outlineLevel="0" collapsed="false">
      <c r="A35" s="62"/>
      <c r="B35" s="56"/>
      <c r="C35" s="56"/>
      <c r="D35" s="55"/>
      <c r="E35" s="56"/>
    </row>
    <row r="36" customFormat="false" ht="15" hidden="false" customHeight="false" outlineLevel="0" collapsed="false">
      <c r="A36" s="62"/>
      <c r="B36" s="56"/>
      <c r="C36" s="56"/>
      <c r="D36" s="55"/>
      <c r="E36" s="56"/>
    </row>
    <row r="37" customFormat="false" ht="15" hidden="false" customHeight="false" outlineLevel="0" collapsed="false">
      <c r="A37" s="62"/>
      <c r="B37" s="56"/>
      <c r="C37" s="56"/>
      <c r="D37" s="55"/>
      <c r="E37" s="56"/>
    </row>
    <row r="38" customFormat="false" ht="15" hidden="false" customHeight="false" outlineLevel="0" collapsed="false">
      <c r="A38" s="62"/>
      <c r="B38" s="56"/>
      <c r="C38" s="56"/>
      <c r="D38" s="55"/>
      <c r="E38" s="56"/>
    </row>
    <row r="39" customFormat="false" ht="15" hidden="false" customHeight="false" outlineLevel="0" collapsed="false">
      <c r="A39" s="62"/>
      <c r="B39" s="56"/>
      <c r="C39" s="56"/>
      <c r="D39" s="55"/>
      <c r="E39" s="56"/>
    </row>
    <row r="40" customFormat="false" ht="15" hidden="false" customHeight="false" outlineLevel="0" collapsed="false">
      <c r="A40" s="62"/>
      <c r="B40" s="56"/>
      <c r="C40" s="56"/>
      <c r="D40" s="55"/>
      <c r="E40" s="56"/>
    </row>
    <row r="41" customFormat="false" ht="15" hidden="false" customHeight="false" outlineLevel="0" collapsed="false">
      <c r="A41" s="62"/>
      <c r="B41" s="56"/>
      <c r="C41" s="56"/>
      <c r="D41" s="55"/>
      <c r="E41" s="56"/>
    </row>
    <row r="42" customFormat="false" ht="15" hidden="false" customHeight="false" outlineLevel="0" collapsed="false">
      <c r="A42" s="62"/>
      <c r="B42" s="56"/>
      <c r="C42" s="56"/>
      <c r="D42" s="55"/>
      <c r="E42" s="56"/>
    </row>
    <row r="43" customFormat="false" ht="15" hidden="false" customHeight="false" outlineLevel="0" collapsed="false">
      <c r="A43" s="62"/>
      <c r="B43" s="56"/>
      <c r="C43" s="56"/>
      <c r="D43" s="55"/>
      <c r="E43" s="56"/>
    </row>
    <row r="44" customFormat="false" ht="15" hidden="false" customHeight="false" outlineLevel="0" collapsed="false">
      <c r="A44" s="62"/>
      <c r="B44" s="56"/>
      <c r="C44" s="56"/>
      <c r="D44" s="55"/>
      <c r="E44" s="56"/>
    </row>
    <row r="45" customFormat="false" ht="15" hidden="false" customHeight="false" outlineLevel="0" collapsed="false">
      <c r="A45" s="62"/>
      <c r="B45" s="56"/>
      <c r="C45" s="56"/>
      <c r="D45" s="55"/>
      <c r="E45" s="56"/>
    </row>
    <row r="46" customFormat="false" ht="15" hidden="false" customHeight="false" outlineLevel="0" collapsed="false">
      <c r="A46" s="62"/>
      <c r="B46" s="56"/>
      <c r="C46" s="56"/>
      <c r="D46" s="55"/>
      <c r="E46" s="56"/>
    </row>
    <row r="47" customFormat="false" ht="15" hidden="false" customHeight="false" outlineLevel="0" collapsed="false">
      <c r="A47" s="62"/>
      <c r="B47" s="56"/>
      <c r="C47" s="56"/>
      <c r="D47" s="55"/>
      <c r="E47" s="56"/>
    </row>
    <row r="48" customFormat="false" ht="15" hidden="false" customHeight="false" outlineLevel="0" collapsed="false">
      <c r="A48" s="62"/>
      <c r="B48" s="56"/>
      <c r="C48" s="56"/>
      <c r="D48" s="55"/>
      <c r="E48" s="56"/>
    </row>
    <row r="49" customFormat="false" ht="15" hidden="false" customHeight="false" outlineLevel="0" collapsed="false">
      <c r="A49" s="62"/>
      <c r="B49" s="56"/>
      <c r="C49" s="56"/>
      <c r="D49" s="55"/>
      <c r="E49" s="56"/>
    </row>
    <row r="50" customFormat="false" ht="15" hidden="false" customHeight="false" outlineLevel="0" collapsed="false">
      <c r="A50" s="62"/>
      <c r="B50" s="56"/>
      <c r="C50" s="56"/>
      <c r="D50" s="55"/>
      <c r="E50" s="56"/>
    </row>
    <row r="51" customFormat="false" ht="15" hidden="false" customHeight="false" outlineLevel="0" collapsed="false">
      <c r="A51" s="62"/>
      <c r="B51" s="56"/>
      <c r="C51" s="56"/>
      <c r="D51" s="55"/>
      <c r="E51" s="56"/>
    </row>
    <row r="52" customFormat="false" ht="15" hidden="false" customHeight="false" outlineLevel="0" collapsed="false">
      <c r="A52" s="62"/>
      <c r="B52" s="56"/>
      <c r="C52" s="56"/>
      <c r="D52" s="55"/>
      <c r="E52" s="56"/>
    </row>
    <row r="53" customFormat="false" ht="15" hidden="false" customHeight="false" outlineLevel="0" collapsed="false">
      <c r="A53" s="62"/>
      <c r="B53" s="56"/>
      <c r="C53" s="56"/>
      <c r="D53" s="55"/>
      <c r="E53" s="56"/>
    </row>
    <row r="54" customFormat="false" ht="15" hidden="false" customHeight="false" outlineLevel="0" collapsed="false">
      <c r="A54" s="62"/>
      <c r="B54" s="56"/>
      <c r="C54" s="56"/>
      <c r="D54" s="55"/>
      <c r="E54" s="56"/>
    </row>
    <row r="55" customFormat="false" ht="15" hidden="false" customHeight="false" outlineLevel="0" collapsed="false">
      <c r="A55" s="62"/>
      <c r="B55" s="56"/>
      <c r="C55" s="56"/>
      <c r="D55" s="55"/>
      <c r="E55" s="56"/>
    </row>
    <row r="56" customFormat="false" ht="15" hidden="false" customHeight="false" outlineLevel="0" collapsed="false">
      <c r="A56" s="62"/>
      <c r="B56" s="56"/>
      <c r="C56" s="56"/>
      <c r="D56" s="55"/>
      <c r="E56" s="56"/>
    </row>
    <row r="57" customFormat="false" ht="15" hidden="false" customHeight="false" outlineLevel="0" collapsed="false">
      <c r="A57" s="62"/>
      <c r="B57" s="56"/>
      <c r="C57" s="56"/>
      <c r="D57" s="55"/>
      <c r="E57" s="56"/>
    </row>
    <row r="58" customFormat="false" ht="15" hidden="false" customHeight="false" outlineLevel="0" collapsed="false">
      <c r="A58" s="62"/>
      <c r="B58" s="56"/>
      <c r="C58" s="56"/>
      <c r="D58" s="55"/>
      <c r="E58" s="56"/>
    </row>
    <row r="59" customFormat="false" ht="15" hidden="false" customHeight="false" outlineLevel="0" collapsed="false">
      <c r="A59" s="62"/>
      <c r="B59" s="56"/>
      <c r="C59" s="56"/>
      <c r="D59" s="55"/>
      <c r="E59" s="56"/>
    </row>
    <row r="60" customFormat="false" ht="15" hidden="false" customHeight="false" outlineLevel="0" collapsed="false">
      <c r="A60" s="62"/>
      <c r="B60" s="56"/>
      <c r="C60" s="56"/>
      <c r="D60" s="55"/>
      <c r="E60" s="56"/>
    </row>
    <row r="61" customFormat="false" ht="15" hidden="false" customHeight="false" outlineLevel="0" collapsed="false">
      <c r="A61" s="62"/>
      <c r="B61" s="56"/>
      <c r="C61" s="56"/>
      <c r="D61" s="55"/>
      <c r="E61" s="56"/>
    </row>
    <row r="62" customFormat="false" ht="15" hidden="false" customHeight="false" outlineLevel="0" collapsed="false">
      <c r="A62" s="62"/>
      <c r="B62" s="56"/>
      <c r="C62" s="56"/>
      <c r="D62" s="55"/>
      <c r="E62" s="56"/>
    </row>
    <row r="63" customFormat="false" ht="15" hidden="false" customHeight="false" outlineLevel="0" collapsed="false">
      <c r="A63" s="62"/>
      <c r="B63" s="56"/>
      <c r="C63" s="56"/>
      <c r="D63" s="55"/>
      <c r="E63" s="56"/>
    </row>
    <row r="64" customFormat="false" ht="15" hidden="false" customHeight="false" outlineLevel="0" collapsed="false">
      <c r="A64" s="62"/>
      <c r="B64" s="56"/>
      <c r="C64" s="56"/>
      <c r="D64" s="55"/>
      <c r="E64" s="56"/>
    </row>
    <row r="65" customFormat="false" ht="15" hidden="false" customHeight="false" outlineLevel="0" collapsed="false">
      <c r="A65" s="62"/>
      <c r="B65" s="56"/>
      <c r="C65" s="56"/>
      <c r="D65" s="55"/>
      <c r="E65" s="56"/>
    </row>
    <row r="66" customFormat="false" ht="15" hidden="false" customHeight="false" outlineLevel="0" collapsed="false">
      <c r="A66" s="62"/>
      <c r="B66" s="56"/>
      <c r="C66" s="56"/>
      <c r="D66" s="55"/>
      <c r="E66" s="56"/>
    </row>
    <row r="67" customFormat="false" ht="15" hidden="false" customHeight="false" outlineLevel="0" collapsed="false">
      <c r="A67" s="62"/>
      <c r="B67" s="56"/>
      <c r="C67" s="56"/>
      <c r="D67" s="55"/>
      <c r="E67" s="56"/>
    </row>
    <row r="68" customFormat="false" ht="15" hidden="false" customHeight="false" outlineLevel="0" collapsed="false">
      <c r="A68" s="62"/>
      <c r="B68" s="56"/>
      <c r="C68" s="56"/>
      <c r="D68" s="55"/>
      <c r="E68" s="56"/>
    </row>
    <row r="69" customFormat="false" ht="15" hidden="false" customHeight="false" outlineLevel="0" collapsed="false">
      <c r="A69" s="62"/>
      <c r="B69" s="56"/>
      <c r="C69" s="56"/>
      <c r="D69" s="55"/>
      <c r="E69" s="56"/>
    </row>
    <row r="70" customFormat="false" ht="15" hidden="false" customHeight="false" outlineLevel="0" collapsed="false">
      <c r="A70" s="62"/>
      <c r="B70" s="56"/>
      <c r="C70" s="56"/>
      <c r="D70" s="55"/>
      <c r="E70" s="56"/>
    </row>
    <row r="71" customFormat="false" ht="15" hidden="false" customHeight="false" outlineLevel="0" collapsed="false">
      <c r="A71" s="62"/>
      <c r="B71" s="56"/>
      <c r="C71" s="56"/>
      <c r="D71" s="55"/>
      <c r="E71" s="56"/>
    </row>
    <row r="72" customFormat="false" ht="15" hidden="false" customHeight="false" outlineLevel="0" collapsed="false">
      <c r="A72" s="62"/>
      <c r="B72" s="56"/>
      <c r="C72" s="56"/>
      <c r="D72" s="55"/>
      <c r="E72" s="56"/>
    </row>
    <row r="73" customFormat="false" ht="15" hidden="false" customHeight="false" outlineLevel="0" collapsed="false">
      <c r="A73" s="62"/>
      <c r="B73" s="56"/>
      <c r="C73" s="56"/>
      <c r="D73" s="55"/>
      <c r="E73" s="56"/>
    </row>
    <row r="74" customFormat="false" ht="15" hidden="false" customHeight="false" outlineLevel="0" collapsed="false">
      <c r="A74" s="62"/>
      <c r="B74" s="56"/>
      <c r="C74" s="56"/>
      <c r="D74" s="55"/>
      <c r="E74" s="56"/>
    </row>
    <row r="75" customFormat="false" ht="15" hidden="false" customHeight="false" outlineLevel="0" collapsed="false">
      <c r="A75" s="62"/>
      <c r="B75" s="56"/>
      <c r="C75" s="56"/>
      <c r="D75" s="55"/>
      <c r="E75" s="56"/>
    </row>
    <row r="76" customFormat="false" ht="15" hidden="false" customHeight="false" outlineLevel="0" collapsed="false">
      <c r="A76" s="62"/>
      <c r="B76" s="56"/>
      <c r="C76" s="56"/>
      <c r="D76" s="55"/>
      <c r="E76" s="56"/>
    </row>
    <row r="77" customFormat="false" ht="15" hidden="false" customHeight="false" outlineLevel="0" collapsed="false">
      <c r="A77" s="62"/>
      <c r="B77" s="56"/>
      <c r="C77" s="56"/>
      <c r="D77" s="55"/>
      <c r="E77" s="56"/>
    </row>
    <row r="78" customFormat="false" ht="15" hidden="false" customHeight="false" outlineLevel="0" collapsed="false">
      <c r="A78" s="62"/>
      <c r="B78" s="56"/>
      <c r="C78" s="56"/>
      <c r="D78" s="55"/>
      <c r="E78" s="56"/>
    </row>
    <row r="79" customFormat="false" ht="15" hidden="false" customHeight="false" outlineLevel="0" collapsed="false">
      <c r="A79" s="62"/>
      <c r="B79" s="56"/>
      <c r="C79" s="56"/>
      <c r="D79" s="55"/>
      <c r="E79" s="56"/>
    </row>
    <row r="80" customFormat="false" ht="15" hidden="false" customHeight="false" outlineLevel="0" collapsed="false">
      <c r="A80" s="62"/>
      <c r="B80" s="56"/>
      <c r="C80" s="56"/>
      <c r="D80" s="55"/>
      <c r="E80" s="56"/>
    </row>
    <row r="81" customFormat="false" ht="15" hidden="false" customHeight="false" outlineLevel="0" collapsed="false">
      <c r="A81" s="62"/>
      <c r="B81" s="56"/>
      <c r="C81" s="56"/>
      <c r="D81" s="55"/>
      <c r="E81" s="56"/>
    </row>
    <row r="82" customFormat="false" ht="15" hidden="false" customHeight="false" outlineLevel="0" collapsed="false">
      <c r="A82" s="62"/>
      <c r="B82" s="56"/>
      <c r="C82" s="56"/>
      <c r="D82" s="55"/>
      <c r="E82" s="56"/>
    </row>
    <row r="83" customFormat="false" ht="15" hidden="false" customHeight="false" outlineLevel="0" collapsed="false">
      <c r="A83" s="62"/>
      <c r="B83" s="56"/>
      <c r="C83" s="56"/>
      <c r="D83" s="55"/>
      <c r="E83" s="56"/>
    </row>
    <row r="84" customFormat="false" ht="15" hidden="false" customHeight="false" outlineLevel="0" collapsed="false">
      <c r="A84" s="62"/>
      <c r="B84" s="56"/>
      <c r="C84" s="56"/>
      <c r="D84" s="55"/>
      <c r="E84" s="56"/>
    </row>
    <row r="85" customFormat="false" ht="15" hidden="false" customHeight="false" outlineLevel="0" collapsed="false">
      <c r="A85" s="62"/>
      <c r="B85" s="56"/>
      <c r="C85" s="56"/>
      <c r="D85" s="55"/>
      <c r="E85" s="56"/>
    </row>
    <row r="86" customFormat="false" ht="15" hidden="false" customHeight="false" outlineLevel="0" collapsed="false">
      <c r="A86" s="62"/>
      <c r="B86" s="56"/>
      <c r="C86" s="56"/>
      <c r="D86" s="55"/>
      <c r="E86" s="56"/>
    </row>
    <row r="87" customFormat="false" ht="15" hidden="false" customHeight="false" outlineLevel="0" collapsed="false">
      <c r="A87" s="62"/>
      <c r="B87" s="56"/>
      <c r="C87" s="56"/>
      <c r="D87" s="55"/>
      <c r="E87" s="56"/>
    </row>
    <row r="88" customFormat="false" ht="15" hidden="false" customHeight="false" outlineLevel="0" collapsed="false">
      <c r="A88" s="62"/>
      <c r="B88" s="56"/>
      <c r="C88" s="56"/>
      <c r="D88" s="55"/>
      <c r="E88" s="56"/>
    </row>
    <row r="89" customFormat="false" ht="15" hidden="false" customHeight="false" outlineLevel="0" collapsed="false">
      <c r="A89" s="62"/>
      <c r="B89" s="56"/>
      <c r="C89" s="56"/>
      <c r="D89" s="55"/>
      <c r="E89" s="56"/>
    </row>
    <row r="90" customFormat="false" ht="15" hidden="false" customHeight="false" outlineLevel="0" collapsed="false">
      <c r="A90" s="62"/>
      <c r="B90" s="56"/>
      <c r="C90" s="56"/>
      <c r="D90" s="55"/>
      <c r="E90" s="56"/>
    </row>
    <row r="91" customFormat="false" ht="15" hidden="false" customHeight="false" outlineLevel="0" collapsed="false">
      <c r="A91" s="62"/>
      <c r="B91" s="56"/>
      <c r="C91" s="56"/>
      <c r="D91" s="55"/>
      <c r="E91" s="56"/>
    </row>
    <row r="92" customFormat="false" ht="15" hidden="false" customHeight="false" outlineLevel="0" collapsed="false">
      <c r="A92" s="62"/>
      <c r="B92" s="56"/>
      <c r="C92" s="56"/>
      <c r="D92" s="55"/>
      <c r="E92" s="56"/>
    </row>
    <row r="93" customFormat="false" ht="15" hidden="false" customHeight="false" outlineLevel="0" collapsed="false">
      <c r="A93" s="62"/>
      <c r="B93" s="56"/>
      <c r="C93" s="56"/>
      <c r="D93" s="55"/>
      <c r="E93" s="56"/>
    </row>
    <row r="94" customFormat="false" ht="15" hidden="false" customHeight="false" outlineLevel="0" collapsed="false">
      <c r="A94" s="62"/>
      <c r="B94" s="56"/>
      <c r="C94" s="56"/>
      <c r="D94" s="55"/>
      <c r="E94" s="56"/>
    </row>
    <row r="95" customFormat="false" ht="15" hidden="false" customHeight="false" outlineLevel="0" collapsed="false">
      <c r="A95" s="62"/>
      <c r="B95" s="56"/>
      <c r="C95" s="56"/>
      <c r="D95" s="55"/>
      <c r="E95" s="56"/>
    </row>
    <row r="96" customFormat="false" ht="15" hidden="false" customHeight="false" outlineLevel="0" collapsed="false">
      <c r="A96" s="62"/>
      <c r="B96" s="56"/>
      <c r="C96" s="56"/>
      <c r="D96" s="55"/>
      <c r="E96" s="56"/>
    </row>
    <row r="97" customFormat="false" ht="15" hidden="false" customHeight="false" outlineLevel="0" collapsed="false">
      <c r="A97" s="62"/>
      <c r="B97" s="56"/>
      <c r="C97" s="56"/>
      <c r="D97" s="55"/>
      <c r="E97" s="56"/>
    </row>
    <row r="98" customFormat="false" ht="15" hidden="false" customHeight="false" outlineLevel="0" collapsed="false">
      <c r="A98" s="62"/>
      <c r="B98" s="56"/>
      <c r="C98" s="56"/>
      <c r="D98" s="55"/>
      <c r="E98" s="56"/>
    </row>
    <row r="99" customFormat="false" ht="15" hidden="false" customHeight="false" outlineLevel="0" collapsed="false">
      <c r="A99" s="62"/>
      <c r="B99" s="56"/>
      <c r="C99" s="56"/>
      <c r="D99" s="55"/>
      <c r="E99" s="56"/>
    </row>
    <row r="100" customFormat="false" ht="15" hidden="false" customHeight="false" outlineLevel="0" collapsed="false">
      <c r="A100" s="62"/>
      <c r="B100" s="56"/>
      <c r="C100" s="56"/>
      <c r="D100" s="55"/>
      <c r="E100" s="56"/>
    </row>
    <row r="101" customFormat="false" ht="15" hidden="false" customHeight="false" outlineLevel="0" collapsed="false">
      <c r="A101" s="62"/>
      <c r="B101" s="56"/>
      <c r="C101" s="56"/>
      <c r="D101" s="55"/>
      <c r="E101" s="56"/>
    </row>
    <row r="102" customFormat="false" ht="15" hidden="false" customHeight="false" outlineLevel="0" collapsed="false">
      <c r="A102" s="62"/>
      <c r="B102" s="56"/>
      <c r="C102" s="56"/>
      <c r="D102" s="55"/>
      <c r="E102" s="56"/>
    </row>
    <row r="103" customFormat="false" ht="15" hidden="false" customHeight="false" outlineLevel="0" collapsed="false">
      <c r="A103" s="62"/>
      <c r="B103" s="56"/>
      <c r="C103" s="56"/>
      <c r="D103" s="55"/>
      <c r="E103" s="56"/>
    </row>
    <row r="104" customFormat="false" ht="15" hidden="false" customHeight="false" outlineLevel="0" collapsed="false">
      <c r="A104" s="62"/>
      <c r="B104" s="56"/>
      <c r="C104" s="56"/>
      <c r="D104" s="55"/>
      <c r="E104" s="56"/>
    </row>
    <row r="105" customFormat="false" ht="15" hidden="false" customHeight="false" outlineLevel="0" collapsed="false">
      <c r="A105" s="62"/>
      <c r="B105" s="56"/>
      <c r="C105" s="56"/>
      <c r="D105" s="55"/>
      <c r="E105" s="56"/>
    </row>
    <row r="106" customFormat="false" ht="15" hidden="false" customHeight="false" outlineLevel="0" collapsed="false">
      <c r="A106" s="62"/>
      <c r="B106" s="56"/>
      <c r="C106" s="56"/>
      <c r="D106" s="55"/>
      <c r="E106" s="56"/>
    </row>
    <row r="107" customFormat="false" ht="15" hidden="false" customHeight="false" outlineLevel="0" collapsed="false">
      <c r="A107" s="62"/>
      <c r="B107" s="56"/>
      <c r="C107" s="56"/>
      <c r="D107" s="55"/>
      <c r="E107" s="56"/>
    </row>
    <row r="108" customFormat="false" ht="15" hidden="false" customHeight="false" outlineLevel="0" collapsed="false">
      <c r="A108" s="62"/>
      <c r="B108" s="56"/>
      <c r="C108" s="56"/>
      <c r="D108" s="55"/>
      <c r="E108" s="56"/>
    </row>
    <row r="109" customFormat="false" ht="15" hidden="false" customHeight="false" outlineLevel="0" collapsed="false">
      <c r="A109" s="62"/>
      <c r="B109" s="56"/>
      <c r="C109" s="56"/>
      <c r="D109" s="55"/>
      <c r="E109" s="56"/>
    </row>
    <row r="110" customFormat="false" ht="15" hidden="false" customHeight="false" outlineLevel="0" collapsed="false">
      <c r="A110" s="62"/>
      <c r="B110" s="56"/>
      <c r="C110" s="56"/>
      <c r="D110" s="55"/>
      <c r="E110" s="56"/>
    </row>
    <row r="111" customFormat="false" ht="15" hidden="false" customHeight="false" outlineLevel="0" collapsed="false">
      <c r="A111" s="62"/>
      <c r="B111" s="56"/>
      <c r="C111" s="56"/>
      <c r="D111" s="55"/>
      <c r="E111" s="56"/>
    </row>
    <row r="112" customFormat="false" ht="15" hidden="false" customHeight="false" outlineLevel="0" collapsed="false">
      <c r="A112" s="62"/>
      <c r="B112" s="56"/>
      <c r="C112" s="56"/>
      <c r="D112" s="55"/>
      <c r="E112" s="56"/>
    </row>
    <row r="113" customFormat="false" ht="15" hidden="false" customHeight="false" outlineLevel="0" collapsed="false">
      <c r="A113" s="62"/>
      <c r="B113" s="56"/>
      <c r="C113" s="56"/>
      <c r="D113" s="55"/>
      <c r="E113" s="56"/>
    </row>
    <row r="114" customFormat="false" ht="15" hidden="false" customHeight="false" outlineLevel="0" collapsed="false">
      <c r="A114" s="62"/>
      <c r="B114" s="56"/>
      <c r="C114" s="56"/>
      <c r="D114" s="55"/>
      <c r="E114" s="56"/>
    </row>
    <row r="115" customFormat="false" ht="15" hidden="false" customHeight="false" outlineLevel="0" collapsed="false">
      <c r="A115" s="62"/>
      <c r="B115" s="56"/>
      <c r="C115" s="56"/>
      <c r="D115" s="55"/>
      <c r="E115" s="56"/>
    </row>
    <row r="116" customFormat="false" ht="15" hidden="false" customHeight="false" outlineLevel="0" collapsed="false">
      <c r="A116" s="62"/>
      <c r="B116" s="56"/>
      <c r="C116" s="56"/>
      <c r="D116" s="55"/>
      <c r="E116" s="56"/>
    </row>
    <row r="117" customFormat="false" ht="15" hidden="false" customHeight="false" outlineLevel="0" collapsed="false">
      <c r="A117" s="62"/>
      <c r="B117" s="56"/>
      <c r="C117" s="56"/>
      <c r="D117" s="55"/>
      <c r="E117" s="56"/>
    </row>
    <row r="118" customFormat="false" ht="15" hidden="false" customHeight="false" outlineLevel="0" collapsed="false">
      <c r="A118" s="62"/>
      <c r="B118" s="56"/>
      <c r="C118" s="56"/>
      <c r="D118" s="55"/>
      <c r="E118" s="56"/>
    </row>
    <row r="119" customFormat="false" ht="15" hidden="false" customHeight="false" outlineLevel="0" collapsed="false">
      <c r="A119" s="62"/>
      <c r="B119" s="56"/>
      <c r="C119" s="56"/>
      <c r="D119" s="55"/>
      <c r="E119" s="56"/>
    </row>
    <row r="120" customFormat="false" ht="15" hidden="false" customHeight="false" outlineLevel="0" collapsed="false">
      <c r="A120" s="62"/>
      <c r="B120" s="56"/>
      <c r="C120" s="56"/>
      <c r="D120" s="55"/>
      <c r="E120" s="56"/>
    </row>
    <row r="121" customFormat="false" ht="15" hidden="false" customHeight="false" outlineLevel="0" collapsed="false">
      <c r="A121" s="62"/>
      <c r="B121" s="56"/>
      <c r="C121" s="56"/>
      <c r="D121" s="55"/>
      <c r="E121" s="56"/>
    </row>
    <row r="122" customFormat="false" ht="15" hidden="false" customHeight="false" outlineLevel="0" collapsed="false">
      <c r="A122" s="62"/>
      <c r="B122" s="56"/>
      <c r="C122" s="56"/>
      <c r="D122" s="55"/>
      <c r="E122" s="56"/>
    </row>
    <row r="123" customFormat="false" ht="15" hidden="false" customHeight="false" outlineLevel="0" collapsed="false">
      <c r="A123" s="62"/>
      <c r="B123" s="56"/>
      <c r="C123" s="56"/>
      <c r="D123" s="55"/>
      <c r="E123" s="56"/>
    </row>
    <row r="124" customFormat="false" ht="15" hidden="false" customHeight="false" outlineLevel="0" collapsed="false">
      <c r="A124" s="62"/>
      <c r="B124" s="56"/>
      <c r="C124" s="56"/>
      <c r="D124" s="55"/>
      <c r="E124" s="56"/>
    </row>
    <row r="125" customFormat="false" ht="15" hidden="false" customHeight="false" outlineLevel="0" collapsed="false">
      <c r="A125" s="62"/>
      <c r="B125" s="56"/>
      <c r="C125" s="56"/>
      <c r="D125" s="55"/>
      <c r="E125" s="56"/>
    </row>
    <row r="126" customFormat="false" ht="15" hidden="false" customHeight="false" outlineLevel="0" collapsed="false">
      <c r="A126" s="62"/>
      <c r="B126" s="56"/>
      <c r="C126" s="56"/>
      <c r="D126" s="55"/>
      <c r="E126" s="56"/>
    </row>
    <row r="127" customFormat="false" ht="15" hidden="false" customHeight="false" outlineLevel="0" collapsed="false">
      <c r="A127" s="62"/>
      <c r="B127" s="56"/>
      <c r="C127" s="56"/>
      <c r="D127" s="55"/>
      <c r="E127" s="56"/>
    </row>
    <row r="128" customFormat="false" ht="15" hidden="false" customHeight="false" outlineLevel="0" collapsed="false">
      <c r="A128" s="62"/>
      <c r="B128" s="56"/>
      <c r="C128" s="56"/>
      <c r="D128" s="55"/>
      <c r="E128" s="56"/>
    </row>
    <row r="129" customFormat="false" ht="15" hidden="false" customHeight="false" outlineLevel="0" collapsed="false">
      <c r="A129" s="62"/>
      <c r="B129" s="56"/>
      <c r="C129" s="56"/>
      <c r="D129" s="55"/>
      <c r="E129" s="56"/>
    </row>
    <row r="130" customFormat="false" ht="15" hidden="false" customHeight="false" outlineLevel="0" collapsed="false">
      <c r="A130" s="62"/>
      <c r="B130" s="56"/>
      <c r="C130" s="56"/>
      <c r="D130" s="55"/>
      <c r="E130" s="56"/>
    </row>
    <row r="131" customFormat="false" ht="15" hidden="false" customHeight="false" outlineLevel="0" collapsed="false">
      <c r="A131" s="62"/>
      <c r="B131" s="56"/>
      <c r="C131" s="56"/>
      <c r="D131" s="55"/>
      <c r="E131" s="56"/>
    </row>
    <row r="132" customFormat="false" ht="15" hidden="false" customHeight="false" outlineLevel="0" collapsed="false">
      <c r="A132" s="62"/>
      <c r="B132" s="56"/>
      <c r="C132" s="56"/>
      <c r="D132" s="55"/>
      <c r="E132" s="56"/>
    </row>
    <row r="133" customFormat="false" ht="15" hidden="false" customHeight="false" outlineLevel="0" collapsed="false">
      <c r="A133" s="62"/>
      <c r="B133" s="56"/>
      <c r="C133" s="56"/>
      <c r="D133" s="55"/>
      <c r="E133" s="56"/>
    </row>
    <row r="134" customFormat="false" ht="15" hidden="false" customHeight="false" outlineLevel="0" collapsed="false">
      <c r="A134" s="62"/>
      <c r="B134" s="56"/>
      <c r="C134" s="56"/>
      <c r="D134" s="55"/>
      <c r="E134" s="56"/>
    </row>
    <row r="135" customFormat="false" ht="15" hidden="false" customHeight="false" outlineLevel="0" collapsed="false">
      <c r="A135" s="62"/>
      <c r="B135" s="56"/>
      <c r="C135" s="56"/>
      <c r="D135" s="55"/>
      <c r="E135" s="56"/>
    </row>
    <row r="136" customFormat="false" ht="15" hidden="false" customHeight="false" outlineLevel="0" collapsed="false">
      <c r="A136" s="62"/>
      <c r="B136" s="56"/>
      <c r="C136" s="56"/>
      <c r="D136" s="55"/>
      <c r="E136" s="56"/>
    </row>
    <row r="137" customFormat="false" ht="15" hidden="false" customHeight="false" outlineLevel="0" collapsed="false">
      <c r="A137" s="62"/>
      <c r="B137" s="56"/>
      <c r="C137" s="56"/>
      <c r="D137" s="55"/>
      <c r="E137" s="56"/>
    </row>
    <row r="138" customFormat="false" ht="15" hidden="false" customHeight="false" outlineLevel="0" collapsed="false">
      <c r="A138" s="62"/>
      <c r="B138" s="56"/>
      <c r="C138" s="56"/>
      <c r="D138" s="55"/>
      <c r="E138" s="56"/>
    </row>
    <row r="139" customFormat="false" ht="15" hidden="false" customHeight="false" outlineLevel="0" collapsed="false">
      <c r="A139" s="62"/>
      <c r="B139" s="56"/>
      <c r="C139" s="56"/>
      <c r="D139" s="55"/>
      <c r="E139" s="56"/>
    </row>
    <row r="140" customFormat="false" ht="15" hidden="false" customHeight="false" outlineLevel="0" collapsed="false">
      <c r="A140" s="62"/>
      <c r="B140" s="56"/>
      <c r="C140" s="56"/>
      <c r="D140" s="55"/>
      <c r="E140" s="56"/>
    </row>
    <row r="141" customFormat="false" ht="15" hidden="false" customHeight="false" outlineLevel="0" collapsed="false">
      <c r="A141" s="62"/>
      <c r="B141" s="56"/>
      <c r="C141" s="56"/>
      <c r="D141" s="55"/>
      <c r="E141" s="56"/>
    </row>
    <row r="142" customFormat="false" ht="15" hidden="false" customHeight="false" outlineLevel="0" collapsed="false">
      <c r="A142" s="62"/>
      <c r="B142" s="56"/>
      <c r="C142" s="56"/>
      <c r="D142" s="55"/>
      <c r="E142" s="56"/>
    </row>
    <row r="143" customFormat="false" ht="15" hidden="false" customHeight="false" outlineLevel="0" collapsed="false">
      <c r="A143" s="62"/>
      <c r="B143" s="56"/>
      <c r="C143" s="56"/>
      <c r="D143" s="55"/>
      <c r="E143" s="56"/>
    </row>
    <row r="144" customFormat="false" ht="15" hidden="false" customHeight="false" outlineLevel="0" collapsed="false">
      <c r="A144" s="62"/>
      <c r="B144" s="56"/>
      <c r="C144" s="56"/>
      <c r="D144" s="55"/>
      <c r="E144" s="56"/>
    </row>
    <row r="145" customFormat="false" ht="15" hidden="false" customHeight="false" outlineLevel="0" collapsed="false">
      <c r="A145" s="62"/>
      <c r="B145" s="56"/>
      <c r="C145" s="56"/>
      <c r="D145" s="55"/>
      <c r="E145" s="56"/>
    </row>
    <row r="146" customFormat="false" ht="15" hidden="false" customHeight="false" outlineLevel="0" collapsed="false">
      <c r="A146" s="62"/>
      <c r="B146" s="56"/>
      <c r="C146" s="56"/>
      <c r="D146" s="55"/>
      <c r="E146" s="56"/>
    </row>
    <row r="147" customFormat="false" ht="15" hidden="false" customHeight="false" outlineLevel="0" collapsed="false">
      <c r="A147" s="62"/>
      <c r="B147" s="56"/>
      <c r="C147" s="56"/>
      <c r="D147" s="55"/>
      <c r="E147" s="56"/>
    </row>
    <row r="148" customFormat="false" ht="15" hidden="false" customHeight="false" outlineLevel="0" collapsed="false">
      <c r="A148" s="62"/>
      <c r="B148" s="56"/>
      <c r="C148" s="56"/>
      <c r="D148" s="55"/>
      <c r="E148" s="56"/>
    </row>
    <row r="149" customFormat="false" ht="15" hidden="false" customHeight="false" outlineLevel="0" collapsed="false">
      <c r="A149" s="62"/>
      <c r="B149" s="56"/>
      <c r="C149" s="56"/>
      <c r="D149" s="55"/>
      <c r="E149" s="56"/>
    </row>
    <row r="150" customFormat="false" ht="15" hidden="false" customHeight="false" outlineLevel="0" collapsed="false">
      <c r="A150" s="62"/>
      <c r="B150" s="56"/>
      <c r="C150" s="56"/>
      <c r="D150" s="55"/>
      <c r="E150" s="56"/>
    </row>
    <row r="151" customFormat="false" ht="15" hidden="false" customHeight="false" outlineLevel="0" collapsed="false">
      <c r="A151" s="62"/>
      <c r="B151" s="56"/>
      <c r="C151" s="56"/>
      <c r="D151" s="55"/>
      <c r="E151" s="56"/>
    </row>
    <row r="152" customFormat="false" ht="15" hidden="false" customHeight="false" outlineLevel="0" collapsed="false">
      <c r="A152" s="62"/>
      <c r="B152" s="56"/>
      <c r="C152" s="56"/>
      <c r="D152" s="55"/>
      <c r="E152" s="56"/>
    </row>
    <row r="153" customFormat="false" ht="15" hidden="false" customHeight="false" outlineLevel="0" collapsed="false">
      <c r="A153" s="62"/>
      <c r="B153" s="56"/>
      <c r="C153" s="56"/>
      <c r="D153" s="55"/>
      <c r="E153" s="56"/>
    </row>
    <row r="154" customFormat="false" ht="15" hidden="false" customHeight="false" outlineLevel="0" collapsed="false">
      <c r="A154" s="62"/>
      <c r="B154" s="56"/>
      <c r="C154" s="56"/>
      <c r="D154" s="55"/>
      <c r="E154" s="56"/>
    </row>
    <row r="155" customFormat="false" ht="15" hidden="false" customHeight="false" outlineLevel="0" collapsed="false">
      <c r="A155" s="62"/>
      <c r="B155" s="56"/>
      <c r="C155" s="56"/>
      <c r="D155" s="55"/>
      <c r="E155" s="56"/>
    </row>
    <row r="156" customFormat="false" ht="15" hidden="false" customHeight="false" outlineLevel="0" collapsed="false">
      <c r="A156" s="62"/>
      <c r="B156" s="56"/>
      <c r="C156" s="56"/>
      <c r="D156" s="55"/>
      <c r="E156" s="56"/>
    </row>
    <row r="157" customFormat="false" ht="15" hidden="false" customHeight="false" outlineLevel="0" collapsed="false">
      <c r="A157" s="62"/>
      <c r="B157" s="56"/>
      <c r="C157" s="56"/>
      <c r="D157" s="55"/>
      <c r="E157" s="56"/>
    </row>
    <row r="158" customFormat="false" ht="15" hidden="false" customHeight="false" outlineLevel="0" collapsed="false">
      <c r="A158" s="62"/>
      <c r="B158" s="56"/>
      <c r="C158" s="56"/>
      <c r="D158" s="55"/>
      <c r="E158" s="56"/>
    </row>
    <row r="159" customFormat="false" ht="15" hidden="false" customHeight="false" outlineLevel="0" collapsed="false">
      <c r="A159" s="62"/>
      <c r="B159" s="56"/>
      <c r="C159" s="56"/>
      <c r="D159" s="55"/>
      <c r="E159" s="56"/>
    </row>
    <row r="160" customFormat="false" ht="15" hidden="false" customHeight="false" outlineLevel="0" collapsed="false">
      <c r="A160" s="62"/>
      <c r="B160" s="56"/>
      <c r="C160" s="56"/>
      <c r="D160" s="55"/>
      <c r="E160" s="56"/>
    </row>
    <row r="161" customFormat="false" ht="15" hidden="false" customHeight="false" outlineLevel="0" collapsed="false">
      <c r="A161" s="62"/>
      <c r="B161" s="56"/>
      <c r="C161" s="56"/>
      <c r="D161" s="55"/>
      <c r="E161" s="56"/>
    </row>
    <row r="162" customFormat="false" ht="15" hidden="false" customHeight="false" outlineLevel="0" collapsed="false">
      <c r="A162" s="62"/>
      <c r="B162" s="56"/>
      <c r="C162" s="56"/>
      <c r="D162" s="55"/>
      <c r="E162" s="56"/>
    </row>
    <row r="163" customFormat="false" ht="15" hidden="false" customHeight="false" outlineLevel="0" collapsed="false">
      <c r="A163" s="62"/>
      <c r="B163" s="56"/>
      <c r="C163" s="56"/>
      <c r="D163" s="55"/>
      <c r="E163" s="56"/>
    </row>
    <row r="164" customFormat="false" ht="15" hidden="false" customHeight="false" outlineLevel="0" collapsed="false">
      <c r="A164" s="62"/>
      <c r="B164" s="56"/>
      <c r="C164" s="56"/>
      <c r="D164" s="55"/>
      <c r="E164" s="56"/>
    </row>
    <row r="165" customFormat="false" ht="15" hidden="false" customHeight="false" outlineLevel="0" collapsed="false">
      <c r="A165" s="62"/>
      <c r="B165" s="56"/>
      <c r="C165" s="56"/>
      <c r="D165" s="55"/>
      <c r="E165" s="56"/>
    </row>
    <row r="166" customFormat="false" ht="15" hidden="false" customHeight="false" outlineLevel="0" collapsed="false">
      <c r="A166" s="62"/>
      <c r="B166" s="56"/>
      <c r="C166" s="56"/>
      <c r="D166" s="55"/>
      <c r="E166" s="56"/>
    </row>
    <row r="167" customFormat="false" ht="15" hidden="false" customHeight="false" outlineLevel="0" collapsed="false">
      <c r="A167" s="62"/>
      <c r="B167" s="56"/>
      <c r="C167" s="56"/>
      <c r="D167" s="55"/>
      <c r="E167" s="56"/>
    </row>
    <row r="168" customFormat="false" ht="15" hidden="false" customHeight="false" outlineLevel="0" collapsed="false">
      <c r="A168" s="62"/>
      <c r="B168" s="56"/>
      <c r="C168" s="56"/>
      <c r="D168" s="55"/>
      <c r="E168" s="56"/>
    </row>
    <row r="169" customFormat="false" ht="15" hidden="false" customHeight="false" outlineLevel="0" collapsed="false">
      <c r="A169" s="62"/>
      <c r="B169" s="56"/>
      <c r="C169" s="56"/>
      <c r="D169" s="55"/>
      <c r="E169" s="56"/>
    </row>
    <row r="170" customFormat="false" ht="15" hidden="false" customHeight="false" outlineLevel="0" collapsed="false">
      <c r="A170" s="62"/>
      <c r="B170" s="56"/>
      <c r="C170" s="56"/>
      <c r="D170" s="55"/>
      <c r="E170" s="56"/>
    </row>
    <row r="171" customFormat="false" ht="15" hidden="false" customHeight="false" outlineLevel="0" collapsed="false">
      <c r="A171" s="62"/>
      <c r="B171" s="56"/>
      <c r="C171" s="56"/>
      <c r="D171" s="55"/>
      <c r="E171" s="56"/>
    </row>
    <row r="172" customFormat="false" ht="15" hidden="false" customHeight="false" outlineLevel="0" collapsed="false">
      <c r="A172" s="62"/>
      <c r="B172" s="56"/>
      <c r="C172" s="56"/>
      <c r="D172" s="55"/>
      <c r="E172" s="56"/>
    </row>
    <row r="173" customFormat="false" ht="15" hidden="false" customHeight="false" outlineLevel="0" collapsed="false">
      <c r="A173" s="62"/>
      <c r="B173" s="56"/>
      <c r="C173" s="56"/>
      <c r="D173" s="55"/>
      <c r="E173" s="56"/>
    </row>
    <row r="174" customFormat="false" ht="15" hidden="false" customHeight="false" outlineLevel="0" collapsed="false">
      <c r="A174" s="62"/>
      <c r="B174" s="56"/>
      <c r="C174" s="56"/>
      <c r="D174" s="55"/>
      <c r="E174" s="56"/>
    </row>
    <row r="175" customFormat="false" ht="15" hidden="false" customHeight="false" outlineLevel="0" collapsed="false">
      <c r="A175" s="62"/>
      <c r="B175" s="56"/>
      <c r="C175" s="56"/>
      <c r="D175" s="55"/>
      <c r="E175" s="56"/>
    </row>
    <row r="176" customFormat="false" ht="15" hidden="false" customHeight="false" outlineLevel="0" collapsed="false">
      <c r="A176" s="62"/>
      <c r="B176" s="56"/>
      <c r="C176" s="56"/>
      <c r="D176" s="55"/>
      <c r="E176" s="56"/>
    </row>
    <row r="177" customFormat="false" ht="15" hidden="false" customHeight="false" outlineLevel="0" collapsed="false">
      <c r="A177" s="62"/>
      <c r="B177" s="56"/>
      <c r="C177" s="56"/>
      <c r="D177" s="55"/>
      <c r="E177" s="56"/>
    </row>
    <row r="178" customFormat="false" ht="15" hidden="false" customHeight="false" outlineLevel="0" collapsed="false">
      <c r="A178" s="62"/>
      <c r="B178" s="56"/>
      <c r="C178" s="56"/>
      <c r="D178" s="55"/>
      <c r="E178" s="56"/>
    </row>
    <row r="179" customFormat="false" ht="15" hidden="false" customHeight="false" outlineLevel="0" collapsed="false">
      <c r="A179" s="62"/>
      <c r="B179" s="56"/>
      <c r="C179" s="56"/>
      <c r="D179" s="55"/>
      <c r="E179" s="56"/>
    </row>
    <row r="180" customFormat="false" ht="15" hidden="false" customHeight="false" outlineLevel="0" collapsed="false">
      <c r="A180" s="62"/>
      <c r="B180" s="56"/>
      <c r="C180" s="56"/>
      <c r="D180" s="55"/>
      <c r="E180" s="56"/>
    </row>
    <row r="181" customFormat="false" ht="15" hidden="false" customHeight="false" outlineLevel="0" collapsed="false">
      <c r="A181" s="62"/>
      <c r="B181" s="56"/>
      <c r="C181" s="56"/>
      <c r="D181" s="55"/>
      <c r="E181" s="56"/>
    </row>
    <row r="182" customFormat="false" ht="15" hidden="false" customHeight="false" outlineLevel="0" collapsed="false">
      <c r="A182" s="62"/>
      <c r="B182" s="56"/>
      <c r="C182" s="56"/>
      <c r="D182" s="55"/>
      <c r="E182" s="56"/>
    </row>
    <row r="183" customFormat="false" ht="15" hidden="false" customHeight="false" outlineLevel="0" collapsed="false">
      <c r="A183" s="62"/>
      <c r="B183" s="56"/>
      <c r="C183" s="56"/>
      <c r="D183" s="55"/>
      <c r="E183" s="56"/>
    </row>
    <row r="184" customFormat="false" ht="15" hidden="false" customHeight="false" outlineLevel="0" collapsed="false">
      <c r="A184" s="62"/>
      <c r="B184" s="56"/>
      <c r="C184" s="56"/>
      <c r="D184" s="55"/>
      <c r="E184" s="56"/>
    </row>
    <row r="185" customFormat="false" ht="15" hidden="false" customHeight="false" outlineLevel="0" collapsed="false">
      <c r="A185" s="62"/>
      <c r="B185" s="56"/>
      <c r="C185" s="56"/>
      <c r="D185" s="55"/>
      <c r="E185" s="56"/>
    </row>
    <row r="186" customFormat="false" ht="15" hidden="false" customHeight="false" outlineLevel="0" collapsed="false">
      <c r="A186" s="62"/>
      <c r="B186" s="56"/>
      <c r="C186" s="56"/>
      <c r="D186" s="55"/>
      <c r="E186" s="56"/>
    </row>
    <row r="187" customFormat="false" ht="15" hidden="false" customHeight="false" outlineLevel="0" collapsed="false">
      <c r="A187" s="62"/>
      <c r="B187" s="56"/>
      <c r="C187" s="56"/>
      <c r="D187" s="55"/>
      <c r="E187" s="56"/>
    </row>
    <row r="188" customFormat="false" ht="15" hidden="false" customHeight="false" outlineLevel="0" collapsed="false">
      <c r="A188" s="62"/>
      <c r="B188" s="56"/>
      <c r="C188" s="56"/>
      <c r="D188" s="55"/>
      <c r="E188" s="56"/>
    </row>
    <row r="189" customFormat="false" ht="15" hidden="false" customHeight="false" outlineLevel="0" collapsed="false">
      <c r="A189" s="62"/>
      <c r="B189" s="56"/>
      <c r="C189" s="56"/>
      <c r="D189" s="55"/>
      <c r="E189" s="56"/>
    </row>
    <row r="190" customFormat="false" ht="15" hidden="false" customHeight="false" outlineLevel="0" collapsed="false">
      <c r="A190" s="62"/>
      <c r="B190" s="56"/>
      <c r="C190" s="56"/>
      <c r="D190" s="55"/>
      <c r="E190" s="56"/>
    </row>
    <row r="191" customFormat="false" ht="15" hidden="false" customHeight="false" outlineLevel="0" collapsed="false">
      <c r="A191" s="62"/>
      <c r="B191" s="56"/>
      <c r="C191" s="56"/>
      <c r="D191" s="55"/>
      <c r="E191" s="56"/>
    </row>
    <row r="192" customFormat="false" ht="15" hidden="false" customHeight="false" outlineLevel="0" collapsed="false">
      <c r="A192" s="62"/>
      <c r="B192" s="56"/>
      <c r="C192" s="56"/>
      <c r="D192" s="55"/>
      <c r="E192" s="56"/>
    </row>
    <row r="193" customFormat="false" ht="15" hidden="false" customHeight="false" outlineLevel="0" collapsed="false">
      <c r="A193" s="62"/>
      <c r="B193" s="56"/>
      <c r="C193" s="56"/>
      <c r="D193" s="55"/>
      <c r="E193" s="56"/>
    </row>
    <row r="194" customFormat="false" ht="15" hidden="false" customHeight="false" outlineLevel="0" collapsed="false">
      <c r="A194" s="62"/>
      <c r="B194" s="56"/>
      <c r="C194" s="56"/>
      <c r="D194" s="55"/>
      <c r="E194" s="56"/>
    </row>
    <row r="195" customFormat="false" ht="15" hidden="false" customHeight="false" outlineLevel="0" collapsed="false">
      <c r="A195" s="62"/>
      <c r="B195" s="56"/>
      <c r="C195" s="56"/>
      <c r="D195" s="55"/>
      <c r="E195" s="56"/>
    </row>
    <row r="196" customFormat="false" ht="15" hidden="false" customHeight="false" outlineLevel="0" collapsed="false">
      <c r="A196" s="62"/>
      <c r="B196" s="56"/>
      <c r="C196" s="56"/>
      <c r="D196" s="55"/>
      <c r="E196" s="56"/>
    </row>
    <row r="197" customFormat="false" ht="15" hidden="false" customHeight="false" outlineLevel="0" collapsed="false">
      <c r="A197" s="62"/>
      <c r="B197" s="56"/>
      <c r="C197" s="56"/>
      <c r="D197" s="55"/>
      <c r="E197" s="56"/>
    </row>
    <row r="198" customFormat="false" ht="15" hidden="false" customHeight="false" outlineLevel="0" collapsed="false">
      <c r="A198" s="62"/>
      <c r="B198" s="56"/>
      <c r="C198" s="56"/>
      <c r="D198" s="55"/>
      <c r="E198" s="56"/>
    </row>
    <row r="199" customFormat="false" ht="15" hidden="false" customHeight="false" outlineLevel="0" collapsed="false">
      <c r="A199" s="62"/>
      <c r="B199" s="56"/>
      <c r="C199" s="56"/>
      <c r="D199" s="55"/>
      <c r="E199" s="56"/>
    </row>
    <row r="200" customFormat="false" ht="15" hidden="false" customHeight="false" outlineLevel="0" collapsed="false">
      <c r="A200" s="62"/>
      <c r="B200" s="56"/>
      <c r="C200" s="56"/>
      <c r="D200" s="55"/>
      <c r="E200" s="56"/>
    </row>
    <row r="201" customFormat="false" ht="15" hidden="false" customHeight="false" outlineLevel="0" collapsed="false">
      <c r="A201" s="62"/>
      <c r="B201" s="56"/>
      <c r="C201" s="56"/>
      <c r="D201" s="55"/>
      <c r="E201" s="56"/>
    </row>
    <row r="202" customFormat="false" ht="15" hidden="false" customHeight="false" outlineLevel="0" collapsed="false">
      <c r="A202" s="62"/>
      <c r="B202" s="56"/>
      <c r="C202" s="56"/>
      <c r="D202" s="55"/>
      <c r="E202" s="56"/>
    </row>
    <row r="203" customFormat="false" ht="15" hidden="false" customHeight="false" outlineLevel="0" collapsed="false">
      <c r="A203" s="62"/>
      <c r="B203" s="56"/>
      <c r="C203" s="56"/>
      <c r="D203" s="55"/>
      <c r="E203" s="56"/>
    </row>
    <row r="204" customFormat="false" ht="15" hidden="false" customHeight="false" outlineLevel="0" collapsed="false">
      <c r="A204" s="62"/>
      <c r="B204" s="56"/>
      <c r="C204" s="56"/>
      <c r="D204" s="55"/>
      <c r="E204" s="56"/>
    </row>
    <row r="205" customFormat="false" ht="15" hidden="false" customHeight="false" outlineLevel="0" collapsed="false">
      <c r="A205" s="62"/>
      <c r="B205" s="56"/>
      <c r="C205" s="56"/>
      <c r="D205" s="55"/>
      <c r="E205" s="56"/>
    </row>
    <row r="206" customFormat="false" ht="15" hidden="false" customHeight="false" outlineLevel="0" collapsed="false">
      <c r="A206" s="62"/>
      <c r="B206" s="56"/>
      <c r="C206" s="56"/>
      <c r="D206" s="55"/>
      <c r="E206" s="56"/>
    </row>
    <row r="207" customFormat="false" ht="15" hidden="false" customHeight="false" outlineLevel="0" collapsed="false">
      <c r="A207" s="62"/>
      <c r="B207" s="56"/>
      <c r="C207" s="56"/>
      <c r="D207" s="55"/>
      <c r="E207" s="56"/>
    </row>
    <row r="208" customFormat="false" ht="15" hidden="false" customHeight="false" outlineLevel="0" collapsed="false">
      <c r="A208" s="62"/>
      <c r="B208" s="56"/>
      <c r="C208" s="56"/>
      <c r="D208" s="55"/>
      <c r="E208" s="56"/>
    </row>
    <row r="209" customFormat="false" ht="15" hidden="false" customHeight="false" outlineLevel="0" collapsed="false">
      <c r="A209" s="62"/>
      <c r="B209" s="56"/>
      <c r="C209" s="56"/>
      <c r="D209" s="55"/>
      <c r="E209" s="56"/>
    </row>
    <row r="210" customFormat="false" ht="15" hidden="false" customHeight="false" outlineLevel="0" collapsed="false">
      <c r="A210" s="62"/>
      <c r="B210" s="56"/>
      <c r="C210" s="56"/>
      <c r="D210" s="55"/>
      <c r="E210" s="56"/>
    </row>
    <row r="211" customFormat="false" ht="15" hidden="false" customHeight="false" outlineLevel="0" collapsed="false">
      <c r="A211" s="62"/>
      <c r="B211" s="56"/>
      <c r="C211" s="56"/>
      <c r="D211" s="55"/>
      <c r="E211" s="56"/>
    </row>
    <row r="212" customFormat="false" ht="15" hidden="false" customHeight="false" outlineLevel="0" collapsed="false">
      <c r="A212" s="62"/>
      <c r="B212" s="56"/>
      <c r="C212" s="56"/>
      <c r="D212" s="55"/>
      <c r="E212" s="56"/>
    </row>
    <row r="213" customFormat="false" ht="15" hidden="false" customHeight="false" outlineLevel="0" collapsed="false">
      <c r="A213" s="62"/>
      <c r="B213" s="56"/>
      <c r="C213" s="56"/>
      <c r="D213" s="55"/>
      <c r="E213" s="56"/>
    </row>
    <row r="214" customFormat="false" ht="15" hidden="false" customHeight="false" outlineLevel="0" collapsed="false">
      <c r="A214" s="62"/>
      <c r="B214" s="56"/>
      <c r="C214" s="56"/>
      <c r="D214" s="55"/>
      <c r="E214" s="56"/>
    </row>
    <row r="215" customFormat="false" ht="15" hidden="false" customHeight="false" outlineLevel="0" collapsed="false">
      <c r="A215" s="62"/>
      <c r="B215" s="56"/>
      <c r="C215" s="56"/>
      <c r="D215" s="55"/>
      <c r="E215" s="56"/>
    </row>
    <row r="216" customFormat="false" ht="15" hidden="false" customHeight="false" outlineLevel="0" collapsed="false">
      <c r="A216" s="62"/>
      <c r="B216" s="56"/>
      <c r="C216" s="56"/>
      <c r="D216" s="55"/>
      <c r="E216" s="56"/>
    </row>
    <row r="217" customFormat="false" ht="15" hidden="false" customHeight="false" outlineLevel="0" collapsed="false">
      <c r="A217" s="62"/>
      <c r="B217" s="56"/>
      <c r="C217" s="56"/>
      <c r="D217" s="55"/>
      <c r="E217" s="56"/>
    </row>
    <row r="218" customFormat="false" ht="15" hidden="false" customHeight="false" outlineLevel="0" collapsed="false">
      <c r="A218" s="62"/>
      <c r="B218" s="56"/>
      <c r="C218" s="56"/>
      <c r="D218" s="55"/>
      <c r="E218" s="56"/>
    </row>
    <row r="219" customFormat="false" ht="15" hidden="false" customHeight="false" outlineLevel="0" collapsed="false">
      <c r="A219" s="62"/>
      <c r="B219" s="56"/>
      <c r="C219" s="56"/>
      <c r="D219" s="55"/>
      <c r="E219" s="56"/>
    </row>
    <row r="220" customFormat="false" ht="15" hidden="false" customHeight="false" outlineLevel="0" collapsed="false">
      <c r="A220" s="62"/>
      <c r="B220" s="56"/>
      <c r="C220" s="56"/>
      <c r="D220" s="55"/>
      <c r="E220" s="56"/>
    </row>
    <row r="221" customFormat="false" ht="15" hidden="false" customHeight="false" outlineLevel="0" collapsed="false">
      <c r="A221" s="62"/>
      <c r="B221" s="56"/>
      <c r="C221" s="56"/>
      <c r="D221" s="55"/>
      <c r="E221" s="56"/>
    </row>
    <row r="222" customFormat="false" ht="15" hidden="false" customHeight="false" outlineLevel="0" collapsed="false">
      <c r="A222" s="62"/>
      <c r="B222" s="56"/>
      <c r="C222" s="56"/>
      <c r="D222" s="55"/>
      <c r="E222" s="56"/>
    </row>
    <row r="223" customFormat="false" ht="15" hidden="false" customHeight="false" outlineLevel="0" collapsed="false">
      <c r="A223" s="62"/>
      <c r="B223" s="56"/>
      <c r="C223" s="56"/>
      <c r="D223" s="55"/>
      <c r="E223" s="56"/>
    </row>
    <row r="224" customFormat="false" ht="15" hidden="false" customHeight="false" outlineLevel="0" collapsed="false">
      <c r="A224" s="62"/>
      <c r="B224" s="56"/>
      <c r="C224" s="56"/>
      <c r="D224" s="55"/>
      <c r="E224" s="56"/>
    </row>
    <row r="225" customFormat="false" ht="15" hidden="false" customHeight="false" outlineLevel="0" collapsed="false">
      <c r="A225" s="62"/>
      <c r="B225" s="56"/>
      <c r="C225" s="56"/>
      <c r="D225" s="55"/>
      <c r="E225" s="56"/>
    </row>
    <row r="226" customFormat="false" ht="15" hidden="false" customHeight="false" outlineLevel="0" collapsed="false">
      <c r="A226" s="62"/>
      <c r="B226" s="56"/>
      <c r="C226" s="56"/>
      <c r="D226" s="55"/>
      <c r="E226" s="56"/>
    </row>
    <row r="227" customFormat="false" ht="15" hidden="false" customHeight="false" outlineLevel="0" collapsed="false">
      <c r="A227" s="62"/>
      <c r="B227" s="56"/>
      <c r="C227" s="56"/>
      <c r="D227" s="55"/>
      <c r="E227" s="56"/>
    </row>
    <row r="228" customFormat="false" ht="15" hidden="false" customHeight="false" outlineLevel="0" collapsed="false">
      <c r="A228" s="62"/>
      <c r="B228" s="56"/>
      <c r="C228" s="56"/>
      <c r="D228" s="55"/>
      <c r="E228" s="56"/>
    </row>
    <row r="229" customFormat="false" ht="15" hidden="false" customHeight="false" outlineLevel="0" collapsed="false">
      <c r="A229" s="62"/>
      <c r="B229" s="56"/>
      <c r="C229" s="56"/>
      <c r="D229" s="55"/>
      <c r="E229" s="56"/>
    </row>
    <row r="230" customFormat="false" ht="15" hidden="false" customHeight="false" outlineLevel="0" collapsed="false">
      <c r="A230" s="62"/>
      <c r="B230" s="56"/>
      <c r="C230" s="56"/>
      <c r="D230" s="55"/>
      <c r="E230" s="56"/>
    </row>
    <row r="231" customFormat="false" ht="15" hidden="false" customHeight="false" outlineLevel="0" collapsed="false">
      <c r="A231" s="62"/>
      <c r="B231" s="56"/>
      <c r="C231" s="56"/>
      <c r="D231" s="55"/>
      <c r="E231" s="56"/>
    </row>
    <row r="232" customFormat="false" ht="15" hidden="false" customHeight="false" outlineLevel="0" collapsed="false">
      <c r="A232" s="62"/>
      <c r="B232" s="56"/>
      <c r="C232" s="56"/>
      <c r="D232" s="55"/>
      <c r="E232" s="56"/>
    </row>
    <row r="233" customFormat="false" ht="15" hidden="false" customHeight="false" outlineLevel="0" collapsed="false">
      <c r="A233" s="62"/>
      <c r="B233" s="56"/>
      <c r="C233" s="56"/>
      <c r="D233" s="55"/>
      <c r="E233" s="56"/>
    </row>
    <row r="234" customFormat="false" ht="15" hidden="false" customHeight="false" outlineLevel="0" collapsed="false">
      <c r="A234" s="62"/>
      <c r="B234" s="56"/>
      <c r="C234" s="56"/>
      <c r="D234" s="55"/>
      <c r="E234" s="56"/>
    </row>
    <row r="235" customFormat="false" ht="15" hidden="false" customHeight="false" outlineLevel="0" collapsed="false">
      <c r="A235" s="62"/>
      <c r="B235" s="56"/>
      <c r="C235" s="56"/>
      <c r="D235" s="55"/>
      <c r="E235" s="56"/>
    </row>
    <row r="236" customFormat="false" ht="15" hidden="false" customHeight="false" outlineLevel="0" collapsed="false">
      <c r="A236" s="62"/>
      <c r="B236" s="56"/>
      <c r="C236" s="56"/>
      <c r="D236" s="55"/>
      <c r="E236" s="56"/>
    </row>
    <row r="237" customFormat="false" ht="15" hidden="false" customHeight="false" outlineLevel="0" collapsed="false">
      <c r="A237" s="62"/>
      <c r="B237" s="56"/>
      <c r="C237" s="56"/>
      <c r="D237" s="55"/>
      <c r="E237" s="56"/>
    </row>
    <row r="238" customFormat="false" ht="15" hidden="false" customHeight="false" outlineLevel="0" collapsed="false">
      <c r="A238" s="62"/>
      <c r="B238" s="56"/>
      <c r="C238" s="56"/>
      <c r="D238" s="55"/>
      <c r="E238" s="56"/>
    </row>
    <row r="239" customFormat="false" ht="15" hidden="false" customHeight="false" outlineLevel="0" collapsed="false">
      <c r="A239" s="62"/>
      <c r="B239" s="56"/>
      <c r="C239" s="56"/>
      <c r="D239" s="55"/>
      <c r="E239" s="56"/>
    </row>
    <row r="240" customFormat="false" ht="15" hidden="false" customHeight="false" outlineLevel="0" collapsed="false">
      <c r="A240" s="62"/>
      <c r="B240" s="56"/>
      <c r="C240" s="56"/>
      <c r="D240" s="55"/>
      <c r="E240" s="56"/>
    </row>
    <row r="241" customFormat="false" ht="15" hidden="false" customHeight="false" outlineLevel="0" collapsed="false">
      <c r="A241" s="62"/>
      <c r="B241" s="56"/>
      <c r="C241" s="56"/>
      <c r="D241" s="55"/>
      <c r="E241" s="56"/>
    </row>
    <row r="242" customFormat="false" ht="15" hidden="false" customHeight="false" outlineLevel="0" collapsed="false">
      <c r="A242" s="62"/>
      <c r="B242" s="56"/>
      <c r="C242" s="56"/>
      <c r="D242" s="55"/>
      <c r="E242" s="56"/>
    </row>
    <row r="243" customFormat="false" ht="15" hidden="false" customHeight="false" outlineLevel="0" collapsed="false">
      <c r="A243" s="62"/>
      <c r="B243" s="56"/>
      <c r="C243" s="56"/>
      <c r="D243" s="55"/>
      <c r="E243" s="56"/>
    </row>
    <row r="244" customFormat="false" ht="15" hidden="false" customHeight="false" outlineLevel="0" collapsed="false">
      <c r="A244" s="62"/>
      <c r="B244" s="56"/>
      <c r="C244" s="56"/>
      <c r="D244" s="55"/>
      <c r="E244" s="56"/>
    </row>
    <row r="245" customFormat="false" ht="15" hidden="false" customHeight="false" outlineLevel="0" collapsed="false">
      <c r="A245" s="62"/>
      <c r="B245" s="56"/>
      <c r="C245" s="56"/>
      <c r="D245" s="55"/>
      <c r="E245" s="56"/>
    </row>
    <row r="246" customFormat="false" ht="15" hidden="false" customHeight="false" outlineLevel="0" collapsed="false">
      <c r="A246" s="62"/>
      <c r="B246" s="56"/>
      <c r="C246" s="56"/>
      <c r="D246" s="55"/>
      <c r="E246" s="56"/>
    </row>
    <row r="247" customFormat="false" ht="15" hidden="false" customHeight="false" outlineLevel="0" collapsed="false">
      <c r="A247" s="62"/>
      <c r="B247" s="56"/>
      <c r="C247" s="56"/>
      <c r="D247" s="55"/>
      <c r="E247" s="56"/>
    </row>
    <row r="248" customFormat="false" ht="15" hidden="false" customHeight="false" outlineLevel="0" collapsed="false">
      <c r="A248" s="62"/>
      <c r="B248" s="56"/>
      <c r="C248" s="56"/>
      <c r="D248" s="55"/>
      <c r="E248" s="56"/>
    </row>
    <row r="249" customFormat="false" ht="15" hidden="false" customHeight="false" outlineLevel="0" collapsed="false">
      <c r="A249" s="62"/>
      <c r="B249" s="56"/>
      <c r="C249" s="56"/>
      <c r="D249" s="55"/>
      <c r="E249" s="56"/>
    </row>
    <row r="250" customFormat="false" ht="15" hidden="false" customHeight="false" outlineLevel="0" collapsed="false">
      <c r="A250" s="62"/>
      <c r="B250" s="56"/>
      <c r="C250" s="56"/>
      <c r="D250" s="55"/>
      <c r="E250" s="56"/>
    </row>
    <row r="251" customFormat="false" ht="15" hidden="false" customHeight="false" outlineLevel="0" collapsed="false">
      <c r="A251" s="62"/>
      <c r="B251" s="56"/>
      <c r="C251" s="56"/>
      <c r="D251" s="55"/>
      <c r="E251" s="56"/>
    </row>
    <row r="252" customFormat="false" ht="15" hidden="false" customHeight="false" outlineLevel="0" collapsed="false">
      <c r="A252" s="62"/>
      <c r="B252" s="56"/>
      <c r="C252" s="56"/>
      <c r="D252" s="55"/>
      <c r="E252" s="56"/>
    </row>
    <row r="253" customFormat="false" ht="15" hidden="false" customHeight="false" outlineLevel="0" collapsed="false">
      <c r="A253" s="62"/>
      <c r="B253" s="56"/>
      <c r="C253" s="56"/>
      <c r="D253" s="55"/>
      <c r="E253" s="56"/>
    </row>
    <row r="254" customFormat="false" ht="15" hidden="false" customHeight="false" outlineLevel="0" collapsed="false">
      <c r="A254" s="62"/>
      <c r="B254" s="56"/>
      <c r="C254" s="56"/>
      <c r="D254" s="55"/>
      <c r="E254" s="56"/>
    </row>
    <row r="255" customFormat="false" ht="15" hidden="false" customHeight="false" outlineLevel="0" collapsed="false">
      <c r="A255" s="62"/>
      <c r="B255" s="56"/>
      <c r="C255" s="56"/>
      <c r="D255" s="55"/>
      <c r="E255" s="56"/>
    </row>
    <row r="256" customFormat="false" ht="15" hidden="false" customHeight="false" outlineLevel="0" collapsed="false">
      <c r="A256" s="62"/>
      <c r="B256" s="56"/>
      <c r="C256" s="56"/>
      <c r="D256" s="55"/>
      <c r="E256" s="56"/>
    </row>
    <row r="257" customFormat="false" ht="15" hidden="false" customHeight="false" outlineLevel="0" collapsed="false">
      <c r="A257" s="62"/>
      <c r="B257" s="56"/>
      <c r="C257" s="56"/>
      <c r="D257" s="55"/>
      <c r="E257" s="56"/>
    </row>
    <row r="258" customFormat="false" ht="15" hidden="false" customHeight="false" outlineLevel="0" collapsed="false">
      <c r="A258" s="62"/>
      <c r="B258" s="56"/>
      <c r="C258" s="56"/>
      <c r="D258" s="55"/>
      <c r="E258" s="56"/>
    </row>
    <row r="259" customFormat="false" ht="15" hidden="false" customHeight="false" outlineLevel="0" collapsed="false">
      <c r="A259" s="62"/>
      <c r="B259" s="56"/>
      <c r="C259" s="56"/>
      <c r="D259" s="55"/>
      <c r="E259" s="56"/>
    </row>
    <row r="260" customFormat="false" ht="15" hidden="false" customHeight="false" outlineLevel="0" collapsed="false">
      <c r="A260" s="62"/>
      <c r="B260" s="56"/>
      <c r="C260" s="56"/>
      <c r="D260" s="55"/>
      <c r="E260" s="56"/>
    </row>
    <row r="261" customFormat="false" ht="15" hidden="false" customHeight="false" outlineLevel="0" collapsed="false">
      <c r="A261" s="62"/>
      <c r="B261" s="56"/>
      <c r="C261" s="56"/>
      <c r="D261" s="55"/>
      <c r="E261" s="56"/>
    </row>
    <row r="262" customFormat="false" ht="15" hidden="false" customHeight="false" outlineLevel="0" collapsed="false">
      <c r="A262" s="62"/>
      <c r="B262" s="56"/>
      <c r="C262" s="56"/>
      <c r="D262" s="55"/>
      <c r="E262" s="56"/>
    </row>
    <row r="263" customFormat="false" ht="15" hidden="false" customHeight="false" outlineLevel="0" collapsed="false">
      <c r="A263" s="62"/>
      <c r="B263" s="56"/>
      <c r="C263" s="56"/>
      <c r="D263" s="55"/>
      <c r="E263" s="56"/>
    </row>
    <row r="264" customFormat="false" ht="15" hidden="false" customHeight="false" outlineLevel="0" collapsed="false">
      <c r="A264" s="62"/>
      <c r="B264" s="56"/>
      <c r="C264" s="56"/>
      <c r="D264" s="55"/>
      <c r="E264" s="56"/>
    </row>
    <row r="265" customFormat="false" ht="15" hidden="false" customHeight="false" outlineLevel="0" collapsed="false">
      <c r="A265" s="62"/>
      <c r="B265" s="56"/>
      <c r="C265" s="56"/>
      <c r="D265" s="55"/>
      <c r="E265" s="56"/>
    </row>
    <row r="266" customFormat="false" ht="15" hidden="false" customHeight="false" outlineLevel="0" collapsed="false">
      <c r="A266" s="62"/>
      <c r="B266" s="56"/>
      <c r="C266" s="56"/>
      <c r="D266" s="55"/>
      <c r="E266" s="56"/>
    </row>
    <row r="267" customFormat="false" ht="15" hidden="false" customHeight="false" outlineLevel="0" collapsed="false">
      <c r="A267" s="62"/>
      <c r="B267" s="56"/>
      <c r="C267" s="56"/>
      <c r="D267" s="55"/>
      <c r="E267" s="56"/>
    </row>
    <row r="268" customFormat="false" ht="15" hidden="false" customHeight="false" outlineLevel="0" collapsed="false">
      <c r="A268" s="62"/>
      <c r="B268" s="56"/>
      <c r="C268" s="56"/>
      <c r="D268" s="55"/>
      <c r="E268" s="56"/>
    </row>
    <row r="269" customFormat="false" ht="15" hidden="false" customHeight="false" outlineLevel="0" collapsed="false">
      <c r="A269" s="62"/>
      <c r="B269" s="56"/>
      <c r="C269" s="56"/>
      <c r="D269" s="55"/>
      <c r="E269" s="56"/>
    </row>
    <row r="270" customFormat="false" ht="15" hidden="false" customHeight="false" outlineLevel="0" collapsed="false">
      <c r="A270" s="62"/>
      <c r="B270" s="56"/>
      <c r="C270" s="56"/>
      <c r="D270" s="55"/>
      <c r="E270" s="56"/>
    </row>
    <row r="271" customFormat="false" ht="15" hidden="false" customHeight="false" outlineLevel="0" collapsed="false">
      <c r="A271" s="62"/>
      <c r="B271" s="56"/>
      <c r="C271" s="56"/>
      <c r="D271" s="55"/>
      <c r="E271" s="56"/>
    </row>
    <row r="272" customFormat="false" ht="15" hidden="false" customHeight="false" outlineLevel="0" collapsed="false">
      <c r="A272" s="62"/>
      <c r="B272" s="56"/>
      <c r="C272" s="56"/>
      <c r="D272" s="55"/>
      <c r="E272" s="56"/>
    </row>
    <row r="273" customFormat="false" ht="15" hidden="false" customHeight="false" outlineLevel="0" collapsed="false">
      <c r="A273" s="62"/>
      <c r="B273" s="56"/>
      <c r="C273" s="56"/>
      <c r="D273" s="55"/>
      <c r="E273" s="56"/>
    </row>
    <row r="274" customFormat="false" ht="15" hidden="false" customHeight="false" outlineLevel="0" collapsed="false">
      <c r="A274" s="62"/>
      <c r="B274" s="56"/>
      <c r="C274" s="56"/>
      <c r="D274" s="55"/>
      <c r="E274" s="56"/>
    </row>
    <row r="275" customFormat="false" ht="15" hidden="false" customHeight="false" outlineLevel="0" collapsed="false">
      <c r="A275" s="62"/>
      <c r="B275" s="56"/>
      <c r="C275" s="56"/>
      <c r="D275" s="55"/>
      <c r="E275" s="56"/>
    </row>
    <row r="276" customFormat="false" ht="15" hidden="false" customHeight="false" outlineLevel="0" collapsed="false">
      <c r="A276" s="62"/>
      <c r="B276" s="56"/>
      <c r="C276" s="56"/>
      <c r="D276" s="55"/>
      <c r="E276" s="56"/>
    </row>
    <row r="277" customFormat="false" ht="15" hidden="false" customHeight="false" outlineLevel="0" collapsed="false">
      <c r="A277" s="62"/>
      <c r="B277" s="56"/>
      <c r="C277" s="56"/>
      <c r="D277" s="55"/>
      <c r="E277" s="56"/>
    </row>
    <row r="278" customFormat="false" ht="15" hidden="false" customHeight="false" outlineLevel="0" collapsed="false">
      <c r="A278" s="62"/>
      <c r="B278" s="56"/>
      <c r="C278" s="56"/>
      <c r="D278" s="55"/>
      <c r="E278" s="56"/>
    </row>
    <row r="279" customFormat="false" ht="15" hidden="false" customHeight="false" outlineLevel="0" collapsed="false">
      <c r="A279" s="62"/>
      <c r="B279" s="56"/>
      <c r="C279" s="56"/>
      <c r="D279" s="55"/>
      <c r="E279" s="56"/>
    </row>
    <row r="280" customFormat="false" ht="15" hidden="false" customHeight="false" outlineLevel="0" collapsed="false">
      <c r="A280" s="62"/>
      <c r="B280" s="56"/>
      <c r="C280" s="56"/>
      <c r="D280" s="55"/>
      <c r="E280" s="56"/>
    </row>
    <row r="281" customFormat="false" ht="15" hidden="false" customHeight="false" outlineLevel="0" collapsed="false">
      <c r="A281" s="62"/>
      <c r="B281" s="56"/>
      <c r="C281" s="56"/>
      <c r="D281" s="55"/>
      <c r="E281" s="56"/>
    </row>
    <row r="282" customFormat="false" ht="15" hidden="false" customHeight="false" outlineLevel="0" collapsed="false">
      <c r="A282" s="62"/>
      <c r="B282" s="56"/>
      <c r="C282" s="56"/>
      <c r="D282" s="55"/>
      <c r="E282" s="56"/>
    </row>
    <row r="283" customFormat="false" ht="15" hidden="false" customHeight="false" outlineLevel="0" collapsed="false">
      <c r="A283" s="62"/>
      <c r="B283" s="56"/>
      <c r="C283" s="56"/>
      <c r="D283" s="55"/>
      <c r="E283" s="56"/>
    </row>
    <row r="284" customFormat="false" ht="15" hidden="false" customHeight="false" outlineLevel="0" collapsed="false">
      <c r="A284" s="62"/>
      <c r="B284" s="56"/>
      <c r="C284" s="56"/>
      <c r="D284" s="55"/>
      <c r="E284" s="56"/>
    </row>
    <row r="285" customFormat="false" ht="15" hidden="false" customHeight="false" outlineLevel="0" collapsed="false">
      <c r="A285" s="62"/>
      <c r="B285" s="56"/>
      <c r="C285" s="56"/>
      <c r="D285" s="55"/>
      <c r="E285" s="56"/>
    </row>
    <row r="286" customFormat="false" ht="15" hidden="false" customHeight="false" outlineLevel="0" collapsed="false">
      <c r="A286" s="62"/>
      <c r="B286" s="56"/>
      <c r="C286" s="56"/>
      <c r="D286" s="55"/>
      <c r="E286" s="56"/>
    </row>
    <row r="287" customFormat="false" ht="15" hidden="false" customHeight="false" outlineLevel="0" collapsed="false">
      <c r="A287" s="62"/>
      <c r="B287" s="56"/>
      <c r="C287" s="56"/>
      <c r="D287" s="55"/>
      <c r="E287" s="56"/>
    </row>
    <row r="288" customFormat="false" ht="15" hidden="false" customHeight="false" outlineLevel="0" collapsed="false">
      <c r="A288" s="62"/>
      <c r="B288" s="56"/>
      <c r="C288" s="56"/>
      <c r="D288" s="55"/>
      <c r="E288" s="56"/>
    </row>
    <row r="289" customFormat="false" ht="15" hidden="false" customHeight="false" outlineLevel="0" collapsed="false">
      <c r="A289" s="62"/>
      <c r="B289" s="56"/>
      <c r="C289" s="56"/>
      <c r="D289" s="55"/>
      <c r="E289" s="56"/>
    </row>
    <row r="290" customFormat="false" ht="15" hidden="false" customHeight="false" outlineLevel="0" collapsed="false">
      <c r="A290" s="62"/>
      <c r="B290" s="56"/>
      <c r="C290" s="56"/>
      <c r="D290" s="55"/>
      <c r="E290" s="56"/>
    </row>
    <row r="291" customFormat="false" ht="15" hidden="false" customHeight="false" outlineLevel="0" collapsed="false">
      <c r="A291" s="62"/>
      <c r="B291" s="56"/>
      <c r="C291" s="56"/>
      <c r="D291" s="55"/>
      <c r="E291" s="56"/>
    </row>
    <row r="292" customFormat="false" ht="15" hidden="false" customHeight="false" outlineLevel="0" collapsed="false">
      <c r="A292" s="62"/>
      <c r="B292" s="56"/>
      <c r="C292" s="56"/>
      <c r="D292" s="55"/>
      <c r="E292" s="56"/>
    </row>
    <row r="293" customFormat="false" ht="15" hidden="false" customHeight="false" outlineLevel="0" collapsed="false">
      <c r="A293" s="62"/>
      <c r="B293" s="56"/>
      <c r="C293" s="56"/>
      <c r="D293" s="55"/>
      <c r="E293" s="56"/>
    </row>
    <row r="294" customFormat="false" ht="15" hidden="false" customHeight="false" outlineLevel="0" collapsed="false">
      <c r="A294" s="62"/>
      <c r="B294" s="56"/>
      <c r="C294" s="56"/>
      <c r="D294" s="55"/>
      <c r="E294" s="56"/>
    </row>
    <row r="295" customFormat="false" ht="15" hidden="false" customHeight="false" outlineLevel="0" collapsed="false">
      <c r="A295" s="62"/>
      <c r="B295" s="56"/>
      <c r="C295" s="56"/>
      <c r="D295" s="55"/>
      <c r="E295" s="56"/>
    </row>
    <row r="296" customFormat="false" ht="15" hidden="false" customHeight="false" outlineLevel="0" collapsed="false">
      <c r="A296" s="62"/>
      <c r="B296" s="56"/>
      <c r="C296" s="56"/>
      <c r="D296" s="55"/>
      <c r="E296" s="56"/>
    </row>
    <row r="297" customFormat="false" ht="15" hidden="false" customHeight="false" outlineLevel="0" collapsed="false">
      <c r="A297" s="62"/>
      <c r="B297" s="56"/>
      <c r="C297" s="56"/>
      <c r="D297" s="55"/>
      <c r="E297" s="56"/>
    </row>
    <row r="298" customFormat="false" ht="15" hidden="false" customHeight="false" outlineLevel="0" collapsed="false">
      <c r="A298" s="62"/>
      <c r="B298" s="56"/>
      <c r="C298" s="56"/>
      <c r="D298" s="55"/>
      <c r="E298" s="56"/>
    </row>
    <row r="299" customFormat="false" ht="15" hidden="false" customHeight="false" outlineLevel="0" collapsed="false">
      <c r="A299" s="62"/>
      <c r="B299" s="56"/>
      <c r="C299" s="56"/>
      <c r="D299" s="55"/>
      <c r="E299" s="56"/>
    </row>
    <row r="300" customFormat="false" ht="15" hidden="false" customHeight="false" outlineLevel="0" collapsed="false">
      <c r="A300" s="62"/>
      <c r="B300" s="56"/>
      <c r="C300" s="56"/>
      <c r="D300" s="55"/>
      <c r="E300" s="56"/>
    </row>
    <row r="301" customFormat="false" ht="15" hidden="false" customHeight="false" outlineLevel="0" collapsed="false">
      <c r="A301" s="62"/>
      <c r="B301" s="56"/>
      <c r="C301" s="56"/>
      <c r="D301" s="55"/>
      <c r="E301" s="56"/>
    </row>
    <row r="302" customFormat="false" ht="15" hidden="false" customHeight="false" outlineLevel="0" collapsed="false">
      <c r="A302" s="62"/>
      <c r="B302" s="56"/>
      <c r="C302" s="56"/>
      <c r="D302" s="55"/>
      <c r="E302" s="56"/>
    </row>
    <row r="303" customFormat="false" ht="15" hidden="false" customHeight="false" outlineLevel="0" collapsed="false">
      <c r="A303" s="62"/>
      <c r="B303" s="56"/>
      <c r="C303" s="56"/>
      <c r="D303" s="55"/>
      <c r="E303" s="56"/>
    </row>
    <row r="304" customFormat="false" ht="15" hidden="false" customHeight="false" outlineLevel="0" collapsed="false">
      <c r="A304" s="62"/>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118</v>
      </c>
    </row>
    <row r="2" customFormat="false" ht="15" hidden="false" customHeight="false" outlineLevel="0" collapsed="false">
      <c r="B2" s="2" t="s">
        <v>119</v>
      </c>
    </row>
    <row r="4" customFormat="false" ht="22.35" hidden="false" customHeight="false" outlineLevel="0" collapsed="false">
      <c r="B4" s="63" t="s">
        <v>120</v>
      </c>
      <c r="C4" s="29" t="s">
        <v>121</v>
      </c>
      <c r="D4" s="29" t="s">
        <v>122</v>
      </c>
      <c r="E4" s="29" t="s">
        <v>123</v>
      </c>
      <c r="F4" s="29" t="s">
        <v>124</v>
      </c>
      <c r="G4" s="29" t="s">
        <v>125</v>
      </c>
    </row>
    <row r="5" customFormat="false" ht="15" hidden="false" customHeight="false" outlineLevel="0" collapsed="false">
      <c r="B5" s="64" t="s">
        <v>126</v>
      </c>
      <c r="C5" s="65" t="n">
        <v>29.99</v>
      </c>
      <c r="D5" s="65" t="n">
        <v>39.99</v>
      </c>
      <c r="E5" s="65" t="n">
        <v>59.99</v>
      </c>
      <c r="F5" s="66" t="s">
        <v>127</v>
      </c>
      <c r="G5" s="65" t="n">
        <v>49.99</v>
      </c>
    </row>
    <row r="6" customFormat="false" ht="15" hidden="false" customHeight="false" outlineLevel="0" collapsed="false">
      <c r="B6" s="64" t="s">
        <v>128</v>
      </c>
      <c r="C6" s="67" t="n">
        <v>1</v>
      </c>
      <c r="D6" s="67" t="n">
        <v>2</v>
      </c>
      <c r="E6" s="67" t="n">
        <v>3</v>
      </c>
      <c r="F6" s="66" t="s">
        <v>129</v>
      </c>
      <c r="G6" s="67" t="n">
        <v>3</v>
      </c>
    </row>
    <row r="7" customFormat="false" ht="22.35" hidden="false" customHeight="false" outlineLevel="0" collapsed="false">
      <c r="B7" s="64" t="s">
        <v>130</v>
      </c>
      <c r="C7" s="65" t="n">
        <v>1.99</v>
      </c>
      <c r="D7" s="65" t="n">
        <v>1.99</v>
      </c>
      <c r="E7" s="65" t="n">
        <v>3.3867</v>
      </c>
      <c r="F7" s="66" t="s">
        <v>131</v>
      </c>
      <c r="G7" s="65" t="n">
        <v>1.99</v>
      </c>
    </row>
    <row r="8" customFormat="false" ht="22.35" hidden="false" customHeight="false" outlineLevel="0" collapsed="false">
      <c r="B8" s="64" t="s">
        <v>132</v>
      </c>
      <c r="C8" s="65" t="n">
        <v>7.55</v>
      </c>
      <c r="D8" s="65" t="n">
        <v>7.55</v>
      </c>
      <c r="E8" s="65" t="n">
        <v>7.55</v>
      </c>
      <c r="F8" s="66" t="s">
        <v>133</v>
      </c>
      <c r="G8" s="65" t="n">
        <v>7.55</v>
      </c>
    </row>
    <row r="9" customFormat="false" ht="15" hidden="false" customHeight="false" outlineLevel="0" collapsed="false">
      <c r="B9" s="64" t="s">
        <v>134</v>
      </c>
      <c r="C9" s="32" t="n">
        <f aca="false">C6*C7*(1+IVA_PROD)</f>
        <v>2.4079</v>
      </c>
      <c r="D9" s="32" t="n">
        <f aca="false">D6*D7*(1+IVA_PROD)</f>
        <v>4.8158</v>
      </c>
      <c r="E9" s="32" t="n">
        <f aca="false">E6*E7*(1+IVA_PROD)</f>
        <v>12.293721</v>
      </c>
      <c r="F9" s="68" t="s">
        <v>135</v>
      </c>
      <c r="G9" s="32" t="n">
        <f aca="false">G6*G7*(1+IVA_PROD)</f>
        <v>7.2237</v>
      </c>
    </row>
    <row r="10" customFormat="false" ht="15" hidden="false" customHeight="false" outlineLevel="0" collapsed="false">
      <c r="B10" s="64" t="s">
        <v>136</v>
      </c>
      <c r="C10" s="32" t="n">
        <f aca="false">C9+C8</f>
        <v>9.9579</v>
      </c>
      <c r="D10" s="32" t="n">
        <f aca="false">D9+D8</f>
        <v>12.3658</v>
      </c>
      <c r="E10" s="32" t="n">
        <f aca="false">E9+E8</f>
        <v>19.843721</v>
      </c>
      <c r="F10" s="68" t="s">
        <v>137</v>
      </c>
      <c r="G10" s="32" t="n">
        <f aca="false">G9+G8</f>
        <v>14.7737</v>
      </c>
    </row>
    <row r="11" customFormat="false" ht="15" hidden="false" customHeight="false" outlineLevel="0" collapsed="false">
      <c r="B11" s="69" t="s">
        <v>138</v>
      </c>
      <c r="C11" s="33" t="n">
        <f aca="false">C5-C10</f>
        <v>20.0321</v>
      </c>
      <c r="D11" s="33" t="n">
        <f aca="false">D5-D10</f>
        <v>27.6242</v>
      </c>
      <c r="E11" s="33" t="n">
        <f aca="false">E5-E10</f>
        <v>40.146279</v>
      </c>
      <c r="F11" s="68" t="s">
        <v>139</v>
      </c>
      <c r="G11" s="33" t="n">
        <f aca="false">G5-G10</f>
        <v>35.2163</v>
      </c>
    </row>
    <row r="12" customFormat="false" ht="15" hidden="false" customHeight="false" outlineLevel="0" collapsed="false">
      <c r="B12" s="64" t="s">
        <v>140</v>
      </c>
      <c r="C12" s="32" t="n">
        <f aca="false">C5*IVA_VENTAS/(1+IVA_VENTAS)</f>
        <v>5.20487603305785</v>
      </c>
      <c r="D12" s="32" t="n">
        <f aca="false">D5*IVA_VENTAS/(1+IVA_VENTAS)</f>
        <v>6.9404132231405</v>
      </c>
      <c r="E12" s="32" t="n">
        <f aca="false">E5*IVA_VENTAS/(1+IVA_VENTAS)</f>
        <v>10.4114876033058</v>
      </c>
      <c r="F12" s="68" t="s">
        <v>141</v>
      </c>
      <c r="G12" s="32" t="n">
        <f aca="false">G5*IVA_VENTAS/(1+IVA_VENTAS)</f>
        <v>8.67595041322314</v>
      </c>
    </row>
    <row r="13" customFormat="false" ht="15" hidden="false" customHeight="false" outlineLevel="0" collapsed="false">
      <c r="B13" s="64" t="s">
        <v>142</v>
      </c>
      <c r="C13" s="32" t="n">
        <f aca="false">C6*C7*IVA_PROD+IF(LOG_IVA=1,C8*IVA_VENTAS/(1+IVA_VENTAS),0)</f>
        <v>0.4179</v>
      </c>
      <c r="D13" s="32" t="n">
        <f aca="false">D6*D7*IVA_PROD+IF(LOG_IVA=1,D8*IVA_VENTAS/(1+IVA_VENTAS),0)</f>
        <v>0.8358</v>
      </c>
      <c r="E13" s="32" t="n">
        <f aca="false">E6*E7*IVA_PROD+IF(LOG_IVA=1,E8*IVA_VENTAS/(1+IVA_VENTAS),0)</f>
        <v>2.133621</v>
      </c>
      <c r="F13" s="68" t="s">
        <v>143</v>
      </c>
      <c r="G13" s="32" t="n">
        <f aca="false">G6*G7*IVA_PROD+IF(LOG_IVA=1,G8*IVA_VENTAS/(1+IVA_VENTAS),0)</f>
        <v>1.2537</v>
      </c>
    </row>
    <row r="14" customFormat="false" ht="15" hidden="false" customHeight="false" outlineLevel="0" collapsed="false">
      <c r="B14" s="64" t="s">
        <v>144</v>
      </c>
      <c r="C14" s="32" t="n">
        <f aca="false">IF(APLICA_IVA=1,C12-C13,0)</f>
        <v>0</v>
      </c>
      <c r="D14" s="32" t="n">
        <f aca="false">IF(APLICA_IVA=1,D12-D13,0)</f>
        <v>0</v>
      </c>
      <c r="E14" s="32" t="n">
        <f aca="false">IF(APLICA_IVA=1,E12-E13,0)</f>
        <v>0</v>
      </c>
      <c r="F14" s="68" t="s">
        <v>145</v>
      </c>
      <c r="G14" s="32" t="n">
        <f aca="false">IF(APLICA_IVA=1,G12-G13,0)</f>
        <v>0</v>
      </c>
    </row>
    <row r="15" customFormat="false" ht="15" hidden="false" customHeight="false" outlineLevel="0" collapsed="false">
      <c r="B15" s="69" t="s">
        <v>146</v>
      </c>
      <c r="C15" s="33" t="n">
        <f aca="false">C11-C14</f>
        <v>20.0321</v>
      </c>
      <c r="D15" s="33" t="n">
        <f aca="false">D11-D14</f>
        <v>27.6242</v>
      </c>
      <c r="E15" s="33" t="n">
        <f aca="false">E11-E14</f>
        <v>40.146279</v>
      </c>
      <c r="F15" s="68" t="s">
        <v>147</v>
      </c>
      <c r="G15" s="33" t="n">
        <f aca="false">G11-G14</f>
        <v>35.2163</v>
      </c>
    </row>
    <row r="16" customFormat="false" ht="15" hidden="false" customHeight="false" outlineLevel="0" collapsed="false">
      <c r="B16" s="64" t="s">
        <v>148</v>
      </c>
      <c r="C16" s="4" t="n">
        <v>46310</v>
      </c>
    </row>
    <row r="17" customFormat="false" ht="15" hidden="false" customHeight="false" outlineLevel="0" collapsed="false">
      <c r="B17" s="63" t="s">
        <v>149</v>
      </c>
      <c r="C17" s="29" t="s">
        <v>150</v>
      </c>
      <c r="D17" s="29"/>
      <c r="E17" s="29"/>
      <c r="F17" s="29" t="s">
        <v>151</v>
      </c>
    </row>
    <row r="18" customFormat="false" ht="15" hidden="false" customHeight="false" outlineLevel="0" collapsed="false">
      <c r="B18" s="64" t="s">
        <v>152</v>
      </c>
      <c r="C18" s="70" t="n">
        <v>0.21</v>
      </c>
      <c r="F18" s="66" t="s">
        <v>153</v>
      </c>
    </row>
    <row r="19" customFormat="false" ht="15" hidden="false" customHeight="false" outlineLevel="0" collapsed="false">
      <c r="B19" s="64" t="s">
        <v>154</v>
      </c>
      <c r="C19" s="70" t="n">
        <v>0.21</v>
      </c>
      <c r="F19" s="66" t="s">
        <v>155</v>
      </c>
    </row>
    <row r="20" customFormat="false" ht="22.35" hidden="false" customHeight="false" outlineLevel="0" collapsed="false">
      <c r="B20" s="64" t="s">
        <v>156</v>
      </c>
      <c r="C20" s="71" t="s">
        <v>157</v>
      </c>
      <c r="F20" s="66" t="s">
        <v>158</v>
      </c>
    </row>
    <row r="21" customFormat="false" ht="22.35" hidden="false" customHeight="false" outlineLevel="0" collapsed="false">
      <c r="B21" s="64" t="s">
        <v>159</v>
      </c>
      <c r="C21" s="71" t="s">
        <v>157</v>
      </c>
      <c r="F21" s="66" t="s">
        <v>160</v>
      </c>
    </row>
    <row r="22" customFormat="false" ht="22.35" hidden="false" customHeight="false" outlineLevel="0" collapsed="false">
      <c r="B22" s="64" t="s">
        <v>161</v>
      </c>
      <c r="C22" s="65" t="n">
        <v>7.55</v>
      </c>
      <c r="F22" s="66" t="s">
        <v>162</v>
      </c>
    </row>
    <row r="23" customFormat="false" ht="15" hidden="false" customHeight="false" outlineLevel="0" collapsed="false">
      <c r="B23" s="64" t="s">
        <v>163</v>
      </c>
      <c r="C23" s="70" t="n">
        <v>0</v>
      </c>
      <c r="F23" s="66" t="s">
        <v>164</v>
      </c>
    </row>
    <row r="24" customFormat="false" ht="15" hidden="false" customHeight="false" outlineLevel="0" collapsed="false">
      <c r="B24" s="64" t="s">
        <v>165</v>
      </c>
      <c r="C24" s="70" t="n">
        <v>0.8</v>
      </c>
      <c r="F24" s="66" t="s">
        <v>166</v>
      </c>
    </row>
    <row r="25" customFormat="false" ht="15" hidden="false" customHeight="false" outlineLevel="0" collapsed="false">
      <c r="B25" s="64" t="s">
        <v>167</v>
      </c>
      <c r="C25" s="67" t="n">
        <v>30</v>
      </c>
      <c r="F25" s="66" t="s">
        <v>168</v>
      </c>
    </row>
    <row r="26" customFormat="false" ht="15" hidden="false" customHeight="false" outlineLevel="0" collapsed="false">
      <c r="B26" s="64" t="s">
        <v>169</v>
      </c>
      <c r="C26" s="70" t="n">
        <v>0.3</v>
      </c>
      <c r="D26" s="70" t="n">
        <v>0.05</v>
      </c>
      <c r="F26" s="66" t="s">
        <v>170</v>
      </c>
    </row>
    <row r="27" customFormat="false" ht="15" hidden="false" customHeight="false" outlineLevel="0" collapsed="false">
      <c r="B27" s="64" t="s">
        <v>29</v>
      </c>
      <c r="C27" s="72" t="n">
        <v>10000</v>
      </c>
      <c r="F27" s="66" t="s">
        <v>171</v>
      </c>
    </row>
    <row r="28" customFormat="false" ht="15" hidden="false" customHeight="false" outlineLevel="0" collapsed="false">
      <c r="B28" s="64" t="s">
        <v>172</v>
      </c>
      <c r="C28" s="4" t="n">
        <v>46300</v>
      </c>
      <c r="F28" s="66" t="s">
        <v>173</v>
      </c>
    </row>
    <row r="29" customFormat="false" ht="15" hidden="false" customHeight="false" outlineLevel="0" collapsed="false">
      <c r="B29" s="64" t="s">
        <v>174</v>
      </c>
      <c r="C29" s="71" t="s">
        <v>175</v>
      </c>
      <c r="F29" s="66" t="s">
        <v>176</v>
      </c>
    </row>
    <row r="30" customFormat="false" ht="15" hidden="false" customHeight="false" outlineLevel="0" collapsed="false">
      <c r="B30" s="64" t="s">
        <v>177</v>
      </c>
      <c r="C30" s="71" t="s">
        <v>178</v>
      </c>
      <c r="F30" s="66" t="s">
        <v>179</v>
      </c>
    </row>
    <row r="31" customFormat="false" ht="15" hidden="false" customHeight="false" outlineLevel="0" collapsed="false">
      <c r="B31" s="64" t="s">
        <v>180</v>
      </c>
      <c r="C31" s="65" t="n">
        <v>0.95</v>
      </c>
      <c r="F31" s="66" t="s">
        <v>181</v>
      </c>
    </row>
    <row r="32" customFormat="false" ht="19.5" hidden="false" customHeight="true" outlineLevel="0" collapsed="false">
      <c r="B32" s="63" t="s">
        <v>182</v>
      </c>
      <c r="C32" s="29" t="s">
        <v>150</v>
      </c>
      <c r="D32" s="29"/>
      <c r="E32" s="29"/>
      <c r="F32" s="29" t="s">
        <v>183</v>
      </c>
    </row>
    <row r="33" customFormat="false" ht="15" hidden="false" customHeight="false" outlineLevel="0" collapsed="false">
      <c r="B33" s="64" t="s">
        <v>184</v>
      </c>
      <c r="C33" s="31" t="n">
        <f aca="false">IF(C20="SÍ",1,0)</f>
        <v>0</v>
      </c>
      <c r="F33" s="68"/>
    </row>
    <row r="34" customFormat="false" ht="15" hidden="false" customHeight="false" outlineLevel="0" collapsed="false">
      <c r="B34" s="64" t="s">
        <v>185</v>
      </c>
      <c r="C34" s="31" t="n">
        <f aca="false">IF(C21="SÍ",1,0)</f>
        <v>0</v>
      </c>
      <c r="F34" s="68"/>
    </row>
    <row r="35" customFormat="false" ht="15" hidden="false" customHeight="false" outlineLevel="0" collapsed="false">
      <c r="B35" s="64" t="s">
        <v>186</v>
      </c>
      <c r="C35" s="32" t="n">
        <f aca="false">IF(AND(APLICA_IVA=1,LOG_IVA=1),C22*IVA_VENTAS/(1+IVA_VENTAS),0)</f>
        <v>0</v>
      </c>
      <c r="F35" s="68"/>
    </row>
    <row r="36" customFormat="false" ht="15" hidden="false" customHeight="false" outlineLevel="0" collapsed="false">
      <c r="B36" s="64" t="s">
        <v>187</v>
      </c>
      <c r="C36" s="32" t="n">
        <f aca="false">C22-C35</f>
        <v>7.55</v>
      </c>
      <c r="F36" s="68"/>
    </row>
    <row r="37" customFormat="false" ht="15" hidden="false" customHeight="false" outlineLevel="0" collapsed="false">
      <c r="B37" s="64" t="s">
        <v>188</v>
      </c>
      <c r="C37" s="31" t="n">
        <f aca="false">(SUM(Diario!$E$6:$E$370)+SUM(Diario!$F$6:$F$370)+SUM(Diario!$G$6:$G$370))+(SUM(Diario!$H$6:$H$370)+SUM(Diario!$I$6:$I$370)+SUM(Diario!$J$6:$J$370))</f>
        <v>93</v>
      </c>
      <c r="F37" s="68" t="s">
        <v>189</v>
      </c>
    </row>
    <row r="38" customFormat="false" ht="15" hidden="false" customHeight="false" outlineLevel="0" collapsed="false">
      <c r="B38" s="64" t="s">
        <v>190</v>
      </c>
      <c r="C38" s="34" t="n">
        <f aca="false">IF(C37&gt;0,(SUM(Diario!$E$6:$E$370)+SUM(Diario!$F$6:$F$370)+SUM(Diario!$G$6:$G$370))/C37,"")</f>
        <v>0.688172043010753</v>
      </c>
      <c r="F38" s="68" t="s">
        <v>191</v>
      </c>
    </row>
    <row r="39" customFormat="false" ht="15" hidden="false" customHeight="false" outlineLevel="0" collapsed="false">
      <c r="B39" s="64" t="s">
        <v>192</v>
      </c>
      <c r="C39" s="34" t="n">
        <f aca="false">IF(AND(C37-C52&gt;=C25,C55&lt;&gt;""),C55,C24)</f>
        <v>0.933333333333333</v>
      </c>
      <c r="F39" s="68" t="s">
        <v>193</v>
      </c>
    </row>
    <row r="40" customFormat="false" ht="15" hidden="false" customHeight="false" outlineLevel="0" collapsed="false">
      <c r="B40" s="64" t="s">
        <v>194</v>
      </c>
      <c r="C40" s="34" t="n">
        <f aca="false">IF(SUM(Diario!$P$6:$P$370)&gt;0,SUM(Diario!$C$6:$C$370)/SUM(Diario!$P$6:$P$370),"")</f>
        <v>0.366013071895425</v>
      </c>
      <c r="D40" s="34" t="n">
        <f aca="false">IF(SUM(Diario!$P$6:$P$370)&gt;0,SUM(Diario!$D$6:$D$370)/SUM(Diario!$P$6:$P$370),"")</f>
        <v>0.0849673202614379</v>
      </c>
      <c r="F40" s="68" t="s">
        <v>195</v>
      </c>
    </row>
    <row r="41" customFormat="false" ht="15" hidden="false" customHeight="false" outlineLevel="0" collapsed="false">
      <c r="B41" s="64" t="s">
        <v>196</v>
      </c>
      <c r="C41" s="34" t="n">
        <f aca="false">IF(C40="",C26,C40)</f>
        <v>0.366013071895425</v>
      </c>
      <c r="D41" s="34" t="n">
        <f aca="false">IF(D40="",D26,D40)</f>
        <v>0.0849673202614379</v>
      </c>
      <c r="F41" s="68"/>
    </row>
    <row r="42" customFormat="false" ht="15" hidden="false" customHeight="false" outlineLevel="0" collapsed="false">
      <c r="B42" s="64" t="s">
        <v>197</v>
      </c>
      <c r="C42" s="32" t="n">
        <f aca="false">IF(SUM(Diario!$AN$6:$AN$370)&gt;0,(SUM(Diario!$L$6:$L$370)+SUM(Diario!$M$6:$M$370))/SUM(Diario!$AN$6:$AN$370),"")</f>
        <v>7.29596774193548</v>
      </c>
      <c r="F42" s="68" t="s">
        <v>198</v>
      </c>
    </row>
    <row r="43" customFormat="false" ht="15" hidden="false" customHeight="false" outlineLevel="0" collapsed="false">
      <c r="B43" s="64" t="s">
        <v>199</v>
      </c>
      <c r="C43" s="32" t="n">
        <f aca="false">(1-C41-D41)*C5+C41*D5+D41*E5</f>
        <v>36.1991503267974</v>
      </c>
      <c r="F43" s="68"/>
    </row>
    <row r="44" customFormat="false" ht="15" hidden="false" customHeight="false" outlineLevel="0" collapsed="false">
      <c r="B44" s="64" t="s">
        <v>200</v>
      </c>
      <c r="C44" s="32" t="n">
        <f aca="false">(1-C41-D41)*(C5-C9-IF(C42="",C8,C42)-C14)+C41*(D5-D9-IF(C42="",D8,C42)-D14)+D41*(E5-E9-IF(C42="",E8,C42)-E14)</f>
        <v>24.7739879900907</v>
      </c>
      <c r="F44" s="68" t="s">
        <v>201</v>
      </c>
    </row>
    <row r="45" customFormat="false" ht="15" hidden="false" customHeight="false" outlineLevel="0" collapsed="false">
      <c r="B45" s="64" t="s">
        <v>202</v>
      </c>
      <c r="C45" s="32" t="n">
        <f aca="false">TASA_BE*C44-(1-TASA_BE)*C36-COMISION</f>
        <v>11.7834261276648</v>
      </c>
      <c r="F45" s="68" t="s">
        <v>203</v>
      </c>
    </row>
    <row r="46" customFormat="false" ht="15" hidden="false" customHeight="false" outlineLevel="0" collapsed="false">
      <c r="B46" s="69" t="s">
        <v>204</v>
      </c>
      <c r="C46" s="33" t="n">
        <f aca="false">C45/(1+RECARGO_ADS)</f>
        <v>11.7834261276648</v>
      </c>
      <c r="F46" s="68" t="s">
        <v>205</v>
      </c>
    </row>
    <row r="47" customFormat="false" ht="15" hidden="false" customHeight="false" outlineLevel="0" collapsed="false">
      <c r="B47" s="69" t="s">
        <v>206</v>
      </c>
      <c r="C47" s="73" t="n">
        <f aca="false">IF(C46&gt;0,C43/C46,"")</f>
        <v>3.0720394844934</v>
      </c>
      <c r="F47" s="68" t="s">
        <v>207</v>
      </c>
    </row>
    <row r="49" customFormat="false" ht="15" hidden="false" customHeight="false" outlineLevel="0" collapsed="false">
      <c r="B49" s="63" t="s">
        <v>208</v>
      </c>
      <c r="C49" s="29" t="s">
        <v>150</v>
      </c>
      <c r="D49" s="29"/>
      <c r="E49" s="29"/>
      <c r="F49" s="29" t="s">
        <v>151</v>
      </c>
    </row>
    <row r="50" customFormat="false" ht="15" hidden="false" customHeight="false" outlineLevel="0" collapsed="false">
      <c r="B50" s="64" t="s">
        <v>209</v>
      </c>
      <c r="C50" s="70" t="n">
        <v>0.35</v>
      </c>
      <c r="F50" s="66" t="s">
        <v>210</v>
      </c>
    </row>
    <row r="51" customFormat="false" ht="22.35" hidden="false" customHeight="false" outlineLevel="0" collapsed="false">
      <c r="B51" s="64" t="s">
        <v>211</v>
      </c>
      <c r="C51" s="67" t="n">
        <v>10</v>
      </c>
      <c r="F51" s="66" t="s">
        <v>212</v>
      </c>
    </row>
    <row r="52" customFormat="false" ht="15" hidden="false" customHeight="false" outlineLevel="0" collapsed="false">
      <c r="B52" s="64" t="s">
        <v>213</v>
      </c>
      <c r="C52" s="67" t="n">
        <v>33</v>
      </c>
      <c r="F52" s="66" t="s">
        <v>214</v>
      </c>
    </row>
    <row r="53" customFormat="false" ht="15" hidden="false" customHeight="false" outlineLevel="0" collapsed="false">
      <c r="B53" s="64" t="s">
        <v>215</v>
      </c>
      <c r="C53" s="67" t="n">
        <v>8</v>
      </c>
      <c r="F53" s="66"/>
    </row>
    <row r="54" customFormat="false" ht="15" hidden="false" customHeight="false" outlineLevel="0" collapsed="false">
      <c r="B54" s="64" t="s">
        <v>216</v>
      </c>
      <c r="C54" s="34" t="n">
        <f aca="false">(C53+C50*C51)/(C52+C51)</f>
        <v>0.267441860465116</v>
      </c>
      <c r="F54" s="68" t="s">
        <v>217</v>
      </c>
    </row>
    <row r="55" customFormat="false" ht="15" hidden="false" customHeight="false" outlineLevel="0" collapsed="false">
      <c r="B55" s="64" t="s">
        <v>218</v>
      </c>
      <c r="C55" s="34" t="n">
        <f aca="false">IF(C37-C52&gt;0,((SUM(Diario!$E$6:$E$370)+SUM(Diario!$F$6:$F$370)+SUM(Diario!$G$6:$G$370))-C53)/(C37-C52),"")</f>
        <v>0.933333333333333</v>
      </c>
      <c r="F55" s="68" t="s">
        <v>219</v>
      </c>
    </row>
    <row r="56" customFormat="false" ht="15" hidden="false" customHeight="false" outlineLevel="0" collapsed="false">
      <c r="B56" s="64" t="s">
        <v>220</v>
      </c>
      <c r="C56" s="31" t="n">
        <f aca="false">SUM(Diario!$Q$6:$Q$370)</f>
        <v>60</v>
      </c>
      <c r="F56" s="68"/>
    </row>
    <row r="57" customFormat="false" ht="15" hidden="false" customHeight="false" outlineLevel="0" collapsed="false">
      <c r="B57" s="64" t="s">
        <v>221</v>
      </c>
      <c r="C57" s="31" t="n">
        <f aca="false">SUM(Diario!$AP$6:$AP$370)</f>
        <v>31</v>
      </c>
      <c r="F57" s="68"/>
    </row>
    <row r="58" customFormat="false" ht="15" hidden="false" customHeight="false" outlineLevel="0" collapsed="false">
      <c r="B58" s="69" t="s">
        <v>222</v>
      </c>
      <c r="C58" s="74" t="n">
        <f aca="false">IF(C37+C56&gt;0,((SUM(Diario!$E$6:$E$370)+SUM(Diario!$F$6:$F$370)+SUM(Diario!$G$6:$G$370))+SUMPRODUCT(Diario!$Q$6:$Q$370,Diario!$AQ$6:$AQ$370))/(C37+C56),C39)</f>
        <v>0.627503825761936</v>
      </c>
      <c r="F58" s="68" t="s">
        <v>223</v>
      </c>
    </row>
    <row r="60" customFormat="false" ht="15" hidden="false" customHeight="false" outlineLevel="0" collapsed="false">
      <c r="B60" s="63" t="s">
        <v>224</v>
      </c>
      <c r="C60" s="29" t="s">
        <v>150</v>
      </c>
      <c r="D60" s="29"/>
      <c r="E60" s="29"/>
      <c r="F60" s="29" t="s">
        <v>151</v>
      </c>
    </row>
    <row r="61" customFormat="false" ht="22.35" hidden="false" customHeight="false" outlineLevel="0" collapsed="false">
      <c r="B61" s="64" t="s">
        <v>225</v>
      </c>
      <c r="C61" s="70" t="n">
        <v>0.4542</v>
      </c>
      <c r="F61" s="66" t="s">
        <v>226</v>
      </c>
    </row>
    <row r="62" customFormat="false" ht="15" hidden="false" customHeight="false" outlineLevel="0" collapsed="false">
      <c r="B62" s="64" t="s">
        <v>227</v>
      </c>
      <c r="C62" s="4" t="n">
        <v>46317</v>
      </c>
      <c r="F62" s="68" t="s">
        <v>228</v>
      </c>
    </row>
    <row r="63" customFormat="false" ht="15" hidden="false" customHeight="false" outlineLevel="0" collapsed="false">
      <c r="B63" s="64" t="s">
        <v>229</v>
      </c>
      <c r="C63" s="70" t="n">
        <v>0.14</v>
      </c>
      <c r="D63" s="70" t="n">
        <v>0.3</v>
      </c>
      <c r="E63" s="70" t="n">
        <v>0.7</v>
      </c>
      <c r="F63" s="70" t="n">
        <v>0.92</v>
      </c>
      <c r="G63" s="70" t="n">
        <v>0.98</v>
      </c>
    </row>
    <row r="64" customFormat="false" ht="15" hidden="false" customHeight="false" outlineLevel="0" collapsed="false">
      <c r="B64" s="64" t="s">
        <v>230</v>
      </c>
      <c r="C64" s="4" t="n">
        <v>46307</v>
      </c>
      <c r="D64" s="4" t="n">
        <v>46364</v>
      </c>
      <c r="E64" s="4" t="n">
        <v>46381</v>
      </c>
      <c r="F64" s="4" t="n">
        <v>46388</v>
      </c>
      <c r="G64" s="4" t="n">
        <v>46393</v>
      </c>
      <c r="H64" s="4" t="n">
        <v>46472</v>
      </c>
      <c r="I64" s="4" t="n">
        <v>46672</v>
      </c>
      <c r="J64" s="4" t="n">
        <v>46692</v>
      </c>
      <c r="K64" s="4" t="n">
        <v>46727</v>
      </c>
      <c r="L64" s="4" t="n">
        <v>46729</v>
      </c>
    </row>
    <row r="65" customFormat="false" ht="15" hidden="false" customHeight="false" outlineLevel="0" collapsed="false">
      <c r="B65" s="69" t="s">
        <v>231</v>
      </c>
      <c r="C65" s="74" t="n">
        <f aca="false">(1-C61)*C39+C61*C54</f>
        <v>0.630885426356589</v>
      </c>
      <c r="F65" s="68" t="s">
        <v>232</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233</v>
      </c>
    </row>
    <row r="4" customFormat="false" ht="15" hidden="false" customHeight="false" outlineLevel="0" collapsed="false">
      <c r="B4" s="75" t="s">
        <v>234</v>
      </c>
    </row>
    <row r="5" customFormat="false" ht="15" hidden="false" customHeight="false" outlineLevel="0" collapsed="false">
      <c r="B5" s="76" t="s">
        <v>235</v>
      </c>
    </row>
    <row r="6" customFormat="false" ht="15" hidden="false" customHeight="false" outlineLevel="0" collapsed="false">
      <c r="B6" s="76" t="s">
        <v>236</v>
      </c>
    </row>
    <row r="7" customFormat="false" ht="15" hidden="false" customHeight="false" outlineLevel="0" collapsed="false">
      <c r="B7" s="76" t="s">
        <v>237</v>
      </c>
    </row>
    <row r="8" customFormat="false" ht="15" hidden="false" customHeight="false" outlineLevel="0" collapsed="false">
      <c r="B8" s="76" t="s">
        <v>238</v>
      </c>
    </row>
    <row r="10" customFormat="false" ht="15" hidden="false" customHeight="false" outlineLevel="0" collapsed="false">
      <c r="B10" s="75" t="s">
        <v>239</v>
      </c>
    </row>
    <row r="11" customFormat="false" ht="23.85" hidden="false" customHeight="false" outlineLevel="0" collapsed="false">
      <c r="B11" s="76" t="s">
        <v>240</v>
      </c>
    </row>
    <row r="12" customFormat="false" ht="15" hidden="false" customHeight="false" outlineLevel="0" collapsed="false">
      <c r="B12" s="76" t="s">
        <v>241</v>
      </c>
    </row>
    <row r="13" customFormat="false" ht="15" hidden="false" customHeight="false" outlineLevel="0" collapsed="false">
      <c r="B13" s="76" t="s">
        <v>242</v>
      </c>
    </row>
    <row r="15" customFormat="false" ht="15" hidden="false" customHeight="false" outlineLevel="0" collapsed="false">
      <c r="B15" s="75" t="s">
        <v>243</v>
      </c>
    </row>
    <row r="16" customFormat="false" ht="15" hidden="false" customHeight="false" outlineLevel="0" collapsed="false">
      <c r="B16" s="76" t="s">
        <v>244</v>
      </c>
    </row>
    <row r="17" customFormat="false" ht="23.85" hidden="false" customHeight="false" outlineLevel="0" collapsed="false">
      <c r="B17" s="76" t="s">
        <v>245</v>
      </c>
    </row>
    <row r="18" customFormat="false" ht="15" hidden="false" customHeight="false" outlineLevel="0" collapsed="false">
      <c r="B18" s="76" t="s">
        <v>246</v>
      </c>
    </row>
    <row r="20" customFormat="false" ht="15" hidden="false" customHeight="false" outlineLevel="0" collapsed="false">
      <c r="B20" s="75" t="s">
        <v>247</v>
      </c>
    </row>
    <row r="21" customFormat="false" ht="15" hidden="false" customHeight="false" outlineLevel="0" collapsed="false">
      <c r="B21" s="76" t="s">
        <v>248</v>
      </c>
    </row>
    <row r="22" customFormat="false" ht="23.85" hidden="false" customHeight="false" outlineLevel="0" collapsed="false">
      <c r="B22" s="76" t="s">
        <v>249</v>
      </c>
    </row>
    <row r="23" customFormat="false" ht="23.85" hidden="false" customHeight="false" outlineLevel="0" collapsed="false">
      <c r="B23" s="76" t="s">
        <v>250</v>
      </c>
    </row>
    <row r="25" customFormat="false" ht="15" hidden="false" customHeight="false" outlineLevel="0" collapsed="false">
      <c r="B25" s="75" t="s">
        <v>251</v>
      </c>
    </row>
    <row r="26" customFormat="false" ht="15" hidden="false" customHeight="false" outlineLevel="0" collapsed="false">
      <c r="B26" s="76" t="s">
        <v>252</v>
      </c>
    </row>
    <row r="27" customFormat="false" ht="15" hidden="false" customHeight="false" outlineLevel="0" collapsed="false">
      <c r="B27" s="76" t="s">
        <v>253</v>
      </c>
    </row>
    <row r="28" customFormat="false" ht="15" hidden="false" customHeight="false" outlineLevel="0" collapsed="false">
      <c r="B28" s="76" t="s">
        <v>254</v>
      </c>
    </row>
    <row r="30" customFormat="false" ht="15" hidden="false" customHeight="false" outlineLevel="0" collapsed="false">
      <c r="B30" s="75" t="s">
        <v>255</v>
      </c>
    </row>
    <row r="31" customFormat="false" ht="15" hidden="false" customHeight="false" outlineLevel="0" collapsed="false">
      <c r="B31" s="76" t="s">
        <v>256</v>
      </c>
    </row>
    <row r="32" customFormat="false" ht="15" hidden="false" customHeight="false" outlineLevel="0" collapsed="false">
      <c r="B32" s="76" t="s">
        <v>257</v>
      </c>
    </row>
    <row r="33" customFormat="false" ht="15" hidden="false" customHeight="false" outlineLevel="0" collapsed="false">
      <c r="B33" s="76" t="s">
        <v>258</v>
      </c>
    </row>
    <row r="34" customFormat="false" ht="23.85" hidden="false" customHeight="false" outlineLevel="0" collapsed="false">
      <c r="B34" s="76" t="s">
        <v>259</v>
      </c>
    </row>
    <row r="36" customFormat="false" ht="15" hidden="false" customHeight="false" outlineLevel="0" collapsed="false">
      <c r="B36" s="75" t="s">
        <v>260</v>
      </c>
    </row>
    <row r="37" customFormat="false" ht="15" hidden="false" customHeight="false" outlineLevel="0" collapsed="false">
      <c r="B37" s="76"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2026-10-22T09:40:50Z</dcterms:created>
  <dc:creator>openpyxl</dc:creator>
  <dc:description/>
  <dc:language>en-US</dc:language>
  <cp:lastModifiedBy/>
  <dcterms:modified xsi:type="dcterms:W3CDTF">2026-10-22T09:40:54Z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