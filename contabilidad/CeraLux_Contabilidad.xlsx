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H5" authorId="0">
      <text>
        <r>
          <rPr>
            <sz val="10"/>
            <rFont val="Arial"/>
            <family val="2"/>
          </rPr>
          <t xml:space="preserve">Pedidos en INCIDENCIA (p. ej. destinatario ausente). Siguen pendientes: no son venta perdida hasta que el almacén los marca como Devuelto.</t>
        </r>
      </text>
    </comment>
    <comment ref="I5" authorId="0">
      <text>
        <r>
          <rPr>
            <sz val="10"/>
            <rFont val="Arial"/>
            <family val="2"/>
          </rPr>
          <t xml:space="preserve">Suma del 'Coste de envío (sin IVA)' real de los pedidos entregados. Vacío = se usa la tarifa estándar de Config.</t>
        </r>
      </text>
    </comment>
    <comment ref="J5" authorId="0">
      <text>
        <r>
          <rPr>
            <sz val="10"/>
            <rFont val="Arial"/>
            <family val="2"/>
          </rPr>
          <t xml:space="preserve">Suma del envío real de los pedidos pendientes (preparado, en ruta, incidencia).</t>
        </r>
      </text>
    </comment>
    <comment ref="K5" authorId="0">
      <text>
        <r>
          <rPr>
            <sz val="10"/>
            <rFont val="Arial"/>
            <family val="2"/>
          </rPr>
          <t xml:space="preserve">Lo trae Claude del conector de Meta Ads (cuenta HeatioShop, campañas 'CeraLux').</t>
        </r>
      </text>
    </comment>
    <comment ref="T5" authorId="0">
      <text>
        <r>
          <rPr>
            <sz val="10"/>
            <rFont val="Arial"/>
            <family val="2"/>
          </rPr>
          <t xml:space="preserve">Lo que te liquida el almacén por lo entregado: PVP − coste total del pedido. Debe cuadrar con su panel.</t>
        </r>
      </text>
    </comment>
    <comment ref="U5" authorId="0">
      <text>
        <r>
          <rPr>
            <sz val="10"/>
            <rFont val="Arial"/>
            <family val="2"/>
          </rPr>
          <t xml:space="preserve">Dinero ya ganado: liquidación − IVA − devoluciones − Ads − comisión del almacén. Los días recientes salen negativos porque aún hay pedidos pendientes.</t>
        </r>
      </text>
    </comment>
    <comment ref="V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<sst xmlns="http://schemas.openxmlformats.org/spreadsheetml/2006/main" count="238" uniqueCount="224">
  <si>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</si>
  <si>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</si>
  <si>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</si>
  <si>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</si>
  <si>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</si>
  <si>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</si>
  <si>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</si>
  <si>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</si>
  <si>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</si>
  <si>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</si>
  <si>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</si>
  <si>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</si>
  <si>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</si>
  <si>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</si>
  <si>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</si>
  <si>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</si>
  <si>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</si>
  <si>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</si>
  <si>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</si>
  <si>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</si>
  <si>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</si>
  <si>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</si>
  <si>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</si>
  <si>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</si>
  <si>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</si>
  <si>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</si>
  <si>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</si>
  <si>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</si>
  <si>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</si>
  <si>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</si>
  <si>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</si>
  <si>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</si>
  <si>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</si>
  <si>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</si>
  <si>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</si>
  <si>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</si>
  <si>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</si>
  <si>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</si>
  <si>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</si>
  <si>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</si>
  <si>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</si>
  <si>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</si>
  <si>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</si>
  <si>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</si>
  <si>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</si>
  <si>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</si>
  <si>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</si>
  <si>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</si>
  <si>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</si>
  <si>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</si>
  <si>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</si>
  <si>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</si>
  <si>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</si>
  <si>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</si>
  <si>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</si>
  <si>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</si>
  <si>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</si>
  <si>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</si>
  <si>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</si>
  <si>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</si>
  <si>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</si>
  <si>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</si>
  <si>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</si>
  <si>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</si>
  <si>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</si>
  <si>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</si>
  <si>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</si>
  <si>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</si>
  <si>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y 4 Pack 2 → B=5, C=4. Luego se entregan 3 Pack 1 y 1 Pack 2 → D=3, E=1. 3 de los pendientes están en incidencia → H=3.</t>
  </si>
  <si>
    <t xml:space="preserve">Cálculos auxiliares (no tocar) →</t>
  </si>
  <si>
    <t xml:space="preserve">Fecha del pedido</t>
  </si>
  <si>
    <t xml:space="preserve">Pedidos Pack 1</t>
  </si>
  <si>
    <t xml:space="preserve">Pedidos Pack 2</t>
  </si>
  <si>
    <t xml:space="preserve">Entregados Pack 1</t>
  </si>
  <si>
    <t xml:space="preserve">Entregados Pack 2</t>
  </si>
  <si>
    <t xml:space="preserve">Devueltos Pack 1</t>
  </si>
  <si>
    <t xml:space="preserve">Devueltos Pack 2</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</si>
  <si>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</si>
  <si>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</si>
  <si>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</si>
  <si>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</si>
  <si>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</si>
  <si>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</si>
  <si>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</si>
  <si>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</si>
  <si>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</si>
  <si>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</si>
  <si>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</si>
  <si>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</si>
  <si>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</si>
  <si>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Entregados proy. P1</t>
  </si>
  <si>
    <t xml:space="preserve">Entregados proy. P2</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</si>
  <si>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</si>
  <si>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</si>
  <si>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</si>
  <si>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</si>
  <si>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</si>
  <si>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</si>
  <si>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</si>
  <si>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</si>
  <si>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</si>
  <si>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</si>
  <si>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</si>
  <si>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</si>
  <si>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</si>
  <si>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</si>
  <si>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</si>
  <si>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</si>
  <si>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</si>
  <si>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</si>
  <si>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</si>
  <si>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</si>
  <si>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</si>
  <si>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</si>
  <si>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</si>
  <si>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</si>
  <si>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</si>
  <si>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</si>
  <si>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</si>
  <si>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</si>
  <si>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</si>
  <si>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</si>
  <si>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</si>
  <si>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</si>
  <si>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y 12,88 €.</t>
  </si>
  <si>
    <t xml:space="preserve">Beneficio dropshipper por pedido ENTREGADO</t>
  </si>
  <si>
    <t xml:space="preserve">Lo que te liquida el almacén: 19,52 € y 27,11 €.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</si>
  <si>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</si>
  <si>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</si>
  <si>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</si>
  <si>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</si>
  <si>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</si>
  <si>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</si>
  <si>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</si>
  <si>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</si>
  <si>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</si>
  <si>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</si>
  <si>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</si>
  <si>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</si>
  <si>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</si>
  <si>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</si>
  <si>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</si>
  <si>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</si>
  <si>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</si>
  <si>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</si>
  <si>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</si>
  <si>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</si>
  <si>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</si>
  <si>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</si>
  <si>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Confirmado con Dropi: el envío de ida ya incluye la vuelta, así que pierdes el envío (8,06 €) y el producto vuelve.</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</si>
  <si>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</si>
  <si>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</si>
  <si>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</si>
  <si>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</si>
  <si>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</si>
  <si>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</si>
  <si>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</si>
  <si>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</si>
  <si>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</si>
  <si>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</si>
  <si>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</si>
  <si>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</si>
  <si>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</si>
  <si>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</si>
  <si>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</si>
  <si>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</si>
  <si>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</si>
  <si>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</si>
  <si>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</si>
  <si>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</si>
  <si>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</si>
  <si>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</si>
  <si>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</si>
  <si>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</si>
  <si>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</si>
  <si>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</si>
  <si>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</si>
  <si>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</si>
  <si>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</si>
  <si>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</si>
  <si>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</si>
  <si>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real</t>
  </si>
  <si>
    <t xml:space="preserve">Upsell real.</t>
  </si>
  <si>
    <t xml:space="preserve">% de Pack 2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</si>
  <si>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</si>
  <si>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</si>
  <si>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</si>
  <si>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</si>
  <si>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</si>
  <si>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</si>
  <si>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</si>
  <si>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</si>
  <si>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</si>
  <si>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</si>
  <si>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</si>
  <si>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</si>
  <si>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</si>
  <si>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</si>
  <si>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</si>
  <si>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</si>
  <si>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2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</si>
  <si>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</si>
  <si>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</si>
  <si>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y 4 Pack 2"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</si>
  <si>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</si>
  <si>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</si>
  <si>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</si>
  <si>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</si>
  <si>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</si>
  <si>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</si>
  <si>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</si>
  <si>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</si>
  <si>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</si>
  <si>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</si>
  <si>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</si>
  <si>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</si>
  <si>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</si>
  <si>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</si>
  <si>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(pierdes el envío, el producto vuelve). Si tu almacén cobra también el retorno, súbelo.</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</si>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</sst>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25/09</c:v>
                </c:pt>
                <c:pt idx="1">
                  <c:v>Sat 26/09</c:v>
                </c:pt>
                <c:pt idx="2">
                  <c:v>Sun 27/09</c:v>
                </c:pt>
                <c:pt idx="3">
                  <c:v>Mon 28/09</c:v>
                </c:pt>
                <c:pt idx="4">
                  <c:v>Tue 29/09</c:v>
                </c:pt>
                <c:pt idx="5">
                  <c:v>Wed 30/09</c:v>
                </c:pt>
                <c:pt idx="6">
                  <c:v>Thu 01/10</c:v>
                </c:pt>
                <c:pt idx="7">
                  <c:v>Fri 02/10</c:v>
                </c:pt>
                <c:pt idx="8">
                  <c:v>Sat 03/10</c:v>
                </c:pt>
                <c:pt idx="9">
                  <c:v>Sun 04/10</c:v>
                </c:pt>
                <c:pt idx="10">
                  <c:v>Mon 05/10</c:v>
                </c:pt>
                <c:pt idx="11">
                  <c:v>Tue 06/10</c:v>
                </c:pt>
                <c:pt idx="12">
                  <c:v>Wed 07/10</c:v>
                </c:pt>
                <c:pt idx="13">
                  <c:v>Thu 08/10</c:v>
                </c:pt>
              </c:strCache>
            </c:strRef>
          </c:cat>
          <c:val>
            <c:numRef>
              <c:f>Dashboard!$F$29:$F$42</c:f>
              <c:numCache>
                <c:formatCode>#,##0.00" €";[RED]\-#,##0.00" €";\-</c:formatCode>
                <c:ptCount val="14"/>
                <c:pt idx="0">
                  <c:v>0</c:v>
                </c:pt>
                <c:pt idx="1">
                  <c:v>0</c:v>
                </c:pt>
                <c:pt idx="2">
                  <c:v>0</c:v>
                </c:pt>
                <c:pt idx="3">
                  <c:v>0</c:v>
                </c:pt>
                <c:pt idx="4">
                  <c:v>0</c:v>
                </c:pt>
                <c:pt idx="5">
                  <c:v>0</c:v>
                </c:pt>
                <c:pt idx="6">
                  <c:v>0</c:v>
                </c:pt>
                <c:pt idx="7">
                  <c:v>0</c:v>
                </c:pt>
                <c:pt idx="8">
                  <c:v>0</c:v>
                </c:pt>
                <c:pt idx="9">
                  <c:v>0</c:v>
                </c:pt>
                <c:pt idx="10">
                  <c:v>62.6280826446281</c:v>
                </c:pt>
                <c:pt idx="11">
                  <c:v>21.5064132231405</c:v>
                </c:pt>
                <c:pt idx="12">
                  <c:v>12.9661652892562</c:v>
                </c:pt>
                <c:pt idx="13">
                  <c:v>-2.73</c:v>
                </c:pt>
              </c:numCache>
            </c:numRef>
          </c:val>
        </c:ser>
        <c:gapWidth val="150"/>
        <c:overlap val="0"/>
        <c:axId val="80276800"/>
        <c:axId val="39529553"/>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25/09</c:v>
                </c:pt>
                <c:pt idx="1">
                  <c:v>Sat 26/09</c:v>
                </c:pt>
                <c:pt idx="2">
                  <c:v>Sun 27/09</c:v>
                </c:pt>
                <c:pt idx="3">
                  <c:v>Mon 28/09</c:v>
                </c:pt>
                <c:pt idx="4">
                  <c:v>Tue 29/09</c:v>
                </c:pt>
                <c:pt idx="5">
                  <c:v>Wed 30/09</c:v>
                </c:pt>
                <c:pt idx="6">
                  <c:v>Thu 01/10</c:v>
                </c:pt>
                <c:pt idx="7">
                  <c:v>Fri 02/10</c:v>
                </c:pt>
                <c:pt idx="8">
                  <c:v>Sat 03/10</c:v>
                </c:pt>
                <c:pt idx="9">
                  <c:v>Sun 04/10</c:v>
                </c:pt>
                <c:pt idx="10">
                  <c:v>Mon 05/10</c:v>
                </c:pt>
                <c:pt idx="11">
                  <c:v>Tue 06/10</c:v>
                </c:pt>
                <c:pt idx="12">
                  <c:v>Wed 07/10</c:v>
                </c:pt>
                <c:pt idx="13">
                  <c:v>Thu 08/10</c:v>
                </c:pt>
              </c:strCache>
            </c:strRef>
          </c:cat>
          <c:val>
            <c:numRef>
              <c:f>Dashboard!$D$29:$D$42</c:f>
              <c:numCache>
                <c:formatCode>#,##0.00" €";[RED]\-#,##0.00" €";\-</c:formatCode>
                <c:ptCount val="14"/>
                <c:pt idx="0">
                  <c:v>0</c:v>
                </c:pt>
                <c:pt idx="1">
                  <c:v>0</c:v>
                </c:pt>
                <c:pt idx="2">
                  <c:v>0</c:v>
                </c:pt>
                <c:pt idx="3">
                  <c:v>0</c:v>
                </c:pt>
                <c:pt idx="4">
                  <c:v>0</c:v>
                </c:pt>
                <c:pt idx="5">
                  <c:v>0</c:v>
                </c:pt>
                <c:pt idx="6">
                  <c:v>0</c:v>
                </c:pt>
                <c:pt idx="7">
                  <c:v>0</c:v>
                </c:pt>
                <c:pt idx="8">
                  <c:v>0</c:v>
                </c:pt>
                <c:pt idx="9">
                  <c:v>0</c:v>
                </c:pt>
                <c:pt idx="10">
                  <c:v>67.67</c:v>
                </c:pt>
                <c:pt idx="11">
                  <c:v>70.18</c:v>
                </c:pt>
                <c:pt idx="12">
                  <c:v>47.41</c:v>
                </c:pt>
                <c:pt idx="13">
                  <c:v>2.73</c:v>
                </c:pt>
              </c:numCache>
            </c:numRef>
          </c:val>
          <c:smooth val="0"/>
        </c:ser>
        <c:hiLowLines>
          <c:spPr>
            <a:ln w="0">
              <a:noFill/>
            </a:ln>
          </c:spPr>
        </c:hiLowLines>
        <c:marker val="0"/>
        <c:axId val="80276800"/>
        <c:axId val="39529553"/>
      </c:lineChart>
      <c:catAx>
        <c:axId val="80276800"/>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529553"/>
        <c:crosses val="autoZero"/>
        <c:auto val="1"/>
        <c:lblAlgn val="ctr"/>
        <c:lblOffset val="100"/>
        <c:noMultiLvlLbl val="0"/>
      </c:catAx>
      <c:valAx>
        <c:axId val="39529553"/>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27680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94.3706611570248</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88888392"/>
        <c:axId val="17330329"/>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88888392"/>
        <c:axId val="17330329"/>
      </c:lineChart>
      <c:catAx>
        <c:axId val="88888392"/>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30329"/>
        <c:crosses val="autoZero"/>
        <c:auto val="1"/>
        <c:lblAlgn val="ctr"/>
        <c:lblOffset val="100"/>
        <c:noMultiLvlLbl val="0"/>
      </c:catAx>
      <c:valAx>
        <c:axId val="17330329"/>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88839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46303</v>
      </c>
      <c r="G3" s="4"/>
      <c r="H3" s="3" t="s">
        <v>4</v>
      </c>
      <c r="I3" s="5" t="n">
        <f aca="false">MAX(1,$F$3-$C$3+1)</f>
        <v>8</v>
      </c>
      <c r="J3" s="6" t="s">
        <v>5</v>
      </c>
      <c r="K3" s="6"/>
      <c r="L3" s="7" t="n">
        <f aca="false">TASA_USADA</f>
        <v>0.8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94.3706611570248</v>
      </c>
      <c r="C7" s="10"/>
      <c r="D7" s="10" t="n">
        <f aca="false">SUMIFS(Diario!$T$6:$T$370,Diario!$A$6:$A$370,"&gt;="&amp;$C$3,Diario!$A$6:$A$370,"&lt;="&amp;$F$3)</f>
        <v>154.5789</v>
      </c>
      <c r="E7" s="10"/>
      <c r="F7" s="10" t="n">
        <f aca="false">SUMIFS(Diario!$U$6:$U$370,Diario!$A$6:$A$370,"&gt;="&amp;$C$3,Diario!$A$6:$A$370,"&lt;="&amp;$F$3)+F24</f>
        <v>-91.4052066115703</v>
      </c>
      <c r="G7" s="10"/>
      <c r="H7" s="11" t="n">
        <f aca="false">SUMIFS(Diario!$M$6:$M$370,Diario!$A$6:$A$370,"&gt;="&amp;$C$3,Diario!$A$6:$A$370,"&lt;="&amp;$F$3)</f>
        <v>23</v>
      </c>
      <c r="I7" s="11"/>
      <c r="J7" s="10" t="n">
        <f aca="false">SUMIFS(Diario!$O$6:$O$370,Diario!$A$6:$A$370,"&gt;="&amp;$C$3,Diario!$A$6:$A$370,"&lt;="&amp;$F$3)</f>
        <v>749.77</v>
      </c>
      <c r="K7" s="10"/>
      <c r="L7" s="10" t="n">
        <f aca="false">SUMIFS(Diario!$K$6:$K$370,Diario!$A$6:$A$370,"&gt;="&amp;$C$3,Diario!$A$6:$A$370,"&lt;="&amp;$F$3)</f>
        <v>187.99</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8.17347826086957</v>
      </c>
      <c r="C10" s="10"/>
      <c r="D10" s="10" t="n">
        <f aca="false">CPA_BE</f>
        <v>10.7560740208408</v>
      </c>
      <c r="E10" s="10"/>
      <c r="F10" s="12" t="n">
        <f aca="false">IF(L7&gt;0,J7/L7,"")</f>
        <v>3.98835044417256</v>
      </c>
      <c r="G10" s="12"/>
      <c r="H10" s="12" t="n">
        <f aca="false">ROAS_BE</f>
        <v>3.0307243692272</v>
      </c>
      <c r="I10" s="12"/>
      <c r="J10" s="10" t="n">
        <f aca="false">IF(H7&gt;0,J7/H7,"")</f>
        <v>32.5986956521739</v>
      </c>
      <c r="K10" s="10"/>
      <c r="L10" s="13" t="n">
        <f aca="false">IF(H7&gt;0,SUMIFS(Diario!$C$6:$C$370,Diario!$A$6:$A$370,"&gt;="&amp;$C$3,Diario!$A$6:$A$370,"&lt;="&amp;$F$3)/H7,"")</f>
        <v>0.260869565217391</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SUMIFS(Diario!$D$6:$D$370,Diario!$A$6:$A$370,"&gt;="&amp;$C$3,Diario!$A$6:$A$370,"&lt;="&amp;$F$3)+SUMIFS(Diario!$E$6:$E$370,Diario!$A$6:$A$370,"&gt;="&amp;$C$3,Diario!$A$6:$A$370,"&lt;="&amp;$F$3)</f>
        <v>7</v>
      </c>
      <c r="C13" s="11"/>
      <c r="D13" s="11" t="n">
        <f aca="false">SUMIFS(Diario!$N$6:$N$370,Diario!$A$6:$A$370,"&gt;="&amp;$C$3,Diario!$A$6:$A$370,"&lt;="&amp;$F$3)</f>
        <v>16</v>
      </c>
      <c r="E13" s="11"/>
      <c r="F13" s="11" t="n">
        <f aca="false">SUMIFS(Diario!$H$6:$H$370,Diario!$A$6:$A$370,"&gt;="&amp;$C$3,Diario!$A$6:$A$370,"&lt;="&amp;$F$3)</f>
        <v>3</v>
      </c>
      <c r="G13" s="11"/>
      <c r="H13" s="11" t="n">
        <f aca="false">SUMIFS(Diario!$F$6:$F$370,Diario!$A$6:$A$370,"&gt;="&amp;$C$3,Diario!$A$6:$A$370,"&lt;="&amp;$F$3)+SUMIFS(Diario!$G$6:$G$370,Diario!$A$6:$A$370,"&gt;="&amp;$C$3,Diario!$A$6:$A$370,"&lt;="&amp;$F$3)</f>
        <v>0</v>
      </c>
      <c r="I13" s="11"/>
      <c r="J13" s="13" t="n">
        <f aca="false">IF(B13+H13&gt;0,B13/(B13+H13),"")</f>
        <v>1</v>
      </c>
      <c r="K13" s="13"/>
      <c r="L13" s="14" t="str">
        <f aca="false">IF(B10="","SIN DATOS",IF(B10&lt;=D10*0.75,"ESCALAR",IF(B10&lt;=D10,"VIGILAR","CORTAR")))</f>
        <v>VIGILAR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SUMIFS(Diario!$AC$6:$AC$370,Diario!$A$6:$A$370,"&gt;="&amp;$C$3,Diario!$A$6:$A$370,"&lt;="&amp;$F$3)</f>
        <v>645.802</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-0.0932135546189079</v>
      </c>
      <c r="F17" s="17" t="n">
        <f aca="false">-SUMIFS(Diario!$AD$6:$AD$370,Diario!$A$6:$A$370,"&gt;="&amp;$C$3,Diario!$A$6:$A$370,"&lt;="&amp;$F$3)</f>
        <v>-60.1975</v>
      </c>
      <c r="H17" s="15" t="s">
        <v>31</v>
      </c>
      <c r="I17" s="15"/>
      <c r="J17" s="15"/>
      <c r="K17" s="15"/>
      <c r="L17" s="20" t="n">
        <f aca="false">F25/I3</f>
        <v>11.7963326446281</v>
      </c>
      <c r="M17" s="20"/>
    </row>
    <row r="18" customFormat="false" ht="15" hidden="false" customHeight="false" outlineLevel="0" collapsed="false">
      <c r="B18" s="15" t="s">
        <v>32</v>
      </c>
      <c r="C18" s="15"/>
      <c r="D18" s="15"/>
      <c r="E18" s="19" t="n">
        <f aca="false">IF($F$16&gt;0,F18/$F$16,"")</f>
        <v>-0.238413631422634</v>
      </c>
      <c r="F18" s="17" t="n">
        <f aca="false">-SUMIFS(Diario!$AE$6:$AE$370,Diario!$A$6:$A$370,"&gt;="&amp;$C$3,Diario!$A$6:$A$370,"&lt;="&amp;$F$3)</f>
        <v>-153.968</v>
      </c>
      <c r="H18" s="15" t="s">
        <v>33</v>
      </c>
      <c r="I18" s="15"/>
      <c r="J18" s="15"/>
      <c r="K18" s="15"/>
      <c r="L18" s="18" t="n">
        <f aca="false">L17*30</f>
        <v>353.889979338843</v>
      </c>
      <c r="M18" s="18"/>
    </row>
    <row r="19" customFormat="false" ht="15" hidden="false" customHeight="false" outlineLevel="0" collapsed="false">
      <c r="B19" s="15" t="s">
        <v>34</v>
      </c>
      <c r="C19" s="15"/>
      <c r="D19" s="15"/>
      <c r="E19" s="19" t="n">
        <f aca="false">IF($F$16&gt;0,F19/$F$16,"")</f>
        <v>-0.0399379376341355</v>
      </c>
      <c r="F19" s="17" t="n">
        <f aca="false">-SUMIFS(Diario!$AF$6:$AF$370,Diario!$A$6:$A$370,"&gt;="&amp;$C$3,Diario!$A$6:$A$370,"&lt;="&amp;$F$3)</f>
        <v>-25.792</v>
      </c>
      <c r="H19" s="21" t="s">
        <v>35</v>
      </c>
      <c r="I19" s="21"/>
      <c r="J19" s="21"/>
      <c r="K19" s="21"/>
      <c r="L19" s="22" t="n">
        <f aca="false">IF(L16&gt;0,L18/L16,"")</f>
        <v>0.0353889979338843</v>
      </c>
      <c r="M19" s="22"/>
    </row>
    <row r="20" customFormat="false" ht="15" hidden="false" customHeight="false" outlineLevel="0" collapsed="false">
      <c r="B20" s="15" t="s">
        <v>36</v>
      </c>
      <c r="C20" s="15"/>
      <c r="D20" s="15"/>
      <c r="E20" s="19" t="n">
        <f aca="false">IF($F$16&gt;0,F20/$F$16,"")</f>
        <v>-0.0338338995543526</v>
      </c>
      <c r="F20" s="17" t="n">
        <f aca="false">-SUMIFS(Diario!$AJ$6:$AJ$370,Diario!$A$6:$A$370,"&gt;="&amp;$C$3,Diario!$A$6:$A$370,"&lt;="&amp;$F$3)</f>
        <v>-21.85</v>
      </c>
      <c r="H20" s="15" t="s">
        <v>37</v>
      </c>
      <c r="I20" s="15"/>
      <c r="J20" s="15"/>
      <c r="K20" s="15"/>
      <c r="L20" s="20" t="n">
        <f aca="false">BEN_PEDIDO</f>
        <v>10.7560740208408</v>
      </c>
      <c r="M20" s="20"/>
    </row>
    <row r="21" customFormat="false" ht="15" hidden="false" customHeight="false" outlineLevel="0" collapsed="false">
      <c r="B21" s="15" t="s">
        <v>38</v>
      </c>
      <c r="C21" s="15"/>
      <c r="D21" s="15"/>
      <c r="E21" s="19" t="n">
        <f aca="false">IF($F$16&gt;0,F21/$F$16,"")</f>
        <v>-0.157376159942173</v>
      </c>
      <c r="F21" s="17" t="n">
        <f aca="false">-SUMIFS(Diario!$AG$6:$AG$370,Diario!$A$6:$A$370,"&gt;="&amp;$C$3,Diario!$A$6:$A$370,"&lt;="&amp;$F$3)</f>
        <v>-101.633838842975</v>
      </c>
      <c r="H21" s="15" t="s">
        <v>39</v>
      </c>
      <c r="I21" s="15"/>
      <c r="J21" s="15"/>
      <c r="K21" s="15"/>
      <c r="L21" s="20" t="n">
        <f aca="false">B10</f>
        <v>8.17347826086957</v>
      </c>
      <c r="M21" s="20"/>
    </row>
    <row r="22" customFormat="false" ht="15" hidden="false" customHeight="false" outlineLevel="0" collapsed="false">
      <c r="B22" s="15" t="s">
        <v>40</v>
      </c>
      <c r="C22" s="15"/>
      <c r="D22" s="15"/>
      <c r="E22" s="19" t="n">
        <f aca="false">IF($F$16&gt;0,F22/$F$16,"")</f>
        <v>-0.291095413145206</v>
      </c>
      <c r="F22" s="17" t="n">
        <f aca="false">-SUMIFS(Diario!$AH$6:$AH$370,Diario!$A$6:$A$370,"&gt;="&amp;$C$3,Diario!$A$6:$A$370,"&lt;="&amp;$F$3)</f>
        <v>-187.99</v>
      </c>
      <c r="H22" s="15" t="s">
        <v>41</v>
      </c>
      <c r="I22" s="15"/>
      <c r="J22" s="15"/>
      <c r="K22" s="15"/>
      <c r="L22" s="20" t="n">
        <f aca="false">IF(ISNUMBER(L21),L20-L21*(1+RECARGO_ADS),"")</f>
        <v>2.58259575997125</v>
      </c>
      <c r="M22" s="20"/>
    </row>
    <row r="23" customFormat="false" ht="15" hidden="false" customHeight="false" outlineLevel="0" collapsed="false">
      <c r="B23" s="23" t="s">
        <v>42</v>
      </c>
      <c r="C23" s="23"/>
      <c r="D23" s="23"/>
      <c r="E23" s="24" t="n">
        <f aca="false">IF($F$16&gt;0,F23/$F$16,"")</f>
        <v>0.146129403682591</v>
      </c>
      <c r="F23" s="25" t="n">
        <f aca="false">SUM(F16:F22)</f>
        <v>94.3706611570248</v>
      </c>
      <c r="H23" s="21" t="s">
        <v>43</v>
      </c>
      <c r="I23" s="21"/>
      <c r="J23" s="21"/>
      <c r="K23" s="21"/>
      <c r="L23" s="26" t="n">
        <f aca="false">IF(NOT(ISNUMBER(L22)),"",IF(L22&lt;=0,"Baja el CPA",ROUNDUP((L16-F24/I3*30)/30/L22,0)))</f>
        <v>130</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1062.55217391304</v>
      </c>
      <c r="M24" s="18"/>
    </row>
    <row r="25" customFormat="false" ht="15" hidden="false" customHeight="false" outlineLevel="0" collapsed="false">
      <c r="B25" s="23" t="s">
        <v>46</v>
      </c>
      <c r="C25" s="23"/>
      <c r="D25" s="23"/>
      <c r="E25" s="24" t="n">
        <f aca="false">IF($F$16&gt;0,F25/$F$16,"")</f>
        <v>0.146129403682591</v>
      </c>
      <c r="F25" s="25" t="n">
        <f aca="false">F23+F24</f>
        <v>94.3706611570248</v>
      </c>
    </row>
    <row r="26" customFormat="false" ht="15" hidden="false" customHeight="false" outlineLevel="0" collapsed="false">
      <c r="B26" s="27" t="s">
        <v>47</v>
      </c>
      <c r="C26" s="27"/>
      <c r="D26" s="27"/>
      <c r="F26" s="28" t="n">
        <f aca="false">IF(F16&gt;0,F25/F16,"")</f>
        <v>0.146129403682591</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46290</v>
      </c>
      <c r="C29" s="31" t="n">
        <f aca="false">SUMIFS(Diario!$M$6:$M$370,Diario!$A$6:$A$370,$B29)</f>
        <v>0</v>
      </c>
      <c r="D29" s="32" t="n">
        <f aca="false">SUMIFS(Diario!$K$6:$K$370,Diario!$A$6:$A$370,$B29)</f>
        <v>0</v>
      </c>
      <c r="E29" s="32" t="str">
        <f aca="false">IF(C29&gt;0,D29/C29,"")</f>
        <v/>
      </c>
      <c r="F29" s="33" t="n">
        <f aca="false">SUMIFS(Diario!$V$6:$V$370,Diario!$A$6:$A$370,$B29)</f>
        <v>0</v>
      </c>
      <c r="G29" s="34" t="str">
        <f aca="false">IF((SUMIFS(Diario!$D$6:$D$370,Diario!$A$6:$A$370,$B29)+SUMIFS(Diario!$E$6:$E$370,Diario!$A$6:$A$370,$B29)+SUMIFS(Diario!$F$6:$F$370,Diario!$A$6:$A$370,$B29)+SUMIFS(Diario!$G$6:$G$370,Diario!$A$6:$A$370,$B29))&gt;0,(SUMIFS(Diario!$D$6:$D$370,Diario!$A$6:$A$370,$B29)+SUMIFS(Diario!$E$6:$E$370,Diario!$A$6:$A$370,$B29))/(SUMIFS(Diario!$D$6:$D$370,Diario!$A$6:$A$370,$B29)+SUMIFS(Diario!$E$6:$E$370,Diario!$A$6:$A$370,$B29)+SUMIFS(Diario!$F$6:$F$370,Diario!$A$6:$A$370,$B29)+SUMIFS(Diario!$G$6:$G$370,Diario!$A$6:$A$370,$B29)),"")</f>
        <v/>
      </c>
    </row>
    <row r="30" customFormat="false" ht="15" hidden="false" customHeight="false" outlineLevel="0" collapsed="false">
      <c r="B30" s="30" t="n">
        <f aca="false">$F$3-12</f>
        <v>46291</v>
      </c>
      <c r="C30" s="31" t="n">
        <f aca="false">SUMIFS(Diario!$M$6:$M$370,Diario!$A$6:$A$370,$B30)</f>
        <v>0</v>
      </c>
      <c r="D30" s="32" t="n">
        <f aca="false">SUMIFS(Diario!$K$6:$K$370,Diario!$A$6:$A$370,$B30)</f>
        <v>0</v>
      </c>
      <c r="E30" s="32" t="str">
        <f aca="false">IF(C30&gt;0,D30/C30,"")</f>
        <v/>
      </c>
      <c r="F30" s="33" t="n">
        <f aca="false">SUMIFS(Diario!$V$6:$V$370,Diario!$A$6:$A$370,$B30)</f>
        <v>0</v>
      </c>
      <c r="G30" s="34" t="str">
        <f aca="false">IF((SUMIFS(Diario!$D$6:$D$370,Diario!$A$6:$A$370,$B30)+SUMIFS(Diario!$E$6:$E$370,Diario!$A$6:$A$370,$B30)+SUMIFS(Diario!$F$6:$F$370,Diario!$A$6:$A$370,$B30)+SUMIFS(Diario!$G$6:$G$370,Diario!$A$6:$A$370,$B30))&gt;0,(SUMIFS(Diario!$D$6:$D$370,Diario!$A$6:$A$370,$B30)+SUMIFS(Diario!$E$6:$E$370,Diario!$A$6:$A$370,$B30))/(SUMIFS(Diario!$D$6:$D$370,Diario!$A$6:$A$370,$B30)+SUMIFS(Diario!$E$6:$E$370,Diario!$A$6:$A$370,$B30)+SUMIFS(Diario!$F$6:$F$370,Diario!$A$6:$A$370,$B30)+SUMIFS(Diario!$G$6:$G$370,Diario!$A$6:$A$370,$B30)),"")</f>
        <v/>
      </c>
    </row>
    <row r="31" customFormat="false" ht="15" hidden="false" customHeight="false" outlineLevel="0" collapsed="false">
      <c r="B31" s="30" t="n">
        <f aca="false">$F$3-11</f>
        <v>46292</v>
      </c>
      <c r="C31" s="31" t="n">
        <f aca="false">SUMIFS(Diario!$M$6:$M$370,Diario!$A$6:$A$370,$B31)</f>
        <v>0</v>
      </c>
      <c r="D31" s="32" t="n">
        <f aca="false">SUMIFS(Diario!$K$6:$K$370,Diario!$A$6:$A$370,$B31)</f>
        <v>0</v>
      </c>
      <c r="E31" s="32" t="str">
        <f aca="false">IF(C31&gt;0,D31/C31,"")</f>
        <v/>
      </c>
      <c r="F31" s="33" t="n">
        <f aca="false">SUMIFS(Diario!$V$6:$V$370,Diario!$A$6:$A$370,$B31)</f>
        <v>0</v>
      </c>
      <c r="G31" s="34" t="str">
        <f aca="false">IF((SUMIFS(Diario!$D$6:$D$370,Diario!$A$6:$A$370,$B31)+SUMIFS(Diario!$E$6:$E$370,Diario!$A$6:$A$370,$B31)+SUMIFS(Diario!$F$6:$F$370,Diario!$A$6:$A$370,$B31)+SUMIFS(Diario!$G$6:$G$370,Diario!$A$6:$A$370,$B31))&gt;0,(SUMIFS(Diario!$D$6:$D$370,Diario!$A$6:$A$370,$B31)+SUMIFS(Diario!$E$6:$E$370,Diario!$A$6:$A$370,$B31))/(SUMIFS(Diario!$D$6:$D$370,Diario!$A$6:$A$370,$B31)+SUMIFS(Diario!$E$6:$E$370,Diario!$A$6:$A$370,$B31)+SUMIFS(Diario!$F$6:$F$370,Diario!$A$6:$A$370,$B31)+SUMIFS(Diario!$G$6:$G$370,Diario!$A$6:$A$370,$B31)),"")</f>
        <v/>
      </c>
    </row>
    <row r="32" customFormat="false" ht="15" hidden="false" customHeight="false" outlineLevel="0" collapsed="false">
      <c r="B32" s="30" t="n">
        <f aca="false">$F$3-10</f>
        <v>46293</v>
      </c>
      <c r="C32" s="31" t="n">
        <f aca="false">SUMIFS(Diario!$M$6:$M$370,Diario!$A$6:$A$370,$B32)</f>
        <v>0</v>
      </c>
      <c r="D32" s="32" t="n">
        <f aca="false">SUMIFS(Diario!$K$6:$K$370,Diario!$A$6:$A$370,$B32)</f>
        <v>0</v>
      </c>
      <c r="E32" s="32" t="str">
        <f aca="false">IF(C32&gt;0,D32/C32,"")</f>
        <v/>
      </c>
      <c r="F32" s="33" t="n">
        <f aca="false">SUMIFS(Diario!$V$6:$V$370,Diario!$A$6:$A$370,$B32)</f>
        <v>0</v>
      </c>
      <c r="G32" s="34" t="str">
        <f aca="false">IF((SUMIFS(Diario!$D$6:$D$370,Diario!$A$6:$A$370,$B32)+SUMIFS(Diario!$E$6:$E$370,Diario!$A$6:$A$370,$B32)+SUMIFS(Diario!$F$6:$F$370,Diario!$A$6:$A$370,$B32)+SUMIFS(Diario!$G$6:$G$370,Diario!$A$6:$A$370,$B32))&gt;0,(SUMIFS(Diario!$D$6:$D$370,Diario!$A$6:$A$370,$B32)+SUMIFS(Diario!$E$6:$E$370,Diario!$A$6:$A$370,$B32))/(SUMIFS(Diario!$D$6:$D$370,Diario!$A$6:$A$370,$B32)+SUMIFS(Diario!$E$6:$E$370,Diario!$A$6:$A$370,$B32)+SUMIFS(Diario!$F$6:$F$370,Diario!$A$6:$A$370,$B32)+SUMIFS(Diario!$G$6:$G$370,Diario!$A$6:$A$370,$B32)),"")</f>
        <v/>
      </c>
    </row>
    <row r="33" customFormat="false" ht="15" hidden="false" customHeight="false" outlineLevel="0" collapsed="false">
      <c r="B33" s="30" t="n">
        <f aca="false">$F$3-9</f>
        <v>46294</v>
      </c>
      <c r="C33" s="31" t="n">
        <f aca="false">SUMIFS(Diario!$M$6:$M$370,Diario!$A$6:$A$370,$B33)</f>
        <v>0</v>
      </c>
      <c r="D33" s="32" t="n">
        <f aca="false">SUMIFS(Diario!$K$6:$K$370,Diario!$A$6:$A$370,$B33)</f>
        <v>0</v>
      </c>
      <c r="E33" s="32" t="str">
        <f aca="false">IF(C33&gt;0,D33/C33,"")</f>
        <v/>
      </c>
      <c r="F33" s="33" t="n">
        <f aca="false">SUMIFS(Diario!$V$6:$V$370,Diario!$A$6:$A$370,$B33)</f>
        <v>0</v>
      </c>
      <c r="G33" s="34" t="str">
        <f aca="false">IF((SUMIFS(Diario!$D$6:$D$370,Diario!$A$6:$A$370,$B33)+SUMIFS(Diario!$E$6:$E$370,Diario!$A$6:$A$370,$B33)+SUMIFS(Diario!$F$6:$F$370,Diario!$A$6:$A$370,$B33)+SUMIFS(Diario!$G$6:$G$370,Diario!$A$6:$A$370,$B33))&gt;0,(SUMIFS(Diario!$D$6:$D$370,Diario!$A$6:$A$370,$B33)+SUMIFS(Diario!$E$6:$E$370,Diario!$A$6:$A$370,$B33))/(SUMIFS(Diario!$D$6:$D$370,Diario!$A$6:$A$370,$B33)+SUMIFS(Diario!$E$6:$E$370,Diario!$A$6:$A$370,$B33)+SUMIFS(Diario!$F$6:$F$370,Diario!$A$6:$A$370,$B33)+SUMIFS(Diario!$G$6:$G$370,Diario!$A$6:$A$370,$B33)),"")</f>
        <v/>
      </c>
    </row>
    <row r="34" customFormat="false" ht="15" hidden="false" customHeight="false" outlineLevel="0" collapsed="false">
      <c r="B34" s="30" t="n">
        <f aca="false">$F$3-8</f>
        <v>46295</v>
      </c>
      <c r="C34" s="31" t="n">
        <f aca="false">SUMIFS(Diario!$M$6:$M$370,Diario!$A$6:$A$370,$B34)</f>
        <v>0</v>
      </c>
      <c r="D34" s="32" t="n">
        <f aca="false">SUMIFS(Diario!$K$6:$K$370,Diario!$A$6:$A$370,$B34)</f>
        <v>0</v>
      </c>
      <c r="E34" s="32" t="str">
        <f aca="false">IF(C34&gt;0,D34/C34,"")</f>
        <v/>
      </c>
      <c r="F34" s="33" t="n">
        <f aca="false">SUMIFS(Diario!$V$6:$V$370,Diario!$A$6:$A$370,$B34)</f>
        <v>0</v>
      </c>
      <c r="G34" s="34" t="str">
        <f aca="false">IF((SUMIFS(Diario!$D$6:$D$370,Diario!$A$6:$A$370,$B34)+SUMIFS(Diario!$E$6:$E$370,Diario!$A$6:$A$370,$B34)+SUMIFS(Diario!$F$6:$F$370,Diario!$A$6:$A$370,$B34)+SUMIFS(Diario!$G$6:$G$370,Diario!$A$6:$A$370,$B34))&gt;0,(SUMIFS(Diario!$D$6:$D$370,Diario!$A$6:$A$370,$B34)+SUMIFS(Diario!$E$6:$E$370,Diario!$A$6:$A$370,$B34))/(SUMIFS(Diario!$D$6:$D$370,Diario!$A$6:$A$370,$B34)+SUMIFS(Diario!$E$6:$E$370,Diario!$A$6:$A$370,$B34)+SUMIFS(Diario!$F$6:$F$370,Diario!$A$6:$A$370,$B34)+SUMIFS(Diario!$G$6:$G$370,Diario!$A$6:$A$370,$B34)),"")</f>
        <v/>
      </c>
    </row>
    <row r="35" customFormat="false" ht="15" hidden="false" customHeight="false" outlineLevel="0" collapsed="false">
      <c r="B35" s="30" t="n">
        <f aca="false">$F$3-7</f>
        <v>46296</v>
      </c>
      <c r="C35" s="31" t="n">
        <f aca="false">SUMIFS(Diario!$M$6:$M$370,Diario!$A$6:$A$370,$B35)</f>
        <v>0</v>
      </c>
      <c r="D35" s="32" t="n">
        <f aca="false">SUMIFS(Diario!$K$6:$K$370,Diario!$A$6:$A$370,$B35)</f>
        <v>0</v>
      </c>
      <c r="E35" s="32" t="str">
        <f aca="false">IF(C35&gt;0,D35/C35,"")</f>
        <v/>
      </c>
      <c r="F35" s="33" t="n">
        <f aca="false">SUMIFS(Diario!$V$6:$V$370,Diario!$A$6:$A$370,$B35)</f>
        <v>0</v>
      </c>
      <c r="G35" s="34" t="str">
        <f aca="false">IF((SUMIFS(Diario!$D$6:$D$370,Diario!$A$6:$A$370,$B35)+SUMIFS(Diario!$E$6:$E$370,Diario!$A$6:$A$370,$B35)+SUMIFS(Diario!$F$6:$F$370,Diario!$A$6:$A$370,$B35)+SUMIFS(Diario!$G$6:$G$370,Diario!$A$6:$A$370,$B35))&gt;0,(SUMIFS(Diario!$D$6:$D$370,Diario!$A$6:$A$370,$B35)+SUMIFS(Diario!$E$6:$E$370,Diario!$A$6:$A$370,$B35))/(SUMIFS(Diario!$D$6:$D$370,Diario!$A$6:$A$370,$B35)+SUMIFS(Diario!$E$6:$E$370,Diario!$A$6:$A$370,$B35)+SUMIFS(Diario!$F$6:$F$370,Diario!$A$6:$A$370,$B35)+SUMIFS(Diario!$G$6:$G$370,Diario!$A$6:$A$370,$B35)),"")</f>
        <v/>
      </c>
    </row>
    <row r="36" customFormat="false" ht="15" hidden="false" customHeight="false" outlineLevel="0" collapsed="false">
      <c r="B36" s="30" t="n">
        <f aca="false">$F$3-6</f>
        <v>46297</v>
      </c>
      <c r="C36" s="31" t="n">
        <f aca="false">SUMIFS(Diario!$M$6:$M$370,Diario!$A$6:$A$370,$B36)</f>
        <v>0</v>
      </c>
      <c r="D36" s="32" t="n">
        <f aca="false">SUMIFS(Diario!$K$6:$K$370,Diario!$A$6:$A$370,$B36)</f>
        <v>0</v>
      </c>
      <c r="E36" s="32" t="str">
        <f aca="false">IF(C36&gt;0,D36/C36,"")</f>
        <v/>
      </c>
      <c r="F36" s="33" t="n">
        <f aca="false">SUMIFS(Diario!$V$6:$V$370,Diario!$A$6:$A$370,$B36)</f>
        <v>0</v>
      </c>
      <c r="G36" s="34" t="str">
        <f aca="false">IF((SUMIFS(Diario!$D$6:$D$370,Diario!$A$6:$A$370,$B36)+SUMIFS(Diario!$E$6:$E$370,Diario!$A$6:$A$370,$B36)+SUMIFS(Diario!$F$6:$F$370,Diario!$A$6:$A$370,$B36)+SUMIFS(Diario!$G$6:$G$370,Diario!$A$6:$A$370,$B36))&gt;0,(SUMIFS(Diario!$D$6:$D$370,Diario!$A$6:$A$370,$B36)+SUMIFS(Diario!$E$6:$E$370,Diario!$A$6:$A$370,$B36))/(SUMIFS(Diario!$D$6:$D$370,Diario!$A$6:$A$370,$B36)+SUMIFS(Diario!$E$6:$E$370,Diario!$A$6:$A$370,$B36)+SUMIFS(Diario!$F$6:$F$370,Diario!$A$6:$A$370,$B36)+SUMIFS(Diario!$G$6:$G$370,Diario!$A$6:$A$370,$B36)),"")</f>
        <v/>
      </c>
    </row>
    <row r="37" customFormat="false" ht="15" hidden="false" customHeight="false" outlineLevel="0" collapsed="false">
      <c r="B37" s="30" t="n">
        <f aca="false">$F$3-5</f>
        <v>46298</v>
      </c>
      <c r="C37" s="31" t="n">
        <f aca="false">SUMIFS(Diario!$M$6:$M$370,Diario!$A$6:$A$370,$B37)</f>
        <v>0</v>
      </c>
      <c r="D37" s="32" t="n">
        <f aca="false">SUMIFS(Diario!$K$6:$K$370,Diario!$A$6:$A$370,$B37)</f>
        <v>0</v>
      </c>
      <c r="E37" s="32" t="str">
        <f aca="false">IF(C37&gt;0,D37/C37,"")</f>
        <v/>
      </c>
      <c r="F37" s="33" t="n">
        <f aca="false">SUMIFS(Diario!$V$6:$V$370,Diario!$A$6:$A$370,$B37)</f>
        <v>0</v>
      </c>
      <c r="G37" s="34" t="str">
        <f aca="false">IF((SUMIFS(Diario!$D$6:$D$370,Diario!$A$6:$A$370,$B37)+SUMIFS(Diario!$E$6:$E$370,Diario!$A$6:$A$370,$B37)+SUMIFS(Diario!$F$6:$F$370,Diario!$A$6:$A$370,$B37)+SUMIFS(Diario!$G$6:$G$370,Diario!$A$6:$A$370,$B37))&gt;0,(SUMIFS(Diario!$D$6:$D$370,Diario!$A$6:$A$370,$B37)+SUMIFS(Diario!$E$6:$E$370,Diario!$A$6:$A$370,$B37))/(SUMIFS(Diario!$D$6:$D$370,Diario!$A$6:$A$370,$B37)+SUMIFS(Diario!$E$6:$E$370,Diario!$A$6:$A$370,$B37)+SUMIFS(Diario!$F$6:$F$370,Diario!$A$6:$A$370,$B37)+SUMIFS(Diario!$G$6:$G$370,Diario!$A$6:$A$370,$B37)),"")</f>
        <v/>
      </c>
    </row>
    <row r="38" customFormat="false" ht="15" hidden="false" customHeight="false" outlineLevel="0" collapsed="false">
      <c r="B38" s="30" t="n">
        <f aca="false">$F$3-4</f>
        <v>46299</v>
      </c>
      <c r="C38" s="31" t="n">
        <f aca="false">SUMIFS(Diario!$M$6:$M$370,Diario!$A$6:$A$370,$B38)</f>
        <v>0</v>
      </c>
      <c r="D38" s="32" t="n">
        <f aca="false">SUMIFS(Diario!$K$6:$K$370,Diario!$A$6:$A$370,$B38)</f>
        <v>0</v>
      </c>
      <c r="E38" s="32" t="str">
        <f aca="false">IF(C38&gt;0,D38/C38,"")</f>
        <v/>
      </c>
      <c r="F38" s="33" t="n">
        <f aca="false">SUMIFS(Diario!$V$6:$V$370,Diario!$A$6:$A$370,$B38)</f>
        <v>0</v>
      </c>
      <c r="G38" s="34" t="str">
        <f aca="false">IF((SUMIFS(Diario!$D$6:$D$370,Diario!$A$6:$A$370,$B38)+SUMIFS(Diario!$E$6:$E$370,Diario!$A$6:$A$370,$B38)+SUMIFS(Diario!$F$6:$F$370,Diario!$A$6:$A$370,$B38)+SUMIFS(Diario!$G$6:$G$370,Diario!$A$6:$A$370,$B38))&gt;0,(SUMIFS(Diario!$D$6:$D$370,Diario!$A$6:$A$370,$B38)+SUMIFS(Diario!$E$6:$E$370,Diario!$A$6:$A$370,$B38))/(SUMIFS(Diario!$D$6:$D$370,Diario!$A$6:$A$370,$B38)+SUMIFS(Diario!$E$6:$E$370,Diario!$A$6:$A$370,$B38)+SUMIFS(Diario!$F$6:$F$370,Diario!$A$6:$A$370,$B38)+SUMIFS(Diario!$G$6:$G$370,Diario!$A$6:$A$370,$B38)),"")</f>
        <v/>
      </c>
    </row>
    <row r="39" customFormat="false" ht="15" hidden="false" customHeight="false" outlineLevel="0" collapsed="false">
      <c r="B39" s="30" t="n">
        <f aca="false">$F$3-3</f>
        <v>46300</v>
      </c>
      <c r="C39" s="31" t="n">
        <f aca="false">SUMIFS(Diario!$M$6:$M$370,Diario!$A$6:$A$370,$B39)</f>
        <v>9</v>
      </c>
      <c r="D39" s="32" t="n">
        <f aca="false">SUMIFS(Diario!$K$6:$K$370,Diario!$A$6:$A$370,$B39)</f>
        <v>67.67</v>
      </c>
      <c r="E39" s="32" t="n">
        <f aca="false">IF(C39&gt;0,D39/C39,"")</f>
        <v>7.51888888888889</v>
      </c>
      <c r="F39" s="33" t="n">
        <f aca="false">SUMIFS(Diario!$V$6:$V$370,Diario!$A$6:$A$370,$B39)</f>
        <v>62.6280826446281</v>
      </c>
      <c r="G39" s="34" t="n">
        <f aca="false">IF((SUMIFS(Diario!$D$6:$D$370,Diario!$A$6:$A$370,$B39)+SUMIFS(Diario!$E$6:$E$370,Diario!$A$6:$A$370,$B39)+SUMIFS(Diario!$F$6:$F$370,Diario!$A$6:$A$370,$B39)+SUMIFS(Diario!$G$6:$G$370,Diario!$A$6:$A$370,$B39))&gt;0,(SUMIFS(Diario!$D$6:$D$370,Diario!$A$6:$A$370,$B39)+SUMIFS(Diario!$E$6:$E$370,Diario!$A$6:$A$370,$B39))/(SUMIFS(Diario!$D$6:$D$370,Diario!$A$6:$A$370,$B39)+SUMIFS(Diario!$E$6:$E$370,Diario!$A$6:$A$370,$B39)+SUMIFS(Diario!$F$6:$F$370,Diario!$A$6:$A$370,$B39)+SUMIFS(Diario!$G$6:$G$370,Diario!$A$6:$A$370,$B39)),"")</f>
        <v>1</v>
      </c>
    </row>
    <row r="40" customFormat="false" ht="15" hidden="false" customHeight="false" outlineLevel="0" collapsed="false">
      <c r="B40" s="30" t="n">
        <f aca="false">$F$3-2</f>
        <v>46301</v>
      </c>
      <c r="C40" s="31" t="n">
        <f aca="false">SUMIFS(Diario!$M$6:$M$370,Diario!$A$6:$A$370,$B40)</f>
        <v>8</v>
      </c>
      <c r="D40" s="32" t="n">
        <f aca="false">SUMIFS(Diario!$K$6:$K$370,Diario!$A$6:$A$370,$B40)</f>
        <v>70.18</v>
      </c>
      <c r="E40" s="32" t="n">
        <f aca="false">IF(C40&gt;0,D40/C40,"")</f>
        <v>8.7725</v>
      </c>
      <c r="F40" s="33" t="n">
        <f aca="false">SUMIFS(Diario!$V$6:$V$370,Diario!$A$6:$A$370,$B40)</f>
        <v>21.5064132231405</v>
      </c>
      <c r="G40" s="34" t="n">
        <f aca="false">IF((SUMIFS(Diario!$D$6:$D$370,Diario!$A$6:$A$370,$B40)+SUMIFS(Diario!$E$6:$E$370,Diario!$A$6:$A$370,$B40)+SUMIFS(Diario!$F$6:$F$370,Diario!$A$6:$A$370,$B40)+SUMIFS(Diario!$G$6:$G$370,Diario!$A$6:$A$370,$B40))&gt;0,(SUMIFS(Diario!$D$6:$D$370,Diario!$A$6:$A$370,$B40)+SUMIFS(Diario!$E$6:$E$370,Diario!$A$6:$A$370,$B40))/(SUMIFS(Diario!$D$6:$D$370,Diario!$A$6:$A$370,$B40)+SUMIFS(Diario!$E$6:$E$370,Diario!$A$6:$A$370,$B40)+SUMIFS(Diario!$F$6:$F$370,Diario!$A$6:$A$370,$B40)+SUMIFS(Diario!$G$6:$G$370,Diario!$A$6:$A$370,$B40)),"")</f>
        <v>1</v>
      </c>
    </row>
    <row r="41" customFormat="false" ht="15" hidden="false" customHeight="false" outlineLevel="0" collapsed="false">
      <c r="B41" s="30" t="n">
        <f aca="false">$F$3-1</f>
        <v>46302</v>
      </c>
      <c r="C41" s="31" t="n">
        <f aca="false">SUMIFS(Diario!$M$6:$M$370,Diario!$A$6:$A$370,$B41)</f>
        <v>6</v>
      </c>
      <c r="D41" s="32" t="n">
        <f aca="false">SUMIFS(Diario!$K$6:$K$370,Diario!$A$6:$A$370,$B41)</f>
        <v>47.41</v>
      </c>
      <c r="E41" s="32" t="n">
        <f aca="false">IF(C41&gt;0,D41/C41,"")</f>
        <v>7.90166666666667</v>
      </c>
      <c r="F41" s="33" t="n">
        <f aca="false">SUMIFS(Diario!$V$6:$V$370,Diario!$A$6:$A$370,$B41)</f>
        <v>12.9661652892562</v>
      </c>
      <c r="G41" s="34" t="str">
        <f aca="false">IF((SUMIFS(Diario!$D$6:$D$370,Diario!$A$6:$A$370,$B41)+SUMIFS(Diario!$E$6:$E$370,Diario!$A$6:$A$370,$B41)+SUMIFS(Diario!$F$6:$F$370,Diario!$A$6:$A$370,$B41)+SUMIFS(Diario!$G$6:$G$370,Diario!$A$6:$A$370,$B41))&gt;0,(SUMIFS(Diario!$D$6:$D$370,Diario!$A$6:$A$370,$B41)+SUMIFS(Diario!$E$6:$E$370,Diario!$A$6:$A$370,$B41))/(SUMIFS(Diario!$D$6:$D$370,Diario!$A$6:$A$370,$B41)+SUMIFS(Diario!$E$6:$E$370,Diario!$A$6:$A$370,$B41)+SUMIFS(Diario!$F$6:$F$370,Diario!$A$6:$A$370,$B41)+SUMIFS(Diario!$G$6:$G$370,Diario!$A$6:$A$370,$B41)),"")</f>
        <v/>
      </c>
    </row>
    <row r="42" customFormat="false" ht="15" hidden="false" customHeight="false" outlineLevel="0" collapsed="false">
      <c r="B42" s="30" t="n">
        <f aca="false">$F$3-0</f>
        <v>46303</v>
      </c>
      <c r="C42" s="31" t="n">
        <f aca="false">SUMIFS(Diario!$M$6:$M$370,Diario!$A$6:$A$370,$B42)</f>
        <v>0</v>
      </c>
      <c r="D42" s="32" t="n">
        <f aca="false">SUMIFS(Diario!$K$6:$K$370,Diario!$A$6:$A$370,$B42)</f>
        <v>2.73</v>
      </c>
      <c r="E42" s="32" t="str">
        <f aca="false">IF(C42&gt;0,D42/C42,"")</f>
        <v/>
      </c>
      <c r="F42" s="33" t="n">
        <f aca="false">SUMIFS(Diario!$V$6:$V$370,Diario!$A$6:$A$370,$B42)</f>
        <v>-2.73</v>
      </c>
      <c r="G42" s="34" t="str">
        <f aca="false">IF((SUMIFS(Diario!$D$6:$D$370,Diario!$A$6:$A$370,$B42)+SUMIFS(Diario!$E$6:$E$370,Diario!$A$6:$A$370,$B42)+SUMIFS(Diario!$F$6:$F$370,Diario!$A$6:$A$370,$B42)+SUMIFS(Diario!$G$6:$G$370,Diario!$A$6:$A$370,$B42))&gt;0,(SUMIFS(Diario!$D$6:$D$370,Diario!$A$6:$A$370,$B42)+SUMIFS(Diario!$E$6:$E$370,Diario!$A$6:$A$370,$B42))/(SUMIFS(Diario!$D$6:$D$370,Diario!$A$6:$A$370,$B42)+SUMIFS(Diario!$E$6:$E$370,Diario!$A$6:$A$370,$B42)+SUMIFS(Diario!$F$6:$F$370,Diario!$A$6:$A$370,$B42)+SUMIFS(Diario!$G$6:$G$370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SUMIFS(Diario!$M$6:$M$370,Diario!$A$6:$A$370,"&gt;="&amp;$B47,Diario!$A$6:$A$370,"&lt;="&amp;EOMONTH($B47,0))</f>
        <v>23</v>
      </c>
      <c r="D47" s="37" t="n">
        <f aca="false">SUMIFS(Diario!$K$6:$K$370,Diario!$A$6:$A$370,"&gt;="&amp;$B47,Diario!$A$6:$A$370,"&lt;="&amp;EOMONTH($B47,0))</f>
        <v>187.99</v>
      </c>
      <c r="E47" s="32" t="n">
        <f aca="false">IF(C47&gt;0,D47/C47,"")</f>
        <v>8.17347826086957</v>
      </c>
      <c r="F47" s="37" t="n">
        <f aca="false">SUMIFS(Diario!$O$6:$O$370,Diario!$A$6:$A$370,"&gt;="&amp;$B47,Diario!$A$6:$A$370,"&lt;="&amp;EOMONTH($B47,0))</f>
        <v>749.77</v>
      </c>
      <c r="G47" s="31" t="n">
        <f aca="false">SUMIFS(Diario!$D$6:$D$370,Diario!$A$6:$A$370,"&gt;="&amp;$B47,Diario!$A$6:$A$370,"&lt;="&amp;EOMONTH($B47,0))+SUMIFS(Diario!$E$6:$E$370,Diario!$A$6:$A$370,"&gt;="&amp;$B47,Diario!$A$6:$A$370,"&lt;="&amp;EOMONTH($B47,0))</f>
        <v>7</v>
      </c>
      <c r="H47" s="31" t="n">
        <f aca="false">SUMIFS(Diario!$F$6:$F$370,Diario!$A$6:$A$370,"&gt;="&amp;$B47,Diario!$A$6:$A$370,"&lt;="&amp;EOMONTH($B47,0))+SUMIFS(Diario!$G$6:$G$370,Diario!$A$6:$A$370,"&gt;="&amp;$B47,Diario!$A$6:$A$370,"&lt;="&amp;EOMONTH($B47,0))</f>
        <v>0</v>
      </c>
      <c r="I47" s="34" t="n">
        <f aca="false">IF(G47+H47&gt;0,G47/(G47+H47),"")</f>
        <v>1</v>
      </c>
      <c r="J47" s="37" t="n">
        <f aca="false">SUMIFS(Diario!$V$6:$V$370,Diario!$A$6:$A$370,"&gt;="&amp;$B47,Diario!$A$6:$A$370,"&lt;="&amp;EOMONTH($B47,0))</f>
        <v>94.3706611570248</v>
      </c>
      <c r="K47" s="37" t="n">
        <f aca="false">-SUMIFS(Gastos!$D$5:$D$304,Gastos!$A$5:$A$304,"&gt;="&amp;$B47,Gastos!$A$5:$A$304,"&lt;="&amp;EOMONTH($B47,0))</f>
        <v>-0</v>
      </c>
      <c r="L47" s="38" t="n">
        <f aca="false">J47+K47</f>
        <v>94.3706611570248</v>
      </c>
      <c r="M47" s="34" t="n">
        <f aca="false">IF(OBJETIVO_MES&gt;0,L47/OBJETIVO_MES,"")</f>
        <v>0.00943706611570248</v>
      </c>
      <c r="O47" s="39" t="n">
        <f aca="false">OBJETIVO_MES</f>
        <v>10000</v>
      </c>
    </row>
    <row r="48" customFormat="false" ht="15" hidden="false" customHeight="false" outlineLevel="0" collapsed="false">
      <c r="B48" s="36" t="n">
        <f aca="false">DATE(YEAR(FECHA_INICIO),MONTH(FECHA_INICIO)+1,1)</f>
        <v>46327</v>
      </c>
      <c r="C48" s="31" t="n">
        <f aca="false">SUMIFS(Diario!$M$6:$M$370,Diario!$A$6:$A$370,"&gt;="&amp;$B48,Diario!$A$6:$A$370,"&lt;="&amp;EOMONTH($B48,0))</f>
        <v>0</v>
      </c>
      <c r="D48" s="37" t="n">
        <f aca="false">SUMIFS(Diario!$K$6:$K$370,Diario!$A$6:$A$370,"&gt;="&amp;$B48,Diario!$A$6:$A$370,"&lt;="&amp;EOMONTH($B48,0))</f>
        <v>0</v>
      </c>
      <c r="E48" s="32" t="str">
        <f aca="false">IF(C48&gt;0,D48/C48,"")</f>
        <v/>
      </c>
      <c r="F48" s="37" t="n">
        <f aca="false">SUMIFS(Diario!$O$6:$O$370,Diario!$A$6:$A$370,"&gt;="&amp;$B48,Diario!$A$6:$A$370,"&lt;="&amp;EOMONTH($B48,0))</f>
        <v>0</v>
      </c>
      <c r="G48" s="31" t="n">
        <f aca="false">SUMIFS(Diario!$D$6:$D$370,Diario!$A$6:$A$370,"&gt;="&amp;$B48,Diario!$A$6:$A$370,"&lt;="&amp;EOMONTH($B48,0))+SUMIFS(Diario!$E$6:$E$370,Diario!$A$6:$A$370,"&gt;="&amp;$B48,Diario!$A$6:$A$370,"&lt;="&amp;EOMONTH($B48,0))</f>
        <v>0</v>
      </c>
      <c r="H48" s="31" t="n">
        <f aca="false">SUMIFS(Diario!$F$6:$F$370,Diario!$A$6:$A$370,"&gt;="&amp;$B48,Diario!$A$6:$A$370,"&lt;="&amp;EOMONTH($B48,0))+SUMIFS(Diario!$G$6:$G$370,Diario!$A$6:$A$370,"&gt;="&amp;$B48,Diario!$A$6:$A$370,"&lt;="&amp;EOMONTH($B48,0))</f>
        <v>0</v>
      </c>
      <c r="I48" s="34" t="str">
        <f aca="false">IF(G48+H48&gt;0,G48/(G48+H48),"")</f>
        <v/>
      </c>
      <c r="J48" s="37" t="n">
        <f aca="false">SUMIFS(Diario!$V$6:$V$370,Diario!$A$6:$A$370,"&gt;="&amp;$B48,Diario!$A$6:$A$370,"&lt;="&amp;EOMONTH($B48,0))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SUMIFS(Diario!$M$6:$M$370,Diario!$A$6:$A$370,"&gt;="&amp;$B49,Diario!$A$6:$A$370,"&lt;="&amp;EOMONTH($B49,0))</f>
        <v>0</v>
      </c>
      <c r="D49" s="37" t="n">
        <f aca="false">SUMIFS(Diario!$K$6:$K$370,Diario!$A$6:$A$370,"&gt;="&amp;$B49,Diario!$A$6:$A$370,"&lt;="&amp;EOMONTH($B49,0))</f>
        <v>0</v>
      </c>
      <c r="E49" s="32" t="str">
        <f aca="false">IF(C49&gt;0,D49/C49,"")</f>
        <v/>
      </c>
      <c r="F49" s="37" t="n">
        <f aca="false">SUMIFS(Diario!$O$6:$O$370,Diario!$A$6:$A$370,"&gt;="&amp;$B49,Diario!$A$6:$A$370,"&lt;="&amp;EOMONTH($B49,0))</f>
        <v>0</v>
      </c>
      <c r="G49" s="31" t="n">
        <f aca="false">SUMIFS(Diario!$D$6:$D$370,Diario!$A$6:$A$370,"&gt;="&amp;$B49,Diario!$A$6:$A$370,"&lt;="&amp;EOMONTH($B49,0))+SUMIFS(Diario!$E$6:$E$370,Diario!$A$6:$A$370,"&gt;="&amp;$B49,Diario!$A$6:$A$370,"&lt;="&amp;EOMONTH($B49,0))</f>
        <v>0</v>
      </c>
      <c r="H49" s="31" t="n">
        <f aca="false">SUMIFS(Diario!$F$6:$F$370,Diario!$A$6:$A$370,"&gt;="&amp;$B49,Diario!$A$6:$A$370,"&lt;="&amp;EOMONTH($B49,0))+SUMIFS(Diario!$G$6:$G$370,Diario!$A$6:$A$370,"&gt;="&amp;$B49,Diario!$A$6:$A$370,"&lt;="&amp;EOMONTH($B49,0))</f>
        <v>0</v>
      </c>
      <c r="I49" s="34" t="str">
        <f aca="false">IF(G49+H49&gt;0,G49/(G49+H49),"")</f>
        <v/>
      </c>
      <c r="J49" s="37" t="n">
        <f aca="false">SUMIFS(Diario!$V$6:$V$370,Diario!$A$6:$A$370,"&gt;="&amp;$B49,Diario!$A$6:$A$370,"&lt;="&amp;EOMONTH($B49,0))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SUMIFS(Diario!$M$6:$M$370,Diario!$A$6:$A$370,"&gt;="&amp;$B50,Diario!$A$6:$A$370,"&lt;="&amp;EOMONTH($B50,0))</f>
        <v>0</v>
      </c>
      <c r="D50" s="37" t="n">
        <f aca="false">SUMIFS(Diario!$K$6:$K$370,Diario!$A$6:$A$370,"&gt;="&amp;$B50,Diario!$A$6:$A$370,"&lt;="&amp;EOMONTH($B50,0))</f>
        <v>0</v>
      </c>
      <c r="E50" s="32" t="str">
        <f aca="false">IF(C50&gt;0,D50/C50,"")</f>
        <v/>
      </c>
      <c r="F50" s="37" t="n">
        <f aca="false">SUMIFS(Diario!$O$6:$O$370,Diario!$A$6:$A$370,"&gt;="&amp;$B50,Diario!$A$6:$A$370,"&lt;="&amp;EOMONTH($B50,0))</f>
        <v>0</v>
      </c>
      <c r="G50" s="31" t="n">
        <f aca="false">SUMIFS(Diario!$D$6:$D$370,Diario!$A$6:$A$370,"&gt;="&amp;$B50,Diario!$A$6:$A$370,"&lt;="&amp;EOMONTH($B50,0))+SUMIFS(Diario!$E$6:$E$370,Diario!$A$6:$A$370,"&gt;="&amp;$B50,Diario!$A$6:$A$370,"&lt;="&amp;EOMONTH($B50,0))</f>
        <v>0</v>
      </c>
      <c r="H50" s="31" t="n">
        <f aca="false">SUMIFS(Diario!$F$6:$F$370,Diario!$A$6:$A$370,"&gt;="&amp;$B50,Diario!$A$6:$A$370,"&lt;="&amp;EOMONTH($B50,0))+SUMIFS(Diario!$G$6:$G$370,Diario!$A$6:$A$370,"&gt;="&amp;$B50,Diario!$A$6:$A$370,"&lt;="&amp;EOMONTH($B50,0))</f>
        <v>0</v>
      </c>
      <c r="I50" s="34" t="str">
        <f aca="false">IF(G50+H50&gt;0,G50/(G50+H50),"")</f>
        <v/>
      </c>
      <c r="J50" s="37" t="n">
        <f aca="false">SUMIFS(Diario!$V$6:$V$370,Diario!$A$6:$A$370,"&gt;="&amp;$B50,Diario!$A$6:$A$370,"&lt;="&amp;EOMONTH($B50,0))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SUMIFS(Diario!$M$6:$M$370,Diario!$A$6:$A$370,"&gt;="&amp;$B51,Diario!$A$6:$A$370,"&lt;="&amp;EOMONTH($B51,0))</f>
        <v>0</v>
      </c>
      <c r="D51" s="37" t="n">
        <f aca="false">SUMIFS(Diario!$K$6:$K$370,Diario!$A$6:$A$370,"&gt;="&amp;$B51,Diario!$A$6:$A$370,"&lt;="&amp;EOMONTH($B51,0))</f>
        <v>0</v>
      </c>
      <c r="E51" s="32" t="str">
        <f aca="false">IF(C51&gt;0,D51/C51,"")</f>
        <v/>
      </c>
      <c r="F51" s="37" t="n">
        <f aca="false">SUMIFS(Diario!$O$6:$O$370,Diario!$A$6:$A$370,"&gt;="&amp;$B51,Diario!$A$6:$A$370,"&lt;="&amp;EOMONTH($B51,0))</f>
        <v>0</v>
      </c>
      <c r="G51" s="31" t="n">
        <f aca="false">SUMIFS(Diario!$D$6:$D$370,Diario!$A$6:$A$370,"&gt;="&amp;$B51,Diario!$A$6:$A$370,"&lt;="&amp;EOMONTH($B51,0))+SUMIFS(Diario!$E$6:$E$370,Diario!$A$6:$A$370,"&gt;="&amp;$B51,Diario!$A$6:$A$370,"&lt;="&amp;EOMONTH($B51,0))</f>
        <v>0</v>
      </c>
      <c r="H51" s="31" t="n">
        <f aca="false">SUMIFS(Diario!$F$6:$F$370,Diario!$A$6:$A$370,"&gt;="&amp;$B51,Diario!$A$6:$A$370,"&lt;="&amp;EOMONTH($B51,0))+SUMIFS(Diario!$G$6:$G$370,Diario!$A$6:$A$370,"&gt;="&amp;$B51,Diario!$A$6:$A$370,"&lt;="&amp;EOMONTH($B51,0))</f>
        <v>0</v>
      </c>
      <c r="I51" s="34" t="str">
        <f aca="false">IF(G51+H51&gt;0,G51/(G51+H51),"")</f>
        <v/>
      </c>
      <c r="J51" s="37" t="n">
        <f aca="false">SUMIFS(Diario!$V$6:$V$370,Diario!$A$6:$A$370,"&gt;="&amp;$B51,Diario!$A$6:$A$370,"&lt;="&amp;EOMONTH($B51,0))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SUMIFS(Diario!$M$6:$M$370,Diario!$A$6:$A$370,"&gt;="&amp;$B52,Diario!$A$6:$A$370,"&lt;="&amp;EOMONTH($B52,0))</f>
        <v>0</v>
      </c>
      <c r="D52" s="37" t="n">
        <f aca="false">SUMIFS(Diario!$K$6:$K$370,Diario!$A$6:$A$370,"&gt;="&amp;$B52,Diario!$A$6:$A$370,"&lt;="&amp;EOMONTH($B52,0))</f>
        <v>0</v>
      </c>
      <c r="E52" s="32" t="str">
        <f aca="false">IF(C52&gt;0,D52/C52,"")</f>
        <v/>
      </c>
      <c r="F52" s="37" t="n">
        <f aca="false">SUMIFS(Diario!$O$6:$O$370,Diario!$A$6:$A$370,"&gt;="&amp;$B52,Diario!$A$6:$A$370,"&lt;="&amp;EOMONTH($B52,0))</f>
        <v>0</v>
      </c>
      <c r="G52" s="31" t="n">
        <f aca="false">SUMIFS(Diario!$D$6:$D$370,Diario!$A$6:$A$370,"&gt;="&amp;$B52,Diario!$A$6:$A$370,"&lt;="&amp;EOMONTH($B52,0))+SUMIFS(Diario!$E$6:$E$370,Diario!$A$6:$A$370,"&gt;="&amp;$B52,Diario!$A$6:$A$370,"&lt;="&amp;EOMONTH($B52,0))</f>
        <v>0</v>
      </c>
      <c r="H52" s="31" t="n">
        <f aca="false">SUMIFS(Diario!$F$6:$F$370,Diario!$A$6:$A$370,"&gt;="&amp;$B52,Diario!$A$6:$A$370,"&lt;="&amp;EOMONTH($B52,0))+SUMIFS(Diario!$G$6:$G$370,Diario!$A$6:$A$370,"&gt;="&amp;$B52,Diario!$A$6:$A$370,"&lt;="&amp;EOMONTH($B52,0))</f>
        <v>0</v>
      </c>
      <c r="I52" s="34" t="str">
        <f aca="false">IF(G52+H52&gt;0,G52/(G52+H52),"")</f>
        <v/>
      </c>
      <c r="J52" s="37" t="n">
        <f aca="false">SUMIFS(Diario!$V$6:$V$370,Diario!$A$6:$A$370,"&gt;="&amp;$B52,Diario!$A$6:$A$370,"&lt;="&amp;EOMONTH($B52,0))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SUMIFS(Diario!$M$6:$M$370,Diario!$A$6:$A$370,"&gt;="&amp;$B53,Diario!$A$6:$A$370,"&lt;="&amp;EOMONTH($B53,0))</f>
        <v>0</v>
      </c>
      <c r="D53" s="37" t="n">
        <f aca="false">SUMIFS(Diario!$K$6:$K$370,Diario!$A$6:$A$370,"&gt;="&amp;$B53,Diario!$A$6:$A$370,"&lt;="&amp;EOMONTH($B53,0))</f>
        <v>0</v>
      </c>
      <c r="E53" s="32" t="str">
        <f aca="false">IF(C53&gt;0,D53/C53,"")</f>
        <v/>
      </c>
      <c r="F53" s="37" t="n">
        <f aca="false">SUMIFS(Diario!$O$6:$O$370,Diario!$A$6:$A$370,"&gt;="&amp;$B53,Diario!$A$6:$A$370,"&lt;="&amp;EOMONTH($B53,0))</f>
        <v>0</v>
      </c>
      <c r="G53" s="31" t="n">
        <f aca="false">SUMIFS(Diario!$D$6:$D$370,Diario!$A$6:$A$370,"&gt;="&amp;$B53,Diario!$A$6:$A$370,"&lt;="&amp;EOMONTH($B53,0))+SUMIFS(Diario!$E$6:$E$370,Diario!$A$6:$A$370,"&gt;="&amp;$B53,Diario!$A$6:$A$370,"&lt;="&amp;EOMONTH($B53,0))</f>
        <v>0</v>
      </c>
      <c r="H53" s="31" t="n">
        <f aca="false">SUMIFS(Diario!$F$6:$F$370,Diario!$A$6:$A$370,"&gt;="&amp;$B53,Diario!$A$6:$A$370,"&lt;="&amp;EOMONTH($B53,0))+SUMIFS(Diario!$G$6:$G$370,Diario!$A$6:$A$370,"&gt;="&amp;$B53,Diario!$A$6:$A$370,"&lt;="&amp;EOMONTH($B53,0))</f>
        <v>0</v>
      </c>
      <c r="I53" s="34" t="str">
        <f aca="false">IF(G53+H53&gt;0,G53/(G53+H53),"")</f>
        <v/>
      </c>
      <c r="J53" s="37" t="n">
        <f aca="false">SUMIFS(Diario!$V$6:$V$370,Diario!$A$6:$A$370,"&gt;="&amp;$B53,Diario!$A$6:$A$370,"&lt;="&amp;EOMONTH($B53,0))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SUMIFS(Diario!$M$6:$M$370,Diario!$A$6:$A$370,"&gt;="&amp;$B54,Diario!$A$6:$A$370,"&lt;="&amp;EOMONTH($B54,0))</f>
        <v>0</v>
      </c>
      <c r="D54" s="37" t="n">
        <f aca="false">SUMIFS(Diario!$K$6:$K$370,Diario!$A$6:$A$370,"&gt;="&amp;$B54,Diario!$A$6:$A$370,"&lt;="&amp;EOMONTH($B54,0))</f>
        <v>0</v>
      </c>
      <c r="E54" s="32" t="str">
        <f aca="false">IF(C54&gt;0,D54/C54,"")</f>
        <v/>
      </c>
      <c r="F54" s="37" t="n">
        <f aca="false">SUMIFS(Diario!$O$6:$O$370,Diario!$A$6:$A$370,"&gt;="&amp;$B54,Diario!$A$6:$A$370,"&lt;="&amp;EOMONTH($B54,0))</f>
        <v>0</v>
      </c>
      <c r="G54" s="31" t="n">
        <f aca="false">SUMIFS(Diario!$D$6:$D$370,Diario!$A$6:$A$370,"&gt;="&amp;$B54,Diario!$A$6:$A$370,"&lt;="&amp;EOMONTH($B54,0))+SUMIFS(Diario!$E$6:$E$370,Diario!$A$6:$A$370,"&gt;="&amp;$B54,Diario!$A$6:$A$370,"&lt;="&amp;EOMONTH($B54,0))</f>
        <v>0</v>
      </c>
      <c r="H54" s="31" t="n">
        <f aca="false">SUMIFS(Diario!$F$6:$F$370,Diario!$A$6:$A$370,"&gt;="&amp;$B54,Diario!$A$6:$A$370,"&lt;="&amp;EOMONTH($B54,0))+SUMIFS(Diario!$G$6:$G$370,Diario!$A$6:$A$370,"&gt;="&amp;$B54,Diario!$A$6:$A$370,"&lt;="&amp;EOMONTH($B54,0))</f>
        <v>0</v>
      </c>
      <c r="I54" s="34" t="str">
        <f aca="false">IF(G54+H54&gt;0,G54/(G54+H54),"")</f>
        <v/>
      </c>
      <c r="J54" s="37" t="n">
        <f aca="false">SUMIFS(Diario!$V$6:$V$370,Diario!$A$6:$A$370,"&gt;="&amp;$B54,Diario!$A$6:$A$370,"&lt;="&amp;EOMONTH($B54,0))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SUMIFS(Diario!$M$6:$M$370,Diario!$A$6:$A$370,"&gt;="&amp;$B55,Diario!$A$6:$A$370,"&lt;="&amp;EOMONTH($B55,0))</f>
        <v>0</v>
      </c>
      <c r="D55" s="37" t="n">
        <f aca="false">SUMIFS(Diario!$K$6:$K$370,Diario!$A$6:$A$370,"&gt;="&amp;$B55,Diario!$A$6:$A$370,"&lt;="&amp;EOMONTH($B55,0))</f>
        <v>0</v>
      </c>
      <c r="E55" s="32" t="str">
        <f aca="false">IF(C55&gt;0,D55/C55,"")</f>
        <v/>
      </c>
      <c r="F55" s="37" t="n">
        <f aca="false">SUMIFS(Diario!$O$6:$O$370,Diario!$A$6:$A$370,"&gt;="&amp;$B55,Diario!$A$6:$A$370,"&lt;="&amp;EOMONTH($B55,0))</f>
        <v>0</v>
      </c>
      <c r="G55" s="31" t="n">
        <f aca="false">SUMIFS(Diario!$D$6:$D$370,Diario!$A$6:$A$370,"&gt;="&amp;$B55,Diario!$A$6:$A$370,"&lt;="&amp;EOMONTH($B55,0))+SUMIFS(Diario!$E$6:$E$370,Diario!$A$6:$A$370,"&gt;="&amp;$B55,Diario!$A$6:$A$370,"&lt;="&amp;EOMONTH($B55,0))</f>
        <v>0</v>
      </c>
      <c r="H55" s="31" t="n">
        <f aca="false">SUMIFS(Diario!$F$6:$F$370,Diario!$A$6:$A$370,"&gt;="&amp;$B55,Diario!$A$6:$A$370,"&lt;="&amp;EOMONTH($B55,0))+SUMIFS(Diario!$G$6:$G$370,Diario!$A$6:$A$370,"&gt;="&amp;$B55,Diario!$A$6:$A$370,"&lt;="&amp;EOMONTH($B55,0))</f>
        <v>0</v>
      </c>
      <c r="I55" s="34" t="str">
        <f aca="false">IF(G55+H55&gt;0,G55/(G55+H55),"")</f>
        <v/>
      </c>
      <c r="J55" s="37" t="n">
        <f aca="false">SUMIFS(Diario!$V$6:$V$370,Diario!$A$6:$A$370,"&gt;="&amp;$B55,Diario!$A$6:$A$370,"&lt;="&amp;EOMONTH($B55,0))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SUMIFS(Diario!$M$6:$M$370,Diario!$A$6:$A$370,"&gt;="&amp;$B56,Diario!$A$6:$A$370,"&lt;="&amp;EOMONTH($B56,0))</f>
        <v>0</v>
      </c>
      <c r="D56" s="37" t="n">
        <f aca="false">SUMIFS(Diario!$K$6:$K$370,Diario!$A$6:$A$370,"&gt;="&amp;$B56,Diario!$A$6:$A$370,"&lt;="&amp;EOMONTH($B56,0))</f>
        <v>0</v>
      </c>
      <c r="E56" s="32" t="str">
        <f aca="false">IF(C56&gt;0,D56/C56,"")</f>
        <v/>
      </c>
      <c r="F56" s="37" t="n">
        <f aca="false">SUMIFS(Diario!$O$6:$O$370,Diario!$A$6:$A$370,"&gt;="&amp;$B56,Diario!$A$6:$A$370,"&lt;="&amp;EOMONTH($B56,0))</f>
        <v>0</v>
      </c>
      <c r="G56" s="31" t="n">
        <f aca="false">SUMIFS(Diario!$D$6:$D$370,Diario!$A$6:$A$370,"&gt;="&amp;$B56,Diario!$A$6:$A$370,"&lt;="&amp;EOMONTH($B56,0))+SUMIFS(Diario!$E$6:$E$370,Diario!$A$6:$A$370,"&gt;="&amp;$B56,Diario!$A$6:$A$370,"&lt;="&amp;EOMONTH($B56,0))</f>
        <v>0</v>
      </c>
      <c r="H56" s="31" t="n">
        <f aca="false">SUMIFS(Diario!$F$6:$F$370,Diario!$A$6:$A$370,"&gt;="&amp;$B56,Diario!$A$6:$A$370,"&lt;="&amp;EOMONTH($B56,0))+SUMIFS(Diario!$G$6:$G$370,Diario!$A$6:$A$370,"&gt;="&amp;$B56,Diario!$A$6:$A$370,"&lt;="&amp;EOMONTH($B56,0))</f>
        <v>0</v>
      </c>
      <c r="I56" s="34" t="str">
        <f aca="false">IF(G56+H56&gt;0,G56/(G56+H56),"")</f>
        <v/>
      </c>
      <c r="J56" s="37" t="n">
        <f aca="false">SUMIFS(Diario!$V$6:$V$370,Diario!$A$6:$A$370,"&gt;="&amp;$B56,Diario!$A$6:$A$370,"&lt;="&amp;EOMONTH($B56,0))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SUMIFS(Diario!$M$6:$M$370,Diario!$A$6:$A$370,"&gt;="&amp;$B57,Diario!$A$6:$A$370,"&lt;="&amp;EOMONTH($B57,0))</f>
        <v>0</v>
      </c>
      <c r="D57" s="37" t="n">
        <f aca="false">SUMIFS(Diario!$K$6:$K$370,Diario!$A$6:$A$370,"&gt;="&amp;$B57,Diario!$A$6:$A$370,"&lt;="&amp;EOMONTH($B57,0))</f>
        <v>0</v>
      </c>
      <c r="E57" s="32" t="str">
        <f aca="false">IF(C57&gt;0,D57/C57,"")</f>
        <v/>
      </c>
      <c r="F57" s="37" t="n">
        <f aca="false">SUMIFS(Diario!$O$6:$O$370,Diario!$A$6:$A$370,"&gt;="&amp;$B57,Diario!$A$6:$A$370,"&lt;="&amp;EOMONTH($B57,0))</f>
        <v>0</v>
      </c>
      <c r="G57" s="31" t="n">
        <f aca="false">SUMIFS(Diario!$D$6:$D$370,Diario!$A$6:$A$370,"&gt;="&amp;$B57,Diario!$A$6:$A$370,"&lt;="&amp;EOMONTH($B57,0))+SUMIFS(Diario!$E$6:$E$370,Diario!$A$6:$A$370,"&gt;="&amp;$B57,Diario!$A$6:$A$370,"&lt;="&amp;EOMONTH($B57,0))</f>
        <v>0</v>
      </c>
      <c r="H57" s="31" t="n">
        <f aca="false">SUMIFS(Diario!$F$6:$F$370,Diario!$A$6:$A$370,"&gt;="&amp;$B57,Diario!$A$6:$A$370,"&lt;="&amp;EOMONTH($B57,0))+SUMIFS(Diario!$G$6:$G$370,Diario!$A$6:$A$370,"&gt;="&amp;$B57,Diario!$A$6:$A$370,"&lt;="&amp;EOMONTH($B57,0))</f>
        <v>0</v>
      </c>
      <c r="I57" s="34" t="str">
        <f aca="false">IF(G57+H57&gt;0,G57/(G57+H57),"")</f>
        <v/>
      </c>
      <c r="J57" s="37" t="n">
        <f aca="false">SUMIFS(Diario!$V$6:$V$370,Diario!$A$6:$A$370,"&gt;="&amp;$B57,Diario!$A$6:$A$370,"&lt;="&amp;EOMONTH($B57,0))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SUMIFS(Diario!$M$6:$M$370,Diario!$A$6:$A$370,"&gt;="&amp;$B58,Diario!$A$6:$A$370,"&lt;="&amp;EOMONTH($B58,0))</f>
        <v>0</v>
      </c>
      <c r="D58" s="37" t="n">
        <f aca="false">SUMIFS(Diario!$K$6:$K$370,Diario!$A$6:$A$370,"&gt;="&amp;$B58,Diario!$A$6:$A$370,"&lt;="&amp;EOMONTH($B58,0))</f>
        <v>0</v>
      </c>
      <c r="E58" s="32" t="str">
        <f aca="false">IF(C58&gt;0,D58/C58,"")</f>
        <v/>
      </c>
      <c r="F58" s="37" t="n">
        <f aca="false">SUMIFS(Diario!$O$6:$O$370,Diario!$A$6:$A$370,"&gt;="&amp;$B58,Diario!$A$6:$A$370,"&lt;="&amp;EOMONTH($B58,0))</f>
        <v>0</v>
      </c>
      <c r="G58" s="31" t="n">
        <f aca="false">SUMIFS(Diario!$D$6:$D$370,Diario!$A$6:$A$370,"&gt;="&amp;$B58,Diario!$A$6:$A$370,"&lt;="&amp;EOMONTH($B58,0))+SUMIFS(Diario!$E$6:$E$370,Diario!$A$6:$A$370,"&gt;="&amp;$B58,Diario!$A$6:$A$370,"&lt;="&amp;EOMONTH($B58,0))</f>
        <v>0</v>
      </c>
      <c r="H58" s="31" t="n">
        <f aca="false">SUMIFS(Diario!$F$6:$F$370,Diario!$A$6:$A$370,"&gt;="&amp;$B58,Diario!$A$6:$A$370,"&lt;="&amp;EOMONTH($B58,0))+SUMIFS(Diario!$G$6:$G$370,Diario!$A$6:$A$370,"&gt;="&amp;$B58,Diario!$A$6:$A$370,"&lt;="&amp;EOMONTH($B58,0))</f>
        <v>0</v>
      </c>
      <c r="I58" s="34" t="str">
        <f aca="false">IF(G58+H58&gt;0,G58/(G58+H58),"")</f>
        <v/>
      </c>
      <c r="J58" s="37" t="n">
        <f aca="false">SUMIFS(Diario!$V$6:$V$370,Diario!$A$6:$A$370,"&gt;="&amp;$B58,Diario!$A$6:$A$370,"&lt;="&amp;EOMONTH($B58,0))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23</v>
      </c>
      <c r="D59" s="42" t="n">
        <f aca="false">SUM(D47:D58)</f>
        <v>187.99</v>
      </c>
      <c r="E59" s="43" t="n">
        <f aca="false">IF(C59&gt;0,D59/C59,"")</f>
        <v>8.17347826086957</v>
      </c>
      <c r="F59" s="42" t="n">
        <f aca="false">SUM(F47:F58)</f>
        <v>749.77</v>
      </c>
      <c r="G59" s="41" t="n">
        <f aca="false">SUM(G47:G58)</f>
        <v>7</v>
      </c>
      <c r="H59" s="41" t="n">
        <f aca="false">SUM(H47:H58)</f>
        <v>0</v>
      </c>
      <c r="I59" s="44" t="n">
        <f aca="false">IF(G59+H59&gt;0,G59/(G59+H59),"")</f>
        <v>1</v>
      </c>
      <c r="J59" s="42" t="n">
        <f aca="false">SUM(J47:J58)</f>
        <v>94.3706611570248</v>
      </c>
      <c r="K59" s="42" t="n">
        <f aca="false">SUM(K47:K58)</f>
        <v>0</v>
      </c>
      <c r="L59" s="42" t="n">
        <f aca="false">SUM(L47:L58)</f>
        <v>94.3706611570248</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8"/>
    <col collapsed="false" customWidth="true" hidden="false" outlineLevel="0" max="7" min="4" style="0" width="9"/>
    <col collapsed="false" customWidth="true" hidden="false" outlineLevel="0" max="11" min="8" style="0" width="10"/>
    <col collapsed="false" customWidth="true" hidden="false" outlineLevel="0" max="12" min="12" style="0" width="24"/>
    <col collapsed="false" customWidth="true" hidden="false" outlineLevel="0" max="13" min="13" style="0" width="8"/>
    <col collapsed="false" customWidth="true" hidden="false" outlineLevel="0" max="14" min="14" style="0" width="9"/>
    <col collapsed="false" customWidth="true" hidden="false" outlineLevel="0" max="15" min="15" style="0" width="11"/>
    <col collapsed="false" customWidth="true" hidden="false" outlineLevel="0" max="17" min="16" style="0" width="9"/>
    <col collapsed="false" customWidth="true" hidden="false" outlineLevel="0" max="18" min="18" style="0" width="8"/>
    <col collapsed="false" customWidth="true" hidden="false" outlineLevel="0" max="19" min="19" style="0" width="9"/>
    <col collapsed="false" customWidth="true" hidden="false" outlineLevel="0" max="22" min="20" style="0" width="12"/>
    <col collapsed="false" customWidth="true" hidden="false" outlineLevel="0" max="23" min="23" style="0" width="2"/>
    <col collapsed="false" customWidth="true" hidden="false" outlineLevel="0" max="28" min="24" style="0" width="9"/>
    <col collapsed="false" customWidth="true" hidden="false" outlineLevel="0" max="29" min="29" style="0" width="11"/>
    <col collapsed="false" customWidth="true" hidden="false" outlineLevel="0" max="34" min="30" style="0" width="10"/>
    <col collapsed="false" customWidth="true" hidden="false" outlineLevel="0" max="36" min="35"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X3" s="2" t="s">
        <v>69</v>
      </c>
    </row>
    <row r="4" customFormat="false" ht="15" hidden="false" customHeight="false" outlineLevel="0" collapsed="false">
      <c r="A4" s="46" t="s">
        <v>65</v>
      </c>
      <c r="B4" s="47" t="n">
        <f aca="false">SUM(B6:B370)</f>
        <v>17</v>
      </c>
      <c r="C4" s="47" t="n">
        <f aca="false">SUM(C6:C370)</f>
        <v>6</v>
      </c>
      <c r="D4" s="47" t="n">
        <f aca="false">SUM(D6:D370)</f>
        <v>5</v>
      </c>
      <c r="E4" s="47" t="n">
        <f aca="false">SUM(E6:E370)</f>
        <v>2</v>
      </c>
      <c r="F4" s="47" t="n">
        <f aca="false">SUM(F6:F370)</f>
        <v>0</v>
      </c>
      <c r="G4" s="47" t="n">
        <f aca="false">SUM(G6:G370)</f>
        <v>0</v>
      </c>
      <c r="H4" s="47" t="n">
        <f aca="false">SUM(H6:H370)</f>
        <v>3</v>
      </c>
      <c r="I4" s="48" t="n">
        <f aca="false">SUM(I6:I370)</f>
        <v>53.68</v>
      </c>
      <c r="J4" s="48" t="n">
        <f aca="false">SUM(J6:J370)</f>
        <v>125.36</v>
      </c>
      <c r="K4" s="48" t="n">
        <f aca="false">SUM(K6:K370)</f>
        <v>187.99</v>
      </c>
      <c r="M4" s="47" t="n">
        <f aca="false">SUM(M6:M370)</f>
        <v>23</v>
      </c>
      <c r="N4" s="47" t="n">
        <f aca="false">SUM(N6:N370)</f>
        <v>16</v>
      </c>
      <c r="O4" s="48" t="n">
        <f aca="false">SUM(O6:O370)</f>
        <v>749.77</v>
      </c>
      <c r="P4" s="48" t="n">
        <f aca="false">IF(M4&gt;0,O4/M4,"")</f>
        <v>32.5986956521739</v>
      </c>
      <c r="Q4" s="48" t="n">
        <f aca="false">IF(M4&gt;0,K4/M4,"")</f>
        <v>8.17347826086957</v>
      </c>
      <c r="R4" s="49" t="n">
        <f aca="false">IF(K4&gt;0,O4/K4,"")</f>
        <v>3.98835044417256</v>
      </c>
      <c r="S4" s="50" t="n">
        <f aca="false">IF(D4+E4+F4+G4&gt;0,(D4+E4)/(D4+E4+F4+G4),"")</f>
        <v>1</v>
      </c>
      <c r="T4" s="48" t="n">
        <f aca="false">SUM(T6:T370)</f>
        <v>154.5789</v>
      </c>
      <c r="U4" s="48" t="n">
        <f aca="false">SUM(U6:U370)</f>
        <v>-91.4052066115703</v>
      </c>
      <c r="V4" s="48" t="n">
        <f aca="false">SUM(V6:V370)</f>
        <v>94.3706611570248</v>
      </c>
      <c r="X4" s="47" t="n">
        <f aca="false">SUM(X6:X370)</f>
        <v>12</v>
      </c>
      <c r="Y4" s="47" t="n">
        <f aca="false">SUM(Y6:Y370)</f>
        <v>4</v>
      </c>
      <c r="Z4" s="51" t="n">
        <f aca="false">SUM(Z6:Z370)</f>
        <v>14.6</v>
      </c>
      <c r="AA4" s="51" t="n">
        <f aca="false">SUM(AA6:AA370)</f>
        <v>5.2</v>
      </c>
      <c r="AB4" s="51" t="n">
        <f aca="false">SUM(AB6:AB370)</f>
        <v>3.2</v>
      </c>
      <c r="AC4" s="48" t="n">
        <f aca="false">SUM(AC6:AC370)</f>
        <v>645.802</v>
      </c>
      <c r="AD4" s="48" t="n">
        <f aca="false">SUM(AD6:AD370)</f>
        <v>60.1975</v>
      </c>
      <c r="AE4" s="48" t="n">
        <f aca="false">SUM(AE6:AE370)</f>
        <v>153.968</v>
      </c>
      <c r="AF4" s="48" t="n">
        <f aca="false">SUM(AF6:AF370)</f>
        <v>25.792</v>
      </c>
      <c r="AG4" s="48" t="n">
        <f aca="false">SUM(AG6:AG370)</f>
        <v>101.633838842975</v>
      </c>
      <c r="AH4" s="48" t="n">
        <f aca="false">SUM(AH6:AH370)</f>
        <v>187.99</v>
      </c>
      <c r="AI4" s="47" t="n">
        <f aca="false">SUM(AI6:AI370)</f>
        <v>23</v>
      </c>
      <c r="AJ4" s="48" t="n">
        <f aca="false">SUM(AJ6:AJ370)</f>
        <v>21.85</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29" t="s">
        <v>82</v>
      </c>
      <c r="N5" s="29" t="s">
        <v>83</v>
      </c>
      <c r="O5" s="29" t="s">
        <v>57</v>
      </c>
      <c r="P5" s="29" t="s">
        <v>84</v>
      </c>
      <c r="Q5" s="29" t="s">
        <v>52</v>
      </c>
      <c r="R5" s="29" t="s">
        <v>15</v>
      </c>
      <c r="S5" s="29" t="s">
        <v>85</v>
      </c>
      <c r="T5" s="29" t="s">
        <v>86</v>
      </c>
      <c r="U5" s="29" t="s">
        <v>87</v>
      </c>
      <c r="V5" s="29" t="s">
        <v>53</v>
      </c>
      <c r="X5" s="29" t="s">
        <v>88</v>
      </c>
      <c r="Y5" s="29" t="s">
        <v>89</v>
      </c>
      <c r="Z5" s="29" t="s">
        <v>90</v>
      </c>
      <c r="AA5" s="29" t="s">
        <v>91</v>
      </c>
      <c r="AB5" s="29" t="s">
        <v>92</v>
      </c>
      <c r="AC5" s="29" t="s">
        <v>93</v>
      </c>
      <c r="AD5" s="29" t="s">
        <v>94</v>
      </c>
      <c r="AE5" s="29" t="s">
        <v>95</v>
      </c>
      <c r="AF5" s="29" t="s">
        <v>96</v>
      </c>
      <c r="AG5" s="29" t="s">
        <v>97</v>
      </c>
      <c r="AH5" s="29" t="s">
        <v>98</v>
      </c>
      <c r="AI5" s="29" t="s">
        <v>99</v>
      </c>
      <c r="AJ5" s="29" t="s">
        <v>100</v>
      </c>
    </row>
    <row r="6" customFormat="false" ht="15" hidden="false" customHeight="false" outlineLevel="0" collapsed="false">
      <c r="A6" s="53" t="n">
        <v>46300</v>
      </c>
      <c r="B6" s="54" t="n">
        <v>5</v>
      </c>
      <c r="C6" s="54" t="n">
        <v>4</v>
      </c>
      <c r="D6" s="54" t="n">
        <v>3</v>
      </c>
      <c r="E6" s="54" t="n">
        <v>2</v>
      </c>
      <c r="F6" s="54"/>
      <c r="G6" s="54"/>
      <c r="H6" s="54" t="n">
        <v>3</v>
      </c>
      <c r="I6" s="55" t="n">
        <v>38.42</v>
      </c>
      <c r="J6" s="55" t="n">
        <v>32.24</v>
      </c>
      <c r="K6" s="55" t="n">
        <v>67.67</v>
      </c>
      <c r="L6" s="56" t="s">
        <v>101</v>
      </c>
      <c r="M6" s="31" t="n">
        <f aca="false">B6+C6</f>
        <v>9</v>
      </c>
      <c r="N6" s="31" t="n">
        <f aca="false">X6+Y6</f>
        <v>4</v>
      </c>
      <c r="O6" s="32" t="n">
        <f aca="false">B6*P1_PVP+C6*P2_PVP</f>
        <v>309.91</v>
      </c>
      <c r="P6" s="32" t="n">
        <f aca="false">IF(M6&gt;0,O6/M6,"")</f>
        <v>34.4344444444444</v>
      </c>
      <c r="Q6" s="32" t="n">
        <f aca="false">IF(M6&gt;0,K6/M6,"")</f>
        <v>7.51888888888889</v>
      </c>
      <c r="R6" s="57" t="n">
        <f aca="false">IF(K6&gt;0,O6/K6,"")</f>
        <v>4.57972513669277</v>
      </c>
      <c r="S6" s="34" t="n">
        <f aca="false">IF(D6+E6+F6+G6&gt;0,(D6+E6)/(D6+E6+F6+G6),"")</f>
        <v>1</v>
      </c>
      <c r="T6" s="33" t="n">
        <f aca="false">D6*(P1_PVP-P1_CPROD)+E6*(P2_PVP-P2_CPROD)-IF(ISNUMBER(I6),I6,D6*P1_LOG+E6*P2_LOG)</f>
        <v>114.6747</v>
      </c>
      <c r="U6" s="33" t="n">
        <f aca="false">T6-(D6*P1_IVAN+E6*P2_IVAN)-(F6+G6)*(COSTE_DEV-IVA_DEV)-AH6-AJ6</f>
        <v>11.8845454545454</v>
      </c>
      <c r="V6" s="33" t="n">
        <f aca="false">AC6-AD6-AE6-AF6-AG6-AH6-AJ6</f>
        <v>62.6280826446281</v>
      </c>
      <c r="X6" s="58" t="n">
        <f aca="false">MAX(0,B6-D6-F6)</f>
        <v>2</v>
      </c>
      <c r="Y6" s="58" t="n">
        <f aca="false">MAX(0,C6-E6-G6)</f>
        <v>2</v>
      </c>
      <c r="Z6" s="59" t="n">
        <f aca="false">D6+X6*TASA_USADA</f>
        <v>4.6</v>
      </c>
      <c r="AA6" s="59" t="n">
        <f aca="false">E6+Y6*TASA_USADA</f>
        <v>3.6</v>
      </c>
      <c r="AB6" s="59" t="n">
        <f aca="false">F6+G6+(X6+Y6)*(1-TASA_USADA)</f>
        <v>0.8</v>
      </c>
      <c r="AC6" s="60" t="n">
        <f aca="false">Z6*P1_PVP+AA6*P2_PVP</f>
        <v>281.918</v>
      </c>
      <c r="AD6" s="60" t="n">
        <f aca="false">Z6*P1_CPROD+AA6*P2_CPROD</f>
        <v>28.41322</v>
      </c>
      <c r="AE6" s="60" t="n">
        <f aca="false">IF(ISNUMBER(I6),I6,D6*P1_LOG+E6*P2_LOG)+IF(ISNUMBER(J6),J6,X6*P1_LOG+Y6*P2_LOG)*TASA_USADA</f>
        <v>64.212</v>
      </c>
      <c r="AF6" s="60" t="n">
        <f aca="false">AB6*COSTE_DEV</f>
        <v>6.448</v>
      </c>
      <c r="AG6" s="60" t="n">
        <f aca="false">Z6*P1_IVAN+AA6*P2_IVAN-AB6*IVA_DEV</f>
        <v>43.9966973553719</v>
      </c>
      <c r="AH6" s="60" t="n">
        <f aca="false">K6*(1+RECARGO_ADS)</f>
        <v>67.67</v>
      </c>
      <c r="AI6" s="58" t="n">
        <f aca="false">IF(ISNUMBER(I6),D6+E6+X6+Y6,0)</f>
        <v>9</v>
      </c>
      <c r="AJ6" s="60" t="n">
        <f aca="false">M6*COMISION</f>
        <v>8.55</v>
      </c>
    </row>
    <row r="7" customFormat="false" ht="15" hidden="false" customHeight="false" outlineLevel="0" collapsed="false">
      <c r="A7" s="53" t="n">
        <v>46301</v>
      </c>
      <c r="B7" s="54" t="n">
        <v>7</v>
      </c>
      <c r="C7" s="54" t="n">
        <v>1</v>
      </c>
      <c r="D7" s="54" t="n">
        <v>2</v>
      </c>
      <c r="E7" s="54"/>
      <c r="F7" s="54"/>
      <c r="G7" s="54"/>
      <c r="H7" s="54"/>
      <c r="I7" s="55" t="n">
        <v>15.26</v>
      </c>
      <c r="J7" s="55" t="n">
        <v>44.76</v>
      </c>
      <c r="K7" s="55" t="n">
        <v>70.18</v>
      </c>
      <c r="L7" s="56"/>
      <c r="M7" s="31" t="n">
        <f aca="false">B7+C7</f>
        <v>8</v>
      </c>
      <c r="N7" s="31" t="n">
        <f aca="false">X7+Y7</f>
        <v>6</v>
      </c>
      <c r="O7" s="32" t="n">
        <f aca="false">B7*P1_PVP+C7*P2_PVP</f>
        <v>249.92</v>
      </c>
      <c r="P7" s="32" t="n">
        <f aca="false">IF(M7&gt;0,O7/M7,"")</f>
        <v>31.24</v>
      </c>
      <c r="Q7" s="32" t="n">
        <f aca="false">IF(M7&gt;0,K7/M7,"")</f>
        <v>8.7725</v>
      </c>
      <c r="R7" s="57" t="n">
        <f aca="false">IF(K7&gt;0,O7/K7,"")</f>
        <v>3.56112852664577</v>
      </c>
      <c r="S7" s="34" t="n">
        <f aca="false">IF(D7+E7+F7+G7&gt;0,(D7+E7)/(D7+E7+F7+G7),"")</f>
        <v>1</v>
      </c>
      <c r="T7" s="33" t="n">
        <f aca="false">D7*(P1_PVP-P1_CPROD)+E7*(P2_PVP-P2_CPROD)-IF(ISNUMBER(I7),I7,D7*P1_LOG+E7*P2_LOG)</f>
        <v>39.9042</v>
      </c>
      <c r="U7" s="33" t="n">
        <f aca="false">T7-(D7*P1_IVAN+E7*P2_IVAN)-(F7+G7)*(COSTE_DEV-IVA_DEV)-AH7-AJ7</f>
        <v>-47.4497520661157</v>
      </c>
      <c r="V7" s="33" t="n">
        <f aca="false">AC7-AD7-AE7-AF7-AG7-AH7-AJ7</f>
        <v>21.5064132231405</v>
      </c>
      <c r="X7" s="58" t="n">
        <f aca="false">MAX(0,B7-D7-F7)</f>
        <v>5</v>
      </c>
      <c r="Y7" s="58" t="n">
        <f aca="false">MAX(0,C7-E7-G7)</f>
        <v>1</v>
      </c>
      <c r="Z7" s="59" t="n">
        <f aca="false">D7+X7*TASA_USADA</f>
        <v>6</v>
      </c>
      <c r="AA7" s="59" t="n">
        <f aca="false">E7+Y7*TASA_USADA</f>
        <v>0.8</v>
      </c>
      <c r="AB7" s="59" t="n">
        <f aca="false">F7+G7+(X7+Y7)*(1-TASA_USADA)</f>
        <v>1.2</v>
      </c>
      <c r="AC7" s="60" t="n">
        <f aca="false">Z7*P1_PVP+AA7*P2_PVP</f>
        <v>211.932</v>
      </c>
      <c r="AD7" s="60" t="n">
        <f aca="false">Z7*P1_CPROD+AA7*P2_CPROD</f>
        <v>18.30004</v>
      </c>
      <c r="AE7" s="60" t="n">
        <f aca="false">IF(ISNUMBER(I7),I7,D7*P1_LOG+E7*P2_LOG)+IF(ISNUMBER(J7),J7,X7*P1_LOG+Y7*P2_LOG)*TASA_USADA</f>
        <v>51.068</v>
      </c>
      <c r="AF7" s="60" t="n">
        <f aca="false">AB7*COSTE_DEV</f>
        <v>9.672</v>
      </c>
      <c r="AG7" s="60" t="n">
        <f aca="false">Z7*P1_IVAN+AA7*P2_IVAN-AB7*IVA_DEV</f>
        <v>33.6055467768595</v>
      </c>
      <c r="AH7" s="60" t="n">
        <f aca="false">K7*(1+RECARGO_ADS)</f>
        <v>70.18</v>
      </c>
      <c r="AI7" s="58" t="n">
        <f aca="false">IF(ISNUMBER(I7),D7+E7+X7+Y7,0)</f>
        <v>8</v>
      </c>
      <c r="AJ7" s="60" t="n">
        <f aca="false">M7*COMISION</f>
        <v>7.6</v>
      </c>
    </row>
    <row r="8" customFormat="false" ht="15" hidden="false" customHeight="false" outlineLevel="0" collapsed="false">
      <c r="A8" s="53" t="n">
        <v>46302</v>
      </c>
      <c r="B8" s="54" t="n">
        <v>5</v>
      </c>
      <c r="C8" s="54" t="n">
        <v>1</v>
      </c>
      <c r="D8" s="54"/>
      <c r="E8" s="54"/>
      <c r="F8" s="54"/>
      <c r="G8" s="54"/>
      <c r="H8" s="54"/>
      <c r="I8" s="55" t="n">
        <v>0</v>
      </c>
      <c r="J8" s="55" t="n">
        <v>48.36</v>
      </c>
      <c r="K8" s="55" t="n">
        <v>47.41</v>
      </c>
      <c r="L8" s="56"/>
      <c r="M8" s="31" t="n">
        <f aca="false">B8+C8</f>
        <v>6</v>
      </c>
      <c r="N8" s="31" t="n">
        <f aca="false">X8+Y8</f>
        <v>6</v>
      </c>
      <c r="O8" s="32" t="n">
        <f aca="false">B8*P1_PVP+C8*P2_PVP</f>
        <v>189.94</v>
      </c>
      <c r="P8" s="32" t="n">
        <f aca="false">IF(M8&gt;0,O8/M8,"")</f>
        <v>31.6566666666667</v>
      </c>
      <c r="Q8" s="32" t="n">
        <f aca="false">IF(M8&gt;0,K8/M8,"")</f>
        <v>7.90166666666667</v>
      </c>
      <c r="R8" s="57" t="n">
        <f aca="false">IF(K8&gt;0,O8/K8,"")</f>
        <v>4.00632777894959</v>
      </c>
      <c r="S8" s="34" t="str">
        <f aca="false">IF(D8+E8+F8+G8&gt;0,(D8+E8)/(D8+E8+F8+G8),"")</f>
        <v/>
      </c>
      <c r="T8" s="33" t="n">
        <f aca="false">D8*(P1_PVP-P1_CPROD)+E8*(P2_PVP-P2_CPROD)-IF(ISNUMBER(I8),I8,D8*P1_LOG+E8*P2_LOG)</f>
        <v>0</v>
      </c>
      <c r="U8" s="33" t="n">
        <f aca="false">T8-(D8*P1_IVAN+E8*P2_IVAN)-(F8+G8)*(COSTE_DEV-IVA_DEV)-AH8-AJ8</f>
        <v>-53.11</v>
      </c>
      <c r="V8" s="33" t="n">
        <f aca="false">AC8-AD8-AE8-AF8-AG8-AH8-AJ8</f>
        <v>12.9661652892562</v>
      </c>
      <c r="X8" s="58" t="n">
        <f aca="false">MAX(0,B8-D8-F8)</f>
        <v>5</v>
      </c>
      <c r="Y8" s="58" t="n">
        <f aca="false">MAX(0,C8-E8-G8)</f>
        <v>1</v>
      </c>
      <c r="Z8" s="59" t="n">
        <f aca="false">D8+X8*TASA_USADA</f>
        <v>4</v>
      </c>
      <c r="AA8" s="59" t="n">
        <f aca="false">E8+Y8*TASA_USADA</f>
        <v>0.8</v>
      </c>
      <c r="AB8" s="59" t="n">
        <f aca="false">F8+G8+(X8+Y8)*(1-TASA_USADA)</f>
        <v>1.2</v>
      </c>
      <c r="AC8" s="60" t="n">
        <f aca="false">Z8*P1_PVP+AA8*P2_PVP</f>
        <v>151.952</v>
      </c>
      <c r="AD8" s="60" t="n">
        <f aca="false">Z8*P1_CPROD+AA8*P2_CPROD</f>
        <v>13.48424</v>
      </c>
      <c r="AE8" s="60" t="n">
        <f aca="false">IF(ISNUMBER(I8),I8,D8*P1_LOG+E8*P2_LOG)+IF(ISNUMBER(J8),J8,X8*P1_LOG+Y8*P2_LOG)*TASA_USADA</f>
        <v>38.688</v>
      </c>
      <c r="AF8" s="60" t="n">
        <f aca="false">AB8*COSTE_DEV</f>
        <v>9.672</v>
      </c>
      <c r="AG8" s="60" t="n">
        <f aca="false">Z8*P1_IVAN+AA8*P2_IVAN-AB8*IVA_DEV</f>
        <v>24.0315947107438</v>
      </c>
      <c r="AH8" s="60" t="n">
        <f aca="false">K8*(1+RECARGO_ADS)</f>
        <v>47.41</v>
      </c>
      <c r="AI8" s="58" t="n">
        <f aca="false">IF(ISNUMBER(I8),D8+E8+X8+Y8,0)</f>
        <v>6</v>
      </c>
      <c r="AJ8" s="60" t="n">
        <f aca="false">M8*COMISION</f>
        <v>5.7</v>
      </c>
    </row>
    <row r="9" customFormat="false" ht="15" hidden="false" customHeight="false" outlineLevel="0" collapsed="false">
      <c r="A9" s="53" t="n">
        <v>46303</v>
      </c>
      <c r="B9" s="54" t="n">
        <v>0</v>
      </c>
      <c r="C9" s="54" t="n">
        <v>0</v>
      </c>
      <c r="D9" s="54"/>
      <c r="E9" s="54"/>
      <c r="F9" s="54"/>
      <c r="G9" s="54"/>
      <c r="H9" s="54"/>
      <c r="I9" s="55" t="n">
        <v>0</v>
      </c>
      <c r="J9" s="55" t="n">
        <v>0</v>
      </c>
      <c r="K9" s="55" t="n">
        <v>2.73</v>
      </c>
      <c r="L9" s="56"/>
      <c r="M9" s="31" t="n">
        <f aca="false">B9+C9</f>
        <v>0</v>
      </c>
      <c r="N9" s="31" t="n">
        <f aca="false">X9+Y9</f>
        <v>0</v>
      </c>
      <c r="O9" s="32" t="n">
        <f aca="false">B9*P1_PVP+C9*P2_PVP</f>
        <v>0</v>
      </c>
      <c r="P9" s="32" t="str">
        <f aca="false">IF(M9&gt;0,O9/M9,"")</f>
        <v/>
      </c>
      <c r="Q9" s="32" t="str">
        <f aca="false">IF(M9&gt;0,K9/M9,"")</f>
        <v/>
      </c>
      <c r="R9" s="57" t="n">
        <f aca="false">IF(K9&gt;0,O9/K9,"")</f>
        <v>0</v>
      </c>
      <c r="S9" s="34" t="str">
        <f aca="false">IF(D9+E9+F9+G9&gt;0,(D9+E9)/(D9+E9+F9+G9),"")</f>
        <v/>
      </c>
      <c r="T9" s="33" t="n">
        <f aca="false">D9*(P1_PVP-P1_CPROD)+E9*(P2_PVP-P2_CPROD)-IF(ISNUMBER(I9),I9,D9*P1_LOG+E9*P2_LOG)</f>
        <v>0</v>
      </c>
      <c r="U9" s="33" t="n">
        <f aca="false">T9-(D9*P1_IVAN+E9*P2_IVAN)-(F9+G9)*(COSTE_DEV-IVA_DEV)-AH9-AJ9</f>
        <v>-2.73</v>
      </c>
      <c r="V9" s="33" t="n">
        <f aca="false">AC9-AD9-AE9-AF9-AG9-AH9-AJ9</f>
        <v>-2.73</v>
      </c>
      <c r="X9" s="58" t="n">
        <f aca="false">MAX(0,B9-D9-F9)</f>
        <v>0</v>
      </c>
      <c r="Y9" s="58" t="n">
        <f aca="false">MAX(0,C9-E9-G9)</f>
        <v>0</v>
      </c>
      <c r="Z9" s="59" t="n">
        <f aca="false">D9+X9*TASA_USADA</f>
        <v>0</v>
      </c>
      <c r="AA9" s="59" t="n">
        <f aca="false">E9+Y9*TASA_USADA</f>
        <v>0</v>
      </c>
      <c r="AB9" s="59" t="n">
        <f aca="false">F9+G9+(X9+Y9)*(1-TASA_USADA)</f>
        <v>0</v>
      </c>
      <c r="AC9" s="60" t="n">
        <f aca="false">Z9*P1_PVP+AA9*P2_PVP</f>
        <v>0</v>
      </c>
      <c r="AD9" s="60" t="n">
        <f aca="false">Z9*P1_CPROD+AA9*P2_CPROD</f>
        <v>0</v>
      </c>
      <c r="AE9" s="60" t="n">
        <f aca="false">IF(ISNUMBER(I9),I9,D9*P1_LOG+E9*P2_LOG)+IF(ISNUMBER(J9),J9,X9*P1_LOG+Y9*P2_LOG)*TASA_USADA</f>
        <v>0</v>
      </c>
      <c r="AF9" s="60" t="n">
        <f aca="false">AB9*COSTE_DEV</f>
        <v>0</v>
      </c>
      <c r="AG9" s="60" t="n">
        <f aca="false">Z9*P1_IVAN+AA9*P2_IVAN-AB9*IVA_DEV</f>
        <v>0</v>
      </c>
      <c r="AH9" s="60" t="n">
        <f aca="false">K9*(1+RECARGO_ADS)</f>
        <v>2.73</v>
      </c>
      <c r="AI9" s="58" t="n">
        <f aca="false">IF(ISNUMBER(I9),D9+E9+X9+Y9,0)</f>
        <v>0</v>
      </c>
      <c r="AJ9" s="60" t="n">
        <f aca="false">M9*COMISION</f>
        <v>0</v>
      </c>
    </row>
    <row r="10" customFormat="false" ht="15" hidden="false" customHeight="false" outlineLevel="0" collapsed="false">
      <c r="A10" s="53" t="n">
        <v>46304</v>
      </c>
      <c r="B10" s="54"/>
      <c r="C10" s="54"/>
      <c r="D10" s="54"/>
      <c r="E10" s="54"/>
      <c r="F10" s="54"/>
      <c r="G10" s="54"/>
      <c r="H10" s="54"/>
      <c r="I10" s="55"/>
      <c r="J10" s="55"/>
      <c r="K10" s="55"/>
      <c r="L10" s="56"/>
      <c r="M10" s="31" t="n">
        <f aca="false">B10+C10</f>
        <v>0</v>
      </c>
      <c r="N10" s="31" t="n">
        <f aca="false">X10+Y10</f>
        <v>0</v>
      </c>
      <c r="O10" s="32" t="n">
        <f aca="false">B10*P1_PVP+C10*P2_PVP</f>
        <v>0</v>
      </c>
      <c r="P10" s="32" t="str">
        <f aca="false">IF(M10&gt;0,O10/M10,"")</f>
        <v/>
      </c>
      <c r="Q10" s="32" t="str">
        <f aca="false">IF(M10&gt;0,K10/M10,"")</f>
        <v/>
      </c>
      <c r="R10" s="57" t="str">
        <f aca="false">IF(K10&gt;0,O10/K10,"")</f>
        <v/>
      </c>
      <c r="S10" s="34" t="str">
        <f aca="false">IF(D10+E10+F10+G10&gt;0,(D10+E10)/(D10+E10+F10+G10),"")</f>
        <v/>
      </c>
      <c r="T10" s="33" t="n">
        <f aca="false">D10*(P1_PVP-P1_CPROD)+E10*(P2_PVP-P2_CPROD)-IF(ISNUMBER(I10),I10,D10*P1_LOG+E10*P2_LOG)</f>
        <v>0</v>
      </c>
      <c r="U10" s="33" t="n">
        <f aca="false">T10-(D10*P1_IVAN+E10*P2_IVAN)-(F10+G10)*(COSTE_DEV-IVA_DEV)-AH10-AJ10</f>
        <v>0</v>
      </c>
      <c r="V10" s="33" t="n">
        <f aca="false">AC10-AD10-AE10-AF10-AG10-AH10-AJ10</f>
        <v>0</v>
      </c>
      <c r="X10" s="58" t="n">
        <f aca="false">MAX(0,B10-D10-F10)</f>
        <v>0</v>
      </c>
      <c r="Y10" s="58" t="n">
        <f aca="false">MAX(0,C10-E10-G10)</f>
        <v>0</v>
      </c>
      <c r="Z10" s="59" t="n">
        <f aca="false">D10+X10*TASA_USADA</f>
        <v>0</v>
      </c>
      <c r="AA10" s="59" t="n">
        <f aca="false">E10+Y10*TASA_USADA</f>
        <v>0</v>
      </c>
      <c r="AB10" s="59" t="n">
        <f aca="false">F10+G10+(X10+Y10)*(1-TASA_USADA)</f>
        <v>0</v>
      </c>
      <c r="AC10" s="60" t="n">
        <f aca="false">Z10*P1_PVP+AA10*P2_PVP</f>
        <v>0</v>
      </c>
      <c r="AD10" s="60" t="n">
        <f aca="false">Z10*P1_CPROD+AA10*P2_CPROD</f>
        <v>0</v>
      </c>
      <c r="AE10" s="60" t="n">
        <f aca="false">IF(ISNUMBER(I10),I10,D10*P1_LOG+E10*P2_LOG)+IF(ISNUMBER(J10),J10,X10*P1_LOG+Y10*P2_LOG)*TASA_USADA</f>
        <v>0</v>
      </c>
      <c r="AF10" s="60" t="n">
        <f aca="false">AB10*COSTE_DEV</f>
        <v>0</v>
      </c>
      <c r="AG10" s="60" t="n">
        <f aca="false">Z10*P1_IVAN+AA10*P2_IVAN-AB10*IVA_DEV</f>
        <v>0</v>
      </c>
      <c r="AH10" s="60" t="n">
        <f aca="false">K10*(1+RECARGO_ADS)</f>
        <v>0</v>
      </c>
      <c r="AI10" s="58" t="n">
        <f aca="false">IF(ISNUMBER(I10),D10+E10+X10+Y10,0)</f>
        <v>0</v>
      </c>
      <c r="AJ10" s="60" t="n">
        <f aca="false">M10*COMISION</f>
        <v>0</v>
      </c>
    </row>
    <row r="11" customFormat="false" ht="15" hidden="false" customHeight="false" outlineLevel="0" collapsed="false">
      <c r="A11" s="53" t="n">
        <v>46305</v>
      </c>
      <c r="B11" s="54"/>
      <c r="C11" s="54"/>
      <c r="D11" s="54"/>
      <c r="E11" s="54"/>
      <c r="F11" s="54"/>
      <c r="G11" s="54"/>
      <c r="H11" s="54"/>
      <c r="I11" s="55"/>
      <c r="J11" s="55"/>
      <c r="K11" s="55"/>
      <c r="L11" s="56"/>
      <c r="M11" s="31" t="n">
        <f aca="false">B11+C11</f>
        <v>0</v>
      </c>
      <c r="N11" s="31" t="n">
        <f aca="false">X11+Y11</f>
        <v>0</v>
      </c>
      <c r="O11" s="32" t="n">
        <f aca="false">B11*P1_PVP+C11*P2_PVP</f>
        <v>0</v>
      </c>
      <c r="P11" s="32" t="str">
        <f aca="false">IF(M11&gt;0,O11/M11,"")</f>
        <v/>
      </c>
      <c r="Q11" s="32" t="str">
        <f aca="false">IF(M11&gt;0,K11/M11,"")</f>
        <v/>
      </c>
      <c r="R11" s="57" t="str">
        <f aca="false">IF(K11&gt;0,O11/K11,"")</f>
        <v/>
      </c>
      <c r="S11" s="34" t="str">
        <f aca="false">IF(D11+E11+F11+G11&gt;0,(D11+E11)/(D11+E11+F11+G11),"")</f>
        <v/>
      </c>
      <c r="T11" s="33" t="n">
        <f aca="false">D11*(P1_PVP-P1_CPROD)+E11*(P2_PVP-P2_CPROD)-IF(ISNUMBER(I11),I11,D11*P1_LOG+E11*P2_LOG)</f>
        <v>0</v>
      </c>
      <c r="U11" s="33" t="n">
        <f aca="false">T11-(D11*P1_IVAN+E11*P2_IVAN)-(F11+G11)*(COSTE_DEV-IVA_DEV)-AH11-AJ11</f>
        <v>0</v>
      </c>
      <c r="V11" s="33" t="n">
        <f aca="false">AC11-AD11-AE11-AF11-AG11-AH11-AJ11</f>
        <v>0</v>
      </c>
      <c r="X11" s="58" t="n">
        <f aca="false">MAX(0,B11-D11-F11)</f>
        <v>0</v>
      </c>
      <c r="Y11" s="58" t="n">
        <f aca="false">MAX(0,C11-E11-G11)</f>
        <v>0</v>
      </c>
      <c r="Z11" s="59" t="n">
        <f aca="false">D11+X11*TASA_USADA</f>
        <v>0</v>
      </c>
      <c r="AA11" s="59" t="n">
        <f aca="false">E11+Y11*TASA_USADA</f>
        <v>0</v>
      </c>
      <c r="AB11" s="59" t="n">
        <f aca="false">F11+G11+(X11+Y11)*(1-TASA_USADA)</f>
        <v>0</v>
      </c>
      <c r="AC11" s="60" t="n">
        <f aca="false">Z11*P1_PVP+AA11*P2_PVP</f>
        <v>0</v>
      </c>
      <c r="AD11" s="60" t="n">
        <f aca="false">Z11*P1_CPROD+AA11*P2_CPROD</f>
        <v>0</v>
      </c>
      <c r="AE11" s="60" t="n">
        <f aca="false">IF(ISNUMBER(I11),I11,D11*P1_LOG+E11*P2_LOG)+IF(ISNUMBER(J11),J11,X11*P1_LOG+Y11*P2_LOG)*TASA_USADA</f>
        <v>0</v>
      </c>
      <c r="AF11" s="60" t="n">
        <f aca="false">AB11*COSTE_DEV</f>
        <v>0</v>
      </c>
      <c r="AG11" s="60" t="n">
        <f aca="false">Z11*P1_IVAN+AA11*P2_IVAN-AB11*IVA_DEV</f>
        <v>0</v>
      </c>
      <c r="AH11" s="60" t="n">
        <f aca="false">K11*(1+RECARGO_ADS)</f>
        <v>0</v>
      </c>
      <c r="AI11" s="58" t="n">
        <f aca="false">IF(ISNUMBER(I11),D11+E11+X11+Y11,0)</f>
        <v>0</v>
      </c>
      <c r="AJ11" s="60" t="n">
        <f aca="false">M11*COMISION</f>
        <v>0</v>
      </c>
    </row>
    <row r="12" customFormat="false" ht="15" hidden="false" customHeight="false" outlineLevel="0" collapsed="false">
      <c r="A12" s="53" t="n">
        <v>46306</v>
      </c>
      <c r="B12" s="54"/>
      <c r="C12" s="54"/>
      <c r="D12" s="54"/>
      <c r="E12" s="54"/>
      <c r="F12" s="54"/>
      <c r="G12" s="54"/>
      <c r="H12" s="54"/>
      <c r="I12" s="55"/>
      <c r="J12" s="55"/>
      <c r="K12" s="55"/>
      <c r="L12" s="56"/>
      <c r="M12" s="31" t="n">
        <f aca="false">B12+C12</f>
        <v>0</v>
      </c>
      <c r="N12" s="31" t="n">
        <f aca="false">X12+Y12</f>
        <v>0</v>
      </c>
      <c r="O12" s="32" t="n">
        <f aca="false">B12*P1_PVP+C12*P2_PVP</f>
        <v>0</v>
      </c>
      <c r="P12" s="32" t="str">
        <f aca="false">IF(M12&gt;0,O12/M12,"")</f>
        <v/>
      </c>
      <c r="Q12" s="32" t="str">
        <f aca="false">IF(M12&gt;0,K12/M12,"")</f>
        <v/>
      </c>
      <c r="R12" s="57" t="str">
        <f aca="false">IF(K12&gt;0,O12/K12,"")</f>
        <v/>
      </c>
      <c r="S12" s="34" t="str">
        <f aca="false">IF(D12+E12+F12+G12&gt;0,(D12+E12)/(D12+E12+F12+G12),"")</f>
        <v/>
      </c>
      <c r="T12" s="33" t="n">
        <f aca="false">D12*(P1_PVP-P1_CPROD)+E12*(P2_PVP-P2_CPROD)-IF(ISNUMBER(I12),I12,D12*P1_LOG+E12*P2_LOG)</f>
        <v>0</v>
      </c>
      <c r="U12" s="33" t="n">
        <f aca="false">T12-(D12*P1_IVAN+E12*P2_IVAN)-(F12+G12)*(COSTE_DEV-IVA_DEV)-AH12-AJ12</f>
        <v>0</v>
      </c>
      <c r="V12" s="33" t="n">
        <f aca="false">AC12-AD12-AE12-AF12-AG12-AH12-AJ12</f>
        <v>0</v>
      </c>
      <c r="X12" s="58" t="n">
        <f aca="false">MAX(0,B12-D12-F12)</f>
        <v>0</v>
      </c>
      <c r="Y12" s="58" t="n">
        <f aca="false">MAX(0,C12-E12-G12)</f>
        <v>0</v>
      </c>
      <c r="Z12" s="59" t="n">
        <f aca="false">D12+X12*TASA_USADA</f>
        <v>0</v>
      </c>
      <c r="AA12" s="59" t="n">
        <f aca="false">E12+Y12*TASA_USADA</f>
        <v>0</v>
      </c>
      <c r="AB12" s="59" t="n">
        <f aca="false">F12+G12+(X12+Y12)*(1-TASA_USADA)</f>
        <v>0</v>
      </c>
      <c r="AC12" s="60" t="n">
        <f aca="false">Z12*P1_PVP+AA12*P2_PVP</f>
        <v>0</v>
      </c>
      <c r="AD12" s="60" t="n">
        <f aca="false">Z12*P1_CPROD+AA12*P2_CPROD</f>
        <v>0</v>
      </c>
      <c r="AE12" s="60" t="n">
        <f aca="false">IF(ISNUMBER(I12),I12,D12*P1_LOG+E12*P2_LOG)+IF(ISNUMBER(J12),J12,X12*P1_LOG+Y12*P2_LOG)*TASA_USADA</f>
        <v>0</v>
      </c>
      <c r="AF12" s="60" t="n">
        <f aca="false">AB12*COSTE_DEV</f>
        <v>0</v>
      </c>
      <c r="AG12" s="60" t="n">
        <f aca="false">Z12*P1_IVAN+AA12*P2_IVAN-AB12*IVA_DEV</f>
        <v>0</v>
      </c>
      <c r="AH12" s="60" t="n">
        <f aca="false">K12*(1+RECARGO_ADS)</f>
        <v>0</v>
      </c>
      <c r="AI12" s="58" t="n">
        <f aca="false">IF(ISNUMBER(I12),D12+E12+X12+Y12,0)</f>
        <v>0</v>
      </c>
      <c r="AJ12" s="60" t="n">
        <f aca="false">M12*COMISION</f>
        <v>0</v>
      </c>
    </row>
    <row r="13" customFormat="false" ht="15" hidden="false" customHeight="false" outlineLevel="0" collapsed="false">
      <c r="A13" s="53" t="n">
        <v>46307</v>
      </c>
      <c r="B13" s="54"/>
      <c r="C13" s="54"/>
      <c r="D13" s="54"/>
      <c r="E13" s="54"/>
      <c r="F13" s="54"/>
      <c r="G13" s="54"/>
      <c r="H13" s="54"/>
      <c r="I13" s="55"/>
      <c r="J13" s="55"/>
      <c r="K13" s="55"/>
      <c r="L13" s="56"/>
      <c r="M13" s="31" t="n">
        <f aca="false">B13+C13</f>
        <v>0</v>
      </c>
      <c r="N13" s="31" t="n">
        <f aca="false">X13+Y13</f>
        <v>0</v>
      </c>
      <c r="O13" s="32" t="n">
        <f aca="false">B13*P1_PVP+C13*P2_PVP</f>
        <v>0</v>
      </c>
      <c r="P13" s="32" t="str">
        <f aca="false">IF(M13&gt;0,O13/M13,"")</f>
        <v/>
      </c>
      <c r="Q13" s="32" t="str">
        <f aca="false">IF(M13&gt;0,K13/M13,"")</f>
        <v/>
      </c>
      <c r="R13" s="57" t="str">
        <f aca="false">IF(K13&gt;0,O13/K13,"")</f>
        <v/>
      </c>
      <c r="S13" s="34" t="str">
        <f aca="false">IF(D13+E13+F13+G13&gt;0,(D13+E13)/(D13+E13+F13+G13),"")</f>
        <v/>
      </c>
      <c r="T13" s="33" t="n">
        <f aca="false">D13*(P1_PVP-P1_CPROD)+E13*(P2_PVP-P2_CPROD)-IF(ISNUMBER(I13),I13,D13*P1_LOG+E13*P2_LOG)</f>
        <v>0</v>
      </c>
      <c r="U13" s="33" t="n">
        <f aca="false">T13-(D13*P1_IVAN+E13*P2_IVAN)-(F13+G13)*(COSTE_DEV-IVA_DEV)-AH13-AJ13</f>
        <v>0</v>
      </c>
      <c r="V13" s="33" t="n">
        <f aca="false">AC13-AD13-AE13-AF13-AG13-AH13-AJ13</f>
        <v>0</v>
      </c>
      <c r="X13" s="58" t="n">
        <f aca="false">MAX(0,B13-D13-F13)</f>
        <v>0</v>
      </c>
      <c r="Y13" s="58" t="n">
        <f aca="false">MAX(0,C13-E13-G13)</f>
        <v>0</v>
      </c>
      <c r="Z13" s="59" t="n">
        <f aca="false">D13+X13*TASA_USADA</f>
        <v>0</v>
      </c>
      <c r="AA13" s="59" t="n">
        <f aca="false">E13+Y13*TASA_USADA</f>
        <v>0</v>
      </c>
      <c r="AB13" s="59" t="n">
        <f aca="false">F13+G13+(X13+Y13)*(1-TASA_USADA)</f>
        <v>0</v>
      </c>
      <c r="AC13" s="60" t="n">
        <f aca="false">Z13*P1_PVP+AA13*P2_PVP</f>
        <v>0</v>
      </c>
      <c r="AD13" s="60" t="n">
        <f aca="false">Z13*P1_CPROD+AA13*P2_CPROD</f>
        <v>0</v>
      </c>
      <c r="AE13" s="60" t="n">
        <f aca="false">IF(ISNUMBER(I13),I13,D13*P1_LOG+E13*P2_LOG)+IF(ISNUMBER(J13),J13,X13*P1_LOG+Y13*P2_LOG)*TASA_USADA</f>
        <v>0</v>
      </c>
      <c r="AF13" s="60" t="n">
        <f aca="false">AB13*COSTE_DEV</f>
        <v>0</v>
      </c>
      <c r="AG13" s="60" t="n">
        <f aca="false">Z13*P1_IVAN+AA13*P2_IVAN-AB13*IVA_DEV</f>
        <v>0</v>
      </c>
      <c r="AH13" s="60" t="n">
        <f aca="false">K13*(1+RECARGO_ADS)</f>
        <v>0</v>
      </c>
      <c r="AI13" s="58" t="n">
        <f aca="false">IF(ISNUMBER(I13),D13+E13+X13+Y13,0)</f>
        <v>0</v>
      </c>
      <c r="AJ13" s="60" t="n">
        <f aca="false">M13*COMISION</f>
        <v>0</v>
      </c>
    </row>
    <row r="14" customFormat="false" ht="15" hidden="false" customHeight="false" outlineLevel="0" collapsed="false">
      <c r="A14" s="53" t="n">
        <v>46308</v>
      </c>
      <c r="B14" s="54"/>
      <c r="C14" s="54"/>
      <c r="D14" s="54"/>
      <c r="E14" s="54"/>
      <c r="F14" s="54"/>
      <c r="G14" s="54"/>
      <c r="H14" s="54"/>
      <c r="I14" s="55"/>
      <c r="J14" s="55"/>
      <c r="K14" s="55"/>
      <c r="L14" s="56"/>
      <c r="M14" s="31" t="n">
        <f aca="false">B14+C14</f>
        <v>0</v>
      </c>
      <c r="N14" s="31" t="n">
        <f aca="false">X14+Y14</f>
        <v>0</v>
      </c>
      <c r="O14" s="32" t="n">
        <f aca="false">B14*P1_PVP+C14*P2_PVP</f>
        <v>0</v>
      </c>
      <c r="P14" s="32" t="str">
        <f aca="false">IF(M14&gt;0,O14/M14,"")</f>
        <v/>
      </c>
      <c r="Q14" s="32" t="str">
        <f aca="false">IF(M14&gt;0,K14/M14,"")</f>
        <v/>
      </c>
      <c r="R14" s="57" t="str">
        <f aca="false">IF(K14&gt;0,O14/K14,"")</f>
        <v/>
      </c>
      <c r="S14" s="34" t="str">
        <f aca="false">IF(D14+E14+F14+G14&gt;0,(D14+E14)/(D14+E14+F14+G14),"")</f>
        <v/>
      </c>
      <c r="T14" s="33" t="n">
        <f aca="false">D14*(P1_PVP-P1_CPROD)+E14*(P2_PVP-P2_CPROD)-IF(ISNUMBER(I14),I14,D14*P1_LOG+E14*P2_LOG)</f>
        <v>0</v>
      </c>
      <c r="U14" s="33" t="n">
        <f aca="false">T14-(D14*P1_IVAN+E14*P2_IVAN)-(F14+G14)*(COSTE_DEV-IVA_DEV)-AH14-AJ14</f>
        <v>0</v>
      </c>
      <c r="V14" s="33" t="n">
        <f aca="false">AC14-AD14-AE14-AF14-AG14-AH14-AJ14</f>
        <v>0</v>
      </c>
      <c r="X14" s="58" t="n">
        <f aca="false">MAX(0,B14-D14-F14)</f>
        <v>0</v>
      </c>
      <c r="Y14" s="58" t="n">
        <f aca="false">MAX(0,C14-E14-G14)</f>
        <v>0</v>
      </c>
      <c r="Z14" s="59" t="n">
        <f aca="false">D14+X14*TASA_USADA</f>
        <v>0</v>
      </c>
      <c r="AA14" s="59" t="n">
        <f aca="false">E14+Y14*TASA_USADA</f>
        <v>0</v>
      </c>
      <c r="AB14" s="59" t="n">
        <f aca="false">F14+G14+(X14+Y14)*(1-TASA_USADA)</f>
        <v>0</v>
      </c>
      <c r="AC14" s="60" t="n">
        <f aca="false">Z14*P1_PVP+AA14*P2_PVP</f>
        <v>0</v>
      </c>
      <c r="AD14" s="60" t="n">
        <f aca="false">Z14*P1_CPROD+AA14*P2_CPROD</f>
        <v>0</v>
      </c>
      <c r="AE14" s="60" t="n">
        <f aca="false">IF(ISNUMBER(I14),I14,D14*P1_LOG+E14*P2_LOG)+IF(ISNUMBER(J14),J14,X14*P1_LOG+Y14*P2_LOG)*TASA_USADA</f>
        <v>0</v>
      </c>
      <c r="AF14" s="60" t="n">
        <f aca="false">AB14*COSTE_DEV</f>
        <v>0</v>
      </c>
      <c r="AG14" s="60" t="n">
        <f aca="false">Z14*P1_IVAN+AA14*P2_IVAN-AB14*IVA_DEV</f>
        <v>0</v>
      </c>
      <c r="AH14" s="60" t="n">
        <f aca="false">K14*(1+RECARGO_ADS)</f>
        <v>0</v>
      </c>
      <c r="AI14" s="58" t="n">
        <f aca="false">IF(ISNUMBER(I14),D14+E14+X14+Y14,0)</f>
        <v>0</v>
      </c>
      <c r="AJ14" s="60" t="n">
        <f aca="false">M14*COMISION</f>
        <v>0</v>
      </c>
    </row>
    <row r="15" customFormat="false" ht="15" hidden="false" customHeight="false" outlineLevel="0" collapsed="false">
      <c r="A15" s="53" t="n">
        <v>46309</v>
      </c>
      <c r="B15" s="54"/>
      <c r="C15" s="54"/>
      <c r="D15" s="54"/>
      <c r="E15" s="54"/>
      <c r="F15" s="54"/>
      <c r="G15" s="54"/>
      <c r="H15" s="54"/>
      <c r="I15" s="55"/>
      <c r="J15" s="55"/>
      <c r="K15" s="55"/>
      <c r="L15" s="56"/>
      <c r="M15" s="31" t="n">
        <f aca="false">B15+C15</f>
        <v>0</v>
      </c>
      <c r="N15" s="31" t="n">
        <f aca="false">X15+Y15</f>
        <v>0</v>
      </c>
      <c r="O15" s="32" t="n">
        <f aca="false">B15*P1_PVP+C15*P2_PVP</f>
        <v>0</v>
      </c>
      <c r="P15" s="32" t="str">
        <f aca="false">IF(M15&gt;0,O15/M15,"")</f>
        <v/>
      </c>
      <c r="Q15" s="32" t="str">
        <f aca="false">IF(M15&gt;0,K15/M15,"")</f>
        <v/>
      </c>
      <c r="R15" s="57" t="str">
        <f aca="false">IF(K15&gt;0,O15/K15,"")</f>
        <v/>
      </c>
      <c r="S15" s="34" t="str">
        <f aca="false">IF(D15+E15+F15+G15&gt;0,(D15+E15)/(D15+E15+F15+G15),"")</f>
        <v/>
      </c>
      <c r="T15" s="33" t="n">
        <f aca="false">D15*(P1_PVP-P1_CPROD)+E15*(P2_PVP-P2_CPROD)-IF(ISNUMBER(I15),I15,D15*P1_LOG+E15*P2_LOG)</f>
        <v>0</v>
      </c>
      <c r="U15" s="33" t="n">
        <f aca="false">T15-(D15*P1_IVAN+E15*P2_IVAN)-(F15+G15)*(COSTE_DEV-IVA_DEV)-AH15-AJ15</f>
        <v>0</v>
      </c>
      <c r="V15" s="33" t="n">
        <f aca="false">AC15-AD15-AE15-AF15-AG15-AH15-AJ15</f>
        <v>0</v>
      </c>
      <c r="X15" s="58" t="n">
        <f aca="false">MAX(0,B15-D15-F15)</f>
        <v>0</v>
      </c>
      <c r="Y15" s="58" t="n">
        <f aca="false">MAX(0,C15-E15-G15)</f>
        <v>0</v>
      </c>
      <c r="Z15" s="59" t="n">
        <f aca="false">D15+X15*TASA_USADA</f>
        <v>0</v>
      </c>
      <c r="AA15" s="59" t="n">
        <f aca="false">E15+Y15*TASA_USADA</f>
        <v>0</v>
      </c>
      <c r="AB15" s="59" t="n">
        <f aca="false">F15+G15+(X15+Y15)*(1-TASA_USADA)</f>
        <v>0</v>
      </c>
      <c r="AC15" s="60" t="n">
        <f aca="false">Z15*P1_PVP+AA15*P2_PVP</f>
        <v>0</v>
      </c>
      <c r="AD15" s="60" t="n">
        <f aca="false">Z15*P1_CPROD+AA15*P2_CPROD</f>
        <v>0</v>
      </c>
      <c r="AE15" s="60" t="n">
        <f aca="false">IF(ISNUMBER(I15),I15,D15*P1_LOG+E15*P2_LOG)+IF(ISNUMBER(J15),J15,X15*P1_LOG+Y15*P2_LOG)*TASA_USADA</f>
        <v>0</v>
      </c>
      <c r="AF15" s="60" t="n">
        <f aca="false">AB15*COSTE_DEV</f>
        <v>0</v>
      </c>
      <c r="AG15" s="60" t="n">
        <f aca="false">Z15*P1_IVAN+AA15*P2_IVAN-AB15*IVA_DEV</f>
        <v>0</v>
      </c>
      <c r="AH15" s="60" t="n">
        <f aca="false">K15*(1+RECARGO_ADS)</f>
        <v>0</v>
      </c>
      <c r="AI15" s="58" t="n">
        <f aca="false">IF(ISNUMBER(I15),D15+E15+X15+Y15,0)</f>
        <v>0</v>
      </c>
      <c r="AJ15" s="60" t="n">
        <f aca="false">M15*COMISION</f>
        <v>0</v>
      </c>
    </row>
    <row r="16" customFormat="false" ht="15" hidden="false" customHeight="false" outlineLevel="0" collapsed="false">
      <c r="A16" s="53" t="n">
        <v>46310</v>
      </c>
      <c r="B16" s="54"/>
      <c r="C16" s="54"/>
      <c r="D16" s="54"/>
      <c r="E16" s="54"/>
      <c r="F16" s="54"/>
      <c r="G16" s="54"/>
      <c r="H16" s="54"/>
      <c r="I16" s="55"/>
      <c r="J16" s="55"/>
      <c r="K16" s="55"/>
      <c r="L16" s="56"/>
      <c r="M16" s="31" t="n">
        <f aca="false">B16+C16</f>
        <v>0</v>
      </c>
      <c r="N16" s="31" t="n">
        <f aca="false">X16+Y16</f>
        <v>0</v>
      </c>
      <c r="O16" s="32" t="n">
        <f aca="false">B16*P1_PVP+C16*P2_PVP</f>
        <v>0</v>
      </c>
      <c r="P16" s="32" t="str">
        <f aca="false">IF(M16&gt;0,O16/M16,"")</f>
        <v/>
      </c>
      <c r="Q16" s="32" t="str">
        <f aca="false">IF(M16&gt;0,K16/M16,"")</f>
        <v/>
      </c>
      <c r="R16" s="57" t="str">
        <f aca="false">IF(K16&gt;0,O16/K16,"")</f>
        <v/>
      </c>
      <c r="S16" s="34" t="str">
        <f aca="false">IF(D16+E16+F16+G16&gt;0,(D16+E16)/(D16+E16+F16+G16),"")</f>
        <v/>
      </c>
      <c r="T16" s="33" t="n">
        <f aca="false">D16*(P1_PVP-P1_CPROD)+E16*(P2_PVP-P2_CPROD)-IF(ISNUMBER(I16),I16,D16*P1_LOG+E16*P2_LOG)</f>
        <v>0</v>
      </c>
      <c r="U16" s="33" t="n">
        <f aca="false">T16-(D16*P1_IVAN+E16*P2_IVAN)-(F16+G16)*(COSTE_DEV-IVA_DEV)-AH16-AJ16</f>
        <v>0</v>
      </c>
      <c r="V16" s="33" t="n">
        <f aca="false">AC16-AD16-AE16-AF16-AG16-AH16-AJ16</f>
        <v>0</v>
      </c>
      <c r="X16" s="58" t="n">
        <f aca="false">MAX(0,B16-D16-F16)</f>
        <v>0</v>
      </c>
      <c r="Y16" s="58" t="n">
        <f aca="false">MAX(0,C16-E16-G16)</f>
        <v>0</v>
      </c>
      <c r="Z16" s="59" t="n">
        <f aca="false">D16+X16*TASA_USADA</f>
        <v>0</v>
      </c>
      <c r="AA16" s="59" t="n">
        <f aca="false">E16+Y16*TASA_USADA</f>
        <v>0</v>
      </c>
      <c r="AB16" s="59" t="n">
        <f aca="false">F16+G16+(X16+Y16)*(1-TASA_USADA)</f>
        <v>0</v>
      </c>
      <c r="AC16" s="60" t="n">
        <f aca="false">Z16*P1_PVP+AA16*P2_PVP</f>
        <v>0</v>
      </c>
      <c r="AD16" s="60" t="n">
        <f aca="false">Z16*P1_CPROD+AA16*P2_CPROD</f>
        <v>0</v>
      </c>
      <c r="AE16" s="60" t="n">
        <f aca="false">IF(ISNUMBER(I16),I16,D16*P1_LOG+E16*P2_LOG)+IF(ISNUMBER(J16),J16,X16*P1_LOG+Y16*P2_LOG)*TASA_USADA</f>
        <v>0</v>
      </c>
      <c r="AF16" s="60" t="n">
        <f aca="false">AB16*COSTE_DEV</f>
        <v>0</v>
      </c>
      <c r="AG16" s="60" t="n">
        <f aca="false">Z16*P1_IVAN+AA16*P2_IVAN-AB16*IVA_DEV</f>
        <v>0</v>
      </c>
      <c r="AH16" s="60" t="n">
        <f aca="false">K16*(1+RECARGO_ADS)</f>
        <v>0</v>
      </c>
      <c r="AI16" s="58" t="n">
        <f aca="false">IF(ISNUMBER(I16),D16+E16+X16+Y16,0)</f>
        <v>0</v>
      </c>
      <c r="AJ16" s="60" t="n">
        <f aca="false">M16*COMISION</f>
        <v>0</v>
      </c>
    </row>
    <row r="17" customFormat="false" ht="15" hidden="false" customHeight="false" outlineLevel="0" collapsed="false">
      <c r="A17" s="53" t="n">
        <v>46311</v>
      </c>
      <c r="B17" s="54"/>
      <c r="C17" s="54"/>
      <c r="D17" s="54"/>
      <c r="E17" s="54"/>
      <c r="F17" s="54"/>
      <c r="G17" s="54"/>
      <c r="H17" s="54"/>
      <c r="I17" s="55"/>
      <c r="J17" s="55"/>
      <c r="K17" s="55"/>
      <c r="L17" s="56"/>
      <c r="M17" s="31" t="n">
        <f aca="false">B17+C17</f>
        <v>0</v>
      </c>
      <c r="N17" s="31" t="n">
        <f aca="false">X17+Y17</f>
        <v>0</v>
      </c>
      <c r="O17" s="32" t="n">
        <f aca="false">B17*P1_PVP+C17*P2_PVP</f>
        <v>0</v>
      </c>
      <c r="P17" s="32" t="str">
        <f aca="false">IF(M17&gt;0,O17/M17,"")</f>
        <v/>
      </c>
      <c r="Q17" s="32" t="str">
        <f aca="false">IF(M17&gt;0,K17/M17,"")</f>
        <v/>
      </c>
      <c r="R17" s="57" t="str">
        <f aca="false">IF(K17&gt;0,O17/K17,"")</f>
        <v/>
      </c>
      <c r="S17" s="34" t="str">
        <f aca="false">IF(D17+E17+F17+G17&gt;0,(D17+E17)/(D17+E17+F17+G17),"")</f>
        <v/>
      </c>
      <c r="T17" s="33" t="n">
        <f aca="false">D17*(P1_PVP-P1_CPROD)+E17*(P2_PVP-P2_CPROD)-IF(ISNUMBER(I17),I17,D17*P1_LOG+E17*P2_LOG)</f>
        <v>0</v>
      </c>
      <c r="U17" s="33" t="n">
        <f aca="false">T17-(D17*P1_IVAN+E17*P2_IVAN)-(F17+G17)*(COSTE_DEV-IVA_DEV)-AH17-AJ17</f>
        <v>0</v>
      </c>
      <c r="V17" s="33" t="n">
        <f aca="false">AC17-AD17-AE17-AF17-AG17-AH17-AJ17</f>
        <v>0</v>
      </c>
      <c r="X17" s="58" t="n">
        <f aca="false">MAX(0,B17-D17-F17)</f>
        <v>0</v>
      </c>
      <c r="Y17" s="58" t="n">
        <f aca="false">MAX(0,C17-E17-G17)</f>
        <v>0</v>
      </c>
      <c r="Z17" s="59" t="n">
        <f aca="false">D17+X17*TASA_USADA</f>
        <v>0</v>
      </c>
      <c r="AA17" s="59" t="n">
        <f aca="false">E17+Y17*TASA_USADA</f>
        <v>0</v>
      </c>
      <c r="AB17" s="59" t="n">
        <f aca="false">F17+G17+(X17+Y17)*(1-TASA_USADA)</f>
        <v>0</v>
      </c>
      <c r="AC17" s="60" t="n">
        <f aca="false">Z17*P1_PVP+AA17*P2_PVP</f>
        <v>0</v>
      </c>
      <c r="AD17" s="60" t="n">
        <f aca="false">Z17*P1_CPROD+AA17*P2_CPROD</f>
        <v>0</v>
      </c>
      <c r="AE17" s="60" t="n">
        <f aca="false">IF(ISNUMBER(I17),I17,D17*P1_LOG+E17*P2_LOG)+IF(ISNUMBER(J17),J17,X17*P1_LOG+Y17*P2_LOG)*TASA_USADA</f>
        <v>0</v>
      </c>
      <c r="AF17" s="60" t="n">
        <f aca="false">AB17*COSTE_DEV</f>
        <v>0</v>
      </c>
      <c r="AG17" s="60" t="n">
        <f aca="false">Z17*P1_IVAN+AA17*P2_IVAN-AB17*IVA_DEV</f>
        <v>0</v>
      </c>
      <c r="AH17" s="60" t="n">
        <f aca="false">K17*(1+RECARGO_ADS)</f>
        <v>0</v>
      </c>
      <c r="AI17" s="58" t="n">
        <f aca="false">IF(ISNUMBER(I17),D17+E17+X17+Y17,0)</f>
        <v>0</v>
      </c>
      <c r="AJ17" s="60" t="n">
        <f aca="false">M17*COMISION</f>
        <v>0</v>
      </c>
    </row>
    <row r="18" customFormat="false" ht="15" hidden="false" customHeight="false" outlineLevel="0" collapsed="false">
      <c r="A18" s="53" t="n">
        <v>46312</v>
      </c>
      <c r="B18" s="54"/>
      <c r="C18" s="54"/>
      <c r="D18" s="54"/>
      <c r="E18" s="54"/>
      <c r="F18" s="54"/>
      <c r="G18" s="54"/>
      <c r="H18" s="54"/>
      <c r="I18" s="55"/>
      <c r="J18" s="55"/>
      <c r="K18" s="55"/>
      <c r="L18" s="56"/>
      <c r="M18" s="31" t="n">
        <f aca="false">B18+C18</f>
        <v>0</v>
      </c>
      <c r="N18" s="31" t="n">
        <f aca="false">X18+Y18</f>
        <v>0</v>
      </c>
      <c r="O18" s="32" t="n">
        <f aca="false">B18*P1_PVP+C18*P2_PVP</f>
        <v>0</v>
      </c>
      <c r="P18" s="32" t="str">
        <f aca="false">IF(M18&gt;0,O18/M18,"")</f>
        <v/>
      </c>
      <c r="Q18" s="32" t="str">
        <f aca="false">IF(M18&gt;0,K18/M18,"")</f>
        <v/>
      </c>
      <c r="R18" s="57" t="str">
        <f aca="false">IF(K18&gt;0,O18/K18,"")</f>
        <v/>
      </c>
      <c r="S18" s="34" t="str">
        <f aca="false">IF(D18+E18+F18+G18&gt;0,(D18+E18)/(D18+E18+F18+G18),"")</f>
        <v/>
      </c>
      <c r="T18" s="33" t="n">
        <f aca="false">D18*(P1_PVP-P1_CPROD)+E18*(P2_PVP-P2_CPROD)-IF(ISNUMBER(I18),I18,D18*P1_LOG+E18*P2_LOG)</f>
        <v>0</v>
      </c>
      <c r="U18" s="33" t="n">
        <f aca="false">T18-(D18*P1_IVAN+E18*P2_IVAN)-(F18+G18)*(COSTE_DEV-IVA_DEV)-AH18-AJ18</f>
        <v>0</v>
      </c>
      <c r="V18" s="33" t="n">
        <f aca="false">AC18-AD18-AE18-AF18-AG18-AH18-AJ18</f>
        <v>0</v>
      </c>
      <c r="X18" s="58" t="n">
        <f aca="false">MAX(0,B18-D18-F18)</f>
        <v>0</v>
      </c>
      <c r="Y18" s="58" t="n">
        <f aca="false">MAX(0,C18-E18-G18)</f>
        <v>0</v>
      </c>
      <c r="Z18" s="59" t="n">
        <f aca="false">D18+X18*TASA_USADA</f>
        <v>0</v>
      </c>
      <c r="AA18" s="59" t="n">
        <f aca="false">E18+Y18*TASA_USADA</f>
        <v>0</v>
      </c>
      <c r="AB18" s="59" t="n">
        <f aca="false">F18+G18+(X18+Y18)*(1-TASA_USADA)</f>
        <v>0</v>
      </c>
      <c r="AC18" s="60" t="n">
        <f aca="false">Z18*P1_PVP+AA18*P2_PVP</f>
        <v>0</v>
      </c>
      <c r="AD18" s="60" t="n">
        <f aca="false">Z18*P1_CPROD+AA18*P2_CPROD</f>
        <v>0</v>
      </c>
      <c r="AE18" s="60" t="n">
        <f aca="false">IF(ISNUMBER(I18),I18,D18*P1_LOG+E18*P2_LOG)+IF(ISNUMBER(J18),J18,X18*P1_LOG+Y18*P2_LOG)*TASA_USADA</f>
        <v>0</v>
      </c>
      <c r="AF18" s="60" t="n">
        <f aca="false">AB18*COSTE_DEV</f>
        <v>0</v>
      </c>
      <c r="AG18" s="60" t="n">
        <f aca="false">Z18*P1_IVAN+AA18*P2_IVAN-AB18*IVA_DEV</f>
        <v>0</v>
      </c>
      <c r="AH18" s="60" t="n">
        <f aca="false">K18*(1+RECARGO_ADS)</f>
        <v>0</v>
      </c>
      <c r="AI18" s="58" t="n">
        <f aca="false">IF(ISNUMBER(I18),D18+E18+X18+Y18,0)</f>
        <v>0</v>
      </c>
      <c r="AJ18" s="60" t="n">
        <f aca="false">M18*COMISION</f>
        <v>0</v>
      </c>
    </row>
    <row r="19" customFormat="false" ht="15" hidden="false" customHeight="false" outlineLevel="0" collapsed="false">
      <c r="A19" s="53" t="n">
        <v>46313</v>
      </c>
      <c r="B19" s="54"/>
      <c r="C19" s="54"/>
      <c r="D19" s="54"/>
      <c r="E19" s="54"/>
      <c r="F19" s="54"/>
      <c r="G19" s="54"/>
      <c r="H19" s="54"/>
      <c r="I19" s="55"/>
      <c r="J19" s="55"/>
      <c r="K19" s="55"/>
      <c r="L19" s="56"/>
      <c r="M19" s="31" t="n">
        <f aca="false">B19+C19</f>
        <v>0</v>
      </c>
      <c r="N19" s="31" t="n">
        <f aca="false">X19+Y19</f>
        <v>0</v>
      </c>
      <c r="O19" s="32" t="n">
        <f aca="false">B19*P1_PVP+C19*P2_PVP</f>
        <v>0</v>
      </c>
      <c r="P19" s="32" t="str">
        <f aca="false">IF(M19&gt;0,O19/M19,"")</f>
        <v/>
      </c>
      <c r="Q19" s="32" t="str">
        <f aca="false">IF(M19&gt;0,K19/M19,"")</f>
        <v/>
      </c>
      <c r="R19" s="57" t="str">
        <f aca="false">IF(K19&gt;0,O19/K19,"")</f>
        <v/>
      </c>
      <c r="S19" s="34" t="str">
        <f aca="false">IF(D19+E19+F19+G19&gt;0,(D19+E19)/(D19+E19+F19+G19),"")</f>
        <v/>
      </c>
      <c r="T19" s="33" t="n">
        <f aca="false">D19*(P1_PVP-P1_CPROD)+E19*(P2_PVP-P2_CPROD)-IF(ISNUMBER(I19),I19,D19*P1_LOG+E19*P2_LOG)</f>
        <v>0</v>
      </c>
      <c r="U19" s="33" t="n">
        <f aca="false">T19-(D19*P1_IVAN+E19*P2_IVAN)-(F19+G19)*(COSTE_DEV-IVA_DEV)-AH19-AJ19</f>
        <v>0</v>
      </c>
      <c r="V19" s="33" t="n">
        <f aca="false">AC19-AD19-AE19-AF19-AG19-AH19-AJ19</f>
        <v>0</v>
      </c>
      <c r="X19" s="58" t="n">
        <f aca="false">MAX(0,B19-D19-F19)</f>
        <v>0</v>
      </c>
      <c r="Y19" s="58" t="n">
        <f aca="false">MAX(0,C19-E19-G19)</f>
        <v>0</v>
      </c>
      <c r="Z19" s="59" t="n">
        <f aca="false">D19+X19*TASA_USADA</f>
        <v>0</v>
      </c>
      <c r="AA19" s="59" t="n">
        <f aca="false">E19+Y19*TASA_USADA</f>
        <v>0</v>
      </c>
      <c r="AB19" s="59" t="n">
        <f aca="false">F19+G19+(X19+Y19)*(1-TASA_USADA)</f>
        <v>0</v>
      </c>
      <c r="AC19" s="60" t="n">
        <f aca="false">Z19*P1_PVP+AA19*P2_PVP</f>
        <v>0</v>
      </c>
      <c r="AD19" s="60" t="n">
        <f aca="false">Z19*P1_CPROD+AA19*P2_CPROD</f>
        <v>0</v>
      </c>
      <c r="AE19" s="60" t="n">
        <f aca="false">IF(ISNUMBER(I19),I19,D19*P1_LOG+E19*P2_LOG)+IF(ISNUMBER(J19),J19,X19*P1_LOG+Y19*P2_LOG)*TASA_USADA</f>
        <v>0</v>
      </c>
      <c r="AF19" s="60" t="n">
        <f aca="false">AB19*COSTE_DEV</f>
        <v>0</v>
      </c>
      <c r="AG19" s="60" t="n">
        <f aca="false">Z19*P1_IVAN+AA19*P2_IVAN-AB19*IVA_DEV</f>
        <v>0</v>
      </c>
      <c r="AH19" s="60" t="n">
        <f aca="false">K19*(1+RECARGO_ADS)</f>
        <v>0</v>
      </c>
      <c r="AI19" s="58" t="n">
        <f aca="false">IF(ISNUMBER(I19),D19+E19+X19+Y19,0)</f>
        <v>0</v>
      </c>
      <c r="AJ19" s="60" t="n">
        <f aca="false">M19*COMISION</f>
        <v>0</v>
      </c>
    </row>
    <row r="20" customFormat="false" ht="15" hidden="false" customHeight="false" outlineLevel="0" collapsed="false">
      <c r="A20" s="53" t="n">
        <v>46314</v>
      </c>
      <c r="B20" s="54"/>
      <c r="C20" s="54"/>
      <c r="D20" s="54"/>
      <c r="E20" s="54"/>
      <c r="F20" s="54"/>
      <c r="G20" s="54"/>
      <c r="H20" s="54"/>
      <c r="I20" s="55"/>
      <c r="J20" s="55"/>
      <c r="K20" s="55"/>
      <c r="L20" s="56"/>
      <c r="M20" s="31" t="n">
        <f aca="false">B20+C20</f>
        <v>0</v>
      </c>
      <c r="N20" s="31" t="n">
        <f aca="false">X20+Y20</f>
        <v>0</v>
      </c>
      <c r="O20" s="32" t="n">
        <f aca="false">B20*P1_PVP+C20*P2_PVP</f>
        <v>0</v>
      </c>
      <c r="P20" s="32" t="str">
        <f aca="false">IF(M20&gt;0,O20/M20,"")</f>
        <v/>
      </c>
      <c r="Q20" s="32" t="str">
        <f aca="false">IF(M20&gt;0,K20/M20,"")</f>
        <v/>
      </c>
      <c r="R20" s="57" t="str">
        <f aca="false">IF(K20&gt;0,O20/K20,"")</f>
        <v/>
      </c>
      <c r="S20" s="34" t="str">
        <f aca="false">IF(D20+E20+F20+G20&gt;0,(D20+E20)/(D20+E20+F20+G20),"")</f>
        <v/>
      </c>
      <c r="T20" s="33" t="n">
        <f aca="false">D20*(P1_PVP-P1_CPROD)+E20*(P2_PVP-P2_CPROD)-IF(ISNUMBER(I20),I20,D20*P1_LOG+E20*P2_LOG)</f>
        <v>0</v>
      </c>
      <c r="U20" s="33" t="n">
        <f aca="false">T20-(D20*P1_IVAN+E20*P2_IVAN)-(F20+G20)*(COSTE_DEV-IVA_DEV)-AH20-AJ20</f>
        <v>0</v>
      </c>
      <c r="V20" s="33" t="n">
        <f aca="false">AC20-AD20-AE20-AF20-AG20-AH20-AJ20</f>
        <v>0</v>
      </c>
      <c r="X20" s="58" t="n">
        <f aca="false">MAX(0,B20-D20-F20)</f>
        <v>0</v>
      </c>
      <c r="Y20" s="58" t="n">
        <f aca="false">MAX(0,C20-E20-G20)</f>
        <v>0</v>
      </c>
      <c r="Z20" s="59" t="n">
        <f aca="false">D20+X20*TASA_USADA</f>
        <v>0</v>
      </c>
      <c r="AA20" s="59" t="n">
        <f aca="false">E20+Y20*TASA_USADA</f>
        <v>0</v>
      </c>
      <c r="AB20" s="59" t="n">
        <f aca="false">F20+G20+(X20+Y20)*(1-TASA_USADA)</f>
        <v>0</v>
      </c>
      <c r="AC20" s="60" t="n">
        <f aca="false">Z20*P1_PVP+AA20*P2_PVP</f>
        <v>0</v>
      </c>
      <c r="AD20" s="60" t="n">
        <f aca="false">Z20*P1_CPROD+AA20*P2_CPROD</f>
        <v>0</v>
      </c>
      <c r="AE20" s="60" t="n">
        <f aca="false">IF(ISNUMBER(I20),I20,D20*P1_LOG+E20*P2_LOG)+IF(ISNUMBER(J20),J20,X20*P1_LOG+Y20*P2_LOG)*TASA_USADA</f>
        <v>0</v>
      </c>
      <c r="AF20" s="60" t="n">
        <f aca="false">AB20*COSTE_DEV</f>
        <v>0</v>
      </c>
      <c r="AG20" s="60" t="n">
        <f aca="false">Z20*P1_IVAN+AA20*P2_IVAN-AB20*IVA_DEV</f>
        <v>0</v>
      </c>
      <c r="AH20" s="60" t="n">
        <f aca="false">K20*(1+RECARGO_ADS)</f>
        <v>0</v>
      </c>
      <c r="AI20" s="58" t="n">
        <f aca="false">IF(ISNUMBER(I20),D20+E20+X20+Y20,0)</f>
        <v>0</v>
      </c>
      <c r="AJ20" s="60" t="n">
        <f aca="false">M20*COMISION</f>
        <v>0</v>
      </c>
    </row>
    <row r="21" customFormat="false" ht="15" hidden="false" customHeight="false" outlineLevel="0" collapsed="false">
      <c r="A21" s="53" t="n">
        <v>46315</v>
      </c>
      <c r="B21" s="54"/>
      <c r="C21" s="54"/>
      <c r="D21" s="54"/>
      <c r="E21" s="54"/>
      <c r="F21" s="54"/>
      <c r="G21" s="54"/>
      <c r="H21" s="54"/>
      <c r="I21" s="55"/>
      <c r="J21" s="55"/>
      <c r="K21" s="55"/>
      <c r="L21" s="56"/>
      <c r="M21" s="31" t="n">
        <f aca="false">B21+C21</f>
        <v>0</v>
      </c>
      <c r="N21" s="31" t="n">
        <f aca="false">X21+Y21</f>
        <v>0</v>
      </c>
      <c r="O21" s="32" t="n">
        <f aca="false">B21*P1_PVP+C21*P2_PVP</f>
        <v>0</v>
      </c>
      <c r="P21" s="32" t="str">
        <f aca="false">IF(M21&gt;0,O21/M21,"")</f>
        <v/>
      </c>
      <c r="Q21" s="32" t="str">
        <f aca="false">IF(M21&gt;0,K21/M21,"")</f>
        <v/>
      </c>
      <c r="R21" s="57" t="str">
        <f aca="false">IF(K21&gt;0,O21/K21,"")</f>
        <v/>
      </c>
      <c r="S21" s="34" t="str">
        <f aca="false">IF(D21+E21+F21+G21&gt;0,(D21+E21)/(D21+E21+F21+G21),"")</f>
        <v/>
      </c>
      <c r="T21" s="33" t="n">
        <f aca="false">D21*(P1_PVP-P1_CPROD)+E21*(P2_PVP-P2_CPROD)-IF(ISNUMBER(I21),I21,D21*P1_LOG+E21*P2_LOG)</f>
        <v>0</v>
      </c>
      <c r="U21" s="33" t="n">
        <f aca="false">T21-(D21*P1_IVAN+E21*P2_IVAN)-(F21+G21)*(COSTE_DEV-IVA_DEV)-AH21-AJ21</f>
        <v>0</v>
      </c>
      <c r="V21" s="33" t="n">
        <f aca="false">AC21-AD21-AE21-AF21-AG21-AH21-AJ21</f>
        <v>0</v>
      </c>
      <c r="X21" s="58" t="n">
        <f aca="false">MAX(0,B21-D21-F21)</f>
        <v>0</v>
      </c>
      <c r="Y21" s="58" t="n">
        <f aca="false">MAX(0,C21-E21-G21)</f>
        <v>0</v>
      </c>
      <c r="Z21" s="59" t="n">
        <f aca="false">D21+X21*TASA_USADA</f>
        <v>0</v>
      </c>
      <c r="AA21" s="59" t="n">
        <f aca="false">E21+Y21*TASA_USADA</f>
        <v>0</v>
      </c>
      <c r="AB21" s="59" t="n">
        <f aca="false">F21+G21+(X21+Y21)*(1-TASA_USADA)</f>
        <v>0</v>
      </c>
      <c r="AC21" s="60" t="n">
        <f aca="false">Z21*P1_PVP+AA21*P2_PVP</f>
        <v>0</v>
      </c>
      <c r="AD21" s="60" t="n">
        <f aca="false">Z21*P1_CPROD+AA21*P2_CPROD</f>
        <v>0</v>
      </c>
      <c r="AE21" s="60" t="n">
        <f aca="false">IF(ISNUMBER(I21),I21,D21*P1_LOG+E21*P2_LOG)+IF(ISNUMBER(J21),J21,X21*P1_LOG+Y21*P2_LOG)*TASA_USADA</f>
        <v>0</v>
      </c>
      <c r="AF21" s="60" t="n">
        <f aca="false">AB21*COSTE_DEV</f>
        <v>0</v>
      </c>
      <c r="AG21" s="60" t="n">
        <f aca="false">Z21*P1_IVAN+AA21*P2_IVAN-AB21*IVA_DEV</f>
        <v>0</v>
      </c>
      <c r="AH21" s="60" t="n">
        <f aca="false">K21*(1+RECARGO_ADS)</f>
        <v>0</v>
      </c>
      <c r="AI21" s="58" t="n">
        <f aca="false">IF(ISNUMBER(I21),D21+E21+X21+Y21,0)</f>
        <v>0</v>
      </c>
      <c r="AJ21" s="60" t="n">
        <f aca="false">M21*COMISION</f>
        <v>0</v>
      </c>
    </row>
    <row r="22" customFormat="false" ht="15" hidden="false" customHeight="false" outlineLevel="0" collapsed="false">
      <c r="A22" s="53" t="n">
        <v>46316</v>
      </c>
      <c r="B22" s="54"/>
      <c r="C22" s="54"/>
      <c r="D22" s="54"/>
      <c r="E22" s="54"/>
      <c r="F22" s="54"/>
      <c r="G22" s="54"/>
      <c r="H22" s="54"/>
      <c r="I22" s="55"/>
      <c r="J22" s="55"/>
      <c r="K22" s="55"/>
      <c r="L22" s="56"/>
      <c r="M22" s="31" t="n">
        <f aca="false">B22+C22</f>
        <v>0</v>
      </c>
      <c r="N22" s="31" t="n">
        <f aca="false">X22+Y22</f>
        <v>0</v>
      </c>
      <c r="O22" s="32" t="n">
        <f aca="false">B22*P1_PVP+C22*P2_PVP</f>
        <v>0</v>
      </c>
      <c r="P22" s="32" t="str">
        <f aca="false">IF(M22&gt;0,O22/M22,"")</f>
        <v/>
      </c>
      <c r="Q22" s="32" t="str">
        <f aca="false">IF(M22&gt;0,K22/M22,"")</f>
        <v/>
      </c>
      <c r="R22" s="57" t="str">
        <f aca="false">IF(K22&gt;0,O22/K22,"")</f>
        <v/>
      </c>
      <c r="S22" s="34" t="str">
        <f aca="false">IF(D22+E22+F22+G22&gt;0,(D22+E22)/(D22+E22+F22+G22),"")</f>
        <v/>
      </c>
      <c r="T22" s="33" t="n">
        <f aca="false">D22*(P1_PVP-P1_CPROD)+E22*(P2_PVP-P2_CPROD)-IF(ISNUMBER(I22),I22,D22*P1_LOG+E22*P2_LOG)</f>
        <v>0</v>
      </c>
      <c r="U22" s="33" t="n">
        <f aca="false">T22-(D22*P1_IVAN+E22*P2_IVAN)-(F22+G22)*(COSTE_DEV-IVA_DEV)-AH22-AJ22</f>
        <v>0</v>
      </c>
      <c r="V22" s="33" t="n">
        <f aca="false">AC22-AD22-AE22-AF22-AG22-AH22-AJ22</f>
        <v>0</v>
      </c>
      <c r="X22" s="58" t="n">
        <f aca="false">MAX(0,B22-D22-F22)</f>
        <v>0</v>
      </c>
      <c r="Y22" s="58" t="n">
        <f aca="false">MAX(0,C22-E22-G22)</f>
        <v>0</v>
      </c>
      <c r="Z22" s="59" t="n">
        <f aca="false">D22+X22*TASA_USADA</f>
        <v>0</v>
      </c>
      <c r="AA22" s="59" t="n">
        <f aca="false">E22+Y22*TASA_USADA</f>
        <v>0</v>
      </c>
      <c r="AB22" s="59" t="n">
        <f aca="false">F22+G22+(X22+Y22)*(1-TASA_USADA)</f>
        <v>0</v>
      </c>
      <c r="AC22" s="60" t="n">
        <f aca="false">Z22*P1_PVP+AA22*P2_PVP</f>
        <v>0</v>
      </c>
      <c r="AD22" s="60" t="n">
        <f aca="false">Z22*P1_CPROD+AA22*P2_CPROD</f>
        <v>0</v>
      </c>
      <c r="AE22" s="60" t="n">
        <f aca="false">IF(ISNUMBER(I22),I22,D22*P1_LOG+E22*P2_LOG)+IF(ISNUMBER(J22),J22,X22*P1_LOG+Y22*P2_LOG)*TASA_USADA</f>
        <v>0</v>
      </c>
      <c r="AF22" s="60" t="n">
        <f aca="false">AB22*COSTE_DEV</f>
        <v>0</v>
      </c>
      <c r="AG22" s="60" t="n">
        <f aca="false">Z22*P1_IVAN+AA22*P2_IVAN-AB22*IVA_DEV</f>
        <v>0</v>
      </c>
      <c r="AH22" s="60" t="n">
        <f aca="false">K22*(1+RECARGO_ADS)</f>
        <v>0</v>
      </c>
      <c r="AI22" s="58" t="n">
        <f aca="false">IF(ISNUMBER(I22),D22+E22+X22+Y22,0)</f>
        <v>0</v>
      </c>
      <c r="AJ22" s="60" t="n">
        <f aca="false">M22*COMISION</f>
        <v>0</v>
      </c>
    </row>
    <row r="23" customFormat="false" ht="15" hidden="false" customHeight="false" outlineLevel="0" collapsed="false">
      <c r="A23" s="53" t="n">
        <v>46317</v>
      </c>
      <c r="B23" s="54"/>
      <c r="C23" s="54"/>
      <c r="D23" s="54"/>
      <c r="E23" s="54"/>
      <c r="F23" s="54"/>
      <c r="G23" s="54"/>
      <c r="H23" s="54"/>
      <c r="I23" s="55"/>
      <c r="J23" s="55"/>
      <c r="K23" s="55"/>
      <c r="L23" s="56"/>
      <c r="M23" s="31" t="n">
        <f aca="false">B23+C23</f>
        <v>0</v>
      </c>
      <c r="N23" s="31" t="n">
        <f aca="false">X23+Y23</f>
        <v>0</v>
      </c>
      <c r="O23" s="32" t="n">
        <f aca="false">B23*P1_PVP+C23*P2_PVP</f>
        <v>0</v>
      </c>
      <c r="P23" s="32" t="str">
        <f aca="false">IF(M23&gt;0,O23/M23,"")</f>
        <v/>
      </c>
      <c r="Q23" s="32" t="str">
        <f aca="false">IF(M23&gt;0,K23/M23,"")</f>
        <v/>
      </c>
      <c r="R23" s="57" t="str">
        <f aca="false">IF(K23&gt;0,O23/K23,"")</f>
        <v/>
      </c>
      <c r="S23" s="34" t="str">
        <f aca="false">IF(D23+E23+F23+G23&gt;0,(D23+E23)/(D23+E23+F23+G23),"")</f>
        <v/>
      </c>
      <c r="T23" s="33" t="n">
        <f aca="false">D23*(P1_PVP-P1_CPROD)+E23*(P2_PVP-P2_CPROD)-IF(ISNUMBER(I23),I23,D23*P1_LOG+E23*P2_LOG)</f>
        <v>0</v>
      </c>
      <c r="U23" s="33" t="n">
        <f aca="false">T23-(D23*P1_IVAN+E23*P2_IVAN)-(F23+G23)*(COSTE_DEV-IVA_DEV)-AH23-AJ23</f>
        <v>0</v>
      </c>
      <c r="V23" s="33" t="n">
        <f aca="false">AC23-AD23-AE23-AF23-AG23-AH23-AJ23</f>
        <v>0</v>
      </c>
      <c r="X23" s="58" t="n">
        <f aca="false">MAX(0,B23-D23-F23)</f>
        <v>0</v>
      </c>
      <c r="Y23" s="58" t="n">
        <f aca="false">MAX(0,C23-E23-G23)</f>
        <v>0</v>
      </c>
      <c r="Z23" s="59" t="n">
        <f aca="false">D23+X23*TASA_USADA</f>
        <v>0</v>
      </c>
      <c r="AA23" s="59" t="n">
        <f aca="false">E23+Y23*TASA_USADA</f>
        <v>0</v>
      </c>
      <c r="AB23" s="59" t="n">
        <f aca="false">F23+G23+(X23+Y23)*(1-TASA_USADA)</f>
        <v>0</v>
      </c>
      <c r="AC23" s="60" t="n">
        <f aca="false">Z23*P1_PVP+AA23*P2_PVP</f>
        <v>0</v>
      </c>
      <c r="AD23" s="60" t="n">
        <f aca="false">Z23*P1_CPROD+AA23*P2_CPROD</f>
        <v>0</v>
      </c>
      <c r="AE23" s="60" t="n">
        <f aca="false">IF(ISNUMBER(I23),I23,D23*P1_LOG+E23*P2_LOG)+IF(ISNUMBER(J23),J23,X23*P1_LOG+Y23*P2_LOG)*TASA_USADA</f>
        <v>0</v>
      </c>
      <c r="AF23" s="60" t="n">
        <f aca="false">AB23*COSTE_DEV</f>
        <v>0</v>
      </c>
      <c r="AG23" s="60" t="n">
        <f aca="false">Z23*P1_IVAN+AA23*P2_IVAN-AB23*IVA_DEV</f>
        <v>0</v>
      </c>
      <c r="AH23" s="60" t="n">
        <f aca="false">K23*(1+RECARGO_ADS)</f>
        <v>0</v>
      </c>
      <c r="AI23" s="58" t="n">
        <f aca="false">IF(ISNUMBER(I23),D23+E23+X23+Y23,0)</f>
        <v>0</v>
      </c>
      <c r="AJ23" s="60" t="n">
        <f aca="false">M23*COMISION</f>
        <v>0</v>
      </c>
    </row>
    <row r="24" customFormat="false" ht="15" hidden="false" customHeight="false" outlineLevel="0" collapsed="false">
      <c r="A24" s="53" t="n">
        <v>46318</v>
      </c>
      <c r="B24" s="54"/>
      <c r="C24" s="54"/>
      <c r="D24" s="54"/>
      <c r="E24" s="54"/>
      <c r="F24" s="54"/>
      <c r="G24" s="54"/>
      <c r="H24" s="54"/>
      <c r="I24" s="55"/>
      <c r="J24" s="55"/>
      <c r="K24" s="55"/>
      <c r="L24" s="56"/>
      <c r="M24" s="31" t="n">
        <f aca="false">B24+C24</f>
        <v>0</v>
      </c>
      <c r="N24" s="31" t="n">
        <f aca="false">X24+Y24</f>
        <v>0</v>
      </c>
      <c r="O24" s="32" t="n">
        <f aca="false">B24*P1_PVP+C24*P2_PVP</f>
        <v>0</v>
      </c>
      <c r="P24" s="32" t="str">
        <f aca="false">IF(M24&gt;0,O24/M24,"")</f>
        <v/>
      </c>
      <c r="Q24" s="32" t="str">
        <f aca="false">IF(M24&gt;0,K24/M24,"")</f>
        <v/>
      </c>
      <c r="R24" s="57" t="str">
        <f aca="false">IF(K24&gt;0,O24/K24,"")</f>
        <v/>
      </c>
      <c r="S24" s="34" t="str">
        <f aca="false">IF(D24+E24+F24+G24&gt;0,(D24+E24)/(D24+E24+F24+G24),"")</f>
        <v/>
      </c>
      <c r="T24" s="33" t="n">
        <f aca="false">D24*(P1_PVP-P1_CPROD)+E24*(P2_PVP-P2_CPROD)-IF(ISNUMBER(I24),I24,D24*P1_LOG+E24*P2_LOG)</f>
        <v>0</v>
      </c>
      <c r="U24" s="33" t="n">
        <f aca="false">T24-(D24*P1_IVAN+E24*P2_IVAN)-(F24+G24)*(COSTE_DEV-IVA_DEV)-AH24-AJ24</f>
        <v>0</v>
      </c>
      <c r="V24" s="33" t="n">
        <f aca="false">AC24-AD24-AE24-AF24-AG24-AH24-AJ24</f>
        <v>0</v>
      </c>
      <c r="X24" s="58" t="n">
        <f aca="false">MAX(0,B24-D24-F24)</f>
        <v>0</v>
      </c>
      <c r="Y24" s="58" t="n">
        <f aca="false">MAX(0,C24-E24-G24)</f>
        <v>0</v>
      </c>
      <c r="Z24" s="59" t="n">
        <f aca="false">D24+X24*TASA_USADA</f>
        <v>0</v>
      </c>
      <c r="AA24" s="59" t="n">
        <f aca="false">E24+Y24*TASA_USADA</f>
        <v>0</v>
      </c>
      <c r="AB24" s="59" t="n">
        <f aca="false">F24+G24+(X24+Y24)*(1-TASA_USADA)</f>
        <v>0</v>
      </c>
      <c r="AC24" s="60" t="n">
        <f aca="false">Z24*P1_PVP+AA24*P2_PVP</f>
        <v>0</v>
      </c>
      <c r="AD24" s="60" t="n">
        <f aca="false">Z24*P1_CPROD+AA24*P2_CPROD</f>
        <v>0</v>
      </c>
      <c r="AE24" s="60" t="n">
        <f aca="false">IF(ISNUMBER(I24),I24,D24*P1_LOG+E24*P2_LOG)+IF(ISNUMBER(J24),J24,X24*P1_LOG+Y24*P2_LOG)*TASA_USADA</f>
        <v>0</v>
      </c>
      <c r="AF24" s="60" t="n">
        <f aca="false">AB24*COSTE_DEV</f>
        <v>0</v>
      </c>
      <c r="AG24" s="60" t="n">
        <f aca="false">Z24*P1_IVAN+AA24*P2_IVAN-AB24*IVA_DEV</f>
        <v>0</v>
      </c>
      <c r="AH24" s="60" t="n">
        <f aca="false">K24*(1+RECARGO_ADS)</f>
        <v>0</v>
      </c>
      <c r="AI24" s="58" t="n">
        <f aca="false">IF(ISNUMBER(I24),D24+E24+X24+Y24,0)</f>
        <v>0</v>
      </c>
      <c r="AJ24" s="60" t="n">
        <f aca="false">M24*COMISION</f>
        <v>0</v>
      </c>
    </row>
    <row r="25" customFormat="false" ht="15" hidden="false" customHeight="false" outlineLevel="0" collapsed="false">
      <c r="A25" s="53" t="n">
        <v>46319</v>
      </c>
      <c r="B25" s="54"/>
      <c r="C25" s="54"/>
      <c r="D25" s="54"/>
      <c r="E25" s="54"/>
      <c r="F25" s="54"/>
      <c r="G25" s="54"/>
      <c r="H25" s="54"/>
      <c r="I25" s="55"/>
      <c r="J25" s="55"/>
      <c r="K25" s="55"/>
      <c r="L25" s="56"/>
      <c r="M25" s="31" t="n">
        <f aca="false">B25+C25</f>
        <v>0</v>
      </c>
      <c r="N25" s="31" t="n">
        <f aca="false">X25+Y25</f>
        <v>0</v>
      </c>
      <c r="O25" s="32" t="n">
        <f aca="false">B25*P1_PVP+C25*P2_PVP</f>
        <v>0</v>
      </c>
      <c r="P25" s="32" t="str">
        <f aca="false">IF(M25&gt;0,O25/M25,"")</f>
        <v/>
      </c>
      <c r="Q25" s="32" t="str">
        <f aca="false">IF(M25&gt;0,K25/M25,"")</f>
        <v/>
      </c>
      <c r="R25" s="57" t="str">
        <f aca="false">IF(K25&gt;0,O25/K25,"")</f>
        <v/>
      </c>
      <c r="S25" s="34" t="str">
        <f aca="false">IF(D25+E25+F25+G25&gt;0,(D25+E25)/(D25+E25+F25+G25),"")</f>
        <v/>
      </c>
      <c r="T25" s="33" t="n">
        <f aca="false">D25*(P1_PVP-P1_CPROD)+E25*(P2_PVP-P2_CPROD)-IF(ISNUMBER(I25),I25,D25*P1_LOG+E25*P2_LOG)</f>
        <v>0</v>
      </c>
      <c r="U25" s="33" t="n">
        <f aca="false">T25-(D25*P1_IVAN+E25*P2_IVAN)-(F25+G25)*(COSTE_DEV-IVA_DEV)-AH25-AJ25</f>
        <v>0</v>
      </c>
      <c r="V25" s="33" t="n">
        <f aca="false">AC25-AD25-AE25-AF25-AG25-AH25-AJ25</f>
        <v>0</v>
      </c>
      <c r="X25" s="58" t="n">
        <f aca="false">MAX(0,B25-D25-F25)</f>
        <v>0</v>
      </c>
      <c r="Y25" s="58" t="n">
        <f aca="false">MAX(0,C25-E25-G25)</f>
        <v>0</v>
      </c>
      <c r="Z25" s="59" t="n">
        <f aca="false">D25+X25*TASA_USADA</f>
        <v>0</v>
      </c>
      <c r="AA25" s="59" t="n">
        <f aca="false">E25+Y25*TASA_USADA</f>
        <v>0</v>
      </c>
      <c r="AB25" s="59" t="n">
        <f aca="false">F25+G25+(X25+Y25)*(1-TASA_USADA)</f>
        <v>0</v>
      </c>
      <c r="AC25" s="60" t="n">
        <f aca="false">Z25*P1_PVP+AA25*P2_PVP</f>
        <v>0</v>
      </c>
      <c r="AD25" s="60" t="n">
        <f aca="false">Z25*P1_CPROD+AA25*P2_CPROD</f>
        <v>0</v>
      </c>
      <c r="AE25" s="60" t="n">
        <f aca="false">IF(ISNUMBER(I25),I25,D25*P1_LOG+E25*P2_LOG)+IF(ISNUMBER(J25),J25,X25*P1_LOG+Y25*P2_LOG)*TASA_USADA</f>
        <v>0</v>
      </c>
      <c r="AF25" s="60" t="n">
        <f aca="false">AB25*COSTE_DEV</f>
        <v>0</v>
      </c>
      <c r="AG25" s="60" t="n">
        <f aca="false">Z25*P1_IVAN+AA25*P2_IVAN-AB25*IVA_DEV</f>
        <v>0</v>
      </c>
      <c r="AH25" s="60" t="n">
        <f aca="false">K25*(1+RECARGO_ADS)</f>
        <v>0</v>
      </c>
      <c r="AI25" s="58" t="n">
        <f aca="false">IF(ISNUMBER(I25),D25+E25+X25+Y25,0)</f>
        <v>0</v>
      </c>
      <c r="AJ25" s="60" t="n">
        <f aca="false">M25*COMISION</f>
        <v>0</v>
      </c>
    </row>
    <row r="26" customFormat="false" ht="15" hidden="false" customHeight="false" outlineLevel="0" collapsed="false">
      <c r="A26" s="53" t="n">
        <v>46320</v>
      </c>
      <c r="B26" s="54"/>
      <c r="C26" s="54"/>
      <c r="D26" s="54"/>
      <c r="E26" s="54"/>
      <c r="F26" s="54"/>
      <c r="G26" s="54"/>
      <c r="H26" s="54"/>
      <c r="I26" s="55"/>
      <c r="J26" s="55"/>
      <c r="K26" s="55"/>
      <c r="L26" s="56"/>
      <c r="M26" s="31" t="n">
        <f aca="false">B26+C26</f>
        <v>0</v>
      </c>
      <c r="N26" s="31" t="n">
        <f aca="false">X26+Y26</f>
        <v>0</v>
      </c>
      <c r="O26" s="32" t="n">
        <f aca="false">B26*P1_PVP+C26*P2_PVP</f>
        <v>0</v>
      </c>
      <c r="P26" s="32" t="str">
        <f aca="false">IF(M26&gt;0,O26/M26,"")</f>
        <v/>
      </c>
      <c r="Q26" s="32" t="str">
        <f aca="false">IF(M26&gt;0,K26/M26,"")</f>
        <v/>
      </c>
      <c r="R26" s="57" t="str">
        <f aca="false">IF(K26&gt;0,O26/K26,"")</f>
        <v/>
      </c>
      <c r="S26" s="34" t="str">
        <f aca="false">IF(D26+E26+F26+G26&gt;0,(D26+E26)/(D26+E26+F26+G26),"")</f>
        <v/>
      </c>
      <c r="T26" s="33" t="n">
        <f aca="false">D26*(P1_PVP-P1_CPROD)+E26*(P2_PVP-P2_CPROD)-IF(ISNUMBER(I26),I26,D26*P1_LOG+E26*P2_LOG)</f>
        <v>0</v>
      </c>
      <c r="U26" s="33" t="n">
        <f aca="false">T26-(D26*P1_IVAN+E26*P2_IVAN)-(F26+G26)*(COSTE_DEV-IVA_DEV)-AH26-AJ26</f>
        <v>0</v>
      </c>
      <c r="V26" s="33" t="n">
        <f aca="false">AC26-AD26-AE26-AF26-AG26-AH26-AJ26</f>
        <v>0</v>
      </c>
      <c r="X26" s="58" t="n">
        <f aca="false">MAX(0,B26-D26-F26)</f>
        <v>0</v>
      </c>
      <c r="Y26" s="58" t="n">
        <f aca="false">MAX(0,C26-E26-G26)</f>
        <v>0</v>
      </c>
      <c r="Z26" s="59" t="n">
        <f aca="false">D26+X26*TASA_USADA</f>
        <v>0</v>
      </c>
      <c r="AA26" s="59" t="n">
        <f aca="false">E26+Y26*TASA_USADA</f>
        <v>0</v>
      </c>
      <c r="AB26" s="59" t="n">
        <f aca="false">F26+G26+(X26+Y26)*(1-TASA_USADA)</f>
        <v>0</v>
      </c>
      <c r="AC26" s="60" t="n">
        <f aca="false">Z26*P1_PVP+AA26*P2_PVP</f>
        <v>0</v>
      </c>
      <c r="AD26" s="60" t="n">
        <f aca="false">Z26*P1_CPROD+AA26*P2_CPROD</f>
        <v>0</v>
      </c>
      <c r="AE26" s="60" t="n">
        <f aca="false">IF(ISNUMBER(I26),I26,D26*P1_LOG+E26*P2_LOG)+IF(ISNUMBER(J26),J26,X26*P1_LOG+Y26*P2_LOG)*TASA_USADA</f>
        <v>0</v>
      </c>
      <c r="AF26" s="60" t="n">
        <f aca="false">AB26*COSTE_DEV</f>
        <v>0</v>
      </c>
      <c r="AG26" s="60" t="n">
        <f aca="false">Z26*P1_IVAN+AA26*P2_IVAN-AB26*IVA_DEV</f>
        <v>0</v>
      </c>
      <c r="AH26" s="60" t="n">
        <f aca="false">K26*(1+RECARGO_ADS)</f>
        <v>0</v>
      </c>
      <c r="AI26" s="58" t="n">
        <f aca="false">IF(ISNUMBER(I26),D26+E26+X26+Y26,0)</f>
        <v>0</v>
      </c>
      <c r="AJ26" s="60" t="n">
        <f aca="false">M26*COMISION</f>
        <v>0</v>
      </c>
    </row>
    <row r="27" customFormat="false" ht="15" hidden="false" customHeight="false" outlineLevel="0" collapsed="false">
      <c r="A27" s="53" t="n">
        <v>46321</v>
      </c>
      <c r="B27" s="54"/>
      <c r="C27" s="54"/>
      <c r="D27" s="54"/>
      <c r="E27" s="54"/>
      <c r="F27" s="54"/>
      <c r="G27" s="54"/>
      <c r="H27" s="54"/>
      <c r="I27" s="55"/>
      <c r="J27" s="55"/>
      <c r="K27" s="55"/>
      <c r="L27" s="56"/>
      <c r="M27" s="31" t="n">
        <f aca="false">B27+C27</f>
        <v>0</v>
      </c>
      <c r="N27" s="31" t="n">
        <f aca="false">X27+Y27</f>
        <v>0</v>
      </c>
      <c r="O27" s="32" t="n">
        <f aca="false">B27*P1_PVP+C27*P2_PVP</f>
        <v>0</v>
      </c>
      <c r="P27" s="32" t="str">
        <f aca="false">IF(M27&gt;0,O27/M27,"")</f>
        <v/>
      </c>
      <c r="Q27" s="32" t="str">
        <f aca="false">IF(M27&gt;0,K27/M27,"")</f>
        <v/>
      </c>
      <c r="R27" s="57" t="str">
        <f aca="false">IF(K27&gt;0,O27/K27,"")</f>
        <v/>
      </c>
      <c r="S27" s="34" t="str">
        <f aca="false">IF(D27+E27+F27+G27&gt;0,(D27+E27)/(D27+E27+F27+G27),"")</f>
        <v/>
      </c>
      <c r="T27" s="33" t="n">
        <f aca="false">D27*(P1_PVP-P1_CPROD)+E27*(P2_PVP-P2_CPROD)-IF(ISNUMBER(I27),I27,D27*P1_LOG+E27*P2_LOG)</f>
        <v>0</v>
      </c>
      <c r="U27" s="33" t="n">
        <f aca="false">T27-(D27*P1_IVAN+E27*P2_IVAN)-(F27+G27)*(COSTE_DEV-IVA_DEV)-AH27-AJ27</f>
        <v>0</v>
      </c>
      <c r="V27" s="33" t="n">
        <f aca="false">AC27-AD27-AE27-AF27-AG27-AH27-AJ27</f>
        <v>0</v>
      </c>
      <c r="X27" s="58" t="n">
        <f aca="false">MAX(0,B27-D27-F27)</f>
        <v>0</v>
      </c>
      <c r="Y27" s="58" t="n">
        <f aca="false">MAX(0,C27-E27-G27)</f>
        <v>0</v>
      </c>
      <c r="Z27" s="59" t="n">
        <f aca="false">D27+X27*TASA_USADA</f>
        <v>0</v>
      </c>
      <c r="AA27" s="59" t="n">
        <f aca="false">E27+Y27*TASA_USADA</f>
        <v>0</v>
      </c>
      <c r="AB27" s="59" t="n">
        <f aca="false">F27+G27+(X27+Y27)*(1-TASA_USADA)</f>
        <v>0</v>
      </c>
      <c r="AC27" s="60" t="n">
        <f aca="false">Z27*P1_PVP+AA27*P2_PVP</f>
        <v>0</v>
      </c>
      <c r="AD27" s="60" t="n">
        <f aca="false">Z27*P1_CPROD+AA27*P2_CPROD</f>
        <v>0</v>
      </c>
      <c r="AE27" s="60" t="n">
        <f aca="false">IF(ISNUMBER(I27),I27,D27*P1_LOG+E27*P2_LOG)+IF(ISNUMBER(J27),J27,X27*P1_LOG+Y27*P2_LOG)*TASA_USADA</f>
        <v>0</v>
      </c>
      <c r="AF27" s="60" t="n">
        <f aca="false">AB27*COSTE_DEV</f>
        <v>0</v>
      </c>
      <c r="AG27" s="60" t="n">
        <f aca="false">Z27*P1_IVAN+AA27*P2_IVAN-AB27*IVA_DEV</f>
        <v>0</v>
      </c>
      <c r="AH27" s="60" t="n">
        <f aca="false">K27*(1+RECARGO_ADS)</f>
        <v>0</v>
      </c>
      <c r="AI27" s="58" t="n">
        <f aca="false">IF(ISNUMBER(I27),D27+E27+X27+Y27,0)</f>
        <v>0</v>
      </c>
      <c r="AJ27" s="60" t="n">
        <f aca="false">M27*COMISION</f>
        <v>0</v>
      </c>
    </row>
    <row r="28" customFormat="false" ht="15" hidden="false" customHeight="false" outlineLevel="0" collapsed="false">
      <c r="A28" s="53" t="n">
        <v>46322</v>
      </c>
      <c r="B28" s="54"/>
      <c r="C28" s="54"/>
      <c r="D28" s="54"/>
      <c r="E28" s="54"/>
      <c r="F28" s="54"/>
      <c r="G28" s="54"/>
      <c r="H28" s="54"/>
      <c r="I28" s="55"/>
      <c r="J28" s="55"/>
      <c r="K28" s="55"/>
      <c r="L28" s="56"/>
      <c r="M28" s="31" t="n">
        <f aca="false">B28+C28</f>
        <v>0</v>
      </c>
      <c r="N28" s="31" t="n">
        <f aca="false">X28+Y28</f>
        <v>0</v>
      </c>
      <c r="O28" s="32" t="n">
        <f aca="false">B28*P1_PVP+C28*P2_PVP</f>
        <v>0</v>
      </c>
      <c r="P28" s="32" t="str">
        <f aca="false">IF(M28&gt;0,O28/M28,"")</f>
        <v/>
      </c>
      <c r="Q28" s="32" t="str">
        <f aca="false">IF(M28&gt;0,K28/M28,"")</f>
        <v/>
      </c>
      <c r="R28" s="57" t="str">
        <f aca="false">IF(K28&gt;0,O28/K28,"")</f>
        <v/>
      </c>
      <c r="S28" s="34" t="str">
        <f aca="false">IF(D28+E28+F28+G28&gt;0,(D28+E28)/(D28+E28+F28+G28),"")</f>
        <v/>
      </c>
      <c r="T28" s="33" t="n">
        <f aca="false">D28*(P1_PVP-P1_CPROD)+E28*(P2_PVP-P2_CPROD)-IF(ISNUMBER(I28),I28,D28*P1_LOG+E28*P2_LOG)</f>
        <v>0</v>
      </c>
      <c r="U28" s="33" t="n">
        <f aca="false">T28-(D28*P1_IVAN+E28*P2_IVAN)-(F28+G28)*(COSTE_DEV-IVA_DEV)-AH28-AJ28</f>
        <v>0</v>
      </c>
      <c r="V28" s="33" t="n">
        <f aca="false">AC28-AD28-AE28-AF28-AG28-AH28-AJ28</f>
        <v>0</v>
      </c>
      <c r="X28" s="58" t="n">
        <f aca="false">MAX(0,B28-D28-F28)</f>
        <v>0</v>
      </c>
      <c r="Y28" s="58" t="n">
        <f aca="false">MAX(0,C28-E28-G28)</f>
        <v>0</v>
      </c>
      <c r="Z28" s="59" t="n">
        <f aca="false">D28+X28*TASA_USADA</f>
        <v>0</v>
      </c>
      <c r="AA28" s="59" t="n">
        <f aca="false">E28+Y28*TASA_USADA</f>
        <v>0</v>
      </c>
      <c r="AB28" s="59" t="n">
        <f aca="false">F28+G28+(X28+Y28)*(1-TASA_USADA)</f>
        <v>0</v>
      </c>
      <c r="AC28" s="60" t="n">
        <f aca="false">Z28*P1_PVP+AA28*P2_PVP</f>
        <v>0</v>
      </c>
      <c r="AD28" s="60" t="n">
        <f aca="false">Z28*P1_CPROD+AA28*P2_CPROD</f>
        <v>0</v>
      </c>
      <c r="AE28" s="60" t="n">
        <f aca="false">IF(ISNUMBER(I28),I28,D28*P1_LOG+E28*P2_LOG)+IF(ISNUMBER(J28),J28,X28*P1_LOG+Y28*P2_LOG)*TASA_USADA</f>
        <v>0</v>
      </c>
      <c r="AF28" s="60" t="n">
        <f aca="false">AB28*COSTE_DEV</f>
        <v>0</v>
      </c>
      <c r="AG28" s="60" t="n">
        <f aca="false">Z28*P1_IVAN+AA28*P2_IVAN-AB28*IVA_DEV</f>
        <v>0</v>
      </c>
      <c r="AH28" s="60" t="n">
        <f aca="false">K28*(1+RECARGO_ADS)</f>
        <v>0</v>
      </c>
      <c r="AI28" s="58" t="n">
        <f aca="false">IF(ISNUMBER(I28),D28+E28+X28+Y28,0)</f>
        <v>0</v>
      </c>
      <c r="AJ28" s="60" t="n">
        <f aca="false">M28*COMISION</f>
        <v>0</v>
      </c>
    </row>
    <row r="29" customFormat="false" ht="15" hidden="false" customHeight="false" outlineLevel="0" collapsed="false">
      <c r="A29" s="53" t="n">
        <v>46323</v>
      </c>
      <c r="B29" s="54"/>
      <c r="C29" s="54"/>
      <c r="D29" s="54"/>
      <c r="E29" s="54"/>
      <c r="F29" s="54"/>
      <c r="G29" s="54"/>
      <c r="H29" s="54"/>
      <c r="I29" s="55"/>
      <c r="J29" s="55"/>
      <c r="K29" s="55"/>
      <c r="L29" s="56"/>
      <c r="M29" s="31" t="n">
        <f aca="false">B29+C29</f>
        <v>0</v>
      </c>
      <c r="N29" s="31" t="n">
        <f aca="false">X29+Y29</f>
        <v>0</v>
      </c>
      <c r="O29" s="32" t="n">
        <f aca="false">B29*P1_PVP+C29*P2_PVP</f>
        <v>0</v>
      </c>
      <c r="P29" s="32" t="str">
        <f aca="false">IF(M29&gt;0,O29/M29,"")</f>
        <v/>
      </c>
      <c r="Q29" s="32" t="str">
        <f aca="false">IF(M29&gt;0,K29/M29,"")</f>
        <v/>
      </c>
      <c r="R29" s="57" t="str">
        <f aca="false">IF(K29&gt;0,O29/K29,"")</f>
        <v/>
      </c>
      <c r="S29" s="34" t="str">
        <f aca="false">IF(D29+E29+F29+G29&gt;0,(D29+E29)/(D29+E29+F29+G29),"")</f>
        <v/>
      </c>
      <c r="T29" s="33" t="n">
        <f aca="false">D29*(P1_PVP-P1_CPROD)+E29*(P2_PVP-P2_CPROD)-IF(ISNUMBER(I29),I29,D29*P1_LOG+E29*P2_LOG)</f>
        <v>0</v>
      </c>
      <c r="U29" s="33" t="n">
        <f aca="false">T29-(D29*P1_IVAN+E29*P2_IVAN)-(F29+G29)*(COSTE_DEV-IVA_DEV)-AH29-AJ29</f>
        <v>0</v>
      </c>
      <c r="V29" s="33" t="n">
        <f aca="false">AC29-AD29-AE29-AF29-AG29-AH29-AJ29</f>
        <v>0</v>
      </c>
      <c r="X29" s="58" t="n">
        <f aca="false">MAX(0,B29-D29-F29)</f>
        <v>0</v>
      </c>
      <c r="Y29" s="58" t="n">
        <f aca="false">MAX(0,C29-E29-G29)</f>
        <v>0</v>
      </c>
      <c r="Z29" s="59" t="n">
        <f aca="false">D29+X29*TASA_USADA</f>
        <v>0</v>
      </c>
      <c r="AA29" s="59" t="n">
        <f aca="false">E29+Y29*TASA_USADA</f>
        <v>0</v>
      </c>
      <c r="AB29" s="59" t="n">
        <f aca="false">F29+G29+(X29+Y29)*(1-TASA_USADA)</f>
        <v>0</v>
      </c>
      <c r="AC29" s="60" t="n">
        <f aca="false">Z29*P1_PVP+AA29*P2_PVP</f>
        <v>0</v>
      </c>
      <c r="AD29" s="60" t="n">
        <f aca="false">Z29*P1_CPROD+AA29*P2_CPROD</f>
        <v>0</v>
      </c>
      <c r="AE29" s="60" t="n">
        <f aca="false">IF(ISNUMBER(I29),I29,D29*P1_LOG+E29*P2_LOG)+IF(ISNUMBER(J29),J29,X29*P1_LOG+Y29*P2_LOG)*TASA_USADA</f>
        <v>0</v>
      </c>
      <c r="AF29" s="60" t="n">
        <f aca="false">AB29*COSTE_DEV</f>
        <v>0</v>
      </c>
      <c r="AG29" s="60" t="n">
        <f aca="false">Z29*P1_IVAN+AA29*P2_IVAN-AB29*IVA_DEV</f>
        <v>0</v>
      </c>
      <c r="AH29" s="60" t="n">
        <f aca="false">K29*(1+RECARGO_ADS)</f>
        <v>0</v>
      </c>
      <c r="AI29" s="58" t="n">
        <f aca="false">IF(ISNUMBER(I29),D29+E29+X29+Y29,0)</f>
        <v>0</v>
      </c>
      <c r="AJ29" s="60" t="n">
        <f aca="false">M29*COMISION</f>
        <v>0</v>
      </c>
    </row>
    <row r="30" customFormat="false" ht="15" hidden="false" customHeight="false" outlineLevel="0" collapsed="false">
      <c r="A30" s="53" t="n">
        <v>46324</v>
      </c>
      <c r="B30" s="54"/>
      <c r="C30" s="54"/>
      <c r="D30" s="54"/>
      <c r="E30" s="54"/>
      <c r="F30" s="54"/>
      <c r="G30" s="54"/>
      <c r="H30" s="54"/>
      <c r="I30" s="55"/>
      <c r="J30" s="55"/>
      <c r="K30" s="55"/>
      <c r="L30" s="56"/>
      <c r="M30" s="31" t="n">
        <f aca="false">B30+C30</f>
        <v>0</v>
      </c>
      <c r="N30" s="31" t="n">
        <f aca="false">X30+Y30</f>
        <v>0</v>
      </c>
      <c r="O30" s="32" t="n">
        <f aca="false">B30*P1_PVP+C30*P2_PVP</f>
        <v>0</v>
      </c>
      <c r="P30" s="32" t="str">
        <f aca="false">IF(M30&gt;0,O30/M30,"")</f>
        <v/>
      </c>
      <c r="Q30" s="32" t="str">
        <f aca="false">IF(M30&gt;0,K30/M30,"")</f>
        <v/>
      </c>
      <c r="R30" s="57" t="str">
        <f aca="false">IF(K30&gt;0,O30/K30,"")</f>
        <v/>
      </c>
      <c r="S30" s="34" t="str">
        <f aca="false">IF(D30+E30+F30+G30&gt;0,(D30+E30)/(D30+E30+F30+G30),"")</f>
        <v/>
      </c>
      <c r="T30" s="33" t="n">
        <f aca="false">D30*(P1_PVP-P1_CPROD)+E30*(P2_PVP-P2_CPROD)-IF(ISNUMBER(I30),I30,D30*P1_LOG+E30*P2_LOG)</f>
        <v>0</v>
      </c>
      <c r="U30" s="33" t="n">
        <f aca="false">T30-(D30*P1_IVAN+E30*P2_IVAN)-(F30+G30)*(COSTE_DEV-IVA_DEV)-AH30-AJ30</f>
        <v>0</v>
      </c>
      <c r="V30" s="33" t="n">
        <f aca="false">AC30-AD30-AE30-AF30-AG30-AH30-AJ30</f>
        <v>0</v>
      </c>
      <c r="X30" s="58" t="n">
        <f aca="false">MAX(0,B30-D30-F30)</f>
        <v>0</v>
      </c>
      <c r="Y30" s="58" t="n">
        <f aca="false">MAX(0,C30-E30-G30)</f>
        <v>0</v>
      </c>
      <c r="Z30" s="59" t="n">
        <f aca="false">D30+X30*TASA_USADA</f>
        <v>0</v>
      </c>
      <c r="AA30" s="59" t="n">
        <f aca="false">E30+Y30*TASA_USADA</f>
        <v>0</v>
      </c>
      <c r="AB30" s="59" t="n">
        <f aca="false">F30+G30+(X30+Y30)*(1-TASA_USADA)</f>
        <v>0</v>
      </c>
      <c r="AC30" s="60" t="n">
        <f aca="false">Z30*P1_PVP+AA30*P2_PVP</f>
        <v>0</v>
      </c>
      <c r="AD30" s="60" t="n">
        <f aca="false">Z30*P1_CPROD+AA30*P2_CPROD</f>
        <v>0</v>
      </c>
      <c r="AE30" s="60" t="n">
        <f aca="false">IF(ISNUMBER(I30),I30,D30*P1_LOG+E30*P2_LOG)+IF(ISNUMBER(J30),J30,X30*P1_LOG+Y30*P2_LOG)*TASA_USADA</f>
        <v>0</v>
      </c>
      <c r="AF30" s="60" t="n">
        <f aca="false">AB30*COSTE_DEV</f>
        <v>0</v>
      </c>
      <c r="AG30" s="60" t="n">
        <f aca="false">Z30*P1_IVAN+AA30*P2_IVAN-AB30*IVA_DEV</f>
        <v>0</v>
      </c>
      <c r="AH30" s="60" t="n">
        <f aca="false">K30*(1+RECARGO_ADS)</f>
        <v>0</v>
      </c>
      <c r="AI30" s="58" t="n">
        <f aca="false">IF(ISNUMBER(I30),D30+E30+X30+Y30,0)</f>
        <v>0</v>
      </c>
      <c r="AJ30" s="60" t="n">
        <f aca="false">M30*COMISION</f>
        <v>0</v>
      </c>
    </row>
    <row r="31" customFormat="false" ht="15" hidden="false" customHeight="false" outlineLevel="0" collapsed="false">
      <c r="A31" s="53" t="n">
        <v>46325</v>
      </c>
      <c r="B31" s="54"/>
      <c r="C31" s="54"/>
      <c r="D31" s="54"/>
      <c r="E31" s="54"/>
      <c r="F31" s="54"/>
      <c r="G31" s="54"/>
      <c r="H31" s="54"/>
      <c r="I31" s="55"/>
      <c r="J31" s="55"/>
      <c r="K31" s="55"/>
      <c r="L31" s="56"/>
      <c r="M31" s="31" t="n">
        <f aca="false">B31+C31</f>
        <v>0</v>
      </c>
      <c r="N31" s="31" t="n">
        <f aca="false">X31+Y31</f>
        <v>0</v>
      </c>
      <c r="O31" s="32" t="n">
        <f aca="false">B31*P1_PVP+C31*P2_PVP</f>
        <v>0</v>
      </c>
      <c r="P31" s="32" t="str">
        <f aca="false">IF(M31&gt;0,O31/M31,"")</f>
        <v/>
      </c>
      <c r="Q31" s="32" t="str">
        <f aca="false">IF(M31&gt;0,K31/M31,"")</f>
        <v/>
      </c>
      <c r="R31" s="57" t="str">
        <f aca="false">IF(K31&gt;0,O31/K31,"")</f>
        <v/>
      </c>
      <c r="S31" s="34" t="str">
        <f aca="false">IF(D31+E31+F31+G31&gt;0,(D31+E31)/(D31+E31+F31+G31),"")</f>
        <v/>
      </c>
      <c r="T31" s="33" t="n">
        <f aca="false">D31*(P1_PVP-P1_CPROD)+E31*(P2_PVP-P2_CPROD)-IF(ISNUMBER(I31),I31,D31*P1_LOG+E31*P2_LOG)</f>
        <v>0</v>
      </c>
      <c r="U31" s="33" t="n">
        <f aca="false">T31-(D31*P1_IVAN+E31*P2_IVAN)-(F31+G31)*(COSTE_DEV-IVA_DEV)-AH31-AJ31</f>
        <v>0</v>
      </c>
      <c r="V31" s="33" t="n">
        <f aca="false">AC31-AD31-AE31-AF31-AG31-AH31-AJ31</f>
        <v>0</v>
      </c>
      <c r="X31" s="58" t="n">
        <f aca="false">MAX(0,B31-D31-F31)</f>
        <v>0</v>
      </c>
      <c r="Y31" s="58" t="n">
        <f aca="false">MAX(0,C31-E31-G31)</f>
        <v>0</v>
      </c>
      <c r="Z31" s="59" t="n">
        <f aca="false">D31+X31*TASA_USADA</f>
        <v>0</v>
      </c>
      <c r="AA31" s="59" t="n">
        <f aca="false">E31+Y31*TASA_USADA</f>
        <v>0</v>
      </c>
      <c r="AB31" s="59" t="n">
        <f aca="false">F31+G31+(X31+Y31)*(1-TASA_USADA)</f>
        <v>0</v>
      </c>
      <c r="AC31" s="60" t="n">
        <f aca="false">Z31*P1_PVP+AA31*P2_PVP</f>
        <v>0</v>
      </c>
      <c r="AD31" s="60" t="n">
        <f aca="false">Z31*P1_CPROD+AA31*P2_CPROD</f>
        <v>0</v>
      </c>
      <c r="AE31" s="60" t="n">
        <f aca="false">IF(ISNUMBER(I31),I31,D31*P1_LOG+E31*P2_LOG)+IF(ISNUMBER(J31),J31,X31*P1_LOG+Y31*P2_LOG)*TASA_USADA</f>
        <v>0</v>
      </c>
      <c r="AF31" s="60" t="n">
        <f aca="false">AB31*COSTE_DEV</f>
        <v>0</v>
      </c>
      <c r="AG31" s="60" t="n">
        <f aca="false">Z31*P1_IVAN+AA31*P2_IVAN-AB31*IVA_DEV</f>
        <v>0</v>
      </c>
      <c r="AH31" s="60" t="n">
        <f aca="false">K31*(1+RECARGO_ADS)</f>
        <v>0</v>
      </c>
      <c r="AI31" s="58" t="n">
        <f aca="false">IF(ISNUMBER(I31),D31+E31+X31+Y31,0)</f>
        <v>0</v>
      </c>
      <c r="AJ31" s="60" t="n">
        <f aca="false">M31*COMISION</f>
        <v>0</v>
      </c>
    </row>
    <row r="32" customFormat="false" ht="15" hidden="false" customHeight="false" outlineLevel="0" collapsed="false">
      <c r="A32" s="53" t="n">
        <v>46326</v>
      </c>
      <c r="B32" s="54"/>
      <c r="C32" s="54"/>
      <c r="D32" s="54"/>
      <c r="E32" s="54"/>
      <c r="F32" s="54"/>
      <c r="G32" s="54"/>
      <c r="H32" s="54"/>
      <c r="I32" s="55"/>
      <c r="J32" s="55"/>
      <c r="K32" s="55"/>
      <c r="L32" s="56"/>
      <c r="M32" s="31" t="n">
        <f aca="false">B32+C32</f>
        <v>0</v>
      </c>
      <c r="N32" s="31" t="n">
        <f aca="false">X32+Y32</f>
        <v>0</v>
      </c>
      <c r="O32" s="32" t="n">
        <f aca="false">B32*P1_PVP+C32*P2_PVP</f>
        <v>0</v>
      </c>
      <c r="P32" s="32" t="str">
        <f aca="false">IF(M32&gt;0,O32/M32,"")</f>
        <v/>
      </c>
      <c r="Q32" s="32" t="str">
        <f aca="false">IF(M32&gt;0,K32/M32,"")</f>
        <v/>
      </c>
      <c r="R32" s="57" t="str">
        <f aca="false">IF(K32&gt;0,O32/K32,"")</f>
        <v/>
      </c>
      <c r="S32" s="34" t="str">
        <f aca="false">IF(D32+E32+F32+G32&gt;0,(D32+E32)/(D32+E32+F32+G32),"")</f>
        <v/>
      </c>
      <c r="T32" s="33" t="n">
        <f aca="false">D32*(P1_PVP-P1_CPROD)+E32*(P2_PVP-P2_CPROD)-IF(ISNUMBER(I32),I32,D32*P1_LOG+E32*P2_LOG)</f>
        <v>0</v>
      </c>
      <c r="U32" s="33" t="n">
        <f aca="false">T32-(D32*P1_IVAN+E32*P2_IVAN)-(F32+G32)*(COSTE_DEV-IVA_DEV)-AH32-AJ32</f>
        <v>0</v>
      </c>
      <c r="V32" s="33" t="n">
        <f aca="false">AC32-AD32-AE32-AF32-AG32-AH32-AJ32</f>
        <v>0</v>
      </c>
      <c r="X32" s="58" t="n">
        <f aca="false">MAX(0,B32-D32-F32)</f>
        <v>0</v>
      </c>
      <c r="Y32" s="58" t="n">
        <f aca="false">MAX(0,C32-E32-G32)</f>
        <v>0</v>
      </c>
      <c r="Z32" s="59" t="n">
        <f aca="false">D32+X32*TASA_USADA</f>
        <v>0</v>
      </c>
      <c r="AA32" s="59" t="n">
        <f aca="false">E32+Y32*TASA_USADA</f>
        <v>0</v>
      </c>
      <c r="AB32" s="59" t="n">
        <f aca="false">F32+G32+(X32+Y32)*(1-TASA_USADA)</f>
        <v>0</v>
      </c>
      <c r="AC32" s="60" t="n">
        <f aca="false">Z32*P1_PVP+AA32*P2_PVP</f>
        <v>0</v>
      </c>
      <c r="AD32" s="60" t="n">
        <f aca="false">Z32*P1_CPROD+AA32*P2_CPROD</f>
        <v>0</v>
      </c>
      <c r="AE32" s="60" t="n">
        <f aca="false">IF(ISNUMBER(I32),I32,D32*P1_LOG+E32*P2_LOG)+IF(ISNUMBER(J32),J32,X32*P1_LOG+Y32*P2_LOG)*TASA_USADA</f>
        <v>0</v>
      </c>
      <c r="AF32" s="60" t="n">
        <f aca="false">AB32*COSTE_DEV</f>
        <v>0</v>
      </c>
      <c r="AG32" s="60" t="n">
        <f aca="false">Z32*P1_IVAN+AA32*P2_IVAN-AB32*IVA_DEV</f>
        <v>0</v>
      </c>
      <c r="AH32" s="60" t="n">
        <f aca="false">K32*(1+RECARGO_ADS)</f>
        <v>0</v>
      </c>
      <c r="AI32" s="58" t="n">
        <f aca="false">IF(ISNUMBER(I32),D32+E32+X32+Y32,0)</f>
        <v>0</v>
      </c>
      <c r="AJ32" s="60" t="n">
        <f aca="false">M32*COMISION</f>
        <v>0</v>
      </c>
    </row>
    <row r="33" customFormat="false" ht="15" hidden="false" customHeight="false" outlineLevel="0" collapsed="false">
      <c r="A33" s="53" t="n">
        <v>46327</v>
      </c>
      <c r="B33" s="54"/>
      <c r="C33" s="54"/>
      <c r="D33" s="54"/>
      <c r="E33" s="54"/>
      <c r="F33" s="54"/>
      <c r="G33" s="54"/>
      <c r="H33" s="54"/>
      <c r="I33" s="55"/>
      <c r="J33" s="55"/>
      <c r="K33" s="55"/>
      <c r="L33" s="56"/>
      <c r="M33" s="31" t="n">
        <f aca="false">B33+C33</f>
        <v>0</v>
      </c>
      <c r="N33" s="31" t="n">
        <f aca="false">X33+Y33</f>
        <v>0</v>
      </c>
      <c r="O33" s="32" t="n">
        <f aca="false">B33*P1_PVP+C33*P2_PVP</f>
        <v>0</v>
      </c>
      <c r="P33" s="32" t="str">
        <f aca="false">IF(M33&gt;0,O33/M33,"")</f>
        <v/>
      </c>
      <c r="Q33" s="32" t="str">
        <f aca="false">IF(M33&gt;0,K33/M33,"")</f>
        <v/>
      </c>
      <c r="R33" s="57" t="str">
        <f aca="false">IF(K33&gt;0,O33/K33,"")</f>
        <v/>
      </c>
      <c r="S33" s="34" t="str">
        <f aca="false">IF(D33+E33+F33+G33&gt;0,(D33+E33)/(D33+E33+F33+G33),"")</f>
        <v/>
      </c>
      <c r="T33" s="33" t="n">
        <f aca="false">D33*(P1_PVP-P1_CPROD)+E33*(P2_PVP-P2_CPROD)-IF(ISNUMBER(I33),I33,D33*P1_LOG+E33*P2_LOG)</f>
        <v>0</v>
      </c>
      <c r="U33" s="33" t="n">
        <f aca="false">T33-(D33*P1_IVAN+E33*P2_IVAN)-(F33+G33)*(COSTE_DEV-IVA_DEV)-AH33-AJ33</f>
        <v>0</v>
      </c>
      <c r="V33" s="33" t="n">
        <f aca="false">AC33-AD33-AE33-AF33-AG33-AH33-AJ33</f>
        <v>0</v>
      </c>
      <c r="X33" s="58" t="n">
        <f aca="false">MAX(0,B33-D33-F33)</f>
        <v>0</v>
      </c>
      <c r="Y33" s="58" t="n">
        <f aca="false">MAX(0,C33-E33-G33)</f>
        <v>0</v>
      </c>
      <c r="Z33" s="59" t="n">
        <f aca="false">D33+X33*TASA_USADA</f>
        <v>0</v>
      </c>
      <c r="AA33" s="59" t="n">
        <f aca="false">E33+Y33*TASA_USADA</f>
        <v>0</v>
      </c>
      <c r="AB33" s="59" t="n">
        <f aca="false">F33+G33+(X33+Y33)*(1-TASA_USADA)</f>
        <v>0</v>
      </c>
      <c r="AC33" s="60" t="n">
        <f aca="false">Z33*P1_PVP+AA33*P2_PVP</f>
        <v>0</v>
      </c>
      <c r="AD33" s="60" t="n">
        <f aca="false">Z33*P1_CPROD+AA33*P2_CPROD</f>
        <v>0</v>
      </c>
      <c r="AE33" s="60" t="n">
        <f aca="false">IF(ISNUMBER(I33),I33,D33*P1_LOG+E33*P2_LOG)+IF(ISNUMBER(J33),J33,X33*P1_LOG+Y33*P2_LOG)*TASA_USADA</f>
        <v>0</v>
      </c>
      <c r="AF33" s="60" t="n">
        <f aca="false">AB33*COSTE_DEV</f>
        <v>0</v>
      </c>
      <c r="AG33" s="60" t="n">
        <f aca="false">Z33*P1_IVAN+AA33*P2_IVAN-AB33*IVA_DEV</f>
        <v>0</v>
      </c>
      <c r="AH33" s="60" t="n">
        <f aca="false">K33*(1+RECARGO_ADS)</f>
        <v>0</v>
      </c>
      <c r="AI33" s="58" t="n">
        <f aca="false">IF(ISNUMBER(I33),D33+E33+X33+Y33,0)</f>
        <v>0</v>
      </c>
      <c r="AJ33" s="60" t="n">
        <f aca="false">M33*COMISION</f>
        <v>0</v>
      </c>
    </row>
    <row r="34" customFormat="false" ht="15" hidden="false" customHeight="false" outlineLevel="0" collapsed="false">
      <c r="A34" s="53" t="n">
        <v>46328</v>
      </c>
      <c r="B34" s="54"/>
      <c r="C34" s="54"/>
      <c r="D34" s="54"/>
      <c r="E34" s="54"/>
      <c r="F34" s="54"/>
      <c r="G34" s="54"/>
      <c r="H34" s="54"/>
      <c r="I34" s="55"/>
      <c r="J34" s="55"/>
      <c r="K34" s="55"/>
      <c r="L34" s="56"/>
      <c r="M34" s="31" t="n">
        <f aca="false">B34+C34</f>
        <v>0</v>
      </c>
      <c r="N34" s="31" t="n">
        <f aca="false">X34+Y34</f>
        <v>0</v>
      </c>
      <c r="O34" s="32" t="n">
        <f aca="false">B34*P1_PVP+C34*P2_PVP</f>
        <v>0</v>
      </c>
      <c r="P34" s="32" t="str">
        <f aca="false">IF(M34&gt;0,O34/M34,"")</f>
        <v/>
      </c>
      <c r="Q34" s="32" t="str">
        <f aca="false">IF(M34&gt;0,K34/M34,"")</f>
        <v/>
      </c>
      <c r="R34" s="57" t="str">
        <f aca="false">IF(K34&gt;0,O34/K34,"")</f>
        <v/>
      </c>
      <c r="S34" s="34" t="str">
        <f aca="false">IF(D34+E34+F34+G34&gt;0,(D34+E34)/(D34+E34+F34+G34),"")</f>
        <v/>
      </c>
      <c r="T34" s="33" t="n">
        <f aca="false">D34*(P1_PVP-P1_CPROD)+E34*(P2_PVP-P2_CPROD)-IF(ISNUMBER(I34),I34,D34*P1_LOG+E34*P2_LOG)</f>
        <v>0</v>
      </c>
      <c r="U34" s="33" t="n">
        <f aca="false">T34-(D34*P1_IVAN+E34*P2_IVAN)-(F34+G34)*(COSTE_DEV-IVA_DEV)-AH34-AJ34</f>
        <v>0</v>
      </c>
      <c r="V34" s="33" t="n">
        <f aca="false">AC34-AD34-AE34-AF34-AG34-AH34-AJ34</f>
        <v>0</v>
      </c>
      <c r="X34" s="58" t="n">
        <f aca="false">MAX(0,B34-D34-F34)</f>
        <v>0</v>
      </c>
      <c r="Y34" s="58" t="n">
        <f aca="false">MAX(0,C34-E34-G34)</f>
        <v>0</v>
      </c>
      <c r="Z34" s="59" t="n">
        <f aca="false">D34+X34*TASA_USADA</f>
        <v>0</v>
      </c>
      <c r="AA34" s="59" t="n">
        <f aca="false">E34+Y34*TASA_USADA</f>
        <v>0</v>
      </c>
      <c r="AB34" s="59" t="n">
        <f aca="false">F34+G34+(X34+Y34)*(1-TASA_USADA)</f>
        <v>0</v>
      </c>
      <c r="AC34" s="60" t="n">
        <f aca="false">Z34*P1_PVP+AA34*P2_PVP</f>
        <v>0</v>
      </c>
      <c r="AD34" s="60" t="n">
        <f aca="false">Z34*P1_CPROD+AA34*P2_CPROD</f>
        <v>0</v>
      </c>
      <c r="AE34" s="60" t="n">
        <f aca="false">IF(ISNUMBER(I34),I34,D34*P1_LOG+E34*P2_LOG)+IF(ISNUMBER(J34),J34,X34*P1_LOG+Y34*P2_LOG)*TASA_USADA</f>
        <v>0</v>
      </c>
      <c r="AF34" s="60" t="n">
        <f aca="false">AB34*COSTE_DEV</f>
        <v>0</v>
      </c>
      <c r="AG34" s="60" t="n">
        <f aca="false">Z34*P1_IVAN+AA34*P2_IVAN-AB34*IVA_DEV</f>
        <v>0</v>
      </c>
      <c r="AH34" s="60" t="n">
        <f aca="false">K34*(1+RECARGO_ADS)</f>
        <v>0</v>
      </c>
      <c r="AI34" s="58" t="n">
        <f aca="false">IF(ISNUMBER(I34),D34+E34+X34+Y34,0)</f>
        <v>0</v>
      </c>
      <c r="AJ34" s="60" t="n">
        <f aca="false">M34*COMISION</f>
        <v>0</v>
      </c>
    </row>
    <row r="35" customFormat="false" ht="15" hidden="false" customHeight="false" outlineLevel="0" collapsed="false">
      <c r="A35" s="53" t="n">
        <v>46329</v>
      </c>
      <c r="B35" s="54"/>
      <c r="C35" s="54"/>
      <c r="D35" s="54"/>
      <c r="E35" s="54"/>
      <c r="F35" s="54"/>
      <c r="G35" s="54"/>
      <c r="H35" s="54"/>
      <c r="I35" s="55"/>
      <c r="J35" s="55"/>
      <c r="K35" s="55"/>
      <c r="L35" s="56"/>
      <c r="M35" s="31" t="n">
        <f aca="false">B35+C35</f>
        <v>0</v>
      </c>
      <c r="N35" s="31" t="n">
        <f aca="false">X35+Y35</f>
        <v>0</v>
      </c>
      <c r="O35" s="32" t="n">
        <f aca="false">B35*P1_PVP+C35*P2_PVP</f>
        <v>0</v>
      </c>
      <c r="P35" s="32" t="str">
        <f aca="false">IF(M35&gt;0,O35/M35,"")</f>
        <v/>
      </c>
      <c r="Q35" s="32" t="str">
        <f aca="false">IF(M35&gt;0,K35/M35,"")</f>
        <v/>
      </c>
      <c r="R35" s="57" t="str">
        <f aca="false">IF(K35&gt;0,O35/K35,"")</f>
        <v/>
      </c>
      <c r="S35" s="34" t="str">
        <f aca="false">IF(D35+E35+F35+G35&gt;0,(D35+E35)/(D35+E35+F35+G35),"")</f>
        <v/>
      </c>
      <c r="T35" s="33" t="n">
        <f aca="false">D35*(P1_PVP-P1_CPROD)+E35*(P2_PVP-P2_CPROD)-IF(ISNUMBER(I35),I35,D35*P1_LOG+E35*P2_LOG)</f>
        <v>0</v>
      </c>
      <c r="U35" s="33" t="n">
        <f aca="false">T35-(D35*P1_IVAN+E35*P2_IVAN)-(F35+G35)*(COSTE_DEV-IVA_DEV)-AH35-AJ35</f>
        <v>0</v>
      </c>
      <c r="V35" s="33" t="n">
        <f aca="false">AC35-AD35-AE35-AF35-AG35-AH35-AJ35</f>
        <v>0</v>
      </c>
      <c r="X35" s="58" t="n">
        <f aca="false">MAX(0,B35-D35-F35)</f>
        <v>0</v>
      </c>
      <c r="Y35" s="58" t="n">
        <f aca="false">MAX(0,C35-E35-G35)</f>
        <v>0</v>
      </c>
      <c r="Z35" s="59" t="n">
        <f aca="false">D35+X35*TASA_USADA</f>
        <v>0</v>
      </c>
      <c r="AA35" s="59" t="n">
        <f aca="false">E35+Y35*TASA_USADA</f>
        <v>0</v>
      </c>
      <c r="AB35" s="59" t="n">
        <f aca="false">F35+G35+(X35+Y35)*(1-TASA_USADA)</f>
        <v>0</v>
      </c>
      <c r="AC35" s="60" t="n">
        <f aca="false">Z35*P1_PVP+AA35*P2_PVP</f>
        <v>0</v>
      </c>
      <c r="AD35" s="60" t="n">
        <f aca="false">Z35*P1_CPROD+AA35*P2_CPROD</f>
        <v>0</v>
      </c>
      <c r="AE35" s="60" t="n">
        <f aca="false">IF(ISNUMBER(I35),I35,D35*P1_LOG+E35*P2_LOG)+IF(ISNUMBER(J35),J35,X35*P1_LOG+Y35*P2_LOG)*TASA_USADA</f>
        <v>0</v>
      </c>
      <c r="AF35" s="60" t="n">
        <f aca="false">AB35*COSTE_DEV</f>
        <v>0</v>
      </c>
      <c r="AG35" s="60" t="n">
        <f aca="false">Z35*P1_IVAN+AA35*P2_IVAN-AB35*IVA_DEV</f>
        <v>0</v>
      </c>
      <c r="AH35" s="60" t="n">
        <f aca="false">K35*(1+RECARGO_ADS)</f>
        <v>0</v>
      </c>
      <c r="AI35" s="58" t="n">
        <f aca="false">IF(ISNUMBER(I35),D35+E35+X35+Y35,0)</f>
        <v>0</v>
      </c>
      <c r="AJ35" s="60" t="n">
        <f aca="false">M35*COMISION</f>
        <v>0</v>
      </c>
    </row>
    <row r="36" customFormat="false" ht="15" hidden="false" customHeight="false" outlineLevel="0" collapsed="false">
      <c r="A36" s="53" t="n">
        <v>46330</v>
      </c>
      <c r="B36" s="54"/>
      <c r="C36" s="54"/>
      <c r="D36" s="54"/>
      <c r="E36" s="54"/>
      <c r="F36" s="54"/>
      <c r="G36" s="54"/>
      <c r="H36" s="54"/>
      <c r="I36" s="55"/>
      <c r="J36" s="55"/>
      <c r="K36" s="55"/>
      <c r="L36" s="56"/>
      <c r="M36" s="31" t="n">
        <f aca="false">B36+C36</f>
        <v>0</v>
      </c>
      <c r="N36" s="31" t="n">
        <f aca="false">X36+Y36</f>
        <v>0</v>
      </c>
      <c r="O36" s="32" t="n">
        <f aca="false">B36*P1_PVP+C36*P2_PVP</f>
        <v>0</v>
      </c>
      <c r="P36" s="32" t="str">
        <f aca="false">IF(M36&gt;0,O36/M36,"")</f>
        <v/>
      </c>
      <c r="Q36" s="32" t="str">
        <f aca="false">IF(M36&gt;0,K36/M36,"")</f>
        <v/>
      </c>
      <c r="R36" s="57" t="str">
        <f aca="false">IF(K36&gt;0,O36/K36,"")</f>
        <v/>
      </c>
      <c r="S36" s="34" t="str">
        <f aca="false">IF(D36+E36+F36+G36&gt;0,(D36+E36)/(D36+E36+F36+G36),"")</f>
        <v/>
      </c>
      <c r="T36" s="33" t="n">
        <f aca="false">D36*(P1_PVP-P1_CPROD)+E36*(P2_PVP-P2_CPROD)-IF(ISNUMBER(I36),I36,D36*P1_LOG+E36*P2_LOG)</f>
        <v>0</v>
      </c>
      <c r="U36" s="33" t="n">
        <f aca="false">T36-(D36*P1_IVAN+E36*P2_IVAN)-(F36+G36)*(COSTE_DEV-IVA_DEV)-AH36-AJ36</f>
        <v>0</v>
      </c>
      <c r="V36" s="33" t="n">
        <f aca="false">AC36-AD36-AE36-AF36-AG36-AH36-AJ36</f>
        <v>0</v>
      </c>
      <c r="X36" s="58" t="n">
        <f aca="false">MAX(0,B36-D36-F36)</f>
        <v>0</v>
      </c>
      <c r="Y36" s="58" t="n">
        <f aca="false">MAX(0,C36-E36-G36)</f>
        <v>0</v>
      </c>
      <c r="Z36" s="59" t="n">
        <f aca="false">D36+X36*TASA_USADA</f>
        <v>0</v>
      </c>
      <c r="AA36" s="59" t="n">
        <f aca="false">E36+Y36*TASA_USADA</f>
        <v>0</v>
      </c>
      <c r="AB36" s="59" t="n">
        <f aca="false">F36+G36+(X36+Y36)*(1-TASA_USADA)</f>
        <v>0</v>
      </c>
      <c r="AC36" s="60" t="n">
        <f aca="false">Z36*P1_PVP+AA36*P2_PVP</f>
        <v>0</v>
      </c>
      <c r="AD36" s="60" t="n">
        <f aca="false">Z36*P1_CPROD+AA36*P2_CPROD</f>
        <v>0</v>
      </c>
      <c r="AE36" s="60" t="n">
        <f aca="false">IF(ISNUMBER(I36),I36,D36*P1_LOG+E36*P2_LOG)+IF(ISNUMBER(J36),J36,X36*P1_LOG+Y36*P2_LOG)*TASA_USADA</f>
        <v>0</v>
      </c>
      <c r="AF36" s="60" t="n">
        <f aca="false">AB36*COSTE_DEV</f>
        <v>0</v>
      </c>
      <c r="AG36" s="60" t="n">
        <f aca="false">Z36*P1_IVAN+AA36*P2_IVAN-AB36*IVA_DEV</f>
        <v>0</v>
      </c>
      <c r="AH36" s="60" t="n">
        <f aca="false">K36*(1+RECARGO_ADS)</f>
        <v>0</v>
      </c>
      <c r="AI36" s="58" t="n">
        <f aca="false">IF(ISNUMBER(I36),D36+E36+X36+Y36,0)</f>
        <v>0</v>
      </c>
      <c r="AJ36" s="60" t="n">
        <f aca="false">M36*COMISION</f>
        <v>0</v>
      </c>
    </row>
    <row r="37" customFormat="false" ht="15" hidden="false" customHeight="false" outlineLevel="0" collapsed="false">
      <c r="A37" s="53" t="n">
        <v>46331</v>
      </c>
      <c r="B37" s="54"/>
      <c r="C37" s="54"/>
      <c r="D37" s="54"/>
      <c r="E37" s="54"/>
      <c r="F37" s="54"/>
      <c r="G37" s="54"/>
      <c r="H37" s="54"/>
      <c r="I37" s="55"/>
      <c r="J37" s="55"/>
      <c r="K37" s="55"/>
      <c r="L37" s="56"/>
      <c r="M37" s="31" t="n">
        <f aca="false">B37+C37</f>
        <v>0</v>
      </c>
      <c r="N37" s="31" t="n">
        <f aca="false">X37+Y37</f>
        <v>0</v>
      </c>
      <c r="O37" s="32" t="n">
        <f aca="false">B37*P1_PVP+C37*P2_PVP</f>
        <v>0</v>
      </c>
      <c r="P37" s="32" t="str">
        <f aca="false">IF(M37&gt;0,O37/M37,"")</f>
        <v/>
      </c>
      <c r="Q37" s="32" t="str">
        <f aca="false">IF(M37&gt;0,K37/M37,"")</f>
        <v/>
      </c>
      <c r="R37" s="57" t="str">
        <f aca="false">IF(K37&gt;0,O37/K37,"")</f>
        <v/>
      </c>
      <c r="S37" s="34" t="str">
        <f aca="false">IF(D37+E37+F37+G37&gt;0,(D37+E37)/(D37+E37+F37+G37),"")</f>
        <v/>
      </c>
      <c r="T37" s="33" t="n">
        <f aca="false">D37*(P1_PVP-P1_CPROD)+E37*(P2_PVP-P2_CPROD)-IF(ISNUMBER(I37),I37,D37*P1_LOG+E37*P2_LOG)</f>
        <v>0</v>
      </c>
      <c r="U37" s="33" t="n">
        <f aca="false">T37-(D37*P1_IVAN+E37*P2_IVAN)-(F37+G37)*(COSTE_DEV-IVA_DEV)-AH37-AJ37</f>
        <v>0</v>
      </c>
      <c r="V37" s="33" t="n">
        <f aca="false">AC37-AD37-AE37-AF37-AG37-AH37-AJ37</f>
        <v>0</v>
      </c>
      <c r="X37" s="58" t="n">
        <f aca="false">MAX(0,B37-D37-F37)</f>
        <v>0</v>
      </c>
      <c r="Y37" s="58" t="n">
        <f aca="false">MAX(0,C37-E37-G37)</f>
        <v>0</v>
      </c>
      <c r="Z37" s="59" t="n">
        <f aca="false">D37+X37*TASA_USADA</f>
        <v>0</v>
      </c>
      <c r="AA37" s="59" t="n">
        <f aca="false">E37+Y37*TASA_USADA</f>
        <v>0</v>
      </c>
      <c r="AB37" s="59" t="n">
        <f aca="false">F37+G37+(X37+Y37)*(1-TASA_USADA)</f>
        <v>0</v>
      </c>
      <c r="AC37" s="60" t="n">
        <f aca="false">Z37*P1_PVP+AA37*P2_PVP</f>
        <v>0</v>
      </c>
      <c r="AD37" s="60" t="n">
        <f aca="false">Z37*P1_CPROD+AA37*P2_CPROD</f>
        <v>0</v>
      </c>
      <c r="AE37" s="60" t="n">
        <f aca="false">IF(ISNUMBER(I37),I37,D37*P1_LOG+E37*P2_LOG)+IF(ISNUMBER(J37),J37,X37*P1_LOG+Y37*P2_LOG)*TASA_USADA</f>
        <v>0</v>
      </c>
      <c r="AF37" s="60" t="n">
        <f aca="false">AB37*COSTE_DEV</f>
        <v>0</v>
      </c>
      <c r="AG37" s="60" t="n">
        <f aca="false">Z37*P1_IVAN+AA37*P2_IVAN-AB37*IVA_DEV</f>
        <v>0</v>
      </c>
      <c r="AH37" s="60" t="n">
        <f aca="false">K37*(1+RECARGO_ADS)</f>
        <v>0</v>
      </c>
      <c r="AI37" s="58" t="n">
        <f aca="false">IF(ISNUMBER(I37),D37+E37+X37+Y37,0)</f>
        <v>0</v>
      </c>
      <c r="AJ37" s="60" t="n">
        <f aca="false">M37*COMISION</f>
        <v>0</v>
      </c>
    </row>
    <row r="38" customFormat="false" ht="15" hidden="false" customHeight="false" outlineLevel="0" collapsed="false">
      <c r="A38" s="53" t="n">
        <v>46332</v>
      </c>
      <c r="B38" s="54"/>
      <c r="C38" s="54"/>
      <c r="D38" s="54"/>
      <c r="E38" s="54"/>
      <c r="F38" s="54"/>
      <c r="G38" s="54"/>
      <c r="H38" s="54"/>
      <c r="I38" s="55"/>
      <c r="J38" s="55"/>
      <c r="K38" s="55"/>
      <c r="L38" s="56"/>
      <c r="M38" s="31" t="n">
        <f aca="false">B38+C38</f>
        <v>0</v>
      </c>
      <c r="N38" s="31" t="n">
        <f aca="false">X38+Y38</f>
        <v>0</v>
      </c>
      <c r="O38" s="32" t="n">
        <f aca="false">B38*P1_PVP+C38*P2_PVP</f>
        <v>0</v>
      </c>
      <c r="P38" s="32" t="str">
        <f aca="false">IF(M38&gt;0,O38/M38,"")</f>
        <v/>
      </c>
      <c r="Q38" s="32" t="str">
        <f aca="false">IF(M38&gt;0,K38/M38,"")</f>
        <v/>
      </c>
      <c r="R38" s="57" t="str">
        <f aca="false">IF(K38&gt;0,O38/K38,"")</f>
        <v/>
      </c>
      <c r="S38" s="34" t="str">
        <f aca="false">IF(D38+E38+F38+G38&gt;0,(D38+E38)/(D38+E38+F38+G38),"")</f>
        <v/>
      </c>
      <c r="T38" s="33" t="n">
        <f aca="false">D38*(P1_PVP-P1_CPROD)+E38*(P2_PVP-P2_CPROD)-IF(ISNUMBER(I38),I38,D38*P1_LOG+E38*P2_LOG)</f>
        <v>0</v>
      </c>
      <c r="U38" s="33" t="n">
        <f aca="false">T38-(D38*P1_IVAN+E38*P2_IVAN)-(F38+G38)*(COSTE_DEV-IVA_DEV)-AH38-AJ38</f>
        <v>0</v>
      </c>
      <c r="V38" s="33" t="n">
        <f aca="false">AC38-AD38-AE38-AF38-AG38-AH38-AJ38</f>
        <v>0</v>
      </c>
      <c r="X38" s="58" t="n">
        <f aca="false">MAX(0,B38-D38-F38)</f>
        <v>0</v>
      </c>
      <c r="Y38" s="58" t="n">
        <f aca="false">MAX(0,C38-E38-G38)</f>
        <v>0</v>
      </c>
      <c r="Z38" s="59" t="n">
        <f aca="false">D38+X38*TASA_USADA</f>
        <v>0</v>
      </c>
      <c r="AA38" s="59" t="n">
        <f aca="false">E38+Y38*TASA_USADA</f>
        <v>0</v>
      </c>
      <c r="AB38" s="59" t="n">
        <f aca="false">F38+G38+(X38+Y38)*(1-TASA_USADA)</f>
        <v>0</v>
      </c>
      <c r="AC38" s="60" t="n">
        <f aca="false">Z38*P1_PVP+AA38*P2_PVP</f>
        <v>0</v>
      </c>
      <c r="AD38" s="60" t="n">
        <f aca="false">Z38*P1_CPROD+AA38*P2_CPROD</f>
        <v>0</v>
      </c>
      <c r="AE38" s="60" t="n">
        <f aca="false">IF(ISNUMBER(I38),I38,D38*P1_LOG+E38*P2_LOG)+IF(ISNUMBER(J38),J38,X38*P1_LOG+Y38*P2_LOG)*TASA_USADA</f>
        <v>0</v>
      </c>
      <c r="AF38" s="60" t="n">
        <f aca="false">AB38*COSTE_DEV</f>
        <v>0</v>
      </c>
      <c r="AG38" s="60" t="n">
        <f aca="false">Z38*P1_IVAN+AA38*P2_IVAN-AB38*IVA_DEV</f>
        <v>0</v>
      </c>
      <c r="AH38" s="60" t="n">
        <f aca="false">K38*(1+RECARGO_ADS)</f>
        <v>0</v>
      </c>
      <c r="AI38" s="58" t="n">
        <f aca="false">IF(ISNUMBER(I38),D38+E38+X38+Y38,0)</f>
        <v>0</v>
      </c>
      <c r="AJ38" s="60" t="n">
        <f aca="false">M38*COMISION</f>
        <v>0</v>
      </c>
    </row>
    <row r="39" customFormat="false" ht="15" hidden="false" customHeight="false" outlineLevel="0" collapsed="false">
      <c r="A39" s="53" t="n">
        <v>46333</v>
      </c>
      <c r="B39" s="54"/>
      <c r="C39" s="54"/>
      <c r="D39" s="54"/>
      <c r="E39" s="54"/>
      <c r="F39" s="54"/>
      <c r="G39" s="54"/>
      <c r="H39" s="54"/>
      <c r="I39" s="55"/>
      <c r="J39" s="55"/>
      <c r="K39" s="55"/>
      <c r="L39" s="56"/>
      <c r="M39" s="31" t="n">
        <f aca="false">B39+C39</f>
        <v>0</v>
      </c>
      <c r="N39" s="31" t="n">
        <f aca="false">X39+Y39</f>
        <v>0</v>
      </c>
      <c r="O39" s="32" t="n">
        <f aca="false">B39*P1_PVP+C39*P2_PVP</f>
        <v>0</v>
      </c>
      <c r="P39" s="32" t="str">
        <f aca="false">IF(M39&gt;0,O39/M39,"")</f>
        <v/>
      </c>
      <c r="Q39" s="32" t="str">
        <f aca="false">IF(M39&gt;0,K39/M39,"")</f>
        <v/>
      </c>
      <c r="R39" s="57" t="str">
        <f aca="false">IF(K39&gt;0,O39/K39,"")</f>
        <v/>
      </c>
      <c r="S39" s="34" t="str">
        <f aca="false">IF(D39+E39+F39+G39&gt;0,(D39+E39)/(D39+E39+F39+G39),"")</f>
        <v/>
      </c>
      <c r="T39" s="33" t="n">
        <f aca="false">D39*(P1_PVP-P1_CPROD)+E39*(P2_PVP-P2_CPROD)-IF(ISNUMBER(I39),I39,D39*P1_LOG+E39*P2_LOG)</f>
        <v>0</v>
      </c>
      <c r="U39" s="33" t="n">
        <f aca="false">T39-(D39*P1_IVAN+E39*P2_IVAN)-(F39+G39)*(COSTE_DEV-IVA_DEV)-AH39-AJ39</f>
        <v>0</v>
      </c>
      <c r="V39" s="33" t="n">
        <f aca="false">AC39-AD39-AE39-AF39-AG39-AH39-AJ39</f>
        <v>0</v>
      </c>
      <c r="X39" s="58" t="n">
        <f aca="false">MAX(0,B39-D39-F39)</f>
        <v>0</v>
      </c>
      <c r="Y39" s="58" t="n">
        <f aca="false">MAX(0,C39-E39-G39)</f>
        <v>0</v>
      </c>
      <c r="Z39" s="59" t="n">
        <f aca="false">D39+X39*TASA_USADA</f>
        <v>0</v>
      </c>
      <c r="AA39" s="59" t="n">
        <f aca="false">E39+Y39*TASA_USADA</f>
        <v>0</v>
      </c>
      <c r="AB39" s="59" t="n">
        <f aca="false">F39+G39+(X39+Y39)*(1-TASA_USADA)</f>
        <v>0</v>
      </c>
      <c r="AC39" s="60" t="n">
        <f aca="false">Z39*P1_PVP+AA39*P2_PVP</f>
        <v>0</v>
      </c>
      <c r="AD39" s="60" t="n">
        <f aca="false">Z39*P1_CPROD+AA39*P2_CPROD</f>
        <v>0</v>
      </c>
      <c r="AE39" s="60" t="n">
        <f aca="false">IF(ISNUMBER(I39),I39,D39*P1_LOG+E39*P2_LOG)+IF(ISNUMBER(J39),J39,X39*P1_LOG+Y39*P2_LOG)*TASA_USADA</f>
        <v>0</v>
      </c>
      <c r="AF39" s="60" t="n">
        <f aca="false">AB39*COSTE_DEV</f>
        <v>0</v>
      </c>
      <c r="AG39" s="60" t="n">
        <f aca="false">Z39*P1_IVAN+AA39*P2_IVAN-AB39*IVA_DEV</f>
        <v>0</v>
      </c>
      <c r="AH39" s="60" t="n">
        <f aca="false">K39*(1+RECARGO_ADS)</f>
        <v>0</v>
      </c>
      <c r="AI39" s="58" t="n">
        <f aca="false">IF(ISNUMBER(I39),D39+E39+X39+Y39,0)</f>
        <v>0</v>
      </c>
      <c r="AJ39" s="60" t="n">
        <f aca="false">M39*COMISION</f>
        <v>0</v>
      </c>
    </row>
    <row r="40" customFormat="false" ht="15" hidden="false" customHeight="false" outlineLevel="0" collapsed="false">
      <c r="A40" s="53" t="n">
        <v>46334</v>
      </c>
      <c r="B40" s="54"/>
      <c r="C40" s="54"/>
      <c r="D40" s="54"/>
      <c r="E40" s="54"/>
      <c r="F40" s="54"/>
      <c r="G40" s="54"/>
      <c r="H40" s="54"/>
      <c r="I40" s="55"/>
      <c r="J40" s="55"/>
      <c r="K40" s="55"/>
      <c r="L40" s="56"/>
      <c r="M40" s="31" t="n">
        <f aca="false">B40+C40</f>
        <v>0</v>
      </c>
      <c r="N40" s="31" t="n">
        <f aca="false">X40+Y40</f>
        <v>0</v>
      </c>
      <c r="O40" s="32" t="n">
        <f aca="false">B40*P1_PVP+C40*P2_PVP</f>
        <v>0</v>
      </c>
      <c r="P40" s="32" t="str">
        <f aca="false">IF(M40&gt;0,O40/M40,"")</f>
        <v/>
      </c>
      <c r="Q40" s="32" t="str">
        <f aca="false">IF(M40&gt;0,K40/M40,"")</f>
        <v/>
      </c>
      <c r="R40" s="57" t="str">
        <f aca="false">IF(K40&gt;0,O40/K40,"")</f>
        <v/>
      </c>
      <c r="S40" s="34" t="str">
        <f aca="false">IF(D40+E40+F40+G40&gt;0,(D40+E40)/(D40+E40+F40+G40),"")</f>
        <v/>
      </c>
      <c r="T40" s="33" t="n">
        <f aca="false">D40*(P1_PVP-P1_CPROD)+E40*(P2_PVP-P2_CPROD)-IF(ISNUMBER(I40),I40,D40*P1_LOG+E40*P2_LOG)</f>
        <v>0</v>
      </c>
      <c r="U40" s="33" t="n">
        <f aca="false">T40-(D40*P1_IVAN+E40*P2_IVAN)-(F40+G40)*(COSTE_DEV-IVA_DEV)-AH40-AJ40</f>
        <v>0</v>
      </c>
      <c r="V40" s="33" t="n">
        <f aca="false">AC40-AD40-AE40-AF40-AG40-AH40-AJ40</f>
        <v>0</v>
      </c>
      <c r="X40" s="58" t="n">
        <f aca="false">MAX(0,B40-D40-F40)</f>
        <v>0</v>
      </c>
      <c r="Y40" s="58" t="n">
        <f aca="false">MAX(0,C40-E40-G40)</f>
        <v>0</v>
      </c>
      <c r="Z40" s="59" t="n">
        <f aca="false">D40+X40*TASA_USADA</f>
        <v>0</v>
      </c>
      <c r="AA40" s="59" t="n">
        <f aca="false">E40+Y40*TASA_USADA</f>
        <v>0</v>
      </c>
      <c r="AB40" s="59" t="n">
        <f aca="false">F40+G40+(X40+Y40)*(1-TASA_USADA)</f>
        <v>0</v>
      </c>
      <c r="AC40" s="60" t="n">
        <f aca="false">Z40*P1_PVP+AA40*P2_PVP</f>
        <v>0</v>
      </c>
      <c r="AD40" s="60" t="n">
        <f aca="false">Z40*P1_CPROD+AA40*P2_CPROD</f>
        <v>0</v>
      </c>
      <c r="AE40" s="60" t="n">
        <f aca="false">IF(ISNUMBER(I40),I40,D40*P1_LOG+E40*P2_LOG)+IF(ISNUMBER(J40),J40,X40*P1_LOG+Y40*P2_LOG)*TASA_USADA</f>
        <v>0</v>
      </c>
      <c r="AF40" s="60" t="n">
        <f aca="false">AB40*COSTE_DEV</f>
        <v>0</v>
      </c>
      <c r="AG40" s="60" t="n">
        <f aca="false">Z40*P1_IVAN+AA40*P2_IVAN-AB40*IVA_DEV</f>
        <v>0</v>
      </c>
      <c r="AH40" s="60" t="n">
        <f aca="false">K40*(1+RECARGO_ADS)</f>
        <v>0</v>
      </c>
      <c r="AI40" s="58" t="n">
        <f aca="false">IF(ISNUMBER(I40),D40+E40+X40+Y40,0)</f>
        <v>0</v>
      </c>
      <c r="AJ40" s="60" t="n">
        <f aca="false">M40*COMISION</f>
        <v>0</v>
      </c>
    </row>
    <row r="41" customFormat="false" ht="15" hidden="false" customHeight="false" outlineLevel="0" collapsed="false">
      <c r="A41" s="53" t="n">
        <v>46335</v>
      </c>
      <c r="B41" s="54"/>
      <c r="C41" s="54"/>
      <c r="D41" s="54"/>
      <c r="E41" s="54"/>
      <c r="F41" s="54"/>
      <c r="G41" s="54"/>
      <c r="H41" s="54"/>
      <c r="I41" s="55"/>
      <c r="J41" s="55"/>
      <c r="K41" s="55"/>
      <c r="L41" s="56"/>
      <c r="M41" s="31" t="n">
        <f aca="false">B41+C41</f>
        <v>0</v>
      </c>
      <c r="N41" s="31" t="n">
        <f aca="false">X41+Y41</f>
        <v>0</v>
      </c>
      <c r="O41" s="32" t="n">
        <f aca="false">B41*P1_PVP+C41*P2_PVP</f>
        <v>0</v>
      </c>
      <c r="P41" s="32" t="str">
        <f aca="false">IF(M41&gt;0,O41/M41,"")</f>
        <v/>
      </c>
      <c r="Q41" s="32" t="str">
        <f aca="false">IF(M41&gt;0,K41/M41,"")</f>
        <v/>
      </c>
      <c r="R41" s="57" t="str">
        <f aca="false">IF(K41&gt;0,O41/K41,"")</f>
        <v/>
      </c>
      <c r="S41" s="34" t="str">
        <f aca="false">IF(D41+E41+F41+G41&gt;0,(D41+E41)/(D41+E41+F41+G41),"")</f>
        <v/>
      </c>
      <c r="T41" s="33" t="n">
        <f aca="false">D41*(P1_PVP-P1_CPROD)+E41*(P2_PVP-P2_CPROD)-IF(ISNUMBER(I41),I41,D41*P1_LOG+E41*P2_LOG)</f>
        <v>0</v>
      </c>
      <c r="U41" s="33" t="n">
        <f aca="false">T41-(D41*P1_IVAN+E41*P2_IVAN)-(F41+G41)*(COSTE_DEV-IVA_DEV)-AH41-AJ41</f>
        <v>0</v>
      </c>
      <c r="V41" s="33" t="n">
        <f aca="false">AC41-AD41-AE41-AF41-AG41-AH41-AJ41</f>
        <v>0</v>
      </c>
      <c r="X41" s="58" t="n">
        <f aca="false">MAX(0,B41-D41-F41)</f>
        <v>0</v>
      </c>
      <c r="Y41" s="58" t="n">
        <f aca="false">MAX(0,C41-E41-G41)</f>
        <v>0</v>
      </c>
      <c r="Z41" s="59" t="n">
        <f aca="false">D41+X41*TASA_USADA</f>
        <v>0</v>
      </c>
      <c r="AA41" s="59" t="n">
        <f aca="false">E41+Y41*TASA_USADA</f>
        <v>0</v>
      </c>
      <c r="AB41" s="59" t="n">
        <f aca="false">F41+G41+(X41+Y41)*(1-TASA_USADA)</f>
        <v>0</v>
      </c>
      <c r="AC41" s="60" t="n">
        <f aca="false">Z41*P1_PVP+AA41*P2_PVP</f>
        <v>0</v>
      </c>
      <c r="AD41" s="60" t="n">
        <f aca="false">Z41*P1_CPROD+AA41*P2_CPROD</f>
        <v>0</v>
      </c>
      <c r="AE41" s="60" t="n">
        <f aca="false">IF(ISNUMBER(I41),I41,D41*P1_LOG+E41*P2_LOG)+IF(ISNUMBER(J41),J41,X41*P1_LOG+Y41*P2_LOG)*TASA_USADA</f>
        <v>0</v>
      </c>
      <c r="AF41" s="60" t="n">
        <f aca="false">AB41*COSTE_DEV</f>
        <v>0</v>
      </c>
      <c r="AG41" s="60" t="n">
        <f aca="false">Z41*P1_IVAN+AA41*P2_IVAN-AB41*IVA_DEV</f>
        <v>0</v>
      </c>
      <c r="AH41" s="60" t="n">
        <f aca="false">K41*(1+RECARGO_ADS)</f>
        <v>0</v>
      </c>
      <c r="AI41" s="58" t="n">
        <f aca="false">IF(ISNUMBER(I41),D41+E41+X41+Y41,0)</f>
        <v>0</v>
      </c>
      <c r="AJ41" s="60" t="n">
        <f aca="false">M41*COMISION</f>
        <v>0</v>
      </c>
    </row>
    <row r="42" customFormat="false" ht="15" hidden="false" customHeight="false" outlineLevel="0" collapsed="false">
      <c r="A42" s="53" t="n">
        <v>46336</v>
      </c>
      <c r="B42" s="54"/>
      <c r="C42" s="54"/>
      <c r="D42" s="54"/>
      <c r="E42" s="54"/>
      <c r="F42" s="54"/>
      <c r="G42" s="54"/>
      <c r="H42" s="54"/>
      <c r="I42" s="55"/>
      <c r="J42" s="55"/>
      <c r="K42" s="55"/>
      <c r="L42" s="56"/>
      <c r="M42" s="31" t="n">
        <f aca="false">B42+C42</f>
        <v>0</v>
      </c>
      <c r="N42" s="31" t="n">
        <f aca="false">X42+Y42</f>
        <v>0</v>
      </c>
      <c r="O42" s="32" t="n">
        <f aca="false">B42*P1_PVP+C42*P2_PVP</f>
        <v>0</v>
      </c>
      <c r="P42" s="32" t="str">
        <f aca="false">IF(M42&gt;0,O42/M42,"")</f>
        <v/>
      </c>
      <c r="Q42" s="32" t="str">
        <f aca="false">IF(M42&gt;0,K42/M42,"")</f>
        <v/>
      </c>
      <c r="R42" s="57" t="str">
        <f aca="false">IF(K42&gt;0,O42/K42,"")</f>
        <v/>
      </c>
      <c r="S42" s="34" t="str">
        <f aca="false">IF(D42+E42+F42+G42&gt;0,(D42+E42)/(D42+E42+F42+G42),"")</f>
        <v/>
      </c>
      <c r="T42" s="33" t="n">
        <f aca="false">D42*(P1_PVP-P1_CPROD)+E42*(P2_PVP-P2_CPROD)-IF(ISNUMBER(I42),I42,D42*P1_LOG+E42*P2_LOG)</f>
        <v>0</v>
      </c>
      <c r="U42" s="33" t="n">
        <f aca="false">T42-(D42*P1_IVAN+E42*P2_IVAN)-(F42+G42)*(COSTE_DEV-IVA_DEV)-AH42-AJ42</f>
        <v>0</v>
      </c>
      <c r="V42" s="33" t="n">
        <f aca="false">AC42-AD42-AE42-AF42-AG42-AH42-AJ42</f>
        <v>0</v>
      </c>
      <c r="X42" s="58" t="n">
        <f aca="false">MAX(0,B42-D42-F42)</f>
        <v>0</v>
      </c>
      <c r="Y42" s="58" t="n">
        <f aca="false">MAX(0,C42-E42-G42)</f>
        <v>0</v>
      </c>
      <c r="Z42" s="59" t="n">
        <f aca="false">D42+X42*TASA_USADA</f>
        <v>0</v>
      </c>
      <c r="AA42" s="59" t="n">
        <f aca="false">E42+Y42*TASA_USADA</f>
        <v>0</v>
      </c>
      <c r="AB42" s="59" t="n">
        <f aca="false">F42+G42+(X42+Y42)*(1-TASA_USADA)</f>
        <v>0</v>
      </c>
      <c r="AC42" s="60" t="n">
        <f aca="false">Z42*P1_PVP+AA42*P2_PVP</f>
        <v>0</v>
      </c>
      <c r="AD42" s="60" t="n">
        <f aca="false">Z42*P1_CPROD+AA42*P2_CPROD</f>
        <v>0</v>
      </c>
      <c r="AE42" s="60" t="n">
        <f aca="false">IF(ISNUMBER(I42),I42,D42*P1_LOG+E42*P2_LOG)+IF(ISNUMBER(J42),J42,X42*P1_LOG+Y42*P2_LOG)*TASA_USADA</f>
        <v>0</v>
      </c>
      <c r="AF42" s="60" t="n">
        <f aca="false">AB42*COSTE_DEV</f>
        <v>0</v>
      </c>
      <c r="AG42" s="60" t="n">
        <f aca="false">Z42*P1_IVAN+AA42*P2_IVAN-AB42*IVA_DEV</f>
        <v>0</v>
      </c>
      <c r="AH42" s="60" t="n">
        <f aca="false">K42*(1+RECARGO_ADS)</f>
        <v>0</v>
      </c>
      <c r="AI42" s="58" t="n">
        <f aca="false">IF(ISNUMBER(I42),D42+E42+X42+Y42,0)</f>
        <v>0</v>
      </c>
      <c r="AJ42" s="60" t="n">
        <f aca="false">M42*COMISION</f>
        <v>0</v>
      </c>
    </row>
    <row r="43" customFormat="false" ht="15" hidden="false" customHeight="false" outlineLevel="0" collapsed="false">
      <c r="A43" s="53" t="n">
        <v>46337</v>
      </c>
      <c r="B43" s="54"/>
      <c r="C43" s="54"/>
      <c r="D43" s="54"/>
      <c r="E43" s="54"/>
      <c r="F43" s="54"/>
      <c r="G43" s="54"/>
      <c r="H43" s="54"/>
      <c r="I43" s="55"/>
      <c r="J43" s="55"/>
      <c r="K43" s="55"/>
      <c r="L43" s="56"/>
      <c r="M43" s="31" t="n">
        <f aca="false">B43+C43</f>
        <v>0</v>
      </c>
      <c r="N43" s="31" t="n">
        <f aca="false">X43+Y43</f>
        <v>0</v>
      </c>
      <c r="O43" s="32" t="n">
        <f aca="false">B43*P1_PVP+C43*P2_PVP</f>
        <v>0</v>
      </c>
      <c r="P43" s="32" t="str">
        <f aca="false">IF(M43&gt;0,O43/M43,"")</f>
        <v/>
      </c>
      <c r="Q43" s="32" t="str">
        <f aca="false">IF(M43&gt;0,K43/M43,"")</f>
        <v/>
      </c>
      <c r="R43" s="57" t="str">
        <f aca="false">IF(K43&gt;0,O43/K43,"")</f>
        <v/>
      </c>
      <c r="S43" s="34" t="str">
        <f aca="false">IF(D43+E43+F43+G43&gt;0,(D43+E43)/(D43+E43+F43+G43),"")</f>
        <v/>
      </c>
      <c r="T43" s="33" t="n">
        <f aca="false">D43*(P1_PVP-P1_CPROD)+E43*(P2_PVP-P2_CPROD)-IF(ISNUMBER(I43),I43,D43*P1_LOG+E43*P2_LOG)</f>
        <v>0</v>
      </c>
      <c r="U43" s="33" t="n">
        <f aca="false">T43-(D43*P1_IVAN+E43*P2_IVAN)-(F43+G43)*(COSTE_DEV-IVA_DEV)-AH43-AJ43</f>
        <v>0</v>
      </c>
      <c r="V43" s="33" t="n">
        <f aca="false">AC43-AD43-AE43-AF43-AG43-AH43-AJ43</f>
        <v>0</v>
      </c>
      <c r="X43" s="58" t="n">
        <f aca="false">MAX(0,B43-D43-F43)</f>
        <v>0</v>
      </c>
      <c r="Y43" s="58" t="n">
        <f aca="false">MAX(0,C43-E43-G43)</f>
        <v>0</v>
      </c>
      <c r="Z43" s="59" t="n">
        <f aca="false">D43+X43*TASA_USADA</f>
        <v>0</v>
      </c>
      <c r="AA43" s="59" t="n">
        <f aca="false">E43+Y43*TASA_USADA</f>
        <v>0</v>
      </c>
      <c r="AB43" s="59" t="n">
        <f aca="false">F43+G43+(X43+Y43)*(1-TASA_USADA)</f>
        <v>0</v>
      </c>
      <c r="AC43" s="60" t="n">
        <f aca="false">Z43*P1_PVP+AA43*P2_PVP</f>
        <v>0</v>
      </c>
      <c r="AD43" s="60" t="n">
        <f aca="false">Z43*P1_CPROD+AA43*P2_CPROD</f>
        <v>0</v>
      </c>
      <c r="AE43" s="60" t="n">
        <f aca="false">IF(ISNUMBER(I43),I43,D43*P1_LOG+E43*P2_LOG)+IF(ISNUMBER(J43),J43,X43*P1_LOG+Y43*P2_LOG)*TASA_USADA</f>
        <v>0</v>
      </c>
      <c r="AF43" s="60" t="n">
        <f aca="false">AB43*COSTE_DEV</f>
        <v>0</v>
      </c>
      <c r="AG43" s="60" t="n">
        <f aca="false">Z43*P1_IVAN+AA43*P2_IVAN-AB43*IVA_DEV</f>
        <v>0</v>
      </c>
      <c r="AH43" s="60" t="n">
        <f aca="false">K43*(1+RECARGO_ADS)</f>
        <v>0</v>
      </c>
      <c r="AI43" s="58" t="n">
        <f aca="false">IF(ISNUMBER(I43),D43+E43+X43+Y43,0)</f>
        <v>0</v>
      </c>
      <c r="AJ43" s="60" t="n">
        <f aca="false">M43*COMISION</f>
        <v>0</v>
      </c>
    </row>
    <row r="44" customFormat="false" ht="15" hidden="false" customHeight="false" outlineLevel="0" collapsed="false">
      <c r="A44" s="53" t="n">
        <v>46338</v>
      </c>
      <c r="B44" s="54"/>
      <c r="C44" s="54"/>
      <c r="D44" s="54"/>
      <c r="E44" s="54"/>
      <c r="F44" s="54"/>
      <c r="G44" s="54"/>
      <c r="H44" s="54"/>
      <c r="I44" s="55"/>
      <c r="J44" s="55"/>
      <c r="K44" s="55"/>
      <c r="L44" s="56"/>
      <c r="M44" s="31" t="n">
        <f aca="false">B44+C44</f>
        <v>0</v>
      </c>
      <c r="N44" s="31" t="n">
        <f aca="false">X44+Y44</f>
        <v>0</v>
      </c>
      <c r="O44" s="32" t="n">
        <f aca="false">B44*P1_PVP+C44*P2_PVP</f>
        <v>0</v>
      </c>
      <c r="P44" s="32" t="str">
        <f aca="false">IF(M44&gt;0,O44/M44,"")</f>
        <v/>
      </c>
      <c r="Q44" s="32" t="str">
        <f aca="false">IF(M44&gt;0,K44/M44,"")</f>
        <v/>
      </c>
      <c r="R44" s="57" t="str">
        <f aca="false">IF(K44&gt;0,O44/K44,"")</f>
        <v/>
      </c>
      <c r="S44" s="34" t="str">
        <f aca="false">IF(D44+E44+F44+G44&gt;0,(D44+E44)/(D44+E44+F44+G44),"")</f>
        <v/>
      </c>
      <c r="T44" s="33" t="n">
        <f aca="false">D44*(P1_PVP-P1_CPROD)+E44*(P2_PVP-P2_CPROD)-IF(ISNUMBER(I44),I44,D44*P1_LOG+E44*P2_LOG)</f>
        <v>0</v>
      </c>
      <c r="U44" s="33" t="n">
        <f aca="false">T44-(D44*P1_IVAN+E44*P2_IVAN)-(F44+G44)*(COSTE_DEV-IVA_DEV)-AH44-AJ44</f>
        <v>0</v>
      </c>
      <c r="V44" s="33" t="n">
        <f aca="false">AC44-AD44-AE44-AF44-AG44-AH44-AJ44</f>
        <v>0</v>
      </c>
      <c r="X44" s="58" t="n">
        <f aca="false">MAX(0,B44-D44-F44)</f>
        <v>0</v>
      </c>
      <c r="Y44" s="58" t="n">
        <f aca="false">MAX(0,C44-E44-G44)</f>
        <v>0</v>
      </c>
      <c r="Z44" s="59" t="n">
        <f aca="false">D44+X44*TASA_USADA</f>
        <v>0</v>
      </c>
      <c r="AA44" s="59" t="n">
        <f aca="false">E44+Y44*TASA_USADA</f>
        <v>0</v>
      </c>
      <c r="AB44" s="59" t="n">
        <f aca="false">F44+G44+(X44+Y44)*(1-TASA_USADA)</f>
        <v>0</v>
      </c>
      <c r="AC44" s="60" t="n">
        <f aca="false">Z44*P1_PVP+AA44*P2_PVP</f>
        <v>0</v>
      </c>
      <c r="AD44" s="60" t="n">
        <f aca="false">Z44*P1_CPROD+AA44*P2_CPROD</f>
        <v>0</v>
      </c>
      <c r="AE44" s="60" t="n">
        <f aca="false">IF(ISNUMBER(I44),I44,D44*P1_LOG+E44*P2_LOG)+IF(ISNUMBER(J44),J44,X44*P1_LOG+Y44*P2_LOG)*TASA_USADA</f>
        <v>0</v>
      </c>
      <c r="AF44" s="60" t="n">
        <f aca="false">AB44*COSTE_DEV</f>
        <v>0</v>
      </c>
      <c r="AG44" s="60" t="n">
        <f aca="false">Z44*P1_IVAN+AA44*P2_IVAN-AB44*IVA_DEV</f>
        <v>0</v>
      </c>
      <c r="AH44" s="60" t="n">
        <f aca="false">K44*(1+RECARGO_ADS)</f>
        <v>0</v>
      </c>
      <c r="AI44" s="58" t="n">
        <f aca="false">IF(ISNUMBER(I44),D44+E44+X44+Y44,0)</f>
        <v>0</v>
      </c>
      <c r="AJ44" s="60" t="n">
        <f aca="false">M44*COMISION</f>
        <v>0</v>
      </c>
    </row>
    <row r="45" customFormat="false" ht="15" hidden="false" customHeight="false" outlineLevel="0" collapsed="false">
      <c r="A45" s="53" t="n">
        <v>46339</v>
      </c>
      <c r="B45" s="54"/>
      <c r="C45" s="54"/>
      <c r="D45" s="54"/>
      <c r="E45" s="54"/>
      <c r="F45" s="54"/>
      <c r="G45" s="54"/>
      <c r="H45" s="54"/>
      <c r="I45" s="55"/>
      <c r="J45" s="55"/>
      <c r="K45" s="55"/>
      <c r="L45" s="56"/>
      <c r="M45" s="31" t="n">
        <f aca="false">B45+C45</f>
        <v>0</v>
      </c>
      <c r="N45" s="31" t="n">
        <f aca="false">X45+Y45</f>
        <v>0</v>
      </c>
      <c r="O45" s="32" t="n">
        <f aca="false">B45*P1_PVP+C45*P2_PVP</f>
        <v>0</v>
      </c>
      <c r="P45" s="32" t="str">
        <f aca="false">IF(M45&gt;0,O45/M45,"")</f>
        <v/>
      </c>
      <c r="Q45" s="32" t="str">
        <f aca="false">IF(M45&gt;0,K45/M45,"")</f>
        <v/>
      </c>
      <c r="R45" s="57" t="str">
        <f aca="false">IF(K45&gt;0,O45/K45,"")</f>
        <v/>
      </c>
      <c r="S45" s="34" t="str">
        <f aca="false">IF(D45+E45+F45+G45&gt;0,(D45+E45)/(D45+E45+F45+G45),"")</f>
        <v/>
      </c>
      <c r="T45" s="33" t="n">
        <f aca="false">D45*(P1_PVP-P1_CPROD)+E45*(P2_PVP-P2_CPROD)-IF(ISNUMBER(I45),I45,D45*P1_LOG+E45*P2_LOG)</f>
        <v>0</v>
      </c>
      <c r="U45" s="33" t="n">
        <f aca="false">T45-(D45*P1_IVAN+E45*P2_IVAN)-(F45+G45)*(COSTE_DEV-IVA_DEV)-AH45-AJ45</f>
        <v>0</v>
      </c>
      <c r="V45" s="33" t="n">
        <f aca="false">AC45-AD45-AE45-AF45-AG45-AH45-AJ45</f>
        <v>0</v>
      </c>
      <c r="X45" s="58" t="n">
        <f aca="false">MAX(0,B45-D45-F45)</f>
        <v>0</v>
      </c>
      <c r="Y45" s="58" t="n">
        <f aca="false">MAX(0,C45-E45-G45)</f>
        <v>0</v>
      </c>
      <c r="Z45" s="59" t="n">
        <f aca="false">D45+X45*TASA_USADA</f>
        <v>0</v>
      </c>
      <c r="AA45" s="59" t="n">
        <f aca="false">E45+Y45*TASA_USADA</f>
        <v>0</v>
      </c>
      <c r="AB45" s="59" t="n">
        <f aca="false">F45+G45+(X45+Y45)*(1-TASA_USADA)</f>
        <v>0</v>
      </c>
      <c r="AC45" s="60" t="n">
        <f aca="false">Z45*P1_PVP+AA45*P2_PVP</f>
        <v>0</v>
      </c>
      <c r="AD45" s="60" t="n">
        <f aca="false">Z45*P1_CPROD+AA45*P2_CPROD</f>
        <v>0</v>
      </c>
      <c r="AE45" s="60" t="n">
        <f aca="false">IF(ISNUMBER(I45),I45,D45*P1_LOG+E45*P2_LOG)+IF(ISNUMBER(J45),J45,X45*P1_LOG+Y45*P2_LOG)*TASA_USADA</f>
        <v>0</v>
      </c>
      <c r="AF45" s="60" t="n">
        <f aca="false">AB45*COSTE_DEV</f>
        <v>0</v>
      </c>
      <c r="AG45" s="60" t="n">
        <f aca="false">Z45*P1_IVAN+AA45*P2_IVAN-AB45*IVA_DEV</f>
        <v>0</v>
      </c>
      <c r="AH45" s="60" t="n">
        <f aca="false">K45*(1+RECARGO_ADS)</f>
        <v>0</v>
      </c>
      <c r="AI45" s="58" t="n">
        <f aca="false">IF(ISNUMBER(I45),D45+E45+X45+Y45,0)</f>
        <v>0</v>
      </c>
      <c r="AJ45" s="60" t="n">
        <f aca="false">M45*COMISION</f>
        <v>0</v>
      </c>
    </row>
    <row r="46" customFormat="false" ht="15" hidden="false" customHeight="false" outlineLevel="0" collapsed="false">
      <c r="A46" s="53" t="n">
        <v>46340</v>
      </c>
      <c r="B46" s="54"/>
      <c r="C46" s="54"/>
      <c r="D46" s="54"/>
      <c r="E46" s="54"/>
      <c r="F46" s="54"/>
      <c r="G46" s="54"/>
      <c r="H46" s="54"/>
      <c r="I46" s="55"/>
      <c r="J46" s="55"/>
      <c r="K46" s="55"/>
      <c r="L46" s="56"/>
      <c r="M46" s="31" t="n">
        <f aca="false">B46+C46</f>
        <v>0</v>
      </c>
      <c r="N46" s="31" t="n">
        <f aca="false">X46+Y46</f>
        <v>0</v>
      </c>
      <c r="O46" s="32" t="n">
        <f aca="false">B46*P1_PVP+C46*P2_PVP</f>
        <v>0</v>
      </c>
      <c r="P46" s="32" t="str">
        <f aca="false">IF(M46&gt;0,O46/M46,"")</f>
        <v/>
      </c>
      <c r="Q46" s="32" t="str">
        <f aca="false">IF(M46&gt;0,K46/M46,"")</f>
        <v/>
      </c>
      <c r="R46" s="57" t="str">
        <f aca="false">IF(K46&gt;0,O46/K46,"")</f>
        <v/>
      </c>
      <c r="S46" s="34" t="str">
        <f aca="false">IF(D46+E46+F46+G46&gt;0,(D46+E46)/(D46+E46+F46+G46),"")</f>
        <v/>
      </c>
      <c r="T46" s="33" t="n">
        <f aca="false">D46*(P1_PVP-P1_CPROD)+E46*(P2_PVP-P2_CPROD)-IF(ISNUMBER(I46),I46,D46*P1_LOG+E46*P2_LOG)</f>
        <v>0</v>
      </c>
      <c r="U46" s="33" t="n">
        <f aca="false">T46-(D46*P1_IVAN+E46*P2_IVAN)-(F46+G46)*(COSTE_DEV-IVA_DEV)-AH46-AJ46</f>
        <v>0</v>
      </c>
      <c r="V46" s="33" t="n">
        <f aca="false">AC46-AD46-AE46-AF46-AG46-AH46-AJ46</f>
        <v>0</v>
      </c>
      <c r="X46" s="58" t="n">
        <f aca="false">MAX(0,B46-D46-F46)</f>
        <v>0</v>
      </c>
      <c r="Y46" s="58" t="n">
        <f aca="false">MAX(0,C46-E46-G46)</f>
        <v>0</v>
      </c>
      <c r="Z46" s="59" t="n">
        <f aca="false">D46+X46*TASA_USADA</f>
        <v>0</v>
      </c>
      <c r="AA46" s="59" t="n">
        <f aca="false">E46+Y46*TASA_USADA</f>
        <v>0</v>
      </c>
      <c r="AB46" s="59" t="n">
        <f aca="false">F46+G46+(X46+Y46)*(1-TASA_USADA)</f>
        <v>0</v>
      </c>
      <c r="AC46" s="60" t="n">
        <f aca="false">Z46*P1_PVP+AA46*P2_PVP</f>
        <v>0</v>
      </c>
      <c r="AD46" s="60" t="n">
        <f aca="false">Z46*P1_CPROD+AA46*P2_CPROD</f>
        <v>0</v>
      </c>
      <c r="AE46" s="60" t="n">
        <f aca="false">IF(ISNUMBER(I46),I46,D46*P1_LOG+E46*P2_LOG)+IF(ISNUMBER(J46),J46,X46*P1_LOG+Y46*P2_LOG)*TASA_USADA</f>
        <v>0</v>
      </c>
      <c r="AF46" s="60" t="n">
        <f aca="false">AB46*COSTE_DEV</f>
        <v>0</v>
      </c>
      <c r="AG46" s="60" t="n">
        <f aca="false">Z46*P1_IVAN+AA46*P2_IVAN-AB46*IVA_DEV</f>
        <v>0</v>
      </c>
      <c r="AH46" s="60" t="n">
        <f aca="false">K46*(1+RECARGO_ADS)</f>
        <v>0</v>
      </c>
      <c r="AI46" s="58" t="n">
        <f aca="false">IF(ISNUMBER(I46),D46+E46+X46+Y46,0)</f>
        <v>0</v>
      </c>
      <c r="AJ46" s="60" t="n">
        <f aca="false">M46*COMISION</f>
        <v>0</v>
      </c>
    </row>
    <row r="47" customFormat="false" ht="15" hidden="false" customHeight="false" outlineLevel="0" collapsed="false">
      <c r="A47" s="53" t="n">
        <v>46341</v>
      </c>
      <c r="B47" s="54"/>
      <c r="C47" s="54"/>
      <c r="D47" s="54"/>
      <c r="E47" s="54"/>
      <c r="F47" s="54"/>
      <c r="G47" s="54"/>
      <c r="H47" s="54"/>
      <c r="I47" s="55"/>
      <c r="J47" s="55"/>
      <c r="K47" s="55"/>
      <c r="L47" s="56"/>
      <c r="M47" s="31" t="n">
        <f aca="false">B47+C47</f>
        <v>0</v>
      </c>
      <c r="N47" s="31" t="n">
        <f aca="false">X47+Y47</f>
        <v>0</v>
      </c>
      <c r="O47" s="32" t="n">
        <f aca="false">B47*P1_PVP+C47*P2_PVP</f>
        <v>0</v>
      </c>
      <c r="P47" s="32" t="str">
        <f aca="false">IF(M47&gt;0,O47/M47,"")</f>
        <v/>
      </c>
      <c r="Q47" s="32" t="str">
        <f aca="false">IF(M47&gt;0,K47/M47,"")</f>
        <v/>
      </c>
      <c r="R47" s="57" t="str">
        <f aca="false">IF(K47&gt;0,O47/K47,"")</f>
        <v/>
      </c>
      <c r="S47" s="34" t="str">
        <f aca="false">IF(D47+E47+F47+G47&gt;0,(D47+E47)/(D47+E47+F47+G47),"")</f>
        <v/>
      </c>
      <c r="T47" s="33" t="n">
        <f aca="false">D47*(P1_PVP-P1_CPROD)+E47*(P2_PVP-P2_CPROD)-IF(ISNUMBER(I47),I47,D47*P1_LOG+E47*P2_LOG)</f>
        <v>0</v>
      </c>
      <c r="U47" s="33" t="n">
        <f aca="false">T47-(D47*P1_IVAN+E47*P2_IVAN)-(F47+G47)*(COSTE_DEV-IVA_DEV)-AH47-AJ47</f>
        <v>0</v>
      </c>
      <c r="V47" s="33" t="n">
        <f aca="false">AC47-AD47-AE47-AF47-AG47-AH47-AJ47</f>
        <v>0</v>
      </c>
      <c r="X47" s="58" t="n">
        <f aca="false">MAX(0,B47-D47-F47)</f>
        <v>0</v>
      </c>
      <c r="Y47" s="58" t="n">
        <f aca="false">MAX(0,C47-E47-G47)</f>
        <v>0</v>
      </c>
      <c r="Z47" s="59" t="n">
        <f aca="false">D47+X47*TASA_USADA</f>
        <v>0</v>
      </c>
      <c r="AA47" s="59" t="n">
        <f aca="false">E47+Y47*TASA_USADA</f>
        <v>0</v>
      </c>
      <c r="AB47" s="59" t="n">
        <f aca="false">F47+G47+(X47+Y47)*(1-TASA_USADA)</f>
        <v>0</v>
      </c>
      <c r="AC47" s="60" t="n">
        <f aca="false">Z47*P1_PVP+AA47*P2_PVP</f>
        <v>0</v>
      </c>
      <c r="AD47" s="60" t="n">
        <f aca="false">Z47*P1_CPROD+AA47*P2_CPROD</f>
        <v>0</v>
      </c>
      <c r="AE47" s="60" t="n">
        <f aca="false">IF(ISNUMBER(I47),I47,D47*P1_LOG+E47*P2_LOG)+IF(ISNUMBER(J47),J47,X47*P1_LOG+Y47*P2_LOG)*TASA_USADA</f>
        <v>0</v>
      </c>
      <c r="AF47" s="60" t="n">
        <f aca="false">AB47*COSTE_DEV</f>
        <v>0</v>
      </c>
      <c r="AG47" s="60" t="n">
        <f aca="false">Z47*P1_IVAN+AA47*P2_IVAN-AB47*IVA_DEV</f>
        <v>0</v>
      </c>
      <c r="AH47" s="60" t="n">
        <f aca="false">K47*(1+RECARGO_ADS)</f>
        <v>0</v>
      </c>
      <c r="AI47" s="58" t="n">
        <f aca="false">IF(ISNUMBER(I47),D47+E47+X47+Y47,0)</f>
        <v>0</v>
      </c>
      <c r="AJ47" s="60" t="n">
        <f aca="false">M47*COMISION</f>
        <v>0</v>
      </c>
    </row>
    <row r="48" customFormat="false" ht="15" hidden="false" customHeight="false" outlineLevel="0" collapsed="false">
      <c r="A48" s="53" t="n">
        <v>46342</v>
      </c>
      <c r="B48" s="54"/>
      <c r="C48" s="54"/>
      <c r="D48" s="54"/>
      <c r="E48" s="54"/>
      <c r="F48" s="54"/>
      <c r="G48" s="54"/>
      <c r="H48" s="54"/>
      <c r="I48" s="55"/>
      <c r="J48" s="55"/>
      <c r="K48" s="55"/>
      <c r="L48" s="56"/>
      <c r="M48" s="31" t="n">
        <f aca="false">B48+C48</f>
        <v>0</v>
      </c>
      <c r="N48" s="31" t="n">
        <f aca="false">X48+Y48</f>
        <v>0</v>
      </c>
      <c r="O48" s="32" t="n">
        <f aca="false">B48*P1_PVP+C48*P2_PVP</f>
        <v>0</v>
      </c>
      <c r="P48" s="32" t="str">
        <f aca="false">IF(M48&gt;0,O48/M48,"")</f>
        <v/>
      </c>
      <c r="Q48" s="32" t="str">
        <f aca="false">IF(M48&gt;0,K48/M48,"")</f>
        <v/>
      </c>
      <c r="R48" s="57" t="str">
        <f aca="false">IF(K48&gt;0,O48/K48,"")</f>
        <v/>
      </c>
      <c r="S48" s="34" t="str">
        <f aca="false">IF(D48+E48+F48+G48&gt;0,(D48+E48)/(D48+E48+F48+G48),"")</f>
        <v/>
      </c>
      <c r="T48" s="33" t="n">
        <f aca="false">D48*(P1_PVP-P1_CPROD)+E48*(P2_PVP-P2_CPROD)-IF(ISNUMBER(I48),I48,D48*P1_LOG+E48*P2_LOG)</f>
        <v>0</v>
      </c>
      <c r="U48" s="33" t="n">
        <f aca="false">T48-(D48*P1_IVAN+E48*P2_IVAN)-(F48+G48)*(COSTE_DEV-IVA_DEV)-AH48-AJ48</f>
        <v>0</v>
      </c>
      <c r="V48" s="33" t="n">
        <f aca="false">AC48-AD48-AE48-AF48-AG48-AH48-AJ48</f>
        <v>0</v>
      </c>
      <c r="X48" s="58" t="n">
        <f aca="false">MAX(0,B48-D48-F48)</f>
        <v>0</v>
      </c>
      <c r="Y48" s="58" t="n">
        <f aca="false">MAX(0,C48-E48-G48)</f>
        <v>0</v>
      </c>
      <c r="Z48" s="59" t="n">
        <f aca="false">D48+X48*TASA_USADA</f>
        <v>0</v>
      </c>
      <c r="AA48" s="59" t="n">
        <f aca="false">E48+Y48*TASA_USADA</f>
        <v>0</v>
      </c>
      <c r="AB48" s="59" t="n">
        <f aca="false">F48+G48+(X48+Y48)*(1-TASA_USADA)</f>
        <v>0</v>
      </c>
      <c r="AC48" s="60" t="n">
        <f aca="false">Z48*P1_PVP+AA48*P2_PVP</f>
        <v>0</v>
      </c>
      <c r="AD48" s="60" t="n">
        <f aca="false">Z48*P1_CPROD+AA48*P2_CPROD</f>
        <v>0</v>
      </c>
      <c r="AE48" s="60" t="n">
        <f aca="false">IF(ISNUMBER(I48),I48,D48*P1_LOG+E48*P2_LOG)+IF(ISNUMBER(J48),J48,X48*P1_LOG+Y48*P2_LOG)*TASA_USADA</f>
        <v>0</v>
      </c>
      <c r="AF48" s="60" t="n">
        <f aca="false">AB48*COSTE_DEV</f>
        <v>0</v>
      </c>
      <c r="AG48" s="60" t="n">
        <f aca="false">Z48*P1_IVAN+AA48*P2_IVAN-AB48*IVA_DEV</f>
        <v>0</v>
      </c>
      <c r="AH48" s="60" t="n">
        <f aca="false">K48*(1+RECARGO_ADS)</f>
        <v>0</v>
      </c>
      <c r="AI48" s="58" t="n">
        <f aca="false">IF(ISNUMBER(I48),D48+E48+X48+Y48,0)</f>
        <v>0</v>
      </c>
      <c r="AJ48" s="60" t="n">
        <f aca="false">M48*COMISION</f>
        <v>0</v>
      </c>
    </row>
    <row r="49" customFormat="false" ht="15" hidden="false" customHeight="false" outlineLevel="0" collapsed="false">
      <c r="A49" s="53" t="n">
        <v>46343</v>
      </c>
      <c r="B49" s="54"/>
      <c r="C49" s="54"/>
      <c r="D49" s="54"/>
      <c r="E49" s="54"/>
      <c r="F49" s="54"/>
      <c r="G49" s="54"/>
      <c r="H49" s="54"/>
      <c r="I49" s="55"/>
      <c r="J49" s="55"/>
      <c r="K49" s="55"/>
      <c r="L49" s="56"/>
      <c r="M49" s="31" t="n">
        <f aca="false">B49+C49</f>
        <v>0</v>
      </c>
      <c r="N49" s="31" t="n">
        <f aca="false">X49+Y49</f>
        <v>0</v>
      </c>
      <c r="O49" s="32" t="n">
        <f aca="false">B49*P1_PVP+C49*P2_PVP</f>
        <v>0</v>
      </c>
      <c r="P49" s="32" t="str">
        <f aca="false">IF(M49&gt;0,O49/M49,"")</f>
        <v/>
      </c>
      <c r="Q49" s="32" t="str">
        <f aca="false">IF(M49&gt;0,K49/M49,"")</f>
        <v/>
      </c>
      <c r="R49" s="57" t="str">
        <f aca="false">IF(K49&gt;0,O49/K49,"")</f>
        <v/>
      </c>
      <c r="S49" s="34" t="str">
        <f aca="false">IF(D49+E49+F49+G49&gt;0,(D49+E49)/(D49+E49+F49+G49),"")</f>
        <v/>
      </c>
      <c r="T49" s="33" t="n">
        <f aca="false">D49*(P1_PVP-P1_CPROD)+E49*(P2_PVP-P2_CPROD)-IF(ISNUMBER(I49),I49,D49*P1_LOG+E49*P2_LOG)</f>
        <v>0</v>
      </c>
      <c r="U49" s="33" t="n">
        <f aca="false">T49-(D49*P1_IVAN+E49*P2_IVAN)-(F49+G49)*(COSTE_DEV-IVA_DEV)-AH49-AJ49</f>
        <v>0</v>
      </c>
      <c r="V49" s="33" t="n">
        <f aca="false">AC49-AD49-AE49-AF49-AG49-AH49-AJ49</f>
        <v>0</v>
      </c>
      <c r="X49" s="58" t="n">
        <f aca="false">MAX(0,B49-D49-F49)</f>
        <v>0</v>
      </c>
      <c r="Y49" s="58" t="n">
        <f aca="false">MAX(0,C49-E49-G49)</f>
        <v>0</v>
      </c>
      <c r="Z49" s="59" t="n">
        <f aca="false">D49+X49*TASA_USADA</f>
        <v>0</v>
      </c>
      <c r="AA49" s="59" t="n">
        <f aca="false">E49+Y49*TASA_USADA</f>
        <v>0</v>
      </c>
      <c r="AB49" s="59" t="n">
        <f aca="false">F49+G49+(X49+Y49)*(1-TASA_USADA)</f>
        <v>0</v>
      </c>
      <c r="AC49" s="60" t="n">
        <f aca="false">Z49*P1_PVP+AA49*P2_PVP</f>
        <v>0</v>
      </c>
      <c r="AD49" s="60" t="n">
        <f aca="false">Z49*P1_CPROD+AA49*P2_CPROD</f>
        <v>0</v>
      </c>
      <c r="AE49" s="60" t="n">
        <f aca="false">IF(ISNUMBER(I49),I49,D49*P1_LOG+E49*P2_LOG)+IF(ISNUMBER(J49),J49,X49*P1_LOG+Y49*P2_LOG)*TASA_USADA</f>
        <v>0</v>
      </c>
      <c r="AF49" s="60" t="n">
        <f aca="false">AB49*COSTE_DEV</f>
        <v>0</v>
      </c>
      <c r="AG49" s="60" t="n">
        <f aca="false">Z49*P1_IVAN+AA49*P2_IVAN-AB49*IVA_DEV</f>
        <v>0</v>
      </c>
      <c r="AH49" s="60" t="n">
        <f aca="false">K49*(1+RECARGO_ADS)</f>
        <v>0</v>
      </c>
      <c r="AI49" s="58" t="n">
        <f aca="false">IF(ISNUMBER(I49),D49+E49+X49+Y49,0)</f>
        <v>0</v>
      </c>
      <c r="AJ49" s="60" t="n">
        <f aca="false">M49*COMISION</f>
        <v>0</v>
      </c>
    </row>
    <row r="50" customFormat="false" ht="15" hidden="false" customHeight="false" outlineLevel="0" collapsed="false">
      <c r="A50" s="53" t="n">
        <v>46344</v>
      </c>
      <c r="B50" s="54"/>
      <c r="C50" s="54"/>
      <c r="D50" s="54"/>
      <c r="E50" s="54"/>
      <c r="F50" s="54"/>
      <c r="G50" s="54"/>
      <c r="H50" s="54"/>
      <c r="I50" s="55"/>
      <c r="J50" s="55"/>
      <c r="K50" s="55"/>
      <c r="L50" s="56"/>
      <c r="M50" s="31" t="n">
        <f aca="false">B50+C50</f>
        <v>0</v>
      </c>
      <c r="N50" s="31" t="n">
        <f aca="false">X50+Y50</f>
        <v>0</v>
      </c>
      <c r="O50" s="32" t="n">
        <f aca="false">B50*P1_PVP+C50*P2_PVP</f>
        <v>0</v>
      </c>
      <c r="P50" s="32" t="str">
        <f aca="false">IF(M50&gt;0,O50/M50,"")</f>
        <v/>
      </c>
      <c r="Q50" s="32" t="str">
        <f aca="false">IF(M50&gt;0,K50/M50,"")</f>
        <v/>
      </c>
      <c r="R50" s="57" t="str">
        <f aca="false">IF(K50&gt;0,O50/K50,"")</f>
        <v/>
      </c>
      <c r="S50" s="34" t="str">
        <f aca="false">IF(D50+E50+F50+G50&gt;0,(D50+E50)/(D50+E50+F50+G50),"")</f>
        <v/>
      </c>
      <c r="T50" s="33" t="n">
        <f aca="false">D50*(P1_PVP-P1_CPROD)+E50*(P2_PVP-P2_CPROD)-IF(ISNUMBER(I50),I50,D50*P1_LOG+E50*P2_LOG)</f>
        <v>0</v>
      </c>
      <c r="U50" s="33" t="n">
        <f aca="false">T50-(D50*P1_IVAN+E50*P2_IVAN)-(F50+G50)*(COSTE_DEV-IVA_DEV)-AH50-AJ50</f>
        <v>0</v>
      </c>
      <c r="V50" s="33" t="n">
        <f aca="false">AC50-AD50-AE50-AF50-AG50-AH50-AJ50</f>
        <v>0</v>
      </c>
      <c r="X50" s="58" t="n">
        <f aca="false">MAX(0,B50-D50-F50)</f>
        <v>0</v>
      </c>
      <c r="Y50" s="58" t="n">
        <f aca="false">MAX(0,C50-E50-G50)</f>
        <v>0</v>
      </c>
      <c r="Z50" s="59" t="n">
        <f aca="false">D50+X50*TASA_USADA</f>
        <v>0</v>
      </c>
      <c r="AA50" s="59" t="n">
        <f aca="false">E50+Y50*TASA_USADA</f>
        <v>0</v>
      </c>
      <c r="AB50" s="59" t="n">
        <f aca="false">F50+G50+(X50+Y50)*(1-TASA_USADA)</f>
        <v>0</v>
      </c>
      <c r="AC50" s="60" t="n">
        <f aca="false">Z50*P1_PVP+AA50*P2_PVP</f>
        <v>0</v>
      </c>
      <c r="AD50" s="60" t="n">
        <f aca="false">Z50*P1_CPROD+AA50*P2_CPROD</f>
        <v>0</v>
      </c>
      <c r="AE50" s="60" t="n">
        <f aca="false">IF(ISNUMBER(I50),I50,D50*P1_LOG+E50*P2_LOG)+IF(ISNUMBER(J50),J50,X50*P1_LOG+Y50*P2_LOG)*TASA_USADA</f>
        <v>0</v>
      </c>
      <c r="AF50" s="60" t="n">
        <f aca="false">AB50*COSTE_DEV</f>
        <v>0</v>
      </c>
      <c r="AG50" s="60" t="n">
        <f aca="false">Z50*P1_IVAN+AA50*P2_IVAN-AB50*IVA_DEV</f>
        <v>0</v>
      </c>
      <c r="AH50" s="60" t="n">
        <f aca="false">K50*(1+RECARGO_ADS)</f>
        <v>0</v>
      </c>
      <c r="AI50" s="58" t="n">
        <f aca="false">IF(ISNUMBER(I50),D50+E50+X50+Y50,0)</f>
        <v>0</v>
      </c>
      <c r="AJ50" s="60" t="n">
        <f aca="false">M50*COMISION</f>
        <v>0</v>
      </c>
    </row>
    <row r="51" customFormat="false" ht="15" hidden="false" customHeight="false" outlineLevel="0" collapsed="false">
      <c r="A51" s="53" t="n">
        <v>46345</v>
      </c>
      <c r="B51" s="54"/>
      <c r="C51" s="54"/>
      <c r="D51" s="54"/>
      <c r="E51" s="54"/>
      <c r="F51" s="54"/>
      <c r="G51" s="54"/>
      <c r="H51" s="54"/>
      <c r="I51" s="55"/>
      <c r="J51" s="55"/>
      <c r="K51" s="55"/>
      <c r="L51" s="56"/>
      <c r="M51" s="31" t="n">
        <f aca="false">B51+C51</f>
        <v>0</v>
      </c>
      <c r="N51" s="31" t="n">
        <f aca="false">X51+Y51</f>
        <v>0</v>
      </c>
      <c r="O51" s="32" t="n">
        <f aca="false">B51*P1_PVP+C51*P2_PVP</f>
        <v>0</v>
      </c>
      <c r="P51" s="32" t="str">
        <f aca="false">IF(M51&gt;0,O51/M51,"")</f>
        <v/>
      </c>
      <c r="Q51" s="32" t="str">
        <f aca="false">IF(M51&gt;0,K51/M51,"")</f>
        <v/>
      </c>
      <c r="R51" s="57" t="str">
        <f aca="false">IF(K51&gt;0,O51/K51,"")</f>
        <v/>
      </c>
      <c r="S51" s="34" t="str">
        <f aca="false">IF(D51+E51+F51+G51&gt;0,(D51+E51)/(D51+E51+F51+G51),"")</f>
        <v/>
      </c>
      <c r="T51" s="33" t="n">
        <f aca="false">D51*(P1_PVP-P1_CPROD)+E51*(P2_PVP-P2_CPROD)-IF(ISNUMBER(I51),I51,D51*P1_LOG+E51*P2_LOG)</f>
        <v>0</v>
      </c>
      <c r="U51" s="33" t="n">
        <f aca="false">T51-(D51*P1_IVAN+E51*P2_IVAN)-(F51+G51)*(COSTE_DEV-IVA_DEV)-AH51-AJ51</f>
        <v>0</v>
      </c>
      <c r="V51" s="33" t="n">
        <f aca="false">AC51-AD51-AE51-AF51-AG51-AH51-AJ51</f>
        <v>0</v>
      </c>
      <c r="X51" s="58" t="n">
        <f aca="false">MAX(0,B51-D51-F51)</f>
        <v>0</v>
      </c>
      <c r="Y51" s="58" t="n">
        <f aca="false">MAX(0,C51-E51-G51)</f>
        <v>0</v>
      </c>
      <c r="Z51" s="59" t="n">
        <f aca="false">D51+X51*TASA_USADA</f>
        <v>0</v>
      </c>
      <c r="AA51" s="59" t="n">
        <f aca="false">E51+Y51*TASA_USADA</f>
        <v>0</v>
      </c>
      <c r="AB51" s="59" t="n">
        <f aca="false">F51+G51+(X51+Y51)*(1-TASA_USADA)</f>
        <v>0</v>
      </c>
      <c r="AC51" s="60" t="n">
        <f aca="false">Z51*P1_PVP+AA51*P2_PVP</f>
        <v>0</v>
      </c>
      <c r="AD51" s="60" t="n">
        <f aca="false">Z51*P1_CPROD+AA51*P2_CPROD</f>
        <v>0</v>
      </c>
      <c r="AE51" s="60" t="n">
        <f aca="false">IF(ISNUMBER(I51),I51,D51*P1_LOG+E51*P2_LOG)+IF(ISNUMBER(J51),J51,X51*P1_LOG+Y51*P2_LOG)*TASA_USADA</f>
        <v>0</v>
      </c>
      <c r="AF51" s="60" t="n">
        <f aca="false">AB51*COSTE_DEV</f>
        <v>0</v>
      </c>
      <c r="AG51" s="60" t="n">
        <f aca="false">Z51*P1_IVAN+AA51*P2_IVAN-AB51*IVA_DEV</f>
        <v>0</v>
      </c>
      <c r="AH51" s="60" t="n">
        <f aca="false">K51*(1+RECARGO_ADS)</f>
        <v>0</v>
      </c>
      <c r="AI51" s="58" t="n">
        <f aca="false">IF(ISNUMBER(I51),D51+E51+X51+Y51,0)</f>
        <v>0</v>
      </c>
      <c r="AJ51" s="60" t="n">
        <f aca="false">M51*COMISION</f>
        <v>0</v>
      </c>
    </row>
    <row r="52" customFormat="false" ht="15" hidden="false" customHeight="false" outlineLevel="0" collapsed="false">
      <c r="A52" s="53" t="n">
        <v>46346</v>
      </c>
      <c r="B52" s="54"/>
      <c r="C52" s="54"/>
      <c r="D52" s="54"/>
      <c r="E52" s="54"/>
      <c r="F52" s="54"/>
      <c r="G52" s="54"/>
      <c r="H52" s="54"/>
      <c r="I52" s="55"/>
      <c r="J52" s="55"/>
      <c r="K52" s="55"/>
      <c r="L52" s="56"/>
      <c r="M52" s="31" t="n">
        <f aca="false">B52+C52</f>
        <v>0</v>
      </c>
      <c r="N52" s="31" t="n">
        <f aca="false">X52+Y52</f>
        <v>0</v>
      </c>
      <c r="O52" s="32" t="n">
        <f aca="false">B52*P1_PVP+C52*P2_PVP</f>
        <v>0</v>
      </c>
      <c r="P52" s="32" t="str">
        <f aca="false">IF(M52&gt;0,O52/M52,"")</f>
        <v/>
      </c>
      <c r="Q52" s="32" t="str">
        <f aca="false">IF(M52&gt;0,K52/M52,"")</f>
        <v/>
      </c>
      <c r="R52" s="57" t="str">
        <f aca="false">IF(K52&gt;0,O52/K52,"")</f>
        <v/>
      </c>
      <c r="S52" s="34" t="str">
        <f aca="false">IF(D52+E52+F52+G52&gt;0,(D52+E52)/(D52+E52+F52+G52),"")</f>
        <v/>
      </c>
      <c r="T52" s="33" t="n">
        <f aca="false">D52*(P1_PVP-P1_CPROD)+E52*(P2_PVP-P2_CPROD)-IF(ISNUMBER(I52),I52,D52*P1_LOG+E52*P2_LOG)</f>
        <v>0</v>
      </c>
      <c r="U52" s="33" t="n">
        <f aca="false">T52-(D52*P1_IVAN+E52*P2_IVAN)-(F52+G52)*(COSTE_DEV-IVA_DEV)-AH52-AJ52</f>
        <v>0</v>
      </c>
      <c r="V52" s="33" t="n">
        <f aca="false">AC52-AD52-AE52-AF52-AG52-AH52-AJ52</f>
        <v>0</v>
      </c>
      <c r="X52" s="58" t="n">
        <f aca="false">MAX(0,B52-D52-F52)</f>
        <v>0</v>
      </c>
      <c r="Y52" s="58" t="n">
        <f aca="false">MAX(0,C52-E52-G52)</f>
        <v>0</v>
      </c>
      <c r="Z52" s="59" t="n">
        <f aca="false">D52+X52*TASA_USADA</f>
        <v>0</v>
      </c>
      <c r="AA52" s="59" t="n">
        <f aca="false">E52+Y52*TASA_USADA</f>
        <v>0</v>
      </c>
      <c r="AB52" s="59" t="n">
        <f aca="false">F52+G52+(X52+Y52)*(1-TASA_USADA)</f>
        <v>0</v>
      </c>
      <c r="AC52" s="60" t="n">
        <f aca="false">Z52*P1_PVP+AA52*P2_PVP</f>
        <v>0</v>
      </c>
      <c r="AD52" s="60" t="n">
        <f aca="false">Z52*P1_CPROD+AA52*P2_CPROD</f>
        <v>0</v>
      </c>
      <c r="AE52" s="60" t="n">
        <f aca="false">IF(ISNUMBER(I52),I52,D52*P1_LOG+E52*P2_LOG)+IF(ISNUMBER(J52),J52,X52*P1_LOG+Y52*P2_LOG)*TASA_USADA</f>
        <v>0</v>
      </c>
      <c r="AF52" s="60" t="n">
        <f aca="false">AB52*COSTE_DEV</f>
        <v>0</v>
      </c>
      <c r="AG52" s="60" t="n">
        <f aca="false">Z52*P1_IVAN+AA52*P2_IVAN-AB52*IVA_DEV</f>
        <v>0</v>
      </c>
      <c r="AH52" s="60" t="n">
        <f aca="false">K52*(1+RECARGO_ADS)</f>
        <v>0</v>
      </c>
      <c r="AI52" s="58" t="n">
        <f aca="false">IF(ISNUMBER(I52),D52+E52+X52+Y52,0)</f>
        <v>0</v>
      </c>
      <c r="AJ52" s="60" t="n">
        <f aca="false">M52*COMISION</f>
        <v>0</v>
      </c>
    </row>
    <row r="53" customFormat="false" ht="15" hidden="false" customHeight="false" outlineLevel="0" collapsed="false">
      <c r="A53" s="53" t="n">
        <v>46347</v>
      </c>
      <c r="B53" s="54"/>
      <c r="C53" s="54"/>
      <c r="D53" s="54"/>
      <c r="E53" s="54"/>
      <c r="F53" s="54"/>
      <c r="G53" s="54"/>
      <c r="H53" s="54"/>
      <c r="I53" s="55"/>
      <c r="J53" s="55"/>
      <c r="K53" s="55"/>
      <c r="L53" s="56"/>
      <c r="M53" s="31" t="n">
        <f aca="false">B53+C53</f>
        <v>0</v>
      </c>
      <c r="N53" s="31" t="n">
        <f aca="false">X53+Y53</f>
        <v>0</v>
      </c>
      <c r="O53" s="32" t="n">
        <f aca="false">B53*P1_PVP+C53*P2_PVP</f>
        <v>0</v>
      </c>
      <c r="P53" s="32" t="str">
        <f aca="false">IF(M53&gt;0,O53/M53,"")</f>
        <v/>
      </c>
      <c r="Q53" s="32" t="str">
        <f aca="false">IF(M53&gt;0,K53/M53,"")</f>
        <v/>
      </c>
      <c r="R53" s="57" t="str">
        <f aca="false">IF(K53&gt;0,O53/K53,"")</f>
        <v/>
      </c>
      <c r="S53" s="34" t="str">
        <f aca="false">IF(D53+E53+F53+G53&gt;0,(D53+E53)/(D53+E53+F53+G53),"")</f>
        <v/>
      </c>
      <c r="T53" s="33" t="n">
        <f aca="false">D53*(P1_PVP-P1_CPROD)+E53*(P2_PVP-P2_CPROD)-IF(ISNUMBER(I53),I53,D53*P1_LOG+E53*P2_LOG)</f>
        <v>0</v>
      </c>
      <c r="U53" s="33" t="n">
        <f aca="false">T53-(D53*P1_IVAN+E53*P2_IVAN)-(F53+G53)*(COSTE_DEV-IVA_DEV)-AH53-AJ53</f>
        <v>0</v>
      </c>
      <c r="V53" s="33" t="n">
        <f aca="false">AC53-AD53-AE53-AF53-AG53-AH53-AJ53</f>
        <v>0</v>
      </c>
      <c r="X53" s="58" t="n">
        <f aca="false">MAX(0,B53-D53-F53)</f>
        <v>0</v>
      </c>
      <c r="Y53" s="58" t="n">
        <f aca="false">MAX(0,C53-E53-G53)</f>
        <v>0</v>
      </c>
      <c r="Z53" s="59" t="n">
        <f aca="false">D53+X53*TASA_USADA</f>
        <v>0</v>
      </c>
      <c r="AA53" s="59" t="n">
        <f aca="false">E53+Y53*TASA_USADA</f>
        <v>0</v>
      </c>
      <c r="AB53" s="59" t="n">
        <f aca="false">F53+G53+(X53+Y53)*(1-TASA_USADA)</f>
        <v>0</v>
      </c>
      <c r="AC53" s="60" t="n">
        <f aca="false">Z53*P1_PVP+AA53*P2_PVP</f>
        <v>0</v>
      </c>
      <c r="AD53" s="60" t="n">
        <f aca="false">Z53*P1_CPROD+AA53*P2_CPROD</f>
        <v>0</v>
      </c>
      <c r="AE53" s="60" t="n">
        <f aca="false">IF(ISNUMBER(I53),I53,D53*P1_LOG+E53*P2_LOG)+IF(ISNUMBER(J53),J53,X53*P1_LOG+Y53*P2_LOG)*TASA_USADA</f>
        <v>0</v>
      </c>
      <c r="AF53" s="60" t="n">
        <f aca="false">AB53*COSTE_DEV</f>
        <v>0</v>
      </c>
      <c r="AG53" s="60" t="n">
        <f aca="false">Z53*P1_IVAN+AA53*P2_IVAN-AB53*IVA_DEV</f>
        <v>0</v>
      </c>
      <c r="AH53" s="60" t="n">
        <f aca="false">K53*(1+RECARGO_ADS)</f>
        <v>0</v>
      </c>
      <c r="AI53" s="58" t="n">
        <f aca="false">IF(ISNUMBER(I53),D53+E53+X53+Y53,0)</f>
        <v>0</v>
      </c>
      <c r="AJ53" s="60" t="n">
        <f aca="false">M53*COMISION</f>
        <v>0</v>
      </c>
    </row>
    <row r="54" customFormat="false" ht="15" hidden="false" customHeight="false" outlineLevel="0" collapsed="false">
      <c r="A54" s="53" t="n">
        <v>46348</v>
      </c>
      <c r="B54" s="54"/>
      <c r="C54" s="54"/>
      <c r="D54" s="54"/>
      <c r="E54" s="54"/>
      <c r="F54" s="54"/>
      <c r="G54" s="54"/>
      <c r="H54" s="54"/>
      <c r="I54" s="55"/>
      <c r="J54" s="55"/>
      <c r="K54" s="55"/>
      <c r="L54" s="56"/>
      <c r="M54" s="31" t="n">
        <f aca="false">B54+C54</f>
        <v>0</v>
      </c>
      <c r="N54" s="31" t="n">
        <f aca="false">X54+Y54</f>
        <v>0</v>
      </c>
      <c r="O54" s="32" t="n">
        <f aca="false">B54*P1_PVP+C54*P2_PVP</f>
        <v>0</v>
      </c>
      <c r="P54" s="32" t="str">
        <f aca="false">IF(M54&gt;0,O54/M54,"")</f>
        <v/>
      </c>
      <c r="Q54" s="32" t="str">
        <f aca="false">IF(M54&gt;0,K54/M54,"")</f>
        <v/>
      </c>
      <c r="R54" s="57" t="str">
        <f aca="false">IF(K54&gt;0,O54/K54,"")</f>
        <v/>
      </c>
      <c r="S54" s="34" t="str">
        <f aca="false">IF(D54+E54+F54+G54&gt;0,(D54+E54)/(D54+E54+F54+G54),"")</f>
        <v/>
      </c>
      <c r="T54" s="33" t="n">
        <f aca="false">D54*(P1_PVP-P1_CPROD)+E54*(P2_PVP-P2_CPROD)-IF(ISNUMBER(I54),I54,D54*P1_LOG+E54*P2_LOG)</f>
        <v>0</v>
      </c>
      <c r="U54" s="33" t="n">
        <f aca="false">T54-(D54*P1_IVAN+E54*P2_IVAN)-(F54+G54)*(COSTE_DEV-IVA_DEV)-AH54-AJ54</f>
        <v>0</v>
      </c>
      <c r="V54" s="33" t="n">
        <f aca="false">AC54-AD54-AE54-AF54-AG54-AH54-AJ54</f>
        <v>0</v>
      </c>
      <c r="X54" s="58" t="n">
        <f aca="false">MAX(0,B54-D54-F54)</f>
        <v>0</v>
      </c>
      <c r="Y54" s="58" t="n">
        <f aca="false">MAX(0,C54-E54-G54)</f>
        <v>0</v>
      </c>
      <c r="Z54" s="59" t="n">
        <f aca="false">D54+X54*TASA_USADA</f>
        <v>0</v>
      </c>
      <c r="AA54" s="59" t="n">
        <f aca="false">E54+Y54*TASA_USADA</f>
        <v>0</v>
      </c>
      <c r="AB54" s="59" t="n">
        <f aca="false">F54+G54+(X54+Y54)*(1-TASA_USADA)</f>
        <v>0</v>
      </c>
      <c r="AC54" s="60" t="n">
        <f aca="false">Z54*P1_PVP+AA54*P2_PVP</f>
        <v>0</v>
      </c>
      <c r="AD54" s="60" t="n">
        <f aca="false">Z54*P1_CPROD+AA54*P2_CPROD</f>
        <v>0</v>
      </c>
      <c r="AE54" s="60" t="n">
        <f aca="false">IF(ISNUMBER(I54),I54,D54*P1_LOG+E54*P2_LOG)+IF(ISNUMBER(J54),J54,X54*P1_LOG+Y54*P2_LOG)*TASA_USADA</f>
        <v>0</v>
      </c>
      <c r="AF54" s="60" t="n">
        <f aca="false">AB54*COSTE_DEV</f>
        <v>0</v>
      </c>
      <c r="AG54" s="60" t="n">
        <f aca="false">Z54*P1_IVAN+AA54*P2_IVAN-AB54*IVA_DEV</f>
        <v>0</v>
      </c>
      <c r="AH54" s="60" t="n">
        <f aca="false">K54*(1+RECARGO_ADS)</f>
        <v>0</v>
      </c>
      <c r="AI54" s="58" t="n">
        <f aca="false">IF(ISNUMBER(I54),D54+E54+X54+Y54,0)</f>
        <v>0</v>
      </c>
      <c r="AJ54" s="60" t="n">
        <f aca="false">M54*COMISION</f>
        <v>0</v>
      </c>
    </row>
    <row r="55" customFormat="false" ht="15" hidden="false" customHeight="false" outlineLevel="0" collapsed="false">
      <c r="A55" s="53" t="n">
        <v>46349</v>
      </c>
      <c r="B55" s="54"/>
      <c r="C55" s="54"/>
      <c r="D55" s="54"/>
      <c r="E55" s="54"/>
      <c r="F55" s="54"/>
      <c r="G55" s="54"/>
      <c r="H55" s="54"/>
      <c r="I55" s="55"/>
      <c r="J55" s="55"/>
      <c r="K55" s="55"/>
      <c r="L55" s="56"/>
      <c r="M55" s="31" t="n">
        <f aca="false">B55+C55</f>
        <v>0</v>
      </c>
      <c r="N55" s="31" t="n">
        <f aca="false">X55+Y55</f>
        <v>0</v>
      </c>
      <c r="O55" s="32" t="n">
        <f aca="false">B55*P1_PVP+C55*P2_PVP</f>
        <v>0</v>
      </c>
      <c r="P55" s="32" t="str">
        <f aca="false">IF(M55&gt;0,O55/M55,"")</f>
        <v/>
      </c>
      <c r="Q55" s="32" t="str">
        <f aca="false">IF(M55&gt;0,K55/M55,"")</f>
        <v/>
      </c>
      <c r="R55" s="57" t="str">
        <f aca="false">IF(K55&gt;0,O55/K55,"")</f>
        <v/>
      </c>
      <c r="S55" s="34" t="str">
        <f aca="false">IF(D55+E55+F55+G55&gt;0,(D55+E55)/(D55+E55+F55+G55),"")</f>
        <v/>
      </c>
      <c r="T55" s="33" t="n">
        <f aca="false">D55*(P1_PVP-P1_CPROD)+E55*(P2_PVP-P2_CPROD)-IF(ISNUMBER(I55),I55,D55*P1_LOG+E55*P2_LOG)</f>
        <v>0</v>
      </c>
      <c r="U55" s="33" t="n">
        <f aca="false">T55-(D55*P1_IVAN+E55*P2_IVAN)-(F55+G55)*(COSTE_DEV-IVA_DEV)-AH55-AJ55</f>
        <v>0</v>
      </c>
      <c r="V55" s="33" t="n">
        <f aca="false">AC55-AD55-AE55-AF55-AG55-AH55-AJ55</f>
        <v>0</v>
      </c>
      <c r="X55" s="58" t="n">
        <f aca="false">MAX(0,B55-D55-F55)</f>
        <v>0</v>
      </c>
      <c r="Y55" s="58" t="n">
        <f aca="false">MAX(0,C55-E55-G55)</f>
        <v>0</v>
      </c>
      <c r="Z55" s="59" t="n">
        <f aca="false">D55+X55*TASA_USADA</f>
        <v>0</v>
      </c>
      <c r="AA55" s="59" t="n">
        <f aca="false">E55+Y55*TASA_USADA</f>
        <v>0</v>
      </c>
      <c r="AB55" s="59" t="n">
        <f aca="false">F55+G55+(X55+Y55)*(1-TASA_USADA)</f>
        <v>0</v>
      </c>
      <c r="AC55" s="60" t="n">
        <f aca="false">Z55*P1_PVP+AA55*P2_PVP</f>
        <v>0</v>
      </c>
      <c r="AD55" s="60" t="n">
        <f aca="false">Z55*P1_CPROD+AA55*P2_CPROD</f>
        <v>0</v>
      </c>
      <c r="AE55" s="60" t="n">
        <f aca="false">IF(ISNUMBER(I55),I55,D55*P1_LOG+E55*P2_LOG)+IF(ISNUMBER(J55),J55,X55*P1_LOG+Y55*P2_LOG)*TASA_USADA</f>
        <v>0</v>
      </c>
      <c r="AF55" s="60" t="n">
        <f aca="false">AB55*COSTE_DEV</f>
        <v>0</v>
      </c>
      <c r="AG55" s="60" t="n">
        <f aca="false">Z55*P1_IVAN+AA55*P2_IVAN-AB55*IVA_DEV</f>
        <v>0</v>
      </c>
      <c r="AH55" s="60" t="n">
        <f aca="false">K55*(1+RECARGO_ADS)</f>
        <v>0</v>
      </c>
      <c r="AI55" s="58" t="n">
        <f aca="false">IF(ISNUMBER(I55),D55+E55+X55+Y55,0)</f>
        <v>0</v>
      </c>
      <c r="AJ55" s="60" t="n">
        <f aca="false">M55*COMISION</f>
        <v>0</v>
      </c>
    </row>
    <row r="56" customFormat="false" ht="15" hidden="false" customHeight="false" outlineLevel="0" collapsed="false">
      <c r="A56" s="53" t="n">
        <v>46350</v>
      </c>
      <c r="B56" s="54"/>
      <c r="C56" s="54"/>
      <c r="D56" s="54"/>
      <c r="E56" s="54"/>
      <c r="F56" s="54"/>
      <c r="G56" s="54"/>
      <c r="H56" s="54"/>
      <c r="I56" s="55"/>
      <c r="J56" s="55"/>
      <c r="K56" s="55"/>
      <c r="L56" s="56"/>
      <c r="M56" s="31" t="n">
        <f aca="false">B56+C56</f>
        <v>0</v>
      </c>
      <c r="N56" s="31" t="n">
        <f aca="false">X56+Y56</f>
        <v>0</v>
      </c>
      <c r="O56" s="32" t="n">
        <f aca="false">B56*P1_PVP+C56*P2_PVP</f>
        <v>0</v>
      </c>
      <c r="P56" s="32" t="str">
        <f aca="false">IF(M56&gt;0,O56/M56,"")</f>
        <v/>
      </c>
      <c r="Q56" s="32" t="str">
        <f aca="false">IF(M56&gt;0,K56/M56,"")</f>
        <v/>
      </c>
      <c r="R56" s="57" t="str">
        <f aca="false">IF(K56&gt;0,O56/K56,"")</f>
        <v/>
      </c>
      <c r="S56" s="34" t="str">
        <f aca="false">IF(D56+E56+F56+G56&gt;0,(D56+E56)/(D56+E56+F56+G56),"")</f>
        <v/>
      </c>
      <c r="T56" s="33" t="n">
        <f aca="false">D56*(P1_PVP-P1_CPROD)+E56*(P2_PVP-P2_CPROD)-IF(ISNUMBER(I56),I56,D56*P1_LOG+E56*P2_LOG)</f>
        <v>0</v>
      </c>
      <c r="U56" s="33" t="n">
        <f aca="false">T56-(D56*P1_IVAN+E56*P2_IVAN)-(F56+G56)*(COSTE_DEV-IVA_DEV)-AH56-AJ56</f>
        <v>0</v>
      </c>
      <c r="V56" s="33" t="n">
        <f aca="false">AC56-AD56-AE56-AF56-AG56-AH56-AJ56</f>
        <v>0</v>
      </c>
      <c r="X56" s="58" t="n">
        <f aca="false">MAX(0,B56-D56-F56)</f>
        <v>0</v>
      </c>
      <c r="Y56" s="58" t="n">
        <f aca="false">MAX(0,C56-E56-G56)</f>
        <v>0</v>
      </c>
      <c r="Z56" s="59" t="n">
        <f aca="false">D56+X56*TASA_USADA</f>
        <v>0</v>
      </c>
      <c r="AA56" s="59" t="n">
        <f aca="false">E56+Y56*TASA_USADA</f>
        <v>0</v>
      </c>
      <c r="AB56" s="59" t="n">
        <f aca="false">F56+G56+(X56+Y56)*(1-TASA_USADA)</f>
        <v>0</v>
      </c>
      <c r="AC56" s="60" t="n">
        <f aca="false">Z56*P1_PVP+AA56*P2_PVP</f>
        <v>0</v>
      </c>
      <c r="AD56" s="60" t="n">
        <f aca="false">Z56*P1_CPROD+AA56*P2_CPROD</f>
        <v>0</v>
      </c>
      <c r="AE56" s="60" t="n">
        <f aca="false">IF(ISNUMBER(I56),I56,D56*P1_LOG+E56*P2_LOG)+IF(ISNUMBER(J56),J56,X56*P1_LOG+Y56*P2_LOG)*TASA_USADA</f>
        <v>0</v>
      </c>
      <c r="AF56" s="60" t="n">
        <f aca="false">AB56*COSTE_DEV</f>
        <v>0</v>
      </c>
      <c r="AG56" s="60" t="n">
        <f aca="false">Z56*P1_IVAN+AA56*P2_IVAN-AB56*IVA_DEV</f>
        <v>0</v>
      </c>
      <c r="AH56" s="60" t="n">
        <f aca="false">K56*(1+RECARGO_ADS)</f>
        <v>0</v>
      </c>
      <c r="AI56" s="58" t="n">
        <f aca="false">IF(ISNUMBER(I56),D56+E56+X56+Y56,0)</f>
        <v>0</v>
      </c>
      <c r="AJ56" s="60" t="n">
        <f aca="false">M56*COMISION</f>
        <v>0</v>
      </c>
    </row>
    <row r="57" customFormat="false" ht="15" hidden="false" customHeight="false" outlineLevel="0" collapsed="false">
      <c r="A57" s="53" t="n">
        <v>46351</v>
      </c>
      <c r="B57" s="54"/>
      <c r="C57" s="54"/>
      <c r="D57" s="54"/>
      <c r="E57" s="54"/>
      <c r="F57" s="54"/>
      <c r="G57" s="54"/>
      <c r="H57" s="54"/>
      <c r="I57" s="55"/>
      <c r="J57" s="55"/>
      <c r="K57" s="55"/>
      <c r="L57" s="56"/>
      <c r="M57" s="31" t="n">
        <f aca="false">B57+C57</f>
        <v>0</v>
      </c>
      <c r="N57" s="31" t="n">
        <f aca="false">X57+Y57</f>
        <v>0</v>
      </c>
      <c r="O57" s="32" t="n">
        <f aca="false">B57*P1_PVP+C57*P2_PVP</f>
        <v>0</v>
      </c>
      <c r="P57" s="32" t="str">
        <f aca="false">IF(M57&gt;0,O57/M57,"")</f>
        <v/>
      </c>
      <c r="Q57" s="32" t="str">
        <f aca="false">IF(M57&gt;0,K57/M57,"")</f>
        <v/>
      </c>
      <c r="R57" s="57" t="str">
        <f aca="false">IF(K57&gt;0,O57/K57,"")</f>
        <v/>
      </c>
      <c r="S57" s="34" t="str">
        <f aca="false">IF(D57+E57+F57+G57&gt;0,(D57+E57)/(D57+E57+F57+G57),"")</f>
        <v/>
      </c>
      <c r="T57" s="33" t="n">
        <f aca="false">D57*(P1_PVP-P1_CPROD)+E57*(P2_PVP-P2_CPROD)-IF(ISNUMBER(I57),I57,D57*P1_LOG+E57*P2_LOG)</f>
        <v>0</v>
      </c>
      <c r="U57" s="33" t="n">
        <f aca="false">T57-(D57*P1_IVAN+E57*P2_IVAN)-(F57+G57)*(COSTE_DEV-IVA_DEV)-AH57-AJ57</f>
        <v>0</v>
      </c>
      <c r="V57" s="33" t="n">
        <f aca="false">AC57-AD57-AE57-AF57-AG57-AH57-AJ57</f>
        <v>0</v>
      </c>
      <c r="X57" s="58" t="n">
        <f aca="false">MAX(0,B57-D57-F57)</f>
        <v>0</v>
      </c>
      <c r="Y57" s="58" t="n">
        <f aca="false">MAX(0,C57-E57-G57)</f>
        <v>0</v>
      </c>
      <c r="Z57" s="59" t="n">
        <f aca="false">D57+X57*TASA_USADA</f>
        <v>0</v>
      </c>
      <c r="AA57" s="59" t="n">
        <f aca="false">E57+Y57*TASA_USADA</f>
        <v>0</v>
      </c>
      <c r="AB57" s="59" t="n">
        <f aca="false">F57+G57+(X57+Y57)*(1-TASA_USADA)</f>
        <v>0</v>
      </c>
      <c r="AC57" s="60" t="n">
        <f aca="false">Z57*P1_PVP+AA57*P2_PVP</f>
        <v>0</v>
      </c>
      <c r="AD57" s="60" t="n">
        <f aca="false">Z57*P1_CPROD+AA57*P2_CPROD</f>
        <v>0</v>
      </c>
      <c r="AE57" s="60" t="n">
        <f aca="false">IF(ISNUMBER(I57),I57,D57*P1_LOG+E57*P2_LOG)+IF(ISNUMBER(J57),J57,X57*P1_LOG+Y57*P2_LOG)*TASA_USADA</f>
        <v>0</v>
      </c>
      <c r="AF57" s="60" t="n">
        <f aca="false">AB57*COSTE_DEV</f>
        <v>0</v>
      </c>
      <c r="AG57" s="60" t="n">
        <f aca="false">Z57*P1_IVAN+AA57*P2_IVAN-AB57*IVA_DEV</f>
        <v>0</v>
      </c>
      <c r="AH57" s="60" t="n">
        <f aca="false">K57*(1+RECARGO_ADS)</f>
        <v>0</v>
      </c>
      <c r="AI57" s="58" t="n">
        <f aca="false">IF(ISNUMBER(I57),D57+E57+X57+Y57,0)</f>
        <v>0</v>
      </c>
      <c r="AJ57" s="60" t="n">
        <f aca="false">M57*COMISION</f>
        <v>0</v>
      </c>
    </row>
    <row r="58" customFormat="false" ht="15" hidden="false" customHeight="false" outlineLevel="0" collapsed="false">
      <c r="A58" s="53" t="n">
        <v>46352</v>
      </c>
      <c r="B58" s="54"/>
      <c r="C58" s="54"/>
      <c r="D58" s="54"/>
      <c r="E58" s="54"/>
      <c r="F58" s="54"/>
      <c r="G58" s="54"/>
      <c r="H58" s="54"/>
      <c r="I58" s="55"/>
      <c r="J58" s="55"/>
      <c r="K58" s="55"/>
      <c r="L58" s="56"/>
      <c r="M58" s="31" t="n">
        <f aca="false">B58+C58</f>
        <v>0</v>
      </c>
      <c r="N58" s="31" t="n">
        <f aca="false">X58+Y58</f>
        <v>0</v>
      </c>
      <c r="O58" s="32" t="n">
        <f aca="false">B58*P1_PVP+C58*P2_PVP</f>
        <v>0</v>
      </c>
      <c r="P58" s="32" t="str">
        <f aca="false">IF(M58&gt;0,O58/M58,"")</f>
        <v/>
      </c>
      <c r="Q58" s="32" t="str">
        <f aca="false">IF(M58&gt;0,K58/M58,"")</f>
        <v/>
      </c>
      <c r="R58" s="57" t="str">
        <f aca="false">IF(K58&gt;0,O58/K58,"")</f>
        <v/>
      </c>
      <c r="S58" s="34" t="str">
        <f aca="false">IF(D58+E58+F58+G58&gt;0,(D58+E58)/(D58+E58+F58+G58),"")</f>
        <v/>
      </c>
      <c r="T58" s="33" t="n">
        <f aca="false">D58*(P1_PVP-P1_CPROD)+E58*(P2_PVP-P2_CPROD)-IF(ISNUMBER(I58),I58,D58*P1_LOG+E58*P2_LOG)</f>
        <v>0</v>
      </c>
      <c r="U58" s="33" t="n">
        <f aca="false">T58-(D58*P1_IVAN+E58*P2_IVAN)-(F58+G58)*(COSTE_DEV-IVA_DEV)-AH58-AJ58</f>
        <v>0</v>
      </c>
      <c r="V58" s="33" t="n">
        <f aca="false">AC58-AD58-AE58-AF58-AG58-AH58-AJ58</f>
        <v>0</v>
      </c>
      <c r="X58" s="58" t="n">
        <f aca="false">MAX(0,B58-D58-F58)</f>
        <v>0</v>
      </c>
      <c r="Y58" s="58" t="n">
        <f aca="false">MAX(0,C58-E58-G58)</f>
        <v>0</v>
      </c>
      <c r="Z58" s="59" t="n">
        <f aca="false">D58+X58*TASA_USADA</f>
        <v>0</v>
      </c>
      <c r="AA58" s="59" t="n">
        <f aca="false">E58+Y58*TASA_USADA</f>
        <v>0</v>
      </c>
      <c r="AB58" s="59" t="n">
        <f aca="false">F58+G58+(X58+Y58)*(1-TASA_USADA)</f>
        <v>0</v>
      </c>
      <c r="AC58" s="60" t="n">
        <f aca="false">Z58*P1_PVP+AA58*P2_PVP</f>
        <v>0</v>
      </c>
      <c r="AD58" s="60" t="n">
        <f aca="false">Z58*P1_CPROD+AA58*P2_CPROD</f>
        <v>0</v>
      </c>
      <c r="AE58" s="60" t="n">
        <f aca="false">IF(ISNUMBER(I58),I58,D58*P1_LOG+E58*P2_LOG)+IF(ISNUMBER(J58),J58,X58*P1_LOG+Y58*P2_LOG)*TASA_USADA</f>
        <v>0</v>
      </c>
      <c r="AF58" s="60" t="n">
        <f aca="false">AB58*COSTE_DEV</f>
        <v>0</v>
      </c>
      <c r="AG58" s="60" t="n">
        <f aca="false">Z58*P1_IVAN+AA58*P2_IVAN-AB58*IVA_DEV</f>
        <v>0</v>
      </c>
      <c r="AH58" s="60" t="n">
        <f aca="false">K58*(1+RECARGO_ADS)</f>
        <v>0</v>
      </c>
      <c r="AI58" s="58" t="n">
        <f aca="false">IF(ISNUMBER(I58),D58+E58+X58+Y58,0)</f>
        <v>0</v>
      </c>
      <c r="AJ58" s="60" t="n">
        <f aca="false">M58*COMISION</f>
        <v>0</v>
      </c>
    </row>
    <row r="59" customFormat="false" ht="15" hidden="false" customHeight="false" outlineLevel="0" collapsed="false">
      <c r="A59" s="53" t="n">
        <v>46353</v>
      </c>
      <c r="B59" s="54"/>
      <c r="C59" s="54"/>
      <c r="D59" s="54"/>
      <c r="E59" s="54"/>
      <c r="F59" s="54"/>
      <c r="G59" s="54"/>
      <c r="H59" s="54"/>
      <c r="I59" s="55"/>
      <c r="J59" s="55"/>
      <c r="K59" s="55"/>
      <c r="L59" s="56"/>
      <c r="M59" s="31" t="n">
        <f aca="false">B59+C59</f>
        <v>0</v>
      </c>
      <c r="N59" s="31" t="n">
        <f aca="false">X59+Y59</f>
        <v>0</v>
      </c>
      <c r="O59" s="32" t="n">
        <f aca="false">B59*P1_PVP+C59*P2_PVP</f>
        <v>0</v>
      </c>
      <c r="P59" s="32" t="str">
        <f aca="false">IF(M59&gt;0,O59/M59,"")</f>
        <v/>
      </c>
      <c r="Q59" s="32" t="str">
        <f aca="false">IF(M59&gt;0,K59/M59,"")</f>
        <v/>
      </c>
      <c r="R59" s="57" t="str">
        <f aca="false">IF(K59&gt;0,O59/K59,"")</f>
        <v/>
      </c>
      <c r="S59" s="34" t="str">
        <f aca="false">IF(D59+E59+F59+G59&gt;0,(D59+E59)/(D59+E59+F59+G59),"")</f>
        <v/>
      </c>
      <c r="T59" s="33" t="n">
        <f aca="false">D59*(P1_PVP-P1_CPROD)+E59*(P2_PVP-P2_CPROD)-IF(ISNUMBER(I59),I59,D59*P1_LOG+E59*P2_LOG)</f>
        <v>0</v>
      </c>
      <c r="U59" s="33" t="n">
        <f aca="false">T59-(D59*P1_IVAN+E59*P2_IVAN)-(F59+G59)*(COSTE_DEV-IVA_DEV)-AH59-AJ59</f>
        <v>0</v>
      </c>
      <c r="V59" s="33" t="n">
        <f aca="false">AC59-AD59-AE59-AF59-AG59-AH59-AJ59</f>
        <v>0</v>
      </c>
      <c r="X59" s="58" t="n">
        <f aca="false">MAX(0,B59-D59-F59)</f>
        <v>0</v>
      </c>
      <c r="Y59" s="58" t="n">
        <f aca="false">MAX(0,C59-E59-G59)</f>
        <v>0</v>
      </c>
      <c r="Z59" s="59" t="n">
        <f aca="false">D59+X59*TASA_USADA</f>
        <v>0</v>
      </c>
      <c r="AA59" s="59" t="n">
        <f aca="false">E59+Y59*TASA_USADA</f>
        <v>0</v>
      </c>
      <c r="AB59" s="59" t="n">
        <f aca="false">F59+G59+(X59+Y59)*(1-TASA_USADA)</f>
        <v>0</v>
      </c>
      <c r="AC59" s="60" t="n">
        <f aca="false">Z59*P1_PVP+AA59*P2_PVP</f>
        <v>0</v>
      </c>
      <c r="AD59" s="60" t="n">
        <f aca="false">Z59*P1_CPROD+AA59*P2_CPROD</f>
        <v>0</v>
      </c>
      <c r="AE59" s="60" t="n">
        <f aca="false">IF(ISNUMBER(I59),I59,D59*P1_LOG+E59*P2_LOG)+IF(ISNUMBER(J59),J59,X59*P1_LOG+Y59*P2_LOG)*TASA_USADA</f>
        <v>0</v>
      </c>
      <c r="AF59" s="60" t="n">
        <f aca="false">AB59*COSTE_DEV</f>
        <v>0</v>
      </c>
      <c r="AG59" s="60" t="n">
        <f aca="false">Z59*P1_IVAN+AA59*P2_IVAN-AB59*IVA_DEV</f>
        <v>0</v>
      </c>
      <c r="AH59" s="60" t="n">
        <f aca="false">K59*(1+RECARGO_ADS)</f>
        <v>0</v>
      </c>
      <c r="AI59" s="58" t="n">
        <f aca="false">IF(ISNUMBER(I59),D59+E59+X59+Y59,0)</f>
        <v>0</v>
      </c>
      <c r="AJ59" s="60" t="n">
        <f aca="false">M59*COMISION</f>
        <v>0</v>
      </c>
    </row>
    <row r="60" customFormat="false" ht="15" hidden="false" customHeight="false" outlineLevel="0" collapsed="false">
      <c r="A60" s="53" t="n">
        <v>46354</v>
      </c>
      <c r="B60" s="54"/>
      <c r="C60" s="54"/>
      <c r="D60" s="54"/>
      <c r="E60" s="54"/>
      <c r="F60" s="54"/>
      <c r="G60" s="54"/>
      <c r="H60" s="54"/>
      <c r="I60" s="55"/>
      <c r="J60" s="55"/>
      <c r="K60" s="55"/>
      <c r="L60" s="56"/>
      <c r="M60" s="31" t="n">
        <f aca="false">B60+C60</f>
        <v>0</v>
      </c>
      <c r="N60" s="31" t="n">
        <f aca="false">X60+Y60</f>
        <v>0</v>
      </c>
      <c r="O60" s="32" t="n">
        <f aca="false">B60*P1_PVP+C60*P2_PVP</f>
        <v>0</v>
      </c>
      <c r="P60" s="32" t="str">
        <f aca="false">IF(M60&gt;0,O60/M60,"")</f>
        <v/>
      </c>
      <c r="Q60" s="32" t="str">
        <f aca="false">IF(M60&gt;0,K60/M60,"")</f>
        <v/>
      </c>
      <c r="R60" s="57" t="str">
        <f aca="false">IF(K60&gt;0,O60/K60,"")</f>
        <v/>
      </c>
      <c r="S60" s="34" t="str">
        <f aca="false">IF(D60+E60+F60+G60&gt;0,(D60+E60)/(D60+E60+F60+G60),"")</f>
        <v/>
      </c>
      <c r="T60" s="33" t="n">
        <f aca="false">D60*(P1_PVP-P1_CPROD)+E60*(P2_PVP-P2_CPROD)-IF(ISNUMBER(I60),I60,D60*P1_LOG+E60*P2_LOG)</f>
        <v>0</v>
      </c>
      <c r="U60" s="33" t="n">
        <f aca="false">T60-(D60*P1_IVAN+E60*P2_IVAN)-(F60+G60)*(COSTE_DEV-IVA_DEV)-AH60-AJ60</f>
        <v>0</v>
      </c>
      <c r="V60" s="33" t="n">
        <f aca="false">AC60-AD60-AE60-AF60-AG60-AH60-AJ60</f>
        <v>0</v>
      </c>
      <c r="X60" s="58" t="n">
        <f aca="false">MAX(0,B60-D60-F60)</f>
        <v>0</v>
      </c>
      <c r="Y60" s="58" t="n">
        <f aca="false">MAX(0,C60-E60-G60)</f>
        <v>0</v>
      </c>
      <c r="Z60" s="59" t="n">
        <f aca="false">D60+X60*TASA_USADA</f>
        <v>0</v>
      </c>
      <c r="AA60" s="59" t="n">
        <f aca="false">E60+Y60*TASA_USADA</f>
        <v>0</v>
      </c>
      <c r="AB60" s="59" t="n">
        <f aca="false">F60+G60+(X60+Y60)*(1-TASA_USADA)</f>
        <v>0</v>
      </c>
      <c r="AC60" s="60" t="n">
        <f aca="false">Z60*P1_PVP+AA60*P2_PVP</f>
        <v>0</v>
      </c>
      <c r="AD60" s="60" t="n">
        <f aca="false">Z60*P1_CPROD+AA60*P2_CPROD</f>
        <v>0</v>
      </c>
      <c r="AE60" s="60" t="n">
        <f aca="false">IF(ISNUMBER(I60),I60,D60*P1_LOG+E60*P2_LOG)+IF(ISNUMBER(J60),J60,X60*P1_LOG+Y60*P2_LOG)*TASA_USADA</f>
        <v>0</v>
      </c>
      <c r="AF60" s="60" t="n">
        <f aca="false">AB60*COSTE_DEV</f>
        <v>0</v>
      </c>
      <c r="AG60" s="60" t="n">
        <f aca="false">Z60*P1_IVAN+AA60*P2_IVAN-AB60*IVA_DEV</f>
        <v>0</v>
      </c>
      <c r="AH60" s="60" t="n">
        <f aca="false">K60*(1+RECARGO_ADS)</f>
        <v>0</v>
      </c>
      <c r="AI60" s="58" t="n">
        <f aca="false">IF(ISNUMBER(I60),D60+E60+X60+Y60,0)</f>
        <v>0</v>
      </c>
      <c r="AJ60" s="60" t="n">
        <f aca="false">M60*COMISION</f>
        <v>0</v>
      </c>
    </row>
    <row r="61" customFormat="false" ht="15" hidden="false" customHeight="false" outlineLevel="0" collapsed="false">
      <c r="A61" s="53" t="n">
        <v>46355</v>
      </c>
      <c r="B61" s="54"/>
      <c r="C61" s="54"/>
      <c r="D61" s="54"/>
      <c r="E61" s="54"/>
      <c r="F61" s="54"/>
      <c r="G61" s="54"/>
      <c r="H61" s="54"/>
      <c r="I61" s="55"/>
      <c r="J61" s="55"/>
      <c r="K61" s="55"/>
      <c r="L61" s="56"/>
      <c r="M61" s="31" t="n">
        <f aca="false">B61+C61</f>
        <v>0</v>
      </c>
      <c r="N61" s="31" t="n">
        <f aca="false">X61+Y61</f>
        <v>0</v>
      </c>
      <c r="O61" s="32" t="n">
        <f aca="false">B61*P1_PVP+C61*P2_PVP</f>
        <v>0</v>
      </c>
      <c r="P61" s="32" t="str">
        <f aca="false">IF(M61&gt;0,O61/M61,"")</f>
        <v/>
      </c>
      <c r="Q61" s="32" t="str">
        <f aca="false">IF(M61&gt;0,K61/M61,"")</f>
        <v/>
      </c>
      <c r="R61" s="57" t="str">
        <f aca="false">IF(K61&gt;0,O61/K61,"")</f>
        <v/>
      </c>
      <c r="S61" s="34" t="str">
        <f aca="false">IF(D61+E61+F61+G61&gt;0,(D61+E61)/(D61+E61+F61+G61),"")</f>
        <v/>
      </c>
      <c r="T61" s="33" t="n">
        <f aca="false">D61*(P1_PVP-P1_CPROD)+E61*(P2_PVP-P2_CPROD)-IF(ISNUMBER(I61),I61,D61*P1_LOG+E61*P2_LOG)</f>
        <v>0</v>
      </c>
      <c r="U61" s="33" t="n">
        <f aca="false">T61-(D61*P1_IVAN+E61*P2_IVAN)-(F61+G61)*(COSTE_DEV-IVA_DEV)-AH61-AJ61</f>
        <v>0</v>
      </c>
      <c r="V61" s="33" t="n">
        <f aca="false">AC61-AD61-AE61-AF61-AG61-AH61-AJ61</f>
        <v>0</v>
      </c>
      <c r="X61" s="58" t="n">
        <f aca="false">MAX(0,B61-D61-F61)</f>
        <v>0</v>
      </c>
      <c r="Y61" s="58" t="n">
        <f aca="false">MAX(0,C61-E61-G61)</f>
        <v>0</v>
      </c>
      <c r="Z61" s="59" t="n">
        <f aca="false">D61+X61*TASA_USADA</f>
        <v>0</v>
      </c>
      <c r="AA61" s="59" t="n">
        <f aca="false">E61+Y61*TASA_USADA</f>
        <v>0</v>
      </c>
      <c r="AB61" s="59" t="n">
        <f aca="false">F61+G61+(X61+Y61)*(1-TASA_USADA)</f>
        <v>0</v>
      </c>
      <c r="AC61" s="60" t="n">
        <f aca="false">Z61*P1_PVP+AA61*P2_PVP</f>
        <v>0</v>
      </c>
      <c r="AD61" s="60" t="n">
        <f aca="false">Z61*P1_CPROD+AA61*P2_CPROD</f>
        <v>0</v>
      </c>
      <c r="AE61" s="60" t="n">
        <f aca="false">IF(ISNUMBER(I61),I61,D61*P1_LOG+E61*P2_LOG)+IF(ISNUMBER(J61),J61,X61*P1_LOG+Y61*P2_LOG)*TASA_USADA</f>
        <v>0</v>
      </c>
      <c r="AF61" s="60" t="n">
        <f aca="false">AB61*COSTE_DEV</f>
        <v>0</v>
      </c>
      <c r="AG61" s="60" t="n">
        <f aca="false">Z61*P1_IVAN+AA61*P2_IVAN-AB61*IVA_DEV</f>
        <v>0</v>
      </c>
      <c r="AH61" s="60" t="n">
        <f aca="false">K61*(1+RECARGO_ADS)</f>
        <v>0</v>
      </c>
      <c r="AI61" s="58" t="n">
        <f aca="false">IF(ISNUMBER(I61),D61+E61+X61+Y61,0)</f>
        <v>0</v>
      </c>
      <c r="AJ61" s="60" t="n">
        <f aca="false">M61*COMISION</f>
        <v>0</v>
      </c>
    </row>
    <row r="62" customFormat="false" ht="15" hidden="false" customHeight="false" outlineLevel="0" collapsed="false">
      <c r="A62" s="53" t="n">
        <v>46356</v>
      </c>
      <c r="B62" s="54"/>
      <c r="C62" s="54"/>
      <c r="D62" s="54"/>
      <c r="E62" s="54"/>
      <c r="F62" s="54"/>
      <c r="G62" s="54"/>
      <c r="H62" s="54"/>
      <c r="I62" s="55"/>
      <c r="J62" s="55"/>
      <c r="K62" s="55"/>
      <c r="L62" s="56"/>
      <c r="M62" s="31" t="n">
        <f aca="false">B62+C62</f>
        <v>0</v>
      </c>
      <c r="N62" s="31" t="n">
        <f aca="false">X62+Y62</f>
        <v>0</v>
      </c>
      <c r="O62" s="32" t="n">
        <f aca="false">B62*P1_PVP+C62*P2_PVP</f>
        <v>0</v>
      </c>
      <c r="P62" s="32" t="str">
        <f aca="false">IF(M62&gt;0,O62/M62,"")</f>
        <v/>
      </c>
      <c r="Q62" s="32" t="str">
        <f aca="false">IF(M62&gt;0,K62/M62,"")</f>
        <v/>
      </c>
      <c r="R62" s="57" t="str">
        <f aca="false">IF(K62&gt;0,O62/K62,"")</f>
        <v/>
      </c>
      <c r="S62" s="34" t="str">
        <f aca="false">IF(D62+E62+F62+G62&gt;0,(D62+E62)/(D62+E62+F62+G62),"")</f>
        <v/>
      </c>
      <c r="T62" s="33" t="n">
        <f aca="false">D62*(P1_PVP-P1_CPROD)+E62*(P2_PVP-P2_CPROD)-IF(ISNUMBER(I62),I62,D62*P1_LOG+E62*P2_LOG)</f>
        <v>0</v>
      </c>
      <c r="U62" s="33" t="n">
        <f aca="false">T62-(D62*P1_IVAN+E62*P2_IVAN)-(F62+G62)*(COSTE_DEV-IVA_DEV)-AH62-AJ62</f>
        <v>0</v>
      </c>
      <c r="V62" s="33" t="n">
        <f aca="false">AC62-AD62-AE62-AF62-AG62-AH62-AJ62</f>
        <v>0</v>
      </c>
      <c r="X62" s="58" t="n">
        <f aca="false">MAX(0,B62-D62-F62)</f>
        <v>0</v>
      </c>
      <c r="Y62" s="58" t="n">
        <f aca="false">MAX(0,C62-E62-G62)</f>
        <v>0</v>
      </c>
      <c r="Z62" s="59" t="n">
        <f aca="false">D62+X62*TASA_USADA</f>
        <v>0</v>
      </c>
      <c r="AA62" s="59" t="n">
        <f aca="false">E62+Y62*TASA_USADA</f>
        <v>0</v>
      </c>
      <c r="AB62" s="59" t="n">
        <f aca="false">F62+G62+(X62+Y62)*(1-TASA_USADA)</f>
        <v>0</v>
      </c>
      <c r="AC62" s="60" t="n">
        <f aca="false">Z62*P1_PVP+AA62*P2_PVP</f>
        <v>0</v>
      </c>
      <c r="AD62" s="60" t="n">
        <f aca="false">Z62*P1_CPROD+AA62*P2_CPROD</f>
        <v>0</v>
      </c>
      <c r="AE62" s="60" t="n">
        <f aca="false">IF(ISNUMBER(I62),I62,D62*P1_LOG+E62*P2_LOG)+IF(ISNUMBER(J62),J62,X62*P1_LOG+Y62*P2_LOG)*TASA_USADA</f>
        <v>0</v>
      </c>
      <c r="AF62" s="60" t="n">
        <f aca="false">AB62*COSTE_DEV</f>
        <v>0</v>
      </c>
      <c r="AG62" s="60" t="n">
        <f aca="false">Z62*P1_IVAN+AA62*P2_IVAN-AB62*IVA_DEV</f>
        <v>0</v>
      </c>
      <c r="AH62" s="60" t="n">
        <f aca="false">K62*(1+RECARGO_ADS)</f>
        <v>0</v>
      </c>
      <c r="AI62" s="58" t="n">
        <f aca="false">IF(ISNUMBER(I62),D62+E62+X62+Y62,0)</f>
        <v>0</v>
      </c>
      <c r="AJ62" s="60" t="n">
        <f aca="false">M62*COMISION</f>
        <v>0</v>
      </c>
    </row>
    <row r="63" customFormat="false" ht="15" hidden="false" customHeight="false" outlineLevel="0" collapsed="false">
      <c r="A63" s="53" t="n">
        <v>46357</v>
      </c>
      <c r="B63" s="54"/>
      <c r="C63" s="54"/>
      <c r="D63" s="54"/>
      <c r="E63" s="54"/>
      <c r="F63" s="54"/>
      <c r="G63" s="54"/>
      <c r="H63" s="54"/>
      <c r="I63" s="55"/>
      <c r="J63" s="55"/>
      <c r="K63" s="55"/>
      <c r="L63" s="56"/>
      <c r="M63" s="31" t="n">
        <f aca="false">B63+C63</f>
        <v>0</v>
      </c>
      <c r="N63" s="31" t="n">
        <f aca="false">X63+Y63</f>
        <v>0</v>
      </c>
      <c r="O63" s="32" t="n">
        <f aca="false">B63*P1_PVP+C63*P2_PVP</f>
        <v>0</v>
      </c>
      <c r="P63" s="32" t="str">
        <f aca="false">IF(M63&gt;0,O63/M63,"")</f>
        <v/>
      </c>
      <c r="Q63" s="32" t="str">
        <f aca="false">IF(M63&gt;0,K63/M63,"")</f>
        <v/>
      </c>
      <c r="R63" s="57" t="str">
        <f aca="false">IF(K63&gt;0,O63/K63,"")</f>
        <v/>
      </c>
      <c r="S63" s="34" t="str">
        <f aca="false">IF(D63+E63+F63+G63&gt;0,(D63+E63)/(D63+E63+F63+G63),"")</f>
        <v/>
      </c>
      <c r="T63" s="33" t="n">
        <f aca="false">D63*(P1_PVP-P1_CPROD)+E63*(P2_PVP-P2_CPROD)-IF(ISNUMBER(I63),I63,D63*P1_LOG+E63*P2_LOG)</f>
        <v>0</v>
      </c>
      <c r="U63" s="33" t="n">
        <f aca="false">T63-(D63*P1_IVAN+E63*P2_IVAN)-(F63+G63)*(COSTE_DEV-IVA_DEV)-AH63-AJ63</f>
        <v>0</v>
      </c>
      <c r="V63" s="33" t="n">
        <f aca="false">AC63-AD63-AE63-AF63-AG63-AH63-AJ63</f>
        <v>0</v>
      </c>
      <c r="X63" s="58" t="n">
        <f aca="false">MAX(0,B63-D63-F63)</f>
        <v>0</v>
      </c>
      <c r="Y63" s="58" t="n">
        <f aca="false">MAX(0,C63-E63-G63)</f>
        <v>0</v>
      </c>
      <c r="Z63" s="59" t="n">
        <f aca="false">D63+X63*TASA_USADA</f>
        <v>0</v>
      </c>
      <c r="AA63" s="59" t="n">
        <f aca="false">E63+Y63*TASA_USADA</f>
        <v>0</v>
      </c>
      <c r="AB63" s="59" t="n">
        <f aca="false">F63+G63+(X63+Y63)*(1-TASA_USADA)</f>
        <v>0</v>
      </c>
      <c r="AC63" s="60" t="n">
        <f aca="false">Z63*P1_PVP+AA63*P2_PVP</f>
        <v>0</v>
      </c>
      <c r="AD63" s="60" t="n">
        <f aca="false">Z63*P1_CPROD+AA63*P2_CPROD</f>
        <v>0</v>
      </c>
      <c r="AE63" s="60" t="n">
        <f aca="false">IF(ISNUMBER(I63),I63,D63*P1_LOG+E63*P2_LOG)+IF(ISNUMBER(J63),J63,X63*P1_LOG+Y63*P2_LOG)*TASA_USADA</f>
        <v>0</v>
      </c>
      <c r="AF63" s="60" t="n">
        <f aca="false">AB63*COSTE_DEV</f>
        <v>0</v>
      </c>
      <c r="AG63" s="60" t="n">
        <f aca="false">Z63*P1_IVAN+AA63*P2_IVAN-AB63*IVA_DEV</f>
        <v>0</v>
      </c>
      <c r="AH63" s="60" t="n">
        <f aca="false">K63*(1+RECARGO_ADS)</f>
        <v>0</v>
      </c>
      <c r="AI63" s="58" t="n">
        <f aca="false">IF(ISNUMBER(I63),D63+E63+X63+Y63,0)</f>
        <v>0</v>
      </c>
      <c r="AJ63" s="60" t="n">
        <f aca="false">M63*COMISION</f>
        <v>0</v>
      </c>
    </row>
    <row r="64" customFormat="false" ht="15" hidden="false" customHeight="false" outlineLevel="0" collapsed="false">
      <c r="A64" s="53" t="n">
        <v>46358</v>
      </c>
      <c r="B64" s="54"/>
      <c r="C64" s="54"/>
      <c r="D64" s="54"/>
      <c r="E64" s="54"/>
      <c r="F64" s="54"/>
      <c r="G64" s="54"/>
      <c r="H64" s="54"/>
      <c r="I64" s="55"/>
      <c r="J64" s="55"/>
      <c r="K64" s="55"/>
      <c r="L64" s="56"/>
      <c r="M64" s="31" t="n">
        <f aca="false">B64+C64</f>
        <v>0</v>
      </c>
      <c r="N64" s="31" t="n">
        <f aca="false">X64+Y64</f>
        <v>0</v>
      </c>
      <c r="O64" s="32" t="n">
        <f aca="false">B64*P1_PVP+C64*P2_PVP</f>
        <v>0</v>
      </c>
      <c r="P64" s="32" t="str">
        <f aca="false">IF(M64&gt;0,O64/M64,"")</f>
        <v/>
      </c>
      <c r="Q64" s="32" t="str">
        <f aca="false">IF(M64&gt;0,K64/M64,"")</f>
        <v/>
      </c>
      <c r="R64" s="57" t="str">
        <f aca="false">IF(K64&gt;0,O64/K64,"")</f>
        <v/>
      </c>
      <c r="S64" s="34" t="str">
        <f aca="false">IF(D64+E64+F64+G64&gt;0,(D64+E64)/(D64+E64+F64+G64),"")</f>
        <v/>
      </c>
      <c r="T64" s="33" t="n">
        <f aca="false">D64*(P1_PVP-P1_CPROD)+E64*(P2_PVP-P2_CPROD)-IF(ISNUMBER(I64),I64,D64*P1_LOG+E64*P2_LOG)</f>
        <v>0</v>
      </c>
      <c r="U64" s="33" t="n">
        <f aca="false">T64-(D64*P1_IVAN+E64*P2_IVAN)-(F64+G64)*(COSTE_DEV-IVA_DEV)-AH64-AJ64</f>
        <v>0</v>
      </c>
      <c r="V64" s="33" t="n">
        <f aca="false">AC64-AD64-AE64-AF64-AG64-AH64-AJ64</f>
        <v>0</v>
      </c>
      <c r="X64" s="58" t="n">
        <f aca="false">MAX(0,B64-D64-F64)</f>
        <v>0</v>
      </c>
      <c r="Y64" s="58" t="n">
        <f aca="false">MAX(0,C64-E64-G64)</f>
        <v>0</v>
      </c>
      <c r="Z64" s="59" t="n">
        <f aca="false">D64+X64*TASA_USADA</f>
        <v>0</v>
      </c>
      <c r="AA64" s="59" t="n">
        <f aca="false">E64+Y64*TASA_USADA</f>
        <v>0</v>
      </c>
      <c r="AB64" s="59" t="n">
        <f aca="false">F64+G64+(X64+Y64)*(1-TASA_USADA)</f>
        <v>0</v>
      </c>
      <c r="AC64" s="60" t="n">
        <f aca="false">Z64*P1_PVP+AA64*P2_PVP</f>
        <v>0</v>
      </c>
      <c r="AD64" s="60" t="n">
        <f aca="false">Z64*P1_CPROD+AA64*P2_CPROD</f>
        <v>0</v>
      </c>
      <c r="AE64" s="60" t="n">
        <f aca="false">IF(ISNUMBER(I64),I64,D64*P1_LOG+E64*P2_LOG)+IF(ISNUMBER(J64),J64,X64*P1_LOG+Y64*P2_LOG)*TASA_USADA</f>
        <v>0</v>
      </c>
      <c r="AF64" s="60" t="n">
        <f aca="false">AB64*COSTE_DEV</f>
        <v>0</v>
      </c>
      <c r="AG64" s="60" t="n">
        <f aca="false">Z64*P1_IVAN+AA64*P2_IVAN-AB64*IVA_DEV</f>
        <v>0</v>
      </c>
      <c r="AH64" s="60" t="n">
        <f aca="false">K64*(1+RECARGO_ADS)</f>
        <v>0</v>
      </c>
      <c r="AI64" s="58" t="n">
        <f aca="false">IF(ISNUMBER(I64),D64+E64+X64+Y64,0)</f>
        <v>0</v>
      </c>
      <c r="AJ64" s="60" t="n">
        <f aca="false">M64*COMISION</f>
        <v>0</v>
      </c>
    </row>
    <row r="65" customFormat="false" ht="15" hidden="false" customHeight="false" outlineLevel="0" collapsed="false">
      <c r="A65" s="53" t="n">
        <v>46359</v>
      </c>
      <c r="B65" s="54"/>
      <c r="C65" s="54"/>
      <c r="D65" s="54"/>
      <c r="E65" s="54"/>
      <c r="F65" s="54"/>
      <c r="G65" s="54"/>
      <c r="H65" s="54"/>
      <c r="I65" s="55"/>
      <c r="J65" s="55"/>
      <c r="K65" s="55"/>
      <c r="L65" s="56"/>
      <c r="M65" s="31" t="n">
        <f aca="false">B65+C65</f>
        <v>0</v>
      </c>
      <c r="N65" s="31" t="n">
        <f aca="false">X65+Y65</f>
        <v>0</v>
      </c>
      <c r="O65" s="32" t="n">
        <f aca="false">B65*P1_PVP+C65*P2_PVP</f>
        <v>0</v>
      </c>
      <c r="P65" s="32" t="str">
        <f aca="false">IF(M65&gt;0,O65/M65,"")</f>
        <v/>
      </c>
      <c r="Q65" s="32" t="str">
        <f aca="false">IF(M65&gt;0,K65/M65,"")</f>
        <v/>
      </c>
      <c r="R65" s="57" t="str">
        <f aca="false">IF(K65&gt;0,O65/K65,"")</f>
        <v/>
      </c>
      <c r="S65" s="34" t="str">
        <f aca="false">IF(D65+E65+F65+G65&gt;0,(D65+E65)/(D65+E65+F65+G65),"")</f>
        <v/>
      </c>
      <c r="T65" s="33" t="n">
        <f aca="false">D65*(P1_PVP-P1_CPROD)+E65*(P2_PVP-P2_CPROD)-IF(ISNUMBER(I65),I65,D65*P1_LOG+E65*P2_LOG)</f>
        <v>0</v>
      </c>
      <c r="U65" s="33" t="n">
        <f aca="false">T65-(D65*P1_IVAN+E65*P2_IVAN)-(F65+G65)*(COSTE_DEV-IVA_DEV)-AH65-AJ65</f>
        <v>0</v>
      </c>
      <c r="V65" s="33" t="n">
        <f aca="false">AC65-AD65-AE65-AF65-AG65-AH65-AJ65</f>
        <v>0</v>
      </c>
      <c r="X65" s="58" t="n">
        <f aca="false">MAX(0,B65-D65-F65)</f>
        <v>0</v>
      </c>
      <c r="Y65" s="58" t="n">
        <f aca="false">MAX(0,C65-E65-G65)</f>
        <v>0</v>
      </c>
      <c r="Z65" s="59" t="n">
        <f aca="false">D65+X65*TASA_USADA</f>
        <v>0</v>
      </c>
      <c r="AA65" s="59" t="n">
        <f aca="false">E65+Y65*TASA_USADA</f>
        <v>0</v>
      </c>
      <c r="AB65" s="59" t="n">
        <f aca="false">F65+G65+(X65+Y65)*(1-TASA_USADA)</f>
        <v>0</v>
      </c>
      <c r="AC65" s="60" t="n">
        <f aca="false">Z65*P1_PVP+AA65*P2_PVP</f>
        <v>0</v>
      </c>
      <c r="AD65" s="60" t="n">
        <f aca="false">Z65*P1_CPROD+AA65*P2_CPROD</f>
        <v>0</v>
      </c>
      <c r="AE65" s="60" t="n">
        <f aca="false">IF(ISNUMBER(I65),I65,D65*P1_LOG+E65*P2_LOG)+IF(ISNUMBER(J65),J65,X65*P1_LOG+Y65*P2_LOG)*TASA_USADA</f>
        <v>0</v>
      </c>
      <c r="AF65" s="60" t="n">
        <f aca="false">AB65*COSTE_DEV</f>
        <v>0</v>
      </c>
      <c r="AG65" s="60" t="n">
        <f aca="false">Z65*P1_IVAN+AA65*P2_IVAN-AB65*IVA_DEV</f>
        <v>0</v>
      </c>
      <c r="AH65" s="60" t="n">
        <f aca="false">K65*(1+RECARGO_ADS)</f>
        <v>0</v>
      </c>
      <c r="AI65" s="58" t="n">
        <f aca="false">IF(ISNUMBER(I65),D65+E65+X65+Y65,0)</f>
        <v>0</v>
      </c>
      <c r="AJ65" s="60" t="n">
        <f aca="false">M65*COMISION</f>
        <v>0</v>
      </c>
    </row>
    <row r="66" customFormat="false" ht="15" hidden="false" customHeight="false" outlineLevel="0" collapsed="false">
      <c r="A66" s="53" t="n">
        <v>46360</v>
      </c>
      <c r="B66" s="54"/>
      <c r="C66" s="54"/>
      <c r="D66" s="54"/>
      <c r="E66" s="54"/>
      <c r="F66" s="54"/>
      <c r="G66" s="54"/>
      <c r="H66" s="54"/>
      <c r="I66" s="55"/>
      <c r="J66" s="55"/>
      <c r="K66" s="55"/>
      <c r="L66" s="56"/>
      <c r="M66" s="31" t="n">
        <f aca="false">B66+C66</f>
        <v>0</v>
      </c>
      <c r="N66" s="31" t="n">
        <f aca="false">X66+Y66</f>
        <v>0</v>
      </c>
      <c r="O66" s="32" t="n">
        <f aca="false">B66*P1_PVP+C66*P2_PVP</f>
        <v>0</v>
      </c>
      <c r="P66" s="32" t="str">
        <f aca="false">IF(M66&gt;0,O66/M66,"")</f>
        <v/>
      </c>
      <c r="Q66" s="32" t="str">
        <f aca="false">IF(M66&gt;0,K66/M66,"")</f>
        <v/>
      </c>
      <c r="R66" s="57" t="str">
        <f aca="false">IF(K66&gt;0,O66/K66,"")</f>
        <v/>
      </c>
      <c r="S66" s="34" t="str">
        <f aca="false">IF(D66+E66+F66+G66&gt;0,(D66+E66)/(D66+E66+F66+G66),"")</f>
        <v/>
      </c>
      <c r="T66" s="33" t="n">
        <f aca="false">D66*(P1_PVP-P1_CPROD)+E66*(P2_PVP-P2_CPROD)-IF(ISNUMBER(I66),I66,D66*P1_LOG+E66*P2_LOG)</f>
        <v>0</v>
      </c>
      <c r="U66" s="33" t="n">
        <f aca="false">T66-(D66*P1_IVAN+E66*P2_IVAN)-(F66+G66)*(COSTE_DEV-IVA_DEV)-AH66-AJ66</f>
        <v>0</v>
      </c>
      <c r="V66" s="33" t="n">
        <f aca="false">AC66-AD66-AE66-AF66-AG66-AH66-AJ66</f>
        <v>0</v>
      </c>
      <c r="X66" s="58" t="n">
        <f aca="false">MAX(0,B66-D66-F66)</f>
        <v>0</v>
      </c>
      <c r="Y66" s="58" t="n">
        <f aca="false">MAX(0,C66-E66-G66)</f>
        <v>0</v>
      </c>
      <c r="Z66" s="59" t="n">
        <f aca="false">D66+X66*TASA_USADA</f>
        <v>0</v>
      </c>
      <c r="AA66" s="59" t="n">
        <f aca="false">E66+Y66*TASA_USADA</f>
        <v>0</v>
      </c>
      <c r="AB66" s="59" t="n">
        <f aca="false">F66+G66+(X66+Y66)*(1-TASA_USADA)</f>
        <v>0</v>
      </c>
      <c r="AC66" s="60" t="n">
        <f aca="false">Z66*P1_PVP+AA66*P2_PVP</f>
        <v>0</v>
      </c>
      <c r="AD66" s="60" t="n">
        <f aca="false">Z66*P1_CPROD+AA66*P2_CPROD</f>
        <v>0</v>
      </c>
      <c r="AE66" s="60" t="n">
        <f aca="false">IF(ISNUMBER(I66),I66,D66*P1_LOG+E66*P2_LOG)+IF(ISNUMBER(J66),J66,X66*P1_LOG+Y66*P2_LOG)*TASA_USADA</f>
        <v>0</v>
      </c>
      <c r="AF66" s="60" t="n">
        <f aca="false">AB66*COSTE_DEV</f>
        <v>0</v>
      </c>
      <c r="AG66" s="60" t="n">
        <f aca="false">Z66*P1_IVAN+AA66*P2_IVAN-AB66*IVA_DEV</f>
        <v>0</v>
      </c>
      <c r="AH66" s="60" t="n">
        <f aca="false">K66*(1+RECARGO_ADS)</f>
        <v>0</v>
      </c>
      <c r="AI66" s="58" t="n">
        <f aca="false">IF(ISNUMBER(I66),D66+E66+X66+Y66,0)</f>
        <v>0</v>
      </c>
      <c r="AJ66" s="60" t="n">
        <f aca="false">M66*COMISION</f>
        <v>0</v>
      </c>
    </row>
    <row r="67" customFormat="false" ht="15" hidden="false" customHeight="false" outlineLevel="0" collapsed="false">
      <c r="A67" s="53" t="n">
        <v>46361</v>
      </c>
      <c r="B67" s="54"/>
      <c r="C67" s="54"/>
      <c r="D67" s="54"/>
      <c r="E67" s="54"/>
      <c r="F67" s="54"/>
      <c r="G67" s="54"/>
      <c r="H67" s="54"/>
      <c r="I67" s="55"/>
      <c r="J67" s="55"/>
      <c r="K67" s="55"/>
      <c r="L67" s="56"/>
      <c r="M67" s="31" t="n">
        <f aca="false">B67+C67</f>
        <v>0</v>
      </c>
      <c r="N67" s="31" t="n">
        <f aca="false">X67+Y67</f>
        <v>0</v>
      </c>
      <c r="O67" s="32" t="n">
        <f aca="false">B67*P1_PVP+C67*P2_PVP</f>
        <v>0</v>
      </c>
      <c r="P67" s="32" t="str">
        <f aca="false">IF(M67&gt;0,O67/M67,"")</f>
        <v/>
      </c>
      <c r="Q67" s="32" t="str">
        <f aca="false">IF(M67&gt;0,K67/M67,"")</f>
        <v/>
      </c>
      <c r="R67" s="57" t="str">
        <f aca="false">IF(K67&gt;0,O67/K67,"")</f>
        <v/>
      </c>
      <c r="S67" s="34" t="str">
        <f aca="false">IF(D67+E67+F67+G67&gt;0,(D67+E67)/(D67+E67+F67+G67),"")</f>
        <v/>
      </c>
      <c r="T67" s="33" t="n">
        <f aca="false">D67*(P1_PVP-P1_CPROD)+E67*(P2_PVP-P2_CPROD)-IF(ISNUMBER(I67),I67,D67*P1_LOG+E67*P2_LOG)</f>
        <v>0</v>
      </c>
      <c r="U67" s="33" t="n">
        <f aca="false">T67-(D67*P1_IVAN+E67*P2_IVAN)-(F67+G67)*(COSTE_DEV-IVA_DEV)-AH67-AJ67</f>
        <v>0</v>
      </c>
      <c r="V67" s="33" t="n">
        <f aca="false">AC67-AD67-AE67-AF67-AG67-AH67-AJ67</f>
        <v>0</v>
      </c>
      <c r="X67" s="58" t="n">
        <f aca="false">MAX(0,B67-D67-F67)</f>
        <v>0</v>
      </c>
      <c r="Y67" s="58" t="n">
        <f aca="false">MAX(0,C67-E67-G67)</f>
        <v>0</v>
      </c>
      <c r="Z67" s="59" t="n">
        <f aca="false">D67+X67*TASA_USADA</f>
        <v>0</v>
      </c>
      <c r="AA67" s="59" t="n">
        <f aca="false">E67+Y67*TASA_USADA</f>
        <v>0</v>
      </c>
      <c r="AB67" s="59" t="n">
        <f aca="false">F67+G67+(X67+Y67)*(1-TASA_USADA)</f>
        <v>0</v>
      </c>
      <c r="AC67" s="60" t="n">
        <f aca="false">Z67*P1_PVP+AA67*P2_PVP</f>
        <v>0</v>
      </c>
      <c r="AD67" s="60" t="n">
        <f aca="false">Z67*P1_CPROD+AA67*P2_CPROD</f>
        <v>0</v>
      </c>
      <c r="AE67" s="60" t="n">
        <f aca="false">IF(ISNUMBER(I67),I67,D67*P1_LOG+E67*P2_LOG)+IF(ISNUMBER(J67),J67,X67*P1_LOG+Y67*P2_LOG)*TASA_USADA</f>
        <v>0</v>
      </c>
      <c r="AF67" s="60" t="n">
        <f aca="false">AB67*COSTE_DEV</f>
        <v>0</v>
      </c>
      <c r="AG67" s="60" t="n">
        <f aca="false">Z67*P1_IVAN+AA67*P2_IVAN-AB67*IVA_DEV</f>
        <v>0</v>
      </c>
      <c r="AH67" s="60" t="n">
        <f aca="false">K67*(1+RECARGO_ADS)</f>
        <v>0</v>
      </c>
      <c r="AI67" s="58" t="n">
        <f aca="false">IF(ISNUMBER(I67),D67+E67+X67+Y67,0)</f>
        <v>0</v>
      </c>
      <c r="AJ67" s="60" t="n">
        <f aca="false">M67*COMISION</f>
        <v>0</v>
      </c>
    </row>
    <row r="68" customFormat="false" ht="15" hidden="false" customHeight="false" outlineLevel="0" collapsed="false">
      <c r="A68" s="53" t="n">
        <v>46362</v>
      </c>
      <c r="B68" s="54"/>
      <c r="C68" s="54"/>
      <c r="D68" s="54"/>
      <c r="E68" s="54"/>
      <c r="F68" s="54"/>
      <c r="G68" s="54"/>
      <c r="H68" s="54"/>
      <c r="I68" s="55"/>
      <c r="J68" s="55"/>
      <c r="K68" s="55"/>
      <c r="L68" s="56"/>
      <c r="M68" s="31" t="n">
        <f aca="false">B68+C68</f>
        <v>0</v>
      </c>
      <c r="N68" s="31" t="n">
        <f aca="false">X68+Y68</f>
        <v>0</v>
      </c>
      <c r="O68" s="32" t="n">
        <f aca="false">B68*P1_PVP+C68*P2_PVP</f>
        <v>0</v>
      </c>
      <c r="P68" s="32" t="str">
        <f aca="false">IF(M68&gt;0,O68/M68,"")</f>
        <v/>
      </c>
      <c r="Q68" s="32" t="str">
        <f aca="false">IF(M68&gt;0,K68/M68,"")</f>
        <v/>
      </c>
      <c r="R68" s="57" t="str">
        <f aca="false">IF(K68&gt;0,O68/K68,"")</f>
        <v/>
      </c>
      <c r="S68" s="34" t="str">
        <f aca="false">IF(D68+E68+F68+G68&gt;0,(D68+E68)/(D68+E68+F68+G68),"")</f>
        <v/>
      </c>
      <c r="T68" s="33" t="n">
        <f aca="false">D68*(P1_PVP-P1_CPROD)+E68*(P2_PVP-P2_CPROD)-IF(ISNUMBER(I68),I68,D68*P1_LOG+E68*P2_LOG)</f>
        <v>0</v>
      </c>
      <c r="U68" s="33" t="n">
        <f aca="false">T68-(D68*P1_IVAN+E68*P2_IVAN)-(F68+G68)*(COSTE_DEV-IVA_DEV)-AH68-AJ68</f>
        <v>0</v>
      </c>
      <c r="V68" s="33" t="n">
        <f aca="false">AC68-AD68-AE68-AF68-AG68-AH68-AJ68</f>
        <v>0</v>
      </c>
      <c r="X68" s="58" t="n">
        <f aca="false">MAX(0,B68-D68-F68)</f>
        <v>0</v>
      </c>
      <c r="Y68" s="58" t="n">
        <f aca="false">MAX(0,C68-E68-G68)</f>
        <v>0</v>
      </c>
      <c r="Z68" s="59" t="n">
        <f aca="false">D68+X68*TASA_USADA</f>
        <v>0</v>
      </c>
      <c r="AA68" s="59" t="n">
        <f aca="false">E68+Y68*TASA_USADA</f>
        <v>0</v>
      </c>
      <c r="AB68" s="59" t="n">
        <f aca="false">F68+G68+(X68+Y68)*(1-TASA_USADA)</f>
        <v>0</v>
      </c>
      <c r="AC68" s="60" t="n">
        <f aca="false">Z68*P1_PVP+AA68*P2_PVP</f>
        <v>0</v>
      </c>
      <c r="AD68" s="60" t="n">
        <f aca="false">Z68*P1_CPROD+AA68*P2_CPROD</f>
        <v>0</v>
      </c>
      <c r="AE68" s="60" t="n">
        <f aca="false">IF(ISNUMBER(I68),I68,D68*P1_LOG+E68*P2_LOG)+IF(ISNUMBER(J68),J68,X68*P1_LOG+Y68*P2_LOG)*TASA_USADA</f>
        <v>0</v>
      </c>
      <c r="AF68" s="60" t="n">
        <f aca="false">AB68*COSTE_DEV</f>
        <v>0</v>
      </c>
      <c r="AG68" s="60" t="n">
        <f aca="false">Z68*P1_IVAN+AA68*P2_IVAN-AB68*IVA_DEV</f>
        <v>0</v>
      </c>
      <c r="AH68" s="60" t="n">
        <f aca="false">K68*(1+RECARGO_ADS)</f>
        <v>0</v>
      </c>
      <c r="AI68" s="58" t="n">
        <f aca="false">IF(ISNUMBER(I68),D68+E68+X68+Y68,0)</f>
        <v>0</v>
      </c>
      <c r="AJ68" s="60" t="n">
        <f aca="false">M68*COMISION</f>
        <v>0</v>
      </c>
    </row>
    <row r="69" customFormat="false" ht="15" hidden="false" customHeight="false" outlineLevel="0" collapsed="false">
      <c r="A69" s="53" t="n">
        <v>46363</v>
      </c>
      <c r="B69" s="54"/>
      <c r="C69" s="54"/>
      <c r="D69" s="54"/>
      <c r="E69" s="54"/>
      <c r="F69" s="54"/>
      <c r="G69" s="54"/>
      <c r="H69" s="54"/>
      <c r="I69" s="55"/>
      <c r="J69" s="55"/>
      <c r="K69" s="55"/>
      <c r="L69" s="56"/>
      <c r="M69" s="31" t="n">
        <f aca="false">B69+C69</f>
        <v>0</v>
      </c>
      <c r="N69" s="31" t="n">
        <f aca="false">X69+Y69</f>
        <v>0</v>
      </c>
      <c r="O69" s="32" t="n">
        <f aca="false">B69*P1_PVP+C69*P2_PVP</f>
        <v>0</v>
      </c>
      <c r="P69" s="32" t="str">
        <f aca="false">IF(M69&gt;0,O69/M69,"")</f>
        <v/>
      </c>
      <c r="Q69" s="32" t="str">
        <f aca="false">IF(M69&gt;0,K69/M69,"")</f>
        <v/>
      </c>
      <c r="R69" s="57" t="str">
        <f aca="false">IF(K69&gt;0,O69/K69,"")</f>
        <v/>
      </c>
      <c r="S69" s="34" t="str">
        <f aca="false">IF(D69+E69+F69+G69&gt;0,(D69+E69)/(D69+E69+F69+G69),"")</f>
        <v/>
      </c>
      <c r="T69" s="33" t="n">
        <f aca="false">D69*(P1_PVP-P1_CPROD)+E69*(P2_PVP-P2_CPROD)-IF(ISNUMBER(I69),I69,D69*P1_LOG+E69*P2_LOG)</f>
        <v>0</v>
      </c>
      <c r="U69" s="33" t="n">
        <f aca="false">T69-(D69*P1_IVAN+E69*P2_IVAN)-(F69+G69)*(COSTE_DEV-IVA_DEV)-AH69-AJ69</f>
        <v>0</v>
      </c>
      <c r="V69" s="33" t="n">
        <f aca="false">AC69-AD69-AE69-AF69-AG69-AH69-AJ69</f>
        <v>0</v>
      </c>
      <c r="X69" s="58" t="n">
        <f aca="false">MAX(0,B69-D69-F69)</f>
        <v>0</v>
      </c>
      <c r="Y69" s="58" t="n">
        <f aca="false">MAX(0,C69-E69-G69)</f>
        <v>0</v>
      </c>
      <c r="Z69" s="59" t="n">
        <f aca="false">D69+X69*TASA_USADA</f>
        <v>0</v>
      </c>
      <c r="AA69" s="59" t="n">
        <f aca="false">E69+Y69*TASA_USADA</f>
        <v>0</v>
      </c>
      <c r="AB69" s="59" t="n">
        <f aca="false">F69+G69+(X69+Y69)*(1-TASA_USADA)</f>
        <v>0</v>
      </c>
      <c r="AC69" s="60" t="n">
        <f aca="false">Z69*P1_PVP+AA69*P2_PVP</f>
        <v>0</v>
      </c>
      <c r="AD69" s="60" t="n">
        <f aca="false">Z69*P1_CPROD+AA69*P2_CPROD</f>
        <v>0</v>
      </c>
      <c r="AE69" s="60" t="n">
        <f aca="false">IF(ISNUMBER(I69),I69,D69*P1_LOG+E69*P2_LOG)+IF(ISNUMBER(J69),J69,X69*P1_LOG+Y69*P2_LOG)*TASA_USADA</f>
        <v>0</v>
      </c>
      <c r="AF69" s="60" t="n">
        <f aca="false">AB69*COSTE_DEV</f>
        <v>0</v>
      </c>
      <c r="AG69" s="60" t="n">
        <f aca="false">Z69*P1_IVAN+AA69*P2_IVAN-AB69*IVA_DEV</f>
        <v>0</v>
      </c>
      <c r="AH69" s="60" t="n">
        <f aca="false">K69*(1+RECARGO_ADS)</f>
        <v>0</v>
      </c>
      <c r="AI69" s="58" t="n">
        <f aca="false">IF(ISNUMBER(I69),D69+E69+X69+Y69,0)</f>
        <v>0</v>
      </c>
      <c r="AJ69" s="60" t="n">
        <f aca="false">M69*COMISION</f>
        <v>0</v>
      </c>
    </row>
    <row r="70" customFormat="false" ht="15" hidden="false" customHeight="false" outlineLevel="0" collapsed="false">
      <c r="A70" s="53" t="n">
        <v>46364</v>
      </c>
      <c r="B70" s="54"/>
      <c r="C70" s="54"/>
      <c r="D70" s="54"/>
      <c r="E70" s="54"/>
      <c r="F70" s="54"/>
      <c r="G70" s="54"/>
      <c r="H70" s="54"/>
      <c r="I70" s="55"/>
      <c r="J70" s="55"/>
      <c r="K70" s="55"/>
      <c r="L70" s="56"/>
      <c r="M70" s="31" t="n">
        <f aca="false">B70+C70</f>
        <v>0</v>
      </c>
      <c r="N70" s="31" t="n">
        <f aca="false">X70+Y70</f>
        <v>0</v>
      </c>
      <c r="O70" s="32" t="n">
        <f aca="false">B70*P1_PVP+C70*P2_PVP</f>
        <v>0</v>
      </c>
      <c r="P70" s="32" t="str">
        <f aca="false">IF(M70&gt;0,O70/M70,"")</f>
        <v/>
      </c>
      <c r="Q70" s="32" t="str">
        <f aca="false">IF(M70&gt;0,K70/M70,"")</f>
        <v/>
      </c>
      <c r="R70" s="57" t="str">
        <f aca="false">IF(K70&gt;0,O70/K70,"")</f>
        <v/>
      </c>
      <c r="S70" s="34" t="str">
        <f aca="false">IF(D70+E70+F70+G70&gt;0,(D70+E70)/(D70+E70+F70+G70),"")</f>
        <v/>
      </c>
      <c r="T70" s="33" t="n">
        <f aca="false">D70*(P1_PVP-P1_CPROD)+E70*(P2_PVP-P2_CPROD)-IF(ISNUMBER(I70),I70,D70*P1_LOG+E70*P2_LOG)</f>
        <v>0</v>
      </c>
      <c r="U70" s="33" t="n">
        <f aca="false">T70-(D70*P1_IVAN+E70*P2_IVAN)-(F70+G70)*(COSTE_DEV-IVA_DEV)-AH70-AJ70</f>
        <v>0</v>
      </c>
      <c r="V70" s="33" t="n">
        <f aca="false">AC70-AD70-AE70-AF70-AG70-AH70-AJ70</f>
        <v>0</v>
      </c>
      <c r="X70" s="58" t="n">
        <f aca="false">MAX(0,B70-D70-F70)</f>
        <v>0</v>
      </c>
      <c r="Y70" s="58" t="n">
        <f aca="false">MAX(0,C70-E70-G70)</f>
        <v>0</v>
      </c>
      <c r="Z70" s="59" t="n">
        <f aca="false">D70+X70*TASA_USADA</f>
        <v>0</v>
      </c>
      <c r="AA70" s="59" t="n">
        <f aca="false">E70+Y70*TASA_USADA</f>
        <v>0</v>
      </c>
      <c r="AB70" s="59" t="n">
        <f aca="false">F70+G70+(X70+Y70)*(1-TASA_USADA)</f>
        <v>0</v>
      </c>
      <c r="AC70" s="60" t="n">
        <f aca="false">Z70*P1_PVP+AA70*P2_PVP</f>
        <v>0</v>
      </c>
      <c r="AD70" s="60" t="n">
        <f aca="false">Z70*P1_CPROD+AA70*P2_CPROD</f>
        <v>0</v>
      </c>
      <c r="AE70" s="60" t="n">
        <f aca="false">IF(ISNUMBER(I70),I70,D70*P1_LOG+E70*P2_LOG)+IF(ISNUMBER(J70),J70,X70*P1_LOG+Y70*P2_LOG)*TASA_USADA</f>
        <v>0</v>
      </c>
      <c r="AF70" s="60" t="n">
        <f aca="false">AB70*COSTE_DEV</f>
        <v>0</v>
      </c>
      <c r="AG70" s="60" t="n">
        <f aca="false">Z70*P1_IVAN+AA70*P2_IVAN-AB70*IVA_DEV</f>
        <v>0</v>
      </c>
      <c r="AH70" s="60" t="n">
        <f aca="false">K70*(1+RECARGO_ADS)</f>
        <v>0</v>
      </c>
      <c r="AI70" s="58" t="n">
        <f aca="false">IF(ISNUMBER(I70),D70+E70+X70+Y70,0)</f>
        <v>0</v>
      </c>
      <c r="AJ70" s="60" t="n">
        <f aca="false">M70*COMISION</f>
        <v>0</v>
      </c>
    </row>
    <row r="71" customFormat="false" ht="15" hidden="false" customHeight="false" outlineLevel="0" collapsed="false">
      <c r="A71" s="53" t="n">
        <v>46365</v>
      </c>
      <c r="B71" s="54"/>
      <c r="C71" s="54"/>
      <c r="D71" s="54"/>
      <c r="E71" s="54"/>
      <c r="F71" s="54"/>
      <c r="G71" s="54"/>
      <c r="H71" s="54"/>
      <c r="I71" s="55"/>
      <c r="J71" s="55"/>
      <c r="K71" s="55"/>
      <c r="L71" s="56"/>
      <c r="M71" s="31" t="n">
        <f aca="false">B71+C71</f>
        <v>0</v>
      </c>
      <c r="N71" s="31" t="n">
        <f aca="false">X71+Y71</f>
        <v>0</v>
      </c>
      <c r="O71" s="32" t="n">
        <f aca="false">B71*P1_PVP+C71*P2_PVP</f>
        <v>0</v>
      </c>
      <c r="P71" s="32" t="str">
        <f aca="false">IF(M71&gt;0,O71/M71,"")</f>
        <v/>
      </c>
      <c r="Q71" s="32" t="str">
        <f aca="false">IF(M71&gt;0,K71/M71,"")</f>
        <v/>
      </c>
      <c r="R71" s="57" t="str">
        <f aca="false">IF(K71&gt;0,O71/K71,"")</f>
        <v/>
      </c>
      <c r="S71" s="34" t="str">
        <f aca="false">IF(D71+E71+F71+G71&gt;0,(D71+E71)/(D71+E71+F71+G71),"")</f>
        <v/>
      </c>
      <c r="T71" s="33" t="n">
        <f aca="false">D71*(P1_PVP-P1_CPROD)+E71*(P2_PVP-P2_CPROD)-IF(ISNUMBER(I71),I71,D71*P1_LOG+E71*P2_LOG)</f>
        <v>0</v>
      </c>
      <c r="U71" s="33" t="n">
        <f aca="false">T71-(D71*P1_IVAN+E71*P2_IVAN)-(F71+G71)*(COSTE_DEV-IVA_DEV)-AH71-AJ71</f>
        <v>0</v>
      </c>
      <c r="V71" s="33" t="n">
        <f aca="false">AC71-AD71-AE71-AF71-AG71-AH71-AJ71</f>
        <v>0</v>
      </c>
      <c r="X71" s="58" t="n">
        <f aca="false">MAX(0,B71-D71-F71)</f>
        <v>0</v>
      </c>
      <c r="Y71" s="58" t="n">
        <f aca="false">MAX(0,C71-E71-G71)</f>
        <v>0</v>
      </c>
      <c r="Z71" s="59" t="n">
        <f aca="false">D71+X71*TASA_USADA</f>
        <v>0</v>
      </c>
      <c r="AA71" s="59" t="n">
        <f aca="false">E71+Y71*TASA_USADA</f>
        <v>0</v>
      </c>
      <c r="AB71" s="59" t="n">
        <f aca="false">F71+G71+(X71+Y71)*(1-TASA_USADA)</f>
        <v>0</v>
      </c>
      <c r="AC71" s="60" t="n">
        <f aca="false">Z71*P1_PVP+AA71*P2_PVP</f>
        <v>0</v>
      </c>
      <c r="AD71" s="60" t="n">
        <f aca="false">Z71*P1_CPROD+AA71*P2_CPROD</f>
        <v>0</v>
      </c>
      <c r="AE71" s="60" t="n">
        <f aca="false">IF(ISNUMBER(I71),I71,D71*P1_LOG+E71*P2_LOG)+IF(ISNUMBER(J71),J71,X71*P1_LOG+Y71*P2_LOG)*TASA_USADA</f>
        <v>0</v>
      </c>
      <c r="AF71" s="60" t="n">
        <f aca="false">AB71*COSTE_DEV</f>
        <v>0</v>
      </c>
      <c r="AG71" s="60" t="n">
        <f aca="false">Z71*P1_IVAN+AA71*P2_IVAN-AB71*IVA_DEV</f>
        <v>0</v>
      </c>
      <c r="AH71" s="60" t="n">
        <f aca="false">K71*(1+RECARGO_ADS)</f>
        <v>0</v>
      </c>
      <c r="AI71" s="58" t="n">
        <f aca="false">IF(ISNUMBER(I71),D71+E71+X71+Y71,0)</f>
        <v>0</v>
      </c>
      <c r="AJ71" s="60" t="n">
        <f aca="false">M71*COMISION</f>
        <v>0</v>
      </c>
    </row>
    <row r="72" customFormat="false" ht="15" hidden="false" customHeight="false" outlineLevel="0" collapsed="false">
      <c r="A72" s="53" t="n">
        <v>46366</v>
      </c>
      <c r="B72" s="54"/>
      <c r="C72" s="54"/>
      <c r="D72" s="54"/>
      <c r="E72" s="54"/>
      <c r="F72" s="54"/>
      <c r="G72" s="54"/>
      <c r="H72" s="54"/>
      <c r="I72" s="55"/>
      <c r="J72" s="55"/>
      <c r="K72" s="55"/>
      <c r="L72" s="56"/>
      <c r="M72" s="31" t="n">
        <f aca="false">B72+C72</f>
        <v>0</v>
      </c>
      <c r="N72" s="31" t="n">
        <f aca="false">X72+Y72</f>
        <v>0</v>
      </c>
      <c r="O72" s="32" t="n">
        <f aca="false">B72*P1_PVP+C72*P2_PVP</f>
        <v>0</v>
      </c>
      <c r="P72" s="32" t="str">
        <f aca="false">IF(M72&gt;0,O72/M72,"")</f>
        <v/>
      </c>
      <c r="Q72" s="32" t="str">
        <f aca="false">IF(M72&gt;0,K72/M72,"")</f>
        <v/>
      </c>
      <c r="R72" s="57" t="str">
        <f aca="false">IF(K72&gt;0,O72/K72,"")</f>
        <v/>
      </c>
      <c r="S72" s="34" t="str">
        <f aca="false">IF(D72+E72+F72+G72&gt;0,(D72+E72)/(D72+E72+F72+G72),"")</f>
        <v/>
      </c>
      <c r="T72" s="33" t="n">
        <f aca="false">D72*(P1_PVP-P1_CPROD)+E72*(P2_PVP-P2_CPROD)-IF(ISNUMBER(I72),I72,D72*P1_LOG+E72*P2_LOG)</f>
        <v>0</v>
      </c>
      <c r="U72" s="33" t="n">
        <f aca="false">T72-(D72*P1_IVAN+E72*P2_IVAN)-(F72+G72)*(COSTE_DEV-IVA_DEV)-AH72-AJ72</f>
        <v>0</v>
      </c>
      <c r="V72" s="33" t="n">
        <f aca="false">AC72-AD72-AE72-AF72-AG72-AH72-AJ72</f>
        <v>0</v>
      </c>
      <c r="X72" s="58" t="n">
        <f aca="false">MAX(0,B72-D72-F72)</f>
        <v>0</v>
      </c>
      <c r="Y72" s="58" t="n">
        <f aca="false">MAX(0,C72-E72-G72)</f>
        <v>0</v>
      </c>
      <c r="Z72" s="59" t="n">
        <f aca="false">D72+X72*TASA_USADA</f>
        <v>0</v>
      </c>
      <c r="AA72" s="59" t="n">
        <f aca="false">E72+Y72*TASA_USADA</f>
        <v>0</v>
      </c>
      <c r="AB72" s="59" t="n">
        <f aca="false">F72+G72+(X72+Y72)*(1-TASA_USADA)</f>
        <v>0</v>
      </c>
      <c r="AC72" s="60" t="n">
        <f aca="false">Z72*P1_PVP+AA72*P2_PVP</f>
        <v>0</v>
      </c>
      <c r="AD72" s="60" t="n">
        <f aca="false">Z72*P1_CPROD+AA72*P2_CPROD</f>
        <v>0</v>
      </c>
      <c r="AE72" s="60" t="n">
        <f aca="false">IF(ISNUMBER(I72),I72,D72*P1_LOG+E72*P2_LOG)+IF(ISNUMBER(J72),J72,X72*P1_LOG+Y72*P2_LOG)*TASA_USADA</f>
        <v>0</v>
      </c>
      <c r="AF72" s="60" t="n">
        <f aca="false">AB72*COSTE_DEV</f>
        <v>0</v>
      </c>
      <c r="AG72" s="60" t="n">
        <f aca="false">Z72*P1_IVAN+AA72*P2_IVAN-AB72*IVA_DEV</f>
        <v>0</v>
      </c>
      <c r="AH72" s="60" t="n">
        <f aca="false">K72*(1+RECARGO_ADS)</f>
        <v>0</v>
      </c>
      <c r="AI72" s="58" t="n">
        <f aca="false">IF(ISNUMBER(I72),D72+E72+X72+Y72,0)</f>
        <v>0</v>
      </c>
      <c r="AJ72" s="60" t="n">
        <f aca="false">M72*COMISION</f>
        <v>0</v>
      </c>
    </row>
    <row r="73" customFormat="false" ht="15" hidden="false" customHeight="false" outlineLevel="0" collapsed="false">
      <c r="A73" s="53" t="n">
        <v>46367</v>
      </c>
      <c r="B73" s="54"/>
      <c r="C73" s="54"/>
      <c r="D73" s="54"/>
      <c r="E73" s="54"/>
      <c r="F73" s="54"/>
      <c r="G73" s="54"/>
      <c r="H73" s="54"/>
      <c r="I73" s="55"/>
      <c r="J73" s="55"/>
      <c r="K73" s="55"/>
      <c r="L73" s="56"/>
      <c r="M73" s="31" t="n">
        <f aca="false">B73+C73</f>
        <v>0</v>
      </c>
      <c r="N73" s="31" t="n">
        <f aca="false">X73+Y73</f>
        <v>0</v>
      </c>
      <c r="O73" s="32" t="n">
        <f aca="false">B73*P1_PVP+C73*P2_PVP</f>
        <v>0</v>
      </c>
      <c r="P73" s="32" t="str">
        <f aca="false">IF(M73&gt;0,O73/M73,"")</f>
        <v/>
      </c>
      <c r="Q73" s="32" t="str">
        <f aca="false">IF(M73&gt;0,K73/M73,"")</f>
        <v/>
      </c>
      <c r="R73" s="57" t="str">
        <f aca="false">IF(K73&gt;0,O73/K73,"")</f>
        <v/>
      </c>
      <c r="S73" s="34" t="str">
        <f aca="false">IF(D73+E73+F73+G73&gt;0,(D73+E73)/(D73+E73+F73+G73),"")</f>
        <v/>
      </c>
      <c r="T73" s="33" t="n">
        <f aca="false">D73*(P1_PVP-P1_CPROD)+E73*(P2_PVP-P2_CPROD)-IF(ISNUMBER(I73),I73,D73*P1_LOG+E73*P2_LOG)</f>
        <v>0</v>
      </c>
      <c r="U73" s="33" t="n">
        <f aca="false">T73-(D73*P1_IVAN+E73*P2_IVAN)-(F73+G73)*(COSTE_DEV-IVA_DEV)-AH73-AJ73</f>
        <v>0</v>
      </c>
      <c r="V73" s="33" t="n">
        <f aca="false">AC73-AD73-AE73-AF73-AG73-AH73-AJ73</f>
        <v>0</v>
      </c>
      <c r="X73" s="58" t="n">
        <f aca="false">MAX(0,B73-D73-F73)</f>
        <v>0</v>
      </c>
      <c r="Y73" s="58" t="n">
        <f aca="false">MAX(0,C73-E73-G73)</f>
        <v>0</v>
      </c>
      <c r="Z73" s="59" t="n">
        <f aca="false">D73+X73*TASA_USADA</f>
        <v>0</v>
      </c>
      <c r="AA73" s="59" t="n">
        <f aca="false">E73+Y73*TASA_USADA</f>
        <v>0</v>
      </c>
      <c r="AB73" s="59" t="n">
        <f aca="false">F73+G73+(X73+Y73)*(1-TASA_USADA)</f>
        <v>0</v>
      </c>
      <c r="AC73" s="60" t="n">
        <f aca="false">Z73*P1_PVP+AA73*P2_PVP</f>
        <v>0</v>
      </c>
      <c r="AD73" s="60" t="n">
        <f aca="false">Z73*P1_CPROD+AA73*P2_CPROD</f>
        <v>0</v>
      </c>
      <c r="AE73" s="60" t="n">
        <f aca="false">IF(ISNUMBER(I73),I73,D73*P1_LOG+E73*P2_LOG)+IF(ISNUMBER(J73),J73,X73*P1_LOG+Y73*P2_LOG)*TASA_USADA</f>
        <v>0</v>
      </c>
      <c r="AF73" s="60" t="n">
        <f aca="false">AB73*COSTE_DEV</f>
        <v>0</v>
      </c>
      <c r="AG73" s="60" t="n">
        <f aca="false">Z73*P1_IVAN+AA73*P2_IVAN-AB73*IVA_DEV</f>
        <v>0</v>
      </c>
      <c r="AH73" s="60" t="n">
        <f aca="false">K73*(1+RECARGO_ADS)</f>
        <v>0</v>
      </c>
      <c r="AI73" s="58" t="n">
        <f aca="false">IF(ISNUMBER(I73),D73+E73+X73+Y73,0)</f>
        <v>0</v>
      </c>
      <c r="AJ73" s="60" t="n">
        <f aca="false">M73*COMISION</f>
        <v>0</v>
      </c>
    </row>
    <row r="74" customFormat="false" ht="15" hidden="false" customHeight="false" outlineLevel="0" collapsed="false">
      <c r="A74" s="53" t="n">
        <v>46368</v>
      </c>
      <c r="B74" s="54"/>
      <c r="C74" s="54"/>
      <c r="D74" s="54"/>
      <c r="E74" s="54"/>
      <c r="F74" s="54"/>
      <c r="G74" s="54"/>
      <c r="H74" s="54"/>
      <c r="I74" s="55"/>
      <c r="J74" s="55"/>
      <c r="K74" s="55"/>
      <c r="L74" s="56"/>
      <c r="M74" s="31" t="n">
        <f aca="false">B74+C74</f>
        <v>0</v>
      </c>
      <c r="N74" s="31" t="n">
        <f aca="false">X74+Y74</f>
        <v>0</v>
      </c>
      <c r="O74" s="32" t="n">
        <f aca="false">B74*P1_PVP+C74*P2_PVP</f>
        <v>0</v>
      </c>
      <c r="P74" s="32" t="str">
        <f aca="false">IF(M74&gt;0,O74/M74,"")</f>
        <v/>
      </c>
      <c r="Q74" s="32" t="str">
        <f aca="false">IF(M74&gt;0,K74/M74,"")</f>
        <v/>
      </c>
      <c r="R74" s="57" t="str">
        <f aca="false">IF(K74&gt;0,O74/K74,"")</f>
        <v/>
      </c>
      <c r="S74" s="34" t="str">
        <f aca="false">IF(D74+E74+F74+G74&gt;0,(D74+E74)/(D74+E74+F74+G74),"")</f>
        <v/>
      </c>
      <c r="T74" s="33" t="n">
        <f aca="false">D74*(P1_PVP-P1_CPROD)+E74*(P2_PVP-P2_CPROD)-IF(ISNUMBER(I74),I74,D74*P1_LOG+E74*P2_LOG)</f>
        <v>0</v>
      </c>
      <c r="U74" s="33" t="n">
        <f aca="false">T74-(D74*P1_IVAN+E74*P2_IVAN)-(F74+G74)*(COSTE_DEV-IVA_DEV)-AH74-AJ74</f>
        <v>0</v>
      </c>
      <c r="V74" s="33" t="n">
        <f aca="false">AC74-AD74-AE74-AF74-AG74-AH74-AJ74</f>
        <v>0</v>
      </c>
      <c r="X74" s="58" t="n">
        <f aca="false">MAX(0,B74-D74-F74)</f>
        <v>0</v>
      </c>
      <c r="Y74" s="58" t="n">
        <f aca="false">MAX(0,C74-E74-G74)</f>
        <v>0</v>
      </c>
      <c r="Z74" s="59" t="n">
        <f aca="false">D74+X74*TASA_USADA</f>
        <v>0</v>
      </c>
      <c r="AA74" s="59" t="n">
        <f aca="false">E74+Y74*TASA_USADA</f>
        <v>0</v>
      </c>
      <c r="AB74" s="59" t="n">
        <f aca="false">F74+G74+(X74+Y74)*(1-TASA_USADA)</f>
        <v>0</v>
      </c>
      <c r="AC74" s="60" t="n">
        <f aca="false">Z74*P1_PVP+AA74*P2_PVP</f>
        <v>0</v>
      </c>
      <c r="AD74" s="60" t="n">
        <f aca="false">Z74*P1_CPROD+AA74*P2_CPROD</f>
        <v>0</v>
      </c>
      <c r="AE74" s="60" t="n">
        <f aca="false">IF(ISNUMBER(I74),I74,D74*P1_LOG+E74*P2_LOG)+IF(ISNUMBER(J74),J74,X74*P1_LOG+Y74*P2_LOG)*TASA_USADA</f>
        <v>0</v>
      </c>
      <c r="AF74" s="60" t="n">
        <f aca="false">AB74*COSTE_DEV</f>
        <v>0</v>
      </c>
      <c r="AG74" s="60" t="n">
        <f aca="false">Z74*P1_IVAN+AA74*P2_IVAN-AB74*IVA_DEV</f>
        <v>0</v>
      </c>
      <c r="AH74" s="60" t="n">
        <f aca="false">K74*(1+RECARGO_ADS)</f>
        <v>0</v>
      </c>
      <c r="AI74" s="58" t="n">
        <f aca="false">IF(ISNUMBER(I74),D74+E74+X74+Y74,0)</f>
        <v>0</v>
      </c>
      <c r="AJ74" s="60" t="n">
        <f aca="false">M74*COMISION</f>
        <v>0</v>
      </c>
    </row>
    <row r="75" customFormat="false" ht="15" hidden="false" customHeight="false" outlineLevel="0" collapsed="false">
      <c r="A75" s="53" t="n">
        <v>46369</v>
      </c>
      <c r="B75" s="54"/>
      <c r="C75" s="54"/>
      <c r="D75" s="54"/>
      <c r="E75" s="54"/>
      <c r="F75" s="54"/>
      <c r="G75" s="54"/>
      <c r="H75" s="54"/>
      <c r="I75" s="55"/>
      <c r="J75" s="55"/>
      <c r="K75" s="55"/>
      <c r="L75" s="56"/>
      <c r="M75" s="31" t="n">
        <f aca="false">B75+C75</f>
        <v>0</v>
      </c>
      <c r="N75" s="31" t="n">
        <f aca="false">X75+Y75</f>
        <v>0</v>
      </c>
      <c r="O75" s="32" t="n">
        <f aca="false">B75*P1_PVP+C75*P2_PVP</f>
        <v>0</v>
      </c>
      <c r="P75" s="32" t="str">
        <f aca="false">IF(M75&gt;0,O75/M75,"")</f>
        <v/>
      </c>
      <c r="Q75" s="32" t="str">
        <f aca="false">IF(M75&gt;0,K75/M75,"")</f>
        <v/>
      </c>
      <c r="R75" s="57" t="str">
        <f aca="false">IF(K75&gt;0,O75/K75,"")</f>
        <v/>
      </c>
      <c r="S75" s="34" t="str">
        <f aca="false">IF(D75+E75+F75+G75&gt;0,(D75+E75)/(D75+E75+F75+G75),"")</f>
        <v/>
      </c>
      <c r="T75" s="33" t="n">
        <f aca="false">D75*(P1_PVP-P1_CPROD)+E75*(P2_PVP-P2_CPROD)-IF(ISNUMBER(I75),I75,D75*P1_LOG+E75*P2_LOG)</f>
        <v>0</v>
      </c>
      <c r="U75" s="33" t="n">
        <f aca="false">T75-(D75*P1_IVAN+E75*P2_IVAN)-(F75+G75)*(COSTE_DEV-IVA_DEV)-AH75-AJ75</f>
        <v>0</v>
      </c>
      <c r="V75" s="33" t="n">
        <f aca="false">AC75-AD75-AE75-AF75-AG75-AH75-AJ75</f>
        <v>0</v>
      </c>
      <c r="X75" s="58" t="n">
        <f aca="false">MAX(0,B75-D75-F75)</f>
        <v>0</v>
      </c>
      <c r="Y75" s="58" t="n">
        <f aca="false">MAX(0,C75-E75-G75)</f>
        <v>0</v>
      </c>
      <c r="Z75" s="59" t="n">
        <f aca="false">D75+X75*TASA_USADA</f>
        <v>0</v>
      </c>
      <c r="AA75" s="59" t="n">
        <f aca="false">E75+Y75*TASA_USADA</f>
        <v>0</v>
      </c>
      <c r="AB75" s="59" t="n">
        <f aca="false">F75+G75+(X75+Y75)*(1-TASA_USADA)</f>
        <v>0</v>
      </c>
      <c r="AC75" s="60" t="n">
        <f aca="false">Z75*P1_PVP+AA75*P2_PVP</f>
        <v>0</v>
      </c>
      <c r="AD75" s="60" t="n">
        <f aca="false">Z75*P1_CPROD+AA75*P2_CPROD</f>
        <v>0</v>
      </c>
      <c r="AE75" s="60" t="n">
        <f aca="false">IF(ISNUMBER(I75),I75,D75*P1_LOG+E75*P2_LOG)+IF(ISNUMBER(J75),J75,X75*P1_LOG+Y75*P2_LOG)*TASA_USADA</f>
        <v>0</v>
      </c>
      <c r="AF75" s="60" t="n">
        <f aca="false">AB75*COSTE_DEV</f>
        <v>0</v>
      </c>
      <c r="AG75" s="60" t="n">
        <f aca="false">Z75*P1_IVAN+AA75*P2_IVAN-AB75*IVA_DEV</f>
        <v>0</v>
      </c>
      <c r="AH75" s="60" t="n">
        <f aca="false">K75*(1+RECARGO_ADS)</f>
        <v>0</v>
      </c>
      <c r="AI75" s="58" t="n">
        <f aca="false">IF(ISNUMBER(I75),D75+E75+X75+Y75,0)</f>
        <v>0</v>
      </c>
      <c r="AJ75" s="60" t="n">
        <f aca="false">M75*COMISION</f>
        <v>0</v>
      </c>
    </row>
    <row r="76" customFormat="false" ht="15" hidden="false" customHeight="false" outlineLevel="0" collapsed="false">
      <c r="A76" s="53" t="n">
        <v>46370</v>
      </c>
      <c r="B76" s="54"/>
      <c r="C76" s="54"/>
      <c r="D76" s="54"/>
      <c r="E76" s="54"/>
      <c r="F76" s="54"/>
      <c r="G76" s="54"/>
      <c r="H76" s="54"/>
      <c r="I76" s="55"/>
      <c r="J76" s="55"/>
      <c r="K76" s="55"/>
      <c r="L76" s="56"/>
      <c r="M76" s="31" t="n">
        <f aca="false">B76+C76</f>
        <v>0</v>
      </c>
      <c r="N76" s="31" t="n">
        <f aca="false">X76+Y76</f>
        <v>0</v>
      </c>
      <c r="O76" s="32" t="n">
        <f aca="false">B76*P1_PVP+C76*P2_PVP</f>
        <v>0</v>
      </c>
      <c r="P76" s="32" t="str">
        <f aca="false">IF(M76&gt;0,O76/M76,"")</f>
        <v/>
      </c>
      <c r="Q76" s="32" t="str">
        <f aca="false">IF(M76&gt;0,K76/M76,"")</f>
        <v/>
      </c>
      <c r="R76" s="57" t="str">
        <f aca="false">IF(K76&gt;0,O76/K76,"")</f>
        <v/>
      </c>
      <c r="S76" s="34" t="str">
        <f aca="false">IF(D76+E76+F76+G76&gt;0,(D76+E76)/(D76+E76+F76+G76),"")</f>
        <v/>
      </c>
      <c r="T76" s="33" t="n">
        <f aca="false">D76*(P1_PVP-P1_CPROD)+E76*(P2_PVP-P2_CPROD)-IF(ISNUMBER(I76),I76,D76*P1_LOG+E76*P2_LOG)</f>
        <v>0</v>
      </c>
      <c r="U76" s="33" t="n">
        <f aca="false">T76-(D76*P1_IVAN+E76*P2_IVAN)-(F76+G76)*(COSTE_DEV-IVA_DEV)-AH76-AJ76</f>
        <v>0</v>
      </c>
      <c r="V76" s="33" t="n">
        <f aca="false">AC76-AD76-AE76-AF76-AG76-AH76-AJ76</f>
        <v>0</v>
      </c>
      <c r="X76" s="58" t="n">
        <f aca="false">MAX(0,B76-D76-F76)</f>
        <v>0</v>
      </c>
      <c r="Y76" s="58" t="n">
        <f aca="false">MAX(0,C76-E76-G76)</f>
        <v>0</v>
      </c>
      <c r="Z76" s="59" t="n">
        <f aca="false">D76+X76*TASA_USADA</f>
        <v>0</v>
      </c>
      <c r="AA76" s="59" t="n">
        <f aca="false">E76+Y76*TASA_USADA</f>
        <v>0</v>
      </c>
      <c r="AB76" s="59" t="n">
        <f aca="false">F76+G76+(X76+Y76)*(1-TASA_USADA)</f>
        <v>0</v>
      </c>
      <c r="AC76" s="60" t="n">
        <f aca="false">Z76*P1_PVP+AA76*P2_PVP</f>
        <v>0</v>
      </c>
      <c r="AD76" s="60" t="n">
        <f aca="false">Z76*P1_CPROD+AA76*P2_CPROD</f>
        <v>0</v>
      </c>
      <c r="AE76" s="60" t="n">
        <f aca="false">IF(ISNUMBER(I76),I76,D76*P1_LOG+E76*P2_LOG)+IF(ISNUMBER(J76),J76,X76*P1_LOG+Y76*P2_LOG)*TASA_USADA</f>
        <v>0</v>
      </c>
      <c r="AF76" s="60" t="n">
        <f aca="false">AB76*COSTE_DEV</f>
        <v>0</v>
      </c>
      <c r="AG76" s="60" t="n">
        <f aca="false">Z76*P1_IVAN+AA76*P2_IVAN-AB76*IVA_DEV</f>
        <v>0</v>
      </c>
      <c r="AH76" s="60" t="n">
        <f aca="false">K76*(1+RECARGO_ADS)</f>
        <v>0</v>
      </c>
      <c r="AI76" s="58" t="n">
        <f aca="false">IF(ISNUMBER(I76),D76+E76+X76+Y76,0)</f>
        <v>0</v>
      </c>
      <c r="AJ76" s="60" t="n">
        <f aca="false">M76*COMISION</f>
        <v>0</v>
      </c>
    </row>
    <row r="77" customFormat="false" ht="15" hidden="false" customHeight="false" outlineLevel="0" collapsed="false">
      <c r="A77" s="53" t="n">
        <v>46371</v>
      </c>
      <c r="B77" s="54"/>
      <c r="C77" s="54"/>
      <c r="D77" s="54"/>
      <c r="E77" s="54"/>
      <c r="F77" s="54"/>
      <c r="G77" s="54"/>
      <c r="H77" s="54"/>
      <c r="I77" s="55"/>
      <c r="J77" s="55"/>
      <c r="K77" s="55"/>
      <c r="L77" s="56"/>
      <c r="M77" s="31" t="n">
        <f aca="false">B77+C77</f>
        <v>0</v>
      </c>
      <c r="N77" s="31" t="n">
        <f aca="false">X77+Y77</f>
        <v>0</v>
      </c>
      <c r="O77" s="32" t="n">
        <f aca="false">B77*P1_PVP+C77*P2_PVP</f>
        <v>0</v>
      </c>
      <c r="P77" s="32" t="str">
        <f aca="false">IF(M77&gt;0,O77/M77,"")</f>
        <v/>
      </c>
      <c r="Q77" s="32" t="str">
        <f aca="false">IF(M77&gt;0,K77/M77,"")</f>
        <v/>
      </c>
      <c r="R77" s="57" t="str">
        <f aca="false">IF(K77&gt;0,O77/K77,"")</f>
        <v/>
      </c>
      <c r="S77" s="34" t="str">
        <f aca="false">IF(D77+E77+F77+G77&gt;0,(D77+E77)/(D77+E77+F77+G77),"")</f>
        <v/>
      </c>
      <c r="T77" s="33" t="n">
        <f aca="false">D77*(P1_PVP-P1_CPROD)+E77*(P2_PVP-P2_CPROD)-IF(ISNUMBER(I77),I77,D77*P1_LOG+E77*P2_LOG)</f>
        <v>0</v>
      </c>
      <c r="U77" s="33" t="n">
        <f aca="false">T77-(D77*P1_IVAN+E77*P2_IVAN)-(F77+G77)*(COSTE_DEV-IVA_DEV)-AH77-AJ77</f>
        <v>0</v>
      </c>
      <c r="V77" s="33" t="n">
        <f aca="false">AC77-AD77-AE77-AF77-AG77-AH77-AJ77</f>
        <v>0</v>
      </c>
      <c r="X77" s="58" t="n">
        <f aca="false">MAX(0,B77-D77-F77)</f>
        <v>0</v>
      </c>
      <c r="Y77" s="58" t="n">
        <f aca="false">MAX(0,C77-E77-G77)</f>
        <v>0</v>
      </c>
      <c r="Z77" s="59" t="n">
        <f aca="false">D77+X77*TASA_USADA</f>
        <v>0</v>
      </c>
      <c r="AA77" s="59" t="n">
        <f aca="false">E77+Y77*TASA_USADA</f>
        <v>0</v>
      </c>
      <c r="AB77" s="59" t="n">
        <f aca="false">F77+G77+(X77+Y77)*(1-TASA_USADA)</f>
        <v>0</v>
      </c>
      <c r="AC77" s="60" t="n">
        <f aca="false">Z77*P1_PVP+AA77*P2_PVP</f>
        <v>0</v>
      </c>
      <c r="AD77" s="60" t="n">
        <f aca="false">Z77*P1_CPROD+AA77*P2_CPROD</f>
        <v>0</v>
      </c>
      <c r="AE77" s="60" t="n">
        <f aca="false">IF(ISNUMBER(I77),I77,D77*P1_LOG+E77*P2_LOG)+IF(ISNUMBER(J77),J77,X77*P1_LOG+Y77*P2_LOG)*TASA_USADA</f>
        <v>0</v>
      </c>
      <c r="AF77" s="60" t="n">
        <f aca="false">AB77*COSTE_DEV</f>
        <v>0</v>
      </c>
      <c r="AG77" s="60" t="n">
        <f aca="false">Z77*P1_IVAN+AA77*P2_IVAN-AB77*IVA_DEV</f>
        <v>0</v>
      </c>
      <c r="AH77" s="60" t="n">
        <f aca="false">K77*(1+RECARGO_ADS)</f>
        <v>0</v>
      </c>
      <c r="AI77" s="58" t="n">
        <f aca="false">IF(ISNUMBER(I77),D77+E77+X77+Y77,0)</f>
        <v>0</v>
      </c>
      <c r="AJ77" s="60" t="n">
        <f aca="false">M77*COMISION</f>
        <v>0</v>
      </c>
    </row>
    <row r="78" customFormat="false" ht="15" hidden="false" customHeight="false" outlineLevel="0" collapsed="false">
      <c r="A78" s="53" t="n">
        <v>46372</v>
      </c>
      <c r="B78" s="54"/>
      <c r="C78" s="54"/>
      <c r="D78" s="54"/>
      <c r="E78" s="54"/>
      <c r="F78" s="54"/>
      <c r="G78" s="54"/>
      <c r="H78" s="54"/>
      <c r="I78" s="55"/>
      <c r="J78" s="55"/>
      <c r="K78" s="55"/>
      <c r="L78" s="56"/>
      <c r="M78" s="31" t="n">
        <f aca="false">B78+C78</f>
        <v>0</v>
      </c>
      <c r="N78" s="31" t="n">
        <f aca="false">X78+Y78</f>
        <v>0</v>
      </c>
      <c r="O78" s="32" t="n">
        <f aca="false">B78*P1_PVP+C78*P2_PVP</f>
        <v>0</v>
      </c>
      <c r="P78" s="32" t="str">
        <f aca="false">IF(M78&gt;0,O78/M78,"")</f>
        <v/>
      </c>
      <c r="Q78" s="32" t="str">
        <f aca="false">IF(M78&gt;0,K78/M78,"")</f>
        <v/>
      </c>
      <c r="R78" s="57" t="str">
        <f aca="false">IF(K78&gt;0,O78/K78,"")</f>
        <v/>
      </c>
      <c r="S78" s="34" t="str">
        <f aca="false">IF(D78+E78+F78+G78&gt;0,(D78+E78)/(D78+E78+F78+G78),"")</f>
        <v/>
      </c>
      <c r="T78" s="33" t="n">
        <f aca="false">D78*(P1_PVP-P1_CPROD)+E78*(P2_PVP-P2_CPROD)-IF(ISNUMBER(I78),I78,D78*P1_LOG+E78*P2_LOG)</f>
        <v>0</v>
      </c>
      <c r="U78" s="33" t="n">
        <f aca="false">T78-(D78*P1_IVAN+E78*P2_IVAN)-(F78+G78)*(COSTE_DEV-IVA_DEV)-AH78-AJ78</f>
        <v>0</v>
      </c>
      <c r="V78" s="33" t="n">
        <f aca="false">AC78-AD78-AE78-AF78-AG78-AH78-AJ78</f>
        <v>0</v>
      </c>
      <c r="X78" s="58" t="n">
        <f aca="false">MAX(0,B78-D78-F78)</f>
        <v>0</v>
      </c>
      <c r="Y78" s="58" t="n">
        <f aca="false">MAX(0,C78-E78-G78)</f>
        <v>0</v>
      </c>
      <c r="Z78" s="59" t="n">
        <f aca="false">D78+X78*TASA_USADA</f>
        <v>0</v>
      </c>
      <c r="AA78" s="59" t="n">
        <f aca="false">E78+Y78*TASA_USADA</f>
        <v>0</v>
      </c>
      <c r="AB78" s="59" t="n">
        <f aca="false">F78+G78+(X78+Y78)*(1-TASA_USADA)</f>
        <v>0</v>
      </c>
      <c r="AC78" s="60" t="n">
        <f aca="false">Z78*P1_PVP+AA78*P2_PVP</f>
        <v>0</v>
      </c>
      <c r="AD78" s="60" t="n">
        <f aca="false">Z78*P1_CPROD+AA78*P2_CPROD</f>
        <v>0</v>
      </c>
      <c r="AE78" s="60" t="n">
        <f aca="false">IF(ISNUMBER(I78),I78,D78*P1_LOG+E78*P2_LOG)+IF(ISNUMBER(J78),J78,X78*P1_LOG+Y78*P2_LOG)*TASA_USADA</f>
        <v>0</v>
      </c>
      <c r="AF78" s="60" t="n">
        <f aca="false">AB78*COSTE_DEV</f>
        <v>0</v>
      </c>
      <c r="AG78" s="60" t="n">
        <f aca="false">Z78*P1_IVAN+AA78*P2_IVAN-AB78*IVA_DEV</f>
        <v>0</v>
      </c>
      <c r="AH78" s="60" t="n">
        <f aca="false">K78*(1+RECARGO_ADS)</f>
        <v>0</v>
      </c>
      <c r="AI78" s="58" t="n">
        <f aca="false">IF(ISNUMBER(I78),D78+E78+X78+Y78,0)</f>
        <v>0</v>
      </c>
      <c r="AJ78" s="60" t="n">
        <f aca="false">M78*COMISION</f>
        <v>0</v>
      </c>
    </row>
    <row r="79" customFormat="false" ht="15" hidden="false" customHeight="false" outlineLevel="0" collapsed="false">
      <c r="A79" s="53" t="n">
        <v>46373</v>
      </c>
      <c r="B79" s="54"/>
      <c r="C79" s="54"/>
      <c r="D79" s="54"/>
      <c r="E79" s="54"/>
      <c r="F79" s="54"/>
      <c r="G79" s="54"/>
      <c r="H79" s="54"/>
      <c r="I79" s="55"/>
      <c r="J79" s="55"/>
      <c r="K79" s="55"/>
      <c r="L79" s="56"/>
      <c r="M79" s="31" t="n">
        <f aca="false">B79+C79</f>
        <v>0</v>
      </c>
      <c r="N79" s="31" t="n">
        <f aca="false">X79+Y79</f>
        <v>0</v>
      </c>
      <c r="O79" s="32" t="n">
        <f aca="false">B79*P1_PVP+C79*P2_PVP</f>
        <v>0</v>
      </c>
      <c r="P79" s="32" t="str">
        <f aca="false">IF(M79&gt;0,O79/M79,"")</f>
        <v/>
      </c>
      <c r="Q79" s="32" t="str">
        <f aca="false">IF(M79&gt;0,K79/M79,"")</f>
        <v/>
      </c>
      <c r="R79" s="57" t="str">
        <f aca="false">IF(K79&gt;0,O79/K79,"")</f>
        <v/>
      </c>
      <c r="S79" s="34" t="str">
        <f aca="false">IF(D79+E79+F79+G79&gt;0,(D79+E79)/(D79+E79+F79+G79),"")</f>
        <v/>
      </c>
      <c r="T79" s="33" t="n">
        <f aca="false">D79*(P1_PVP-P1_CPROD)+E79*(P2_PVP-P2_CPROD)-IF(ISNUMBER(I79),I79,D79*P1_LOG+E79*P2_LOG)</f>
        <v>0</v>
      </c>
      <c r="U79" s="33" t="n">
        <f aca="false">T79-(D79*P1_IVAN+E79*P2_IVAN)-(F79+G79)*(COSTE_DEV-IVA_DEV)-AH79-AJ79</f>
        <v>0</v>
      </c>
      <c r="V79" s="33" t="n">
        <f aca="false">AC79-AD79-AE79-AF79-AG79-AH79-AJ79</f>
        <v>0</v>
      </c>
      <c r="X79" s="58" t="n">
        <f aca="false">MAX(0,B79-D79-F79)</f>
        <v>0</v>
      </c>
      <c r="Y79" s="58" t="n">
        <f aca="false">MAX(0,C79-E79-G79)</f>
        <v>0</v>
      </c>
      <c r="Z79" s="59" t="n">
        <f aca="false">D79+X79*TASA_USADA</f>
        <v>0</v>
      </c>
      <c r="AA79" s="59" t="n">
        <f aca="false">E79+Y79*TASA_USADA</f>
        <v>0</v>
      </c>
      <c r="AB79" s="59" t="n">
        <f aca="false">F79+G79+(X79+Y79)*(1-TASA_USADA)</f>
        <v>0</v>
      </c>
      <c r="AC79" s="60" t="n">
        <f aca="false">Z79*P1_PVP+AA79*P2_PVP</f>
        <v>0</v>
      </c>
      <c r="AD79" s="60" t="n">
        <f aca="false">Z79*P1_CPROD+AA79*P2_CPROD</f>
        <v>0</v>
      </c>
      <c r="AE79" s="60" t="n">
        <f aca="false">IF(ISNUMBER(I79),I79,D79*P1_LOG+E79*P2_LOG)+IF(ISNUMBER(J79),J79,X79*P1_LOG+Y79*P2_LOG)*TASA_USADA</f>
        <v>0</v>
      </c>
      <c r="AF79" s="60" t="n">
        <f aca="false">AB79*COSTE_DEV</f>
        <v>0</v>
      </c>
      <c r="AG79" s="60" t="n">
        <f aca="false">Z79*P1_IVAN+AA79*P2_IVAN-AB79*IVA_DEV</f>
        <v>0</v>
      </c>
      <c r="AH79" s="60" t="n">
        <f aca="false">K79*(1+RECARGO_ADS)</f>
        <v>0</v>
      </c>
      <c r="AI79" s="58" t="n">
        <f aca="false">IF(ISNUMBER(I79),D79+E79+X79+Y79,0)</f>
        <v>0</v>
      </c>
      <c r="AJ79" s="60" t="n">
        <f aca="false">M79*COMISION</f>
        <v>0</v>
      </c>
    </row>
    <row r="80" customFormat="false" ht="15" hidden="false" customHeight="false" outlineLevel="0" collapsed="false">
      <c r="A80" s="53" t="n">
        <v>46374</v>
      </c>
      <c r="B80" s="54"/>
      <c r="C80" s="54"/>
      <c r="D80" s="54"/>
      <c r="E80" s="54"/>
      <c r="F80" s="54"/>
      <c r="G80" s="54"/>
      <c r="H80" s="54"/>
      <c r="I80" s="55"/>
      <c r="J80" s="55"/>
      <c r="K80" s="55"/>
      <c r="L80" s="56"/>
      <c r="M80" s="31" t="n">
        <f aca="false">B80+C80</f>
        <v>0</v>
      </c>
      <c r="N80" s="31" t="n">
        <f aca="false">X80+Y80</f>
        <v>0</v>
      </c>
      <c r="O80" s="32" t="n">
        <f aca="false">B80*P1_PVP+C80*P2_PVP</f>
        <v>0</v>
      </c>
      <c r="P80" s="32" t="str">
        <f aca="false">IF(M80&gt;0,O80/M80,"")</f>
        <v/>
      </c>
      <c r="Q80" s="32" t="str">
        <f aca="false">IF(M80&gt;0,K80/M80,"")</f>
        <v/>
      </c>
      <c r="R80" s="57" t="str">
        <f aca="false">IF(K80&gt;0,O80/K80,"")</f>
        <v/>
      </c>
      <c r="S80" s="34" t="str">
        <f aca="false">IF(D80+E80+F80+G80&gt;0,(D80+E80)/(D80+E80+F80+G80),"")</f>
        <v/>
      </c>
      <c r="T80" s="33" t="n">
        <f aca="false">D80*(P1_PVP-P1_CPROD)+E80*(P2_PVP-P2_CPROD)-IF(ISNUMBER(I80),I80,D80*P1_LOG+E80*P2_LOG)</f>
        <v>0</v>
      </c>
      <c r="U80" s="33" t="n">
        <f aca="false">T80-(D80*P1_IVAN+E80*P2_IVAN)-(F80+G80)*(COSTE_DEV-IVA_DEV)-AH80-AJ80</f>
        <v>0</v>
      </c>
      <c r="V80" s="33" t="n">
        <f aca="false">AC80-AD80-AE80-AF80-AG80-AH80-AJ80</f>
        <v>0</v>
      </c>
      <c r="X80" s="58" t="n">
        <f aca="false">MAX(0,B80-D80-F80)</f>
        <v>0</v>
      </c>
      <c r="Y80" s="58" t="n">
        <f aca="false">MAX(0,C80-E80-G80)</f>
        <v>0</v>
      </c>
      <c r="Z80" s="59" t="n">
        <f aca="false">D80+X80*TASA_USADA</f>
        <v>0</v>
      </c>
      <c r="AA80" s="59" t="n">
        <f aca="false">E80+Y80*TASA_USADA</f>
        <v>0</v>
      </c>
      <c r="AB80" s="59" t="n">
        <f aca="false">F80+G80+(X80+Y80)*(1-TASA_USADA)</f>
        <v>0</v>
      </c>
      <c r="AC80" s="60" t="n">
        <f aca="false">Z80*P1_PVP+AA80*P2_PVP</f>
        <v>0</v>
      </c>
      <c r="AD80" s="60" t="n">
        <f aca="false">Z80*P1_CPROD+AA80*P2_CPROD</f>
        <v>0</v>
      </c>
      <c r="AE80" s="60" t="n">
        <f aca="false">IF(ISNUMBER(I80),I80,D80*P1_LOG+E80*P2_LOG)+IF(ISNUMBER(J80),J80,X80*P1_LOG+Y80*P2_LOG)*TASA_USADA</f>
        <v>0</v>
      </c>
      <c r="AF80" s="60" t="n">
        <f aca="false">AB80*COSTE_DEV</f>
        <v>0</v>
      </c>
      <c r="AG80" s="60" t="n">
        <f aca="false">Z80*P1_IVAN+AA80*P2_IVAN-AB80*IVA_DEV</f>
        <v>0</v>
      </c>
      <c r="AH80" s="60" t="n">
        <f aca="false">K80*(1+RECARGO_ADS)</f>
        <v>0</v>
      </c>
      <c r="AI80" s="58" t="n">
        <f aca="false">IF(ISNUMBER(I80),D80+E80+X80+Y80,0)</f>
        <v>0</v>
      </c>
      <c r="AJ80" s="60" t="n">
        <f aca="false">M80*COMISION</f>
        <v>0</v>
      </c>
    </row>
    <row r="81" customFormat="false" ht="15" hidden="false" customHeight="false" outlineLevel="0" collapsed="false">
      <c r="A81" s="53" t="n">
        <v>46375</v>
      </c>
      <c r="B81" s="54"/>
      <c r="C81" s="54"/>
      <c r="D81" s="54"/>
      <c r="E81" s="54"/>
      <c r="F81" s="54"/>
      <c r="G81" s="54"/>
      <c r="H81" s="54"/>
      <c r="I81" s="55"/>
      <c r="J81" s="55"/>
      <c r="K81" s="55"/>
      <c r="L81" s="56"/>
      <c r="M81" s="31" t="n">
        <f aca="false">B81+C81</f>
        <v>0</v>
      </c>
      <c r="N81" s="31" t="n">
        <f aca="false">X81+Y81</f>
        <v>0</v>
      </c>
      <c r="O81" s="32" t="n">
        <f aca="false">B81*P1_PVP+C81*P2_PVP</f>
        <v>0</v>
      </c>
      <c r="P81" s="32" t="str">
        <f aca="false">IF(M81&gt;0,O81/M81,"")</f>
        <v/>
      </c>
      <c r="Q81" s="32" t="str">
        <f aca="false">IF(M81&gt;0,K81/M81,"")</f>
        <v/>
      </c>
      <c r="R81" s="57" t="str">
        <f aca="false">IF(K81&gt;0,O81/K81,"")</f>
        <v/>
      </c>
      <c r="S81" s="34" t="str">
        <f aca="false">IF(D81+E81+F81+G81&gt;0,(D81+E81)/(D81+E81+F81+G81),"")</f>
        <v/>
      </c>
      <c r="T81" s="33" t="n">
        <f aca="false">D81*(P1_PVP-P1_CPROD)+E81*(P2_PVP-P2_CPROD)-IF(ISNUMBER(I81),I81,D81*P1_LOG+E81*P2_LOG)</f>
        <v>0</v>
      </c>
      <c r="U81" s="33" t="n">
        <f aca="false">T81-(D81*P1_IVAN+E81*P2_IVAN)-(F81+G81)*(COSTE_DEV-IVA_DEV)-AH81-AJ81</f>
        <v>0</v>
      </c>
      <c r="V81" s="33" t="n">
        <f aca="false">AC81-AD81-AE81-AF81-AG81-AH81-AJ81</f>
        <v>0</v>
      </c>
      <c r="X81" s="58" t="n">
        <f aca="false">MAX(0,B81-D81-F81)</f>
        <v>0</v>
      </c>
      <c r="Y81" s="58" t="n">
        <f aca="false">MAX(0,C81-E81-G81)</f>
        <v>0</v>
      </c>
      <c r="Z81" s="59" t="n">
        <f aca="false">D81+X81*TASA_USADA</f>
        <v>0</v>
      </c>
      <c r="AA81" s="59" t="n">
        <f aca="false">E81+Y81*TASA_USADA</f>
        <v>0</v>
      </c>
      <c r="AB81" s="59" t="n">
        <f aca="false">F81+G81+(X81+Y81)*(1-TASA_USADA)</f>
        <v>0</v>
      </c>
      <c r="AC81" s="60" t="n">
        <f aca="false">Z81*P1_PVP+AA81*P2_PVP</f>
        <v>0</v>
      </c>
      <c r="AD81" s="60" t="n">
        <f aca="false">Z81*P1_CPROD+AA81*P2_CPROD</f>
        <v>0</v>
      </c>
      <c r="AE81" s="60" t="n">
        <f aca="false">IF(ISNUMBER(I81),I81,D81*P1_LOG+E81*P2_LOG)+IF(ISNUMBER(J81),J81,X81*P1_LOG+Y81*P2_LOG)*TASA_USADA</f>
        <v>0</v>
      </c>
      <c r="AF81" s="60" t="n">
        <f aca="false">AB81*COSTE_DEV</f>
        <v>0</v>
      </c>
      <c r="AG81" s="60" t="n">
        <f aca="false">Z81*P1_IVAN+AA81*P2_IVAN-AB81*IVA_DEV</f>
        <v>0</v>
      </c>
      <c r="AH81" s="60" t="n">
        <f aca="false">K81*(1+RECARGO_ADS)</f>
        <v>0</v>
      </c>
      <c r="AI81" s="58" t="n">
        <f aca="false">IF(ISNUMBER(I81),D81+E81+X81+Y81,0)</f>
        <v>0</v>
      </c>
      <c r="AJ81" s="60" t="n">
        <f aca="false">M81*COMISION</f>
        <v>0</v>
      </c>
    </row>
    <row r="82" customFormat="false" ht="15" hidden="false" customHeight="false" outlineLevel="0" collapsed="false">
      <c r="A82" s="53" t="n">
        <v>46376</v>
      </c>
      <c r="B82" s="54"/>
      <c r="C82" s="54"/>
      <c r="D82" s="54"/>
      <c r="E82" s="54"/>
      <c r="F82" s="54"/>
      <c r="G82" s="54"/>
      <c r="H82" s="54"/>
      <c r="I82" s="55"/>
      <c r="J82" s="55"/>
      <c r="K82" s="55"/>
      <c r="L82" s="56"/>
      <c r="M82" s="31" t="n">
        <f aca="false">B82+C82</f>
        <v>0</v>
      </c>
      <c r="N82" s="31" t="n">
        <f aca="false">X82+Y82</f>
        <v>0</v>
      </c>
      <c r="O82" s="32" t="n">
        <f aca="false">B82*P1_PVP+C82*P2_PVP</f>
        <v>0</v>
      </c>
      <c r="P82" s="32" t="str">
        <f aca="false">IF(M82&gt;0,O82/M82,"")</f>
        <v/>
      </c>
      <c r="Q82" s="32" t="str">
        <f aca="false">IF(M82&gt;0,K82/M82,"")</f>
        <v/>
      </c>
      <c r="R82" s="57" t="str">
        <f aca="false">IF(K82&gt;0,O82/K82,"")</f>
        <v/>
      </c>
      <c r="S82" s="34" t="str">
        <f aca="false">IF(D82+E82+F82+G82&gt;0,(D82+E82)/(D82+E82+F82+G82),"")</f>
        <v/>
      </c>
      <c r="T82" s="33" t="n">
        <f aca="false">D82*(P1_PVP-P1_CPROD)+E82*(P2_PVP-P2_CPROD)-IF(ISNUMBER(I82),I82,D82*P1_LOG+E82*P2_LOG)</f>
        <v>0</v>
      </c>
      <c r="U82" s="33" t="n">
        <f aca="false">T82-(D82*P1_IVAN+E82*P2_IVAN)-(F82+G82)*(COSTE_DEV-IVA_DEV)-AH82-AJ82</f>
        <v>0</v>
      </c>
      <c r="V82" s="33" t="n">
        <f aca="false">AC82-AD82-AE82-AF82-AG82-AH82-AJ82</f>
        <v>0</v>
      </c>
      <c r="X82" s="58" t="n">
        <f aca="false">MAX(0,B82-D82-F82)</f>
        <v>0</v>
      </c>
      <c r="Y82" s="58" t="n">
        <f aca="false">MAX(0,C82-E82-G82)</f>
        <v>0</v>
      </c>
      <c r="Z82" s="59" t="n">
        <f aca="false">D82+X82*TASA_USADA</f>
        <v>0</v>
      </c>
      <c r="AA82" s="59" t="n">
        <f aca="false">E82+Y82*TASA_USADA</f>
        <v>0</v>
      </c>
      <c r="AB82" s="59" t="n">
        <f aca="false">F82+G82+(X82+Y82)*(1-TASA_USADA)</f>
        <v>0</v>
      </c>
      <c r="AC82" s="60" t="n">
        <f aca="false">Z82*P1_PVP+AA82*P2_PVP</f>
        <v>0</v>
      </c>
      <c r="AD82" s="60" t="n">
        <f aca="false">Z82*P1_CPROD+AA82*P2_CPROD</f>
        <v>0</v>
      </c>
      <c r="AE82" s="60" t="n">
        <f aca="false">IF(ISNUMBER(I82),I82,D82*P1_LOG+E82*P2_LOG)+IF(ISNUMBER(J82),J82,X82*P1_LOG+Y82*P2_LOG)*TASA_USADA</f>
        <v>0</v>
      </c>
      <c r="AF82" s="60" t="n">
        <f aca="false">AB82*COSTE_DEV</f>
        <v>0</v>
      </c>
      <c r="AG82" s="60" t="n">
        <f aca="false">Z82*P1_IVAN+AA82*P2_IVAN-AB82*IVA_DEV</f>
        <v>0</v>
      </c>
      <c r="AH82" s="60" t="n">
        <f aca="false">K82*(1+RECARGO_ADS)</f>
        <v>0</v>
      </c>
      <c r="AI82" s="58" t="n">
        <f aca="false">IF(ISNUMBER(I82),D82+E82+X82+Y82,0)</f>
        <v>0</v>
      </c>
      <c r="AJ82" s="60" t="n">
        <f aca="false">M82*COMISION</f>
        <v>0</v>
      </c>
    </row>
    <row r="83" customFormat="false" ht="15" hidden="false" customHeight="false" outlineLevel="0" collapsed="false">
      <c r="A83" s="53" t="n">
        <v>46377</v>
      </c>
      <c r="B83" s="54"/>
      <c r="C83" s="54"/>
      <c r="D83" s="54"/>
      <c r="E83" s="54"/>
      <c r="F83" s="54"/>
      <c r="G83" s="54"/>
      <c r="H83" s="54"/>
      <c r="I83" s="55"/>
      <c r="J83" s="55"/>
      <c r="K83" s="55"/>
      <c r="L83" s="56"/>
      <c r="M83" s="31" t="n">
        <f aca="false">B83+C83</f>
        <v>0</v>
      </c>
      <c r="N83" s="31" t="n">
        <f aca="false">X83+Y83</f>
        <v>0</v>
      </c>
      <c r="O83" s="32" t="n">
        <f aca="false">B83*P1_PVP+C83*P2_PVP</f>
        <v>0</v>
      </c>
      <c r="P83" s="32" t="str">
        <f aca="false">IF(M83&gt;0,O83/M83,"")</f>
        <v/>
      </c>
      <c r="Q83" s="32" t="str">
        <f aca="false">IF(M83&gt;0,K83/M83,"")</f>
        <v/>
      </c>
      <c r="R83" s="57" t="str">
        <f aca="false">IF(K83&gt;0,O83/K83,"")</f>
        <v/>
      </c>
      <c r="S83" s="34" t="str">
        <f aca="false">IF(D83+E83+F83+G83&gt;0,(D83+E83)/(D83+E83+F83+G83),"")</f>
        <v/>
      </c>
      <c r="T83" s="33" t="n">
        <f aca="false">D83*(P1_PVP-P1_CPROD)+E83*(P2_PVP-P2_CPROD)-IF(ISNUMBER(I83),I83,D83*P1_LOG+E83*P2_LOG)</f>
        <v>0</v>
      </c>
      <c r="U83" s="33" t="n">
        <f aca="false">T83-(D83*P1_IVAN+E83*P2_IVAN)-(F83+G83)*(COSTE_DEV-IVA_DEV)-AH83-AJ83</f>
        <v>0</v>
      </c>
      <c r="V83" s="33" t="n">
        <f aca="false">AC83-AD83-AE83-AF83-AG83-AH83-AJ83</f>
        <v>0</v>
      </c>
      <c r="X83" s="58" t="n">
        <f aca="false">MAX(0,B83-D83-F83)</f>
        <v>0</v>
      </c>
      <c r="Y83" s="58" t="n">
        <f aca="false">MAX(0,C83-E83-G83)</f>
        <v>0</v>
      </c>
      <c r="Z83" s="59" t="n">
        <f aca="false">D83+X83*TASA_USADA</f>
        <v>0</v>
      </c>
      <c r="AA83" s="59" t="n">
        <f aca="false">E83+Y83*TASA_USADA</f>
        <v>0</v>
      </c>
      <c r="AB83" s="59" t="n">
        <f aca="false">F83+G83+(X83+Y83)*(1-TASA_USADA)</f>
        <v>0</v>
      </c>
      <c r="AC83" s="60" t="n">
        <f aca="false">Z83*P1_PVP+AA83*P2_PVP</f>
        <v>0</v>
      </c>
      <c r="AD83" s="60" t="n">
        <f aca="false">Z83*P1_CPROD+AA83*P2_CPROD</f>
        <v>0</v>
      </c>
      <c r="AE83" s="60" t="n">
        <f aca="false">IF(ISNUMBER(I83),I83,D83*P1_LOG+E83*P2_LOG)+IF(ISNUMBER(J83),J83,X83*P1_LOG+Y83*P2_LOG)*TASA_USADA</f>
        <v>0</v>
      </c>
      <c r="AF83" s="60" t="n">
        <f aca="false">AB83*COSTE_DEV</f>
        <v>0</v>
      </c>
      <c r="AG83" s="60" t="n">
        <f aca="false">Z83*P1_IVAN+AA83*P2_IVAN-AB83*IVA_DEV</f>
        <v>0</v>
      </c>
      <c r="AH83" s="60" t="n">
        <f aca="false">K83*(1+RECARGO_ADS)</f>
        <v>0</v>
      </c>
      <c r="AI83" s="58" t="n">
        <f aca="false">IF(ISNUMBER(I83),D83+E83+X83+Y83,0)</f>
        <v>0</v>
      </c>
      <c r="AJ83" s="60" t="n">
        <f aca="false">M83*COMISION</f>
        <v>0</v>
      </c>
    </row>
    <row r="84" customFormat="false" ht="15" hidden="false" customHeight="false" outlineLevel="0" collapsed="false">
      <c r="A84" s="53" t="n">
        <v>46378</v>
      </c>
      <c r="B84" s="54"/>
      <c r="C84" s="54"/>
      <c r="D84" s="54"/>
      <c r="E84" s="54"/>
      <c r="F84" s="54"/>
      <c r="G84" s="54"/>
      <c r="H84" s="54"/>
      <c r="I84" s="55"/>
      <c r="J84" s="55"/>
      <c r="K84" s="55"/>
      <c r="L84" s="56"/>
      <c r="M84" s="31" t="n">
        <f aca="false">B84+C84</f>
        <v>0</v>
      </c>
      <c r="N84" s="31" t="n">
        <f aca="false">X84+Y84</f>
        <v>0</v>
      </c>
      <c r="O84" s="32" t="n">
        <f aca="false">B84*P1_PVP+C84*P2_PVP</f>
        <v>0</v>
      </c>
      <c r="P84" s="32" t="str">
        <f aca="false">IF(M84&gt;0,O84/M84,"")</f>
        <v/>
      </c>
      <c r="Q84" s="32" t="str">
        <f aca="false">IF(M84&gt;0,K84/M84,"")</f>
        <v/>
      </c>
      <c r="R84" s="57" t="str">
        <f aca="false">IF(K84&gt;0,O84/K84,"")</f>
        <v/>
      </c>
      <c r="S84" s="34" t="str">
        <f aca="false">IF(D84+E84+F84+G84&gt;0,(D84+E84)/(D84+E84+F84+G84),"")</f>
        <v/>
      </c>
      <c r="T84" s="33" t="n">
        <f aca="false">D84*(P1_PVP-P1_CPROD)+E84*(P2_PVP-P2_CPROD)-IF(ISNUMBER(I84),I84,D84*P1_LOG+E84*P2_LOG)</f>
        <v>0</v>
      </c>
      <c r="U84" s="33" t="n">
        <f aca="false">T84-(D84*P1_IVAN+E84*P2_IVAN)-(F84+G84)*(COSTE_DEV-IVA_DEV)-AH84-AJ84</f>
        <v>0</v>
      </c>
      <c r="V84" s="33" t="n">
        <f aca="false">AC84-AD84-AE84-AF84-AG84-AH84-AJ84</f>
        <v>0</v>
      </c>
      <c r="X84" s="58" t="n">
        <f aca="false">MAX(0,B84-D84-F84)</f>
        <v>0</v>
      </c>
      <c r="Y84" s="58" t="n">
        <f aca="false">MAX(0,C84-E84-G84)</f>
        <v>0</v>
      </c>
      <c r="Z84" s="59" t="n">
        <f aca="false">D84+X84*TASA_USADA</f>
        <v>0</v>
      </c>
      <c r="AA84" s="59" t="n">
        <f aca="false">E84+Y84*TASA_USADA</f>
        <v>0</v>
      </c>
      <c r="AB84" s="59" t="n">
        <f aca="false">F84+G84+(X84+Y84)*(1-TASA_USADA)</f>
        <v>0</v>
      </c>
      <c r="AC84" s="60" t="n">
        <f aca="false">Z84*P1_PVP+AA84*P2_PVP</f>
        <v>0</v>
      </c>
      <c r="AD84" s="60" t="n">
        <f aca="false">Z84*P1_CPROD+AA84*P2_CPROD</f>
        <v>0</v>
      </c>
      <c r="AE84" s="60" t="n">
        <f aca="false">IF(ISNUMBER(I84),I84,D84*P1_LOG+E84*P2_LOG)+IF(ISNUMBER(J84),J84,X84*P1_LOG+Y84*P2_LOG)*TASA_USADA</f>
        <v>0</v>
      </c>
      <c r="AF84" s="60" t="n">
        <f aca="false">AB84*COSTE_DEV</f>
        <v>0</v>
      </c>
      <c r="AG84" s="60" t="n">
        <f aca="false">Z84*P1_IVAN+AA84*P2_IVAN-AB84*IVA_DEV</f>
        <v>0</v>
      </c>
      <c r="AH84" s="60" t="n">
        <f aca="false">K84*(1+RECARGO_ADS)</f>
        <v>0</v>
      </c>
      <c r="AI84" s="58" t="n">
        <f aca="false">IF(ISNUMBER(I84),D84+E84+X84+Y84,0)</f>
        <v>0</v>
      </c>
      <c r="AJ84" s="60" t="n">
        <f aca="false">M84*COMISION</f>
        <v>0</v>
      </c>
    </row>
    <row r="85" customFormat="false" ht="15" hidden="false" customHeight="false" outlineLevel="0" collapsed="false">
      <c r="A85" s="53" t="n">
        <v>46379</v>
      </c>
      <c r="B85" s="54"/>
      <c r="C85" s="54"/>
      <c r="D85" s="54"/>
      <c r="E85" s="54"/>
      <c r="F85" s="54"/>
      <c r="G85" s="54"/>
      <c r="H85" s="54"/>
      <c r="I85" s="55"/>
      <c r="J85" s="55"/>
      <c r="K85" s="55"/>
      <c r="L85" s="56"/>
      <c r="M85" s="31" t="n">
        <f aca="false">B85+C85</f>
        <v>0</v>
      </c>
      <c r="N85" s="31" t="n">
        <f aca="false">X85+Y85</f>
        <v>0</v>
      </c>
      <c r="O85" s="32" t="n">
        <f aca="false">B85*P1_PVP+C85*P2_PVP</f>
        <v>0</v>
      </c>
      <c r="P85" s="32" t="str">
        <f aca="false">IF(M85&gt;0,O85/M85,"")</f>
        <v/>
      </c>
      <c r="Q85" s="32" t="str">
        <f aca="false">IF(M85&gt;0,K85/M85,"")</f>
        <v/>
      </c>
      <c r="R85" s="57" t="str">
        <f aca="false">IF(K85&gt;0,O85/K85,"")</f>
        <v/>
      </c>
      <c r="S85" s="34" t="str">
        <f aca="false">IF(D85+E85+F85+G85&gt;0,(D85+E85)/(D85+E85+F85+G85),"")</f>
        <v/>
      </c>
      <c r="T85" s="33" t="n">
        <f aca="false">D85*(P1_PVP-P1_CPROD)+E85*(P2_PVP-P2_CPROD)-IF(ISNUMBER(I85),I85,D85*P1_LOG+E85*P2_LOG)</f>
        <v>0</v>
      </c>
      <c r="U85" s="33" t="n">
        <f aca="false">T85-(D85*P1_IVAN+E85*P2_IVAN)-(F85+G85)*(COSTE_DEV-IVA_DEV)-AH85-AJ85</f>
        <v>0</v>
      </c>
      <c r="V85" s="33" t="n">
        <f aca="false">AC85-AD85-AE85-AF85-AG85-AH85-AJ85</f>
        <v>0</v>
      </c>
      <c r="X85" s="58" t="n">
        <f aca="false">MAX(0,B85-D85-F85)</f>
        <v>0</v>
      </c>
      <c r="Y85" s="58" t="n">
        <f aca="false">MAX(0,C85-E85-G85)</f>
        <v>0</v>
      </c>
      <c r="Z85" s="59" t="n">
        <f aca="false">D85+X85*TASA_USADA</f>
        <v>0</v>
      </c>
      <c r="AA85" s="59" t="n">
        <f aca="false">E85+Y85*TASA_USADA</f>
        <v>0</v>
      </c>
      <c r="AB85" s="59" t="n">
        <f aca="false">F85+G85+(X85+Y85)*(1-TASA_USADA)</f>
        <v>0</v>
      </c>
      <c r="AC85" s="60" t="n">
        <f aca="false">Z85*P1_PVP+AA85*P2_PVP</f>
        <v>0</v>
      </c>
      <c r="AD85" s="60" t="n">
        <f aca="false">Z85*P1_CPROD+AA85*P2_CPROD</f>
        <v>0</v>
      </c>
      <c r="AE85" s="60" t="n">
        <f aca="false">IF(ISNUMBER(I85),I85,D85*P1_LOG+E85*P2_LOG)+IF(ISNUMBER(J85),J85,X85*P1_LOG+Y85*P2_LOG)*TASA_USADA</f>
        <v>0</v>
      </c>
      <c r="AF85" s="60" t="n">
        <f aca="false">AB85*COSTE_DEV</f>
        <v>0</v>
      </c>
      <c r="AG85" s="60" t="n">
        <f aca="false">Z85*P1_IVAN+AA85*P2_IVAN-AB85*IVA_DEV</f>
        <v>0</v>
      </c>
      <c r="AH85" s="60" t="n">
        <f aca="false">K85*(1+RECARGO_ADS)</f>
        <v>0</v>
      </c>
      <c r="AI85" s="58" t="n">
        <f aca="false">IF(ISNUMBER(I85),D85+E85+X85+Y85,0)</f>
        <v>0</v>
      </c>
      <c r="AJ85" s="60" t="n">
        <f aca="false">M85*COMISION</f>
        <v>0</v>
      </c>
    </row>
    <row r="86" customFormat="false" ht="15" hidden="false" customHeight="false" outlineLevel="0" collapsed="false">
      <c r="A86" s="53" t="n">
        <v>46380</v>
      </c>
      <c r="B86" s="54"/>
      <c r="C86" s="54"/>
      <c r="D86" s="54"/>
      <c r="E86" s="54"/>
      <c r="F86" s="54"/>
      <c r="G86" s="54"/>
      <c r="H86" s="54"/>
      <c r="I86" s="55"/>
      <c r="J86" s="55"/>
      <c r="K86" s="55"/>
      <c r="L86" s="56"/>
      <c r="M86" s="31" t="n">
        <f aca="false">B86+C86</f>
        <v>0</v>
      </c>
      <c r="N86" s="31" t="n">
        <f aca="false">X86+Y86</f>
        <v>0</v>
      </c>
      <c r="O86" s="32" t="n">
        <f aca="false">B86*P1_PVP+C86*P2_PVP</f>
        <v>0</v>
      </c>
      <c r="P86" s="32" t="str">
        <f aca="false">IF(M86&gt;0,O86/M86,"")</f>
        <v/>
      </c>
      <c r="Q86" s="32" t="str">
        <f aca="false">IF(M86&gt;0,K86/M86,"")</f>
        <v/>
      </c>
      <c r="R86" s="57" t="str">
        <f aca="false">IF(K86&gt;0,O86/K86,"")</f>
        <v/>
      </c>
      <c r="S86" s="34" t="str">
        <f aca="false">IF(D86+E86+F86+G86&gt;0,(D86+E86)/(D86+E86+F86+G86),"")</f>
        <v/>
      </c>
      <c r="T86" s="33" t="n">
        <f aca="false">D86*(P1_PVP-P1_CPROD)+E86*(P2_PVP-P2_CPROD)-IF(ISNUMBER(I86),I86,D86*P1_LOG+E86*P2_LOG)</f>
        <v>0</v>
      </c>
      <c r="U86" s="33" t="n">
        <f aca="false">T86-(D86*P1_IVAN+E86*P2_IVAN)-(F86+G86)*(COSTE_DEV-IVA_DEV)-AH86-AJ86</f>
        <v>0</v>
      </c>
      <c r="V86" s="33" t="n">
        <f aca="false">AC86-AD86-AE86-AF86-AG86-AH86-AJ86</f>
        <v>0</v>
      </c>
      <c r="X86" s="58" t="n">
        <f aca="false">MAX(0,B86-D86-F86)</f>
        <v>0</v>
      </c>
      <c r="Y86" s="58" t="n">
        <f aca="false">MAX(0,C86-E86-G86)</f>
        <v>0</v>
      </c>
      <c r="Z86" s="59" t="n">
        <f aca="false">D86+X86*TASA_USADA</f>
        <v>0</v>
      </c>
      <c r="AA86" s="59" t="n">
        <f aca="false">E86+Y86*TASA_USADA</f>
        <v>0</v>
      </c>
      <c r="AB86" s="59" t="n">
        <f aca="false">F86+G86+(X86+Y86)*(1-TASA_USADA)</f>
        <v>0</v>
      </c>
      <c r="AC86" s="60" t="n">
        <f aca="false">Z86*P1_PVP+AA86*P2_PVP</f>
        <v>0</v>
      </c>
      <c r="AD86" s="60" t="n">
        <f aca="false">Z86*P1_CPROD+AA86*P2_CPROD</f>
        <v>0</v>
      </c>
      <c r="AE86" s="60" t="n">
        <f aca="false">IF(ISNUMBER(I86),I86,D86*P1_LOG+E86*P2_LOG)+IF(ISNUMBER(J86),J86,X86*P1_LOG+Y86*P2_LOG)*TASA_USADA</f>
        <v>0</v>
      </c>
      <c r="AF86" s="60" t="n">
        <f aca="false">AB86*COSTE_DEV</f>
        <v>0</v>
      </c>
      <c r="AG86" s="60" t="n">
        <f aca="false">Z86*P1_IVAN+AA86*P2_IVAN-AB86*IVA_DEV</f>
        <v>0</v>
      </c>
      <c r="AH86" s="60" t="n">
        <f aca="false">K86*(1+RECARGO_ADS)</f>
        <v>0</v>
      </c>
      <c r="AI86" s="58" t="n">
        <f aca="false">IF(ISNUMBER(I86),D86+E86+X86+Y86,0)</f>
        <v>0</v>
      </c>
      <c r="AJ86" s="60" t="n">
        <f aca="false">M86*COMISION</f>
        <v>0</v>
      </c>
    </row>
    <row r="87" customFormat="false" ht="15" hidden="false" customHeight="false" outlineLevel="0" collapsed="false">
      <c r="A87" s="53" t="n">
        <v>46381</v>
      </c>
      <c r="B87" s="54"/>
      <c r="C87" s="54"/>
      <c r="D87" s="54"/>
      <c r="E87" s="54"/>
      <c r="F87" s="54"/>
      <c r="G87" s="54"/>
      <c r="H87" s="54"/>
      <c r="I87" s="55"/>
      <c r="J87" s="55"/>
      <c r="K87" s="55"/>
      <c r="L87" s="56"/>
      <c r="M87" s="31" t="n">
        <f aca="false">B87+C87</f>
        <v>0</v>
      </c>
      <c r="N87" s="31" t="n">
        <f aca="false">X87+Y87</f>
        <v>0</v>
      </c>
      <c r="O87" s="32" t="n">
        <f aca="false">B87*P1_PVP+C87*P2_PVP</f>
        <v>0</v>
      </c>
      <c r="P87" s="32" t="str">
        <f aca="false">IF(M87&gt;0,O87/M87,"")</f>
        <v/>
      </c>
      <c r="Q87" s="32" t="str">
        <f aca="false">IF(M87&gt;0,K87/M87,"")</f>
        <v/>
      </c>
      <c r="R87" s="57" t="str">
        <f aca="false">IF(K87&gt;0,O87/K87,"")</f>
        <v/>
      </c>
      <c r="S87" s="34" t="str">
        <f aca="false">IF(D87+E87+F87+G87&gt;0,(D87+E87)/(D87+E87+F87+G87),"")</f>
        <v/>
      </c>
      <c r="T87" s="33" t="n">
        <f aca="false">D87*(P1_PVP-P1_CPROD)+E87*(P2_PVP-P2_CPROD)-IF(ISNUMBER(I87),I87,D87*P1_LOG+E87*P2_LOG)</f>
        <v>0</v>
      </c>
      <c r="U87" s="33" t="n">
        <f aca="false">T87-(D87*P1_IVAN+E87*P2_IVAN)-(F87+G87)*(COSTE_DEV-IVA_DEV)-AH87-AJ87</f>
        <v>0</v>
      </c>
      <c r="V87" s="33" t="n">
        <f aca="false">AC87-AD87-AE87-AF87-AG87-AH87-AJ87</f>
        <v>0</v>
      </c>
      <c r="X87" s="58" t="n">
        <f aca="false">MAX(0,B87-D87-F87)</f>
        <v>0</v>
      </c>
      <c r="Y87" s="58" t="n">
        <f aca="false">MAX(0,C87-E87-G87)</f>
        <v>0</v>
      </c>
      <c r="Z87" s="59" t="n">
        <f aca="false">D87+X87*TASA_USADA</f>
        <v>0</v>
      </c>
      <c r="AA87" s="59" t="n">
        <f aca="false">E87+Y87*TASA_USADA</f>
        <v>0</v>
      </c>
      <c r="AB87" s="59" t="n">
        <f aca="false">F87+G87+(X87+Y87)*(1-TASA_USADA)</f>
        <v>0</v>
      </c>
      <c r="AC87" s="60" t="n">
        <f aca="false">Z87*P1_PVP+AA87*P2_PVP</f>
        <v>0</v>
      </c>
      <c r="AD87" s="60" t="n">
        <f aca="false">Z87*P1_CPROD+AA87*P2_CPROD</f>
        <v>0</v>
      </c>
      <c r="AE87" s="60" t="n">
        <f aca="false">IF(ISNUMBER(I87),I87,D87*P1_LOG+E87*P2_LOG)+IF(ISNUMBER(J87),J87,X87*P1_LOG+Y87*P2_LOG)*TASA_USADA</f>
        <v>0</v>
      </c>
      <c r="AF87" s="60" t="n">
        <f aca="false">AB87*COSTE_DEV</f>
        <v>0</v>
      </c>
      <c r="AG87" s="60" t="n">
        <f aca="false">Z87*P1_IVAN+AA87*P2_IVAN-AB87*IVA_DEV</f>
        <v>0</v>
      </c>
      <c r="AH87" s="60" t="n">
        <f aca="false">K87*(1+RECARGO_ADS)</f>
        <v>0</v>
      </c>
      <c r="AI87" s="58" t="n">
        <f aca="false">IF(ISNUMBER(I87),D87+E87+X87+Y87,0)</f>
        <v>0</v>
      </c>
      <c r="AJ87" s="60" t="n">
        <f aca="false">M87*COMISION</f>
        <v>0</v>
      </c>
    </row>
    <row r="88" customFormat="false" ht="15" hidden="false" customHeight="false" outlineLevel="0" collapsed="false">
      <c r="A88" s="53" t="n">
        <v>46382</v>
      </c>
      <c r="B88" s="54"/>
      <c r="C88" s="54"/>
      <c r="D88" s="54"/>
      <c r="E88" s="54"/>
      <c r="F88" s="54"/>
      <c r="G88" s="54"/>
      <c r="H88" s="54"/>
      <c r="I88" s="55"/>
      <c r="J88" s="55"/>
      <c r="K88" s="55"/>
      <c r="L88" s="56"/>
      <c r="M88" s="31" t="n">
        <f aca="false">B88+C88</f>
        <v>0</v>
      </c>
      <c r="N88" s="31" t="n">
        <f aca="false">X88+Y88</f>
        <v>0</v>
      </c>
      <c r="O88" s="32" t="n">
        <f aca="false">B88*P1_PVP+C88*P2_PVP</f>
        <v>0</v>
      </c>
      <c r="P88" s="32" t="str">
        <f aca="false">IF(M88&gt;0,O88/M88,"")</f>
        <v/>
      </c>
      <c r="Q88" s="32" t="str">
        <f aca="false">IF(M88&gt;0,K88/M88,"")</f>
        <v/>
      </c>
      <c r="R88" s="57" t="str">
        <f aca="false">IF(K88&gt;0,O88/K88,"")</f>
        <v/>
      </c>
      <c r="S88" s="34" t="str">
        <f aca="false">IF(D88+E88+F88+G88&gt;0,(D88+E88)/(D88+E88+F88+G88),"")</f>
        <v/>
      </c>
      <c r="T88" s="33" t="n">
        <f aca="false">D88*(P1_PVP-P1_CPROD)+E88*(P2_PVP-P2_CPROD)-IF(ISNUMBER(I88),I88,D88*P1_LOG+E88*P2_LOG)</f>
        <v>0</v>
      </c>
      <c r="U88" s="33" t="n">
        <f aca="false">T88-(D88*P1_IVAN+E88*P2_IVAN)-(F88+G88)*(COSTE_DEV-IVA_DEV)-AH88-AJ88</f>
        <v>0</v>
      </c>
      <c r="V88" s="33" t="n">
        <f aca="false">AC88-AD88-AE88-AF88-AG88-AH88-AJ88</f>
        <v>0</v>
      </c>
      <c r="X88" s="58" t="n">
        <f aca="false">MAX(0,B88-D88-F88)</f>
        <v>0</v>
      </c>
      <c r="Y88" s="58" t="n">
        <f aca="false">MAX(0,C88-E88-G88)</f>
        <v>0</v>
      </c>
      <c r="Z88" s="59" t="n">
        <f aca="false">D88+X88*TASA_USADA</f>
        <v>0</v>
      </c>
      <c r="AA88" s="59" t="n">
        <f aca="false">E88+Y88*TASA_USADA</f>
        <v>0</v>
      </c>
      <c r="AB88" s="59" t="n">
        <f aca="false">F88+G88+(X88+Y88)*(1-TASA_USADA)</f>
        <v>0</v>
      </c>
      <c r="AC88" s="60" t="n">
        <f aca="false">Z88*P1_PVP+AA88*P2_PVP</f>
        <v>0</v>
      </c>
      <c r="AD88" s="60" t="n">
        <f aca="false">Z88*P1_CPROD+AA88*P2_CPROD</f>
        <v>0</v>
      </c>
      <c r="AE88" s="60" t="n">
        <f aca="false">IF(ISNUMBER(I88),I88,D88*P1_LOG+E88*P2_LOG)+IF(ISNUMBER(J88),J88,X88*P1_LOG+Y88*P2_LOG)*TASA_USADA</f>
        <v>0</v>
      </c>
      <c r="AF88" s="60" t="n">
        <f aca="false">AB88*COSTE_DEV</f>
        <v>0</v>
      </c>
      <c r="AG88" s="60" t="n">
        <f aca="false">Z88*P1_IVAN+AA88*P2_IVAN-AB88*IVA_DEV</f>
        <v>0</v>
      </c>
      <c r="AH88" s="60" t="n">
        <f aca="false">K88*(1+RECARGO_ADS)</f>
        <v>0</v>
      </c>
      <c r="AI88" s="58" t="n">
        <f aca="false">IF(ISNUMBER(I88),D88+E88+X88+Y88,0)</f>
        <v>0</v>
      </c>
      <c r="AJ88" s="60" t="n">
        <f aca="false">M88*COMISION</f>
        <v>0</v>
      </c>
    </row>
    <row r="89" customFormat="false" ht="15" hidden="false" customHeight="false" outlineLevel="0" collapsed="false">
      <c r="A89" s="53" t="n">
        <v>46383</v>
      </c>
      <c r="B89" s="54"/>
      <c r="C89" s="54"/>
      <c r="D89" s="54"/>
      <c r="E89" s="54"/>
      <c r="F89" s="54"/>
      <c r="G89" s="54"/>
      <c r="H89" s="54"/>
      <c r="I89" s="55"/>
      <c r="J89" s="55"/>
      <c r="K89" s="55"/>
      <c r="L89" s="56"/>
      <c r="M89" s="31" t="n">
        <f aca="false">B89+C89</f>
        <v>0</v>
      </c>
      <c r="N89" s="31" t="n">
        <f aca="false">X89+Y89</f>
        <v>0</v>
      </c>
      <c r="O89" s="32" t="n">
        <f aca="false">B89*P1_PVP+C89*P2_PVP</f>
        <v>0</v>
      </c>
      <c r="P89" s="32" t="str">
        <f aca="false">IF(M89&gt;0,O89/M89,"")</f>
        <v/>
      </c>
      <c r="Q89" s="32" t="str">
        <f aca="false">IF(M89&gt;0,K89/M89,"")</f>
        <v/>
      </c>
      <c r="R89" s="57" t="str">
        <f aca="false">IF(K89&gt;0,O89/K89,"")</f>
        <v/>
      </c>
      <c r="S89" s="34" t="str">
        <f aca="false">IF(D89+E89+F89+G89&gt;0,(D89+E89)/(D89+E89+F89+G89),"")</f>
        <v/>
      </c>
      <c r="T89" s="33" t="n">
        <f aca="false">D89*(P1_PVP-P1_CPROD)+E89*(P2_PVP-P2_CPROD)-IF(ISNUMBER(I89),I89,D89*P1_LOG+E89*P2_LOG)</f>
        <v>0</v>
      </c>
      <c r="U89" s="33" t="n">
        <f aca="false">T89-(D89*P1_IVAN+E89*P2_IVAN)-(F89+G89)*(COSTE_DEV-IVA_DEV)-AH89-AJ89</f>
        <v>0</v>
      </c>
      <c r="V89" s="33" t="n">
        <f aca="false">AC89-AD89-AE89-AF89-AG89-AH89-AJ89</f>
        <v>0</v>
      </c>
      <c r="X89" s="58" t="n">
        <f aca="false">MAX(0,B89-D89-F89)</f>
        <v>0</v>
      </c>
      <c r="Y89" s="58" t="n">
        <f aca="false">MAX(0,C89-E89-G89)</f>
        <v>0</v>
      </c>
      <c r="Z89" s="59" t="n">
        <f aca="false">D89+X89*TASA_USADA</f>
        <v>0</v>
      </c>
      <c r="AA89" s="59" t="n">
        <f aca="false">E89+Y89*TASA_USADA</f>
        <v>0</v>
      </c>
      <c r="AB89" s="59" t="n">
        <f aca="false">F89+G89+(X89+Y89)*(1-TASA_USADA)</f>
        <v>0</v>
      </c>
      <c r="AC89" s="60" t="n">
        <f aca="false">Z89*P1_PVP+AA89*P2_PVP</f>
        <v>0</v>
      </c>
      <c r="AD89" s="60" t="n">
        <f aca="false">Z89*P1_CPROD+AA89*P2_CPROD</f>
        <v>0</v>
      </c>
      <c r="AE89" s="60" t="n">
        <f aca="false">IF(ISNUMBER(I89),I89,D89*P1_LOG+E89*P2_LOG)+IF(ISNUMBER(J89),J89,X89*P1_LOG+Y89*P2_LOG)*TASA_USADA</f>
        <v>0</v>
      </c>
      <c r="AF89" s="60" t="n">
        <f aca="false">AB89*COSTE_DEV</f>
        <v>0</v>
      </c>
      <c r="AG89" s="60" t="n">
        <f aca="false">Z89*P1_IVAN+AA89*P2_IVAN-AB89*IVA_DEV</f>
        <v>0</v>
      </c>
      <c r="AH89" s="60" t="n">
        <f aca="false">K89*(1+RECARGO_ADS)</f>
        <v>0</v>
      </c>
      <c r="AI89" s="58" t="n">
        <f aca="false">IF(ISNUMBER(I89),D89+E89+X89+Y89,0)</f>
        <v>0</v>
      </c>
      <c r="AJ89" s="60" t="n">
        <f aca="false">M89*COMISION</f>
        <v>0</v>
      </c>
    </row>
    <row r="90" customFormat="false" ht="15" hidden="false" customHeight="false" outlineLevel="0" collapsed="false">
      <c r="A90" s="53" t="n">
        <v>46384</v>
      </c>
      <c r="B90" s="54"/>
      <c r="C90" s="54"/>
      <c r="D90" s="54"/>
      <c r="E90" s="54"/>
      <c r="F90" s="54"/>
      <c r="G90" s="54"/>
      <c r="H90" s="54"/>
      <c r="I90" s="55"/>
      <c r="J90" s="55"/>
      <c r="K90" s="55"/>
      <c r="L90" s="56"/>
      <c r="M90" s="31" t="n">
        <f aca="false">B90+C90</f>
        <v>0</v>
      </c>
      <c r="N90" s="31" t="n">
        <f aca="false">X90+Y90</f>
        <v>0</v>
      </c>
      <c r="O90" s="32" t="n">
        <f aca="false">B90*P1_PVP+C90*P2_PVP</f>
        <v>0</v>
      </c>
      <c r="P90" s="32" t="str">
        <f aca="false">IF(M90&gt;0,O90/M90,"")</f>
        <v/>
      </c>
      <c r="Q90" s="32" t="str">
        <f aca="false">IF(M90&gt;0,K90/M90,"")</f>
        <v/>
      </c>
      <c r="R90" s="57" t="str">
        <f aca="false">IF(K90&gt;0,O90/K90,"")</f>
        <v/>
      </c>
      <c r="S90" s="34" t="str">
        <f aca="false">IF(D90+E90+F90+G90&gt;0,(D90+E90)/(D90+E90+F90+G90),"")</f>
        <v/>
      </c>
      <c r="T90" s="33" t="n">
        <f aca="false">D90*(P1_PVP-P1_CPROD)+E90*(P2_PVP-P2_CPROD)-IF(ISNUMBER(I90),I90,D90*P1_LOG+E90*P2_LOG)</f>
        <v>0</v>
      </c>
      <c r="U90" s="33" t="n">
        <f aca="false">T90-(D90*P1_IVAN+E90*P2_IVAN)-(F90+G90)*(COSTE_DEV-IVA_DEV)-AH90-AJ90</f>
        <v>0</v>
      </c>
      <c r="V90" s="33" t="n">
        <f aca="false">AC90-AD90-AE90-AF90-AG90-AH90-AJ90</f>
        <v>0</v>
      </c>
      <c r="X90" s="58" t="n">
        <f aca="false">MAX(0,B90-D90-F90)</f>
        <v>0</v>
      </c>
      <c r="Y90" s="58" t="n">
        <f aca="false">MAX(0,C90-E90-G90)</f>
        <v>0</v>
      </c>
      <c r="Z90" s="59" t="n">
        <f aca="false">D90+X90*TASA_USADA</f>
        <v>0</v>
      </c>
      <c r="AA90" s="59" t="n">
        <f aca="false">E90+Y90*TASA_USADA</f>
        <v>0</v>
      </c>
      <c r="AB90" s="59" t="n">
        <f aca="false">F90+G90+(X90+Y90)*(1-TASA_USADA)</f>
        <v>0</v>
      </c>
      <c r="AC90" s="60" t="n">
        <f aca="false">Z90*P1_PVP+AA90*P2_PVP</f>
        <v>0</v>
      </c>
      <c r="AD90" s="60" t="n">
        <f aca="false">Z90*P1_CPROD+AA90*P2_CPROD</f>
        <v>0</v>
      </c>
      <c r="AE90" s="60" t="n">
        <f aca="false">IF(ISNUMBER(I90),I90,D90*P1_LOG+E90*P2_LOG)+IF(ISNUMBER(J90),J90,X90*P1_LOG+Y90*P2_LOG)*TASA_USADA</f>
        <v>0</v>
      </c>
      <c r="AF90" s="60" t="n">
        <f aca="false">AB90*COSTE_DEV</f>
        <v>0</v>
      </c>
      <c r="AG90" s="60" t="n">
        <f aca="false">Z90*P1_IVAN+AA90*P2_IVAN-AB90*IVA_DEV</f>
        <v>0</v>
      </c>
      <c r="AH90" s="60" t="n">
        <f aca="false">K90*(1+RECARGO_ADS)</f>
        <v>0</v>
      </c>
      <c r="AI90" s="58" t="n">
        <f aca="false">IF(ISNUMBER(I90),D90+E90+X90+Y90,0)</f>
        <v>0</v>
      </c>
      <c r="AJ90" s="60" t="n">
        <f aca="false">M90*COMISION</f>
        <v>0</v>
      </c>
    </row>
    <row r="91" customFormat="false" ht="15" hidden="false" customHeight="false" outlineLevel="0" collapsed="false">
      <c r="A91" s="53" t="n">
        <v>46385</v>
      </c>
      <c r="B91" s="54"/>
      <c r="C91" s="54"/>
      <c r="D91" s="54"/>
      <c r="E91" s="54"/>
      <c r="F91" s="54"/>
      <c r="G91" s="54"/>
      <c r="H91" s="54"/>
      <c r="I91" s="55"/>
      <c r="J91" s="55"/>
      <c r="K91" s="55"/>
      <c r="L91" s="56"/>
      <c r="M91" s="31" t="n">
        <f aca="false">B91+C91</f>
        <v>0</v>
      </c>
      <c r="N91" s="31" t="n">
        <f aca="false">X91+Y91</f>
        <v>0</v>
      </c>
      <c r="O91" s="32" t="n">
        <f aca="false">B91*P1_PVP+C91*P2_PVP</f>
        <v>0</v>
      </c>
      <c r="P91" s="32" t="str">
        <f aca="false">IF(M91&gt;0,O91/M91,"")</f>
        <v/>
      </c>
      <c r="Q91" s="32" t="str">
        <f aca="false">IF(M91&gt;0,K91/M91,"")</f>
        <v/>
      </c>
      <c r="R91" s="57" t="str">
        <f aca="false">IF(K91&gt;0,O91/K91,"")</f>
        <v/>
      </c>
      <c r="S91" s="34" t="str">
        <f aca="false">IF(D91+E91+F91+G91&gt;0,(D91+E91)/(D91+E91+F91+G91),"")</f>
        <v/>
      </c>
      <c r="T91" s="33" t="n">
        <f aca="false">D91*(P1_PVP-P1_CPROD)+E91*(P2_PVP-P2_CPROD)-IF(ISNUMBER(I91),I91,D91*P1_LOG+E91*P2_LOG)</f>
        <v>0</v>
      </c>
      <c r="U91" s="33" t="n">
        <f aca="false">T91-(D91*P1_IVAN+E91*P2_IVAN)-(F91+G91)*(COSTE_DEV-IVA_DEV)-AH91-AJ91</f>
        <v>0</v>
      </c>
      <c r="V91" s="33" t="n">
        <f aca="false">AC91-AD91-AE91-AF91-AG91-AH91-AJ91</f>
        <v>0</v>
      </c>
      <c r="X91" s="58" t="n">
        <f aca="false">MAX(0,B91-D91-F91)</f>
        <v>0</v>
      </c>
      <c r="Y91" s="58" t="n">
        <f aca="false">MAX(0,C91-E91-G91)</f>
        <v>0</v>
      </c>
      <c r="Z91" s="59" t="n">
        <f aca="false">D91+X91*TASA_USADA</f>
        <v>0</v>
      </c>
      <c r="AA91" s="59" t="n">
        <f aca="false">E91+Y91*TASA_USADA</f>
        <v>0</v>
      </c>
      <c r="AB91" s="59" t="n">
        <f aca="false">F91+G91+(X91+Y91)*(1-TASA_USADA)</f>
        <v>0</v>
      </c>
      <c r="AC91" s="60" t="n">
        <f aca="false">Z91*P1_PVP+AA91*P2_PVP</f>
        <v>0</v>
      </c>
      <c r="AD91" s="60" t="n">
        <f aca="false">Z91*P1_CPROD+AA91*P2_CPROD</f>
        <v>0</v>
      </c>
      <c r="AE91" s="60" t="n">
        <f aca="false">IF(ISNUMBER(I91),I91,D91*P1_LOG+E91*P2_LOG)+IF(ISNUMBER(J91),J91,X91*P1_LOG+Y91*P2_LOG)*TASA_USADA</f>
        <v>0</v>
      </c>
      <c r="AF91" s="60" t="n">
        <f aca="false">AB91*COSTE_DEV</f>
        <v>0</v>
      </c>
      <c r="AG91" s="60" t="n">
        <f aca="false">Z91*P1_IVAN+AA91*P2_IVAN-AB91*IVA_DEV</f>
        <v>0</v>
      </c>
      <c r="AH91" s="60" t="n">
        <f aca="false">K91*(1+RECARGO_ADS)</f>
        <v>0</v>
      </c>
      <c r="AI91" s="58" t="n">
        <f aca="false">IF(ISNUMBER(I91),D91+E91+X91+Y91,0)</f>
        <v>0</v>
      </c>
      <c r="AJ91" s="60" t="n">
        <f aca="false">M91*COMISION</f>
        <v>0</v>
      </c>
    </row>
    <row r="92" customFormat="false" ht="15" hidden="false" customHeight="false" outlineLevel="0" collapsed="false">
      <c r="A92" s="53" t="n">
        <v>46386</v>
      </c>
      <c r="B92" s="54"/>
      <c r="C92" s="54"/>
      <c r="D92" s="54"/>
      <c r="E92" s="54"/>
      <c r="F92" s="54"/>
      <c r="G92" s="54"/>
      <c r="H92" s="54"/>
      <c r="I92" s="55"/>
      <c r="J92" s="55"/>
      <c r="K92" s="55"/>
      <c r="L92" s="56"/>
      <c r="M92" s="31" t="n">
        <f aca="false">B92+C92</f>
        <v>0</v>
      </c>
      <c r="N92" s="31" t="n">
        <f aca="false">X92+Y92</f>
        <v>0</v>
      </c>
      <c r="O92" s="32" t="n">
        <f aca="false">B92*P1_PVP+C92*P2_PVP</f>
        <v>0</v>
      </c>
      <c r="P92" s="32" t="str">
        <f aca="false">IF(M92&gt;0,O92/M92,"")</f>
        <v/>
      </c>
      <c r="Q92" s="32" t="str">
        <f aca="false">IF(M92&gt;0,K92/M92,"")</f>
        <v/>
      </c>
      <c r="R92" s="57" t="str">
        <f aca="false">IF(K92&gt;0,O92/K92,"")</f>
        <v/>
      </c>
      <c r="S92" s="34" t="str">
        <f aca="false">IF(D92+E92+F92+G92&gt;0,(D92+E92)/(D92+E92+F92+G92),"")</f>
        <v/>
      </c>
      <c r="T92" s="33" t="n">
        <f aca="false">D92*(P1_PVP-P1_CPROD)+E92*(P2_PVP-P2_CPROD)-IF(ISNUMBER(I92),I92,D92*P1_LOG+E92*P2_LOG)</f>
        <v>0</v>
      </c>
      <c r="U92" s="33" t="n">
        <f aca="false">T92-(D92*P1_IVAN+E92*P2_IVAN)-(F92+G92)*(COSTE_DEV-IVA_DEV)-AH92-AJ92</f>
        <v>0</v>
      </c>
      <c r="V92" s="33" t="n">
        <f aca="false">AC92-AD92-AE92-AF92-AG92-AH92-AJ92</f>
        <v>0</v>
      </c>
      <c r="X92" s="58" t="n">
        <f aca="false">MAX(0,B92-D92-F92)</f>
        <v>0</v>
      </c>
      <c r="Y92" s="58" t="n">
        <f aca="false">MAX(0,C92-E92-G92)</f>
        <v>0</v>
      </c>
      <c r="Z92" s="59" t="n">
        <f aca="false">D92+X92*TASA_USADA</f>
        <v>0</v>
      </c>
      <c r="AA92" s="59" t="n">
        <f aca="false">E92+Y92*TASA_USADA</f>
        <v>0</v>
      </c>
      <c r="AB92" s="59" t="n">
        <f aca="false">F92+G92+(X92+Y92)*(1-TASA_USADA)</f>
        <v>0</v>
      </c>
      <c r="AC92" s="60" t="n">
        <f aca="false">Z92*P1_PVP+AA92*P2_PVP</f>
        <v>0</v>
      </c>
      <c r="AD92" s="60" t="n">
        <f aca="false">Z92*P1_CPROD+AA92*P2_CPROD</f>
        <v>0</v>
      </c>
      <c r="AE92" s="60" t="n">
        <f aca="false">IF(ISNUMBER(I92),I92,D92*P1_LOG+E92*P2_LOG)+IF(ISNUMBER(J92),J92,X92*P1_LOG+Y92*P2_LOG)*TASA_USADA</f>
        <v>0</v>
      </c>
      <c r="AF92" s="60" t="n">
        <f aca="false">AB92*COSTE_DEV</f>
        <v>0</v>
      </c>
      <c r="AG92" s="60" t="n">
        <f aca="false">Z92*P1_IVAN+AA92*P2_IVAN-AB92*IVA_DEV</f>
        <v>0</v>
      </c>
      <c r="AH92" s="60" t="n">
        <f aca="false">K92*(1+RECARGO_ADS)</f>
        <v>0</v>
      </c>
      <c r="AI92" s="58" t="n">
        <f aca="false">IF(ISNUMBER(I92),D92+E92+X92+Y92,0)</f>
        <v>0</v>
      </c>
      <c r="AJ92" s="60" t="n">
        <f aca="false">M92*COMISION</f>
        <v>0</v>
      </c>
    </row>
    <row r="93" customFormat="false" ht="15" hidden="false" customHeight="false" outlineLevel="0" collapsed="false">
      <c r="A93" s="53" t="n">
        <v>46387</v>
      </c>
      <c r="B93" s="54"/>
      <c r="C93" s="54"/>
      <c r="D93" s="54"/>
      <c r="E93" s="54"/>
      <c r="F93" s="54"/>
      <c r="G93" s="54"/>
      <c r="H93" s="54"/>
      <c r="I93" s="55"/>
      <c r="J93" s="55"/>
      <c r="K93" s="55"/>
      <c r="L93" s="56"/>
      <c r="M93" s="31" t="n">
        <f aca="false">B93+C93</f>
        <v>0</v>
      </c>
      <c r="N93" s="31" t="n">
        <f aca="false">X93+Y93</f>
        <v>0</v>
      </c>
      <c r="O93" s="32" t="n">
        <f aca="false">B93*P1_PVP+C93*P2_PVP</f>
        <v>0</v>
      </c>
      <c r="P93" s="32" t="str">
        <f aca="false">IF(M93&gt;0,O93/M93,"")</f>
        <v/>
      </c>
      <c r="Q93" s="32" t="str">
        <f aca="false">IF(M93&gt;0,K93/M93,"")</f>
        <v/>
      </c>
      <c r="R93" s="57" t="str">
        <f aca="false">IF(K93&gt;0,O93/K93,"")</f>
        <v/>
      </c>
      <c r="S93" s="34" t="str">
        <f aca="false">IF(D93+E93+F93+G93&gt;0,(D93+E93)/(D93+E93+F93+G93),"")</f>
        <v/>
      </c>
      <c r="T93" s="33" t="n">
        <f aca="false">D93*(P1_PVP-P1_CPROD)+E93*(P2_PVP-P2_CPROD)-IF(ISNUMBER(I93),I93,D93*P1_LOG+E93*P2_LOG)</f>
        <v>0</v>
      </c>
      <c r="U93" s="33" t="n">
        <f aca="false">T93-(D93*P1_IVAN+E93*P2_IVAN)-(F93+G93)*(COSTE_DEV-IVA_DEV)-AH93-AJ93</f>
        <v>0</v>
      </c>
      <c r="V93" s="33" t="n">
        <f aca="false">AC93-AD93-AE93-AF93-AG93-AH93-AJ93</f>
        <v>0</v>
      </c>
      <c r="X93" s="58" t="n">
        <f aca="false">MAX(0,B93-D93-F93)</f>
        <v>0</v>
      </c>
      <c r="Y93" s="58" t="n">
        <f aca="false">MAX(0,C93-E93-G93)</f>
        <v>0</v>
      </c>
      <c r="Z93" s="59" t="n">
        <f aca="false">D93+X93*TASA_USADA</f>
        <v>0</v>
      </c>
      <c r="AA93" s="59" t="n">
        <f aca="false">E93+Y93*TASA_USADA</f>
        <v>0</v>
      </c>
      <c r="AB93" s="59" t="n">
        <f aca="false">F93+G93+(X93+Y93)*(1-TASA_USADA)</f>
        <v>0</v>
      </c>
      <c r="AC93" s="60" t="n">
        <f aca="false">Z93*P1_PVP+AA93*P2_PVP</f>
        <v>0</v>
      </c>
      <c r="AD93" s="60" t="n">
        <f aca="false">Z93*P1_CPROD+AA93*P2_CPROD</f>
        <v>0</v>
      </c>
      <c r="AE93" s="60" t="n">
        <f aca="false">IF(ISNUMBER(I93),I93,D93*P1_LOG+E93*P2_LOG)+IF(ISNUMBER(J93),J93,X93*P1_LOG+Y93*P2_LOG)*TASA_USADA</f>
        <v>0</v>
      </c>
      <c r="AF93" s="60" t="n">
        <f aca="false">AB93*COSTE_DEV</f>
        <v>0</v>
      </c>
      <c r="AG93" s="60" t="n">
        <f aca="false">Z93*P1_IVAN+AA93*P2_IVAN-AB93*IVA_DEV</f>
        <v>0</v>
      </c>
      <c r="AH93" s="60" t="n">
        <f aca="false">K93*(1+RECARGO_ADS)</f>
        <v>0</v>
      </c>
      <c r="AI93" s="58" t="n">
        <f aca="false">IF(ISNUMBER(I93),D93+E93+X93+Y93,0)</f>
        <v>0</v>
      </c>
      <c r="AJ93" s="60" t="n">
        <f aca="false">M93*COMISION</f>
        <v>0</v>
      </c>
    </row>
    <row r="94" customFormat="false" ht="15" hidden="false" customHeight="false" outlineLevel="0" collapsed="false">
      <c r="A94" s="53" t="n">
        <v>46388</v>
      </c>
      <c r="B94" s="54"/>
      <c r="C94" s="54"/>
      <c r="D94" s="54"/>
      <c r="E94" s="54"/>
      <c r="F94" s="54"/>
      <c r="G94" s="54"/>
      <c r="H94" s="54"/>
      <c r="I94" s="55"/>
      <c r="J94" s="55"/>
      <c r="K94" s="55"/>
      <c r="L94" s="56"/>
      <c r="M94" s="31" t="n">
        <f aca="false">B94+C94</f>
        <v>0</v>
      </c>
      <c r="N94" s="31" t="n">
        <f aca="false">X94+Y94</f>
        <v>0</v>
      </c>
      <c r="O94" s="32" t="n">
        <f aca="false">B94*P1_PVP+C94*P2_PVP</f>
        <v>0</v>
      </c>
      <c r="P94" s="32" t="str">
        <f aca="false">IF(M94&gt;0,O94/M94,"")</f>
        <v/>
      </c>
      <c r="Q94" s="32" t="str">
        <f aca="false">IF(M94&gt;0,K94/M94,"")</f>
        <v/>
      </c>
      <c r="R94" s="57" t="str">
        <f aca="false">IF(K94&gt;0,O94/K94,"")</f>
        <v/>
      </c>
      <c r="S94" s="34" t="str">
        <f aca="false">IF(D94+E94+F94+G94&gt;0,(D94+E94)/(D94+E94+F94+G94),"")</f>
        <v/>
      </c>
      <c r="T94" s="33" t="n">
        <f aca="false">D94*(P1_PVP-P1_CPROD)+E94*(P2_PVP-P2_CPROD)-IF(ISNUMBER(I94),I94,D94*P1_LOG+E94*P2_LOG)</f>
        <v>0</v>
      </c>
      <c r="U94" s="33" t="n">
        <f aca="false">T94-(D94*P1_IVAN+E94*P2_IVAN)-(F94+G94)*(COSTE_DEV-IVA_DEV)-AH94-AJ94</f>
        <v>0</v>
      </c>
      <c r="V94" s="33" t="n">
        <f aca="false">AC94-AD94-AE94-AF94-AG94-AH94-AJ94</f>
        <v>0</v>
      </c>
      <c r="X94" s="58" t="n">
        <f aca="false">MAX(0,B94-D94-F94)</f>
        <v>0</v>
      </c>
      <c r="Y94" s="58" t="n">
        <f aca="false">MAX(0,C94-E94-G94)</f>
        <v>0</v>
      </c>
      <c r="Z94" s="59" t="n">
        <f aca="false">D94+X94*TASA_USADA</f>
        <v>0</v>
      </c>
      <c r="AA94" s="59" t="n">
        <f aca="false">E94+Y94*TASA_USADA</f>
        <v>0</v>
      </c>
      <c r="AB94" s="59" t="n">
        <f aca="false">F94+G94+(X94+Y94)*(1-TASA_USADA)</f>
        <v>0</v>
      </c>
      <c r="AC94" s="60" t="n">
        <f aca="false">Z94*P1_PVP+AA94*P2_PVP</f>
        <v>0</v>
      </c>
      <c r="AD94" s="60" t="n">
        <f aca="false">Z94*P1_CPROD+AA94*P2_CPROD</f>
        <v>0</v>
      </c>
      <c r="AE94" s="60" t="n">
        <f aca="false">IF(ISNUMBER(I94),I94,D94*P1_LOG+E94*P2_LOG)+IF(ISNUMBER(J94),J94,X94*P1_LOG+Y94*P2_LOG)*TASA_USADA</f>
        <v>0</v>
      </c>
      <c r="AF94" s="60" t="n">
        <f aca="false">AB94*COSTE_DEV</f>
        <v>0</v>
      </c>
      <c r="AG94" s="60" t="n">
        <f aca="false">Z94*P1_IVAN+AA94*P2_IVAN-AB94*IVA_DEV</f>
        <v>0</v>
      </c>
      <c r="AH94" s="60" t="n">
        <f aca="false">K94*(1+RECARGO_ADS)</f>
        <v>0</v>
      </c>
      <c r="AI94" s="58" t="n">
        <f aca="false">IF(ISNUMBER(I94),D94+E94+X94+Y94,0)</f>
        <v>0</v>
      </c>
      <c r="AJ94" s="60" t="n">
        <f aca="false">M94*COMISION</f>
        <v>0</v>
      </c>
    </row>
    <row r="95" customFormat="false" ht="15" hidden="false" customHeight="false" outlineLevel="0" collapsed="false">
      <c r="A95" s="53" t="n">
        <v>46389</v>
      </c>
      <c r="B95" s="54"/>
      <c r="C95" s="54"/>
      <c r="D95" s="54"/>
      <c r="E95" s="54"/>
      <c r="F95" s="54"/>
      <c r="G95" s="54"/>
      <c r="H95" s="54"/>
      <c r="I95" s="55"/>
      <c r="J95" s="55"/>
      <c r="K95" s="55"/>
      <c r="L95" s="56"/>
      <c r="M95" s="31" t="n">
        <f aca="false">B95+C95</f>
        <v>0</v>
      </c>
      <c r="N95" s="31" t="n">
        <f aca="false">X95+Y95</f>
        <v>0</v>
      </c>
      <c r="O95" s="32" t="n">
        <f aca="false">B95*P1_PVP+C95*P2_PVP</f>
        <v>0</v>
      </c>
      <c r="P95" s="32" t="str">
        <f aca="false">IF(M95&gt;0,O95/M95,"")</f>
        <v/>
      </c>
      <c r="Q95" s="32" t="str">
        <f aca="false">IF(M95&gt;0,K95/M95,"")</f>
        <v/>
      </c>
      <c r="R95" s="57" t="str">
        <f aca="false">IF(K95&gt;0,O95/K95,"")</f>
        <v/>
      </c>
      <c r="S95" s="34" t="str">
        <f aca="false">IF(D95+E95+F95+G95&gt;0,(D95+E95)/(D95+E95+F95+G95),"")</f>
        <v/>
      </c>
      <c r="T95" s="33" t="n">
        <f aca="false">D95*(P1_PVP-P1_CPROD)+E95*(P2_PVP-P2_CPROD)-IF(ISNUMBER(I95),I95,D95*P1_LOG+E95*P2_LOG)</f>
        <v>0</v>
      </c>
      <c r="U95" s="33" t="n">
        <f aca="false">T95-(D95*P1_IVAN+E95*P2_IVAN)-(F95+G95)*(COSTE_DEV-IVA_DEV)-AH95-AJ95</f>
        <v>0</v>
      </c>
      <c r="V95" s="33" t="n">
        <f aca="false">AC95-AD95-AE95-AF95-AG95-AH95-AJ95</f>
        <v>0</v>
      </c>
      <c r="X95" s="58" t="n">
        <f aca="false">MAX(0,B95-D95-F95)</f>
        <v>0</v>
      </c>
      <c r="Y95" s="58" t="n">
        <f aca="false">MAX(0,C95-E95-G95)</f>
        <v>0</v>
      </c>
      <c r="Z95" s="59" t="n">
        <f aca="false">D95+X95*TASA_USADA</f>
        <v>0</v>
      </c>
      <c r="AA95" s="59" t="n">
        <f aca="false">E95+Y95*TASA_USADA</f>
        <v>0</v>
      </c>
      <c r="AB95" s="59" t="n">
        <f aca="false">F95+G95+(X95+Y95)*(1-TASA_USADA)</f>
        <v>0</v>
      </c>
      <c r="AC95" s="60" t="n">
        <f aca="false">Z95*P1_PVP+AA95*P2_PVP</f>
        <v>0</v>
      </c>
      <c r="AD95" s="60" t="n">
        <f aca="false">Z95*P1_CPROD+AA95*P2_CPROD</f>
        <v>0</v>
      </c>
      <c r="AE95" s="60" t="n">
        <f aca="false">IF(ISNUMBER(I95),I95,D95*P1_LOG+E95*P2_LOG)+IF(ISNUMBER(J95),J95,X95*P1_LOG+Y95*P2_LOG)*TASA_USADA</f>
        <v>0</v>
      </c>
      <c r="AF95" s="60" t="n">
        <f aca="false">AB95*COSTE_DEV</f>
        <v>0</v>
      </c>
      <c r="AG95" s="60" t="n">
        <f aca="false">Z95*P1_IVAN+AA95*P2_IVAN-AB95*IVA_DEV</f>
        <v>0</v>
      </c>
      <c r="AH95" s="60" t="n">
        <f aca="false">K95*(1+RECARGO_ADS)</f>
        <v>0</v>
      </c>
      <c r="AI95" s="58" t="n">
        <f aca="false">IF(ISNUMBER(I95),D95+E95+X95+Y95,0)</f>
        <v>0</v>
      </c>
      <c r="AJ95" s="60" t="n">
        <f aca="false">M95*COMISION</f>
        <v>0</v>
      </c>
    </row>
    <row r="96" customFormat="false" ht="15" hidden="false" customHeight="false" outlineLevel="0" collapsed="false">
      <c r="A96" s="53" t="n">
        <v>46390</v>
      </c>
      <c r="B96" s="54"/>
      <c r="C96" s="54"/>
      <c r="D96" s="54"/>
      <c r="E96" s="54"/>
      <c r="F96" s="54"/>
      <c r="G96" s="54"/>
      <c r="H96" s="54"/>
      <c r="I96" s="55"/>
      <c r="J96" s="55"/>
      <c r="K96" s="55"/>
      <c r="L96" s="56"/>
      <c r="M96" s="31" t="n">
        <f aca="false">B96+C96</f>
        <v>0</v>
      </c>
      <c r="N96" s="31" t="n">
        <f aca="false">X96+Y96</f>
        <v>0</v>
      </c>
      <c r="O96" s="32" t="n">
        <f aca="false">B96*P1_PVP+C96*P2_PVP</f>
        <v>0</v>
      </c>
      <c r="P96" s="32" t="str">
        <f aca="false">IF(M96&gt;0,O96/M96,"")</f>
        <v/>
      </c>
      <c r="Q96" s="32" t="str">
        <f aca="false">IF(M96&gt;0,K96/M96,"")</f>
        <v/>
      </c>
      <c r="R96" s="57" t="str">
        <f aca="false">IF(K96&gt;0,O96/K96,"")</f>
        <v/>
      </c>
      <c r="S96" s="34" t="str">
        <f aca="false">IF(D96+E96+F96+G96&gt;0,(D96+E96)/(D96+E96+F96+G96),"")</f>
        <v/>
      </c>
      <c r="T96" s="33" t="n">
        <f aca="false">D96*(P1_PVP-P1_CPROD)+E96*(P2_PVP-P2_CPROD)-IF(ISNUMBER(I96),I96,D96*P1_LOG+E96*P2_LOG)</f>
        <v>0</v>
      </c>
      <c r="U96" s="33" t="n">
        <f aca="false">T96-(D96*P1_IVAN+E96*P2_IVAN)-(F96+G96)*(COSTE_DEV-IVA_DEV)-AH96-AJ96</f>
        <v>0</v>
      </c>
      <c r="V96" s="33" t="n">
        <f aca="false">AC96-AD96-AE96-AF96-AG96-AH96-AJ96</f>
        <v>0</v>
      </c>
      <c r="X96" s="58" t="n">
        <f aca="false">MAX(0,B96-D96-F96)</f>
        <v>0</v>
      </c>
      <c r="Y96" s="58" t="n">
        <f aca="false">MAX(0,C96-E96-G96)</f>
        <v>0</v>
      </c>
      <c r="Z96" s="59" t="n">
        <f aca="false">D96+X96*TASA_USADA</f>
        <v>0</v>
      </c>
      <c r="AA96" s="59" t="n">
        <f aca="false">E96+Y96*TASA_USADA</f>
        <v>0</v>
      </c>
      <c r="AB96" s="59" t="n">
        <f aca="false">F96+G96+(X96+Y96)*(1-TASA_USADA)</f>
        <v>0</v>
      </c>
      <c r="AC96" s="60" t="n">
        <f aca="false">Z96*P1_PVP+AA96*P2_PVP</f>
        <v>0</v>
      </c>
      <c r="AD96" s="60" t="n">
        <f aca="false">Z96*P1_CPROD+AA96*P2_CPROD</f>
        <v>0</v>
      </c>
      <c r="AE96" s="60" t="n">
        <f aca="false">IF(ISNUMBER(I96),I96,D96*P1_LOG+E96*P2_LOG)+IF(ISNUMBER(J96),J96,X96*P1_LOG+Y96*P2_LOG)*TASA_USADA</f>
        <v>0</v>
      </c>
      <c r="AF96" s="60" t="n">
        <f aca="false">AB96*COSTE_DEV</f>
        <v>0</v>
      </c>
      <c r="AG96" s="60" t="n">
        <f aca="false">Z96*P1_IVAN+AA96*P2_IVAN-AB96*IVA_DEV</f>
        <v>0</v>
      </c>
      <c r="AH96" s="60" t="n">
        <f aca="false">K96*(1+RECARGO_ADS)</f>
        <v>0</v>
      </c>
      <c r="AI96" s="58" t="n">
        <f aca="false">IF(ISNUMBER(I96),D96+E96+X96+Y96,0)</f>
        <v>0</v>
      </c>
      <c r="AJ96" s="60" t="n">
        <f aca="false">M96*COMISION</f>
        <v>0</v>
      </c>
    </row>
    <row r="97" customFormat="false" ht="15" hidden="false" customHeight="false" outlineLevel="0" collapsed="false">
      <c r="A97" s="53" t="n">
        <v>46391</v>
      </c>
      <c r="B97" s="54"/>
      <c r="C97" s="54"/>
      <c r="D97" s="54"/>
      <c r="E97" s="54"/>
      <c r="F97" s="54"/>
      <c r="G97" s="54"/>
      <c r="H97" s="54"/>
      <c r="I97" s="55"/>
      <c r="J97" s="55"/>
      <c r="K97" s="55"/>
      <c r="L97" s="56"/>
      <c r="M97" s="31" t="n">
        <f aca="false">B97+C97</f>
        <v>0</v>
      </c>
      <c r="N97" s="31" t="n">
        <f aca="false">X97+Y97</f>
        <v>0</v>
      </c>
      <c r="O97" s="32" t="n">
        <f aca="false">B97*P1_PVP+C97*P2_PVP</f>
        <v>0</v>
      </c>
      <c r="P97" s="32" t="str">
        <f aca="false">IF(M97&gt;0,O97/M97,"")</f>
        <v/>
      </c>
      <c r="Q97" s="32" t="str">
        <f aca="false">IF(M97&gt;0,K97/M97,"")</f>
        <v/>
      </c>
      <c r="R97" s="57" t="str">
        <f aca="false">IF(K97&gt;0,O97/K97,"")</f>
        <v/>
      </c>
      <c r="S97" s="34" t="str">
        <f aca="false">IF(D97+E97+F97+G97&gt;0,(D97+E97)/(D97+E97+F97+G97),"")</f>
        <v/>
      </c>
      <c r="T97" s="33" t="n">
        <f aca="false">D97*(P1_PVP-P1_CPROD)+E97*(P2_PVP-P2_CPROD)-IF(ISNUMBER(I97),I97,D97*P1_LOG+E97*P2_LOG)</f>
        <v>0</v>
      </c>
      <c r="U97" s="33" t="n">
        <f aca="false">T97-(D97*P1_IVAN+E97*P2_IVAN)-(F97+G97)*(COSTE_DEV-IVA_DEV)-AH97-AJ97</f>
        <v>0</v>
      </c>
      <c r="V97" s="33" t="n">
        <f aca="false">AC97-AD97-AE97-AF97-AG97-AH97-AJ97</f>
        <v>0</v>
      </c>
      <c r="X97" s="58" t="n">
        <f aca="false">MAX(0,B97-D97-F97)</f>
        <v>0</v>
      </c>
      <c r="Y97" s="58" t="n">
        <f aca="false">MAX(0,C97-E97-G97)</f>
        <v>0</v>
      </c>
      <c r="Z97" s="59" t="n">
        <f aca="false">D97+X97*TASA_USADA</f>
        <v>0</v>
      </c>
      <c r="AA97" s="59" t="n">
        <f aca="false">E97+Y97*TASA_USADA</f>
        <v>0</v>
      </c>
      <c r="AB97" s="59" t="n">
        <f aca="false">F97+G97+(X97+Y97)*(1-TASA_USADA)</f>
        <v>0</v>
      </c>
      <c r="AC97" s="60" t="n">
        <f aca="false">Z97*P1_PVP+AA97*P2_PVP</f>
        <v>0</v>
      </c>
      <c r="AD97" s="60" t="n">
        <f aca="false">Z97*P1_CPROD+AA97*P2_CPROD</f>
        <v>0</v>
      </c>
      <c r="AE97" s="60" t="n">
        <f aca="false">IF(ISNUMBER(I97),I97,D97*P1_LOG+E97*P2_LOG)+IF(ISNUMBER(J97),J97,X97*P1_LOG+Y97*P2_LOG)*TASA_USADA</f>
        <v>0</v>
      </c>
      <c r="AF97" s="60" t="n">
        <f aca="false">AB97*COSTE_DEV</f>
        <v>0</v>
      </c>
      <c r="AG97" s="60" t="n">
        <f aca="false">Z97*P1_IVAN+AA97*P2_IVAN-AB97*IVA_DEV</f>
        <v>0</v>
      </c>
      <c r="AH97" s="60" t="n">
        <f aca="false">K97*(1+RECARGO_ADS)</f>
        <v>0</v>
      </c>
      <c r="AI97" s="58" t="n">
        <f aca="false">IF(ISNUMBER(I97),D97+E97+X97+Y97,0)</f>
        <v>0</v>
      </c>
      <c r="AJ97" s="60" t="n">
        <f aca="false">M97*COMISION</f>
        <v>0</v>
      </c>
    </row>
    <row r="98" customFormat="false" ht="15" hidden="false" customHeight="false" outlineLevel="0" collapsed="false">
      <c r="A98" s="53" t="n">
        <v>46392</v>
      </c>
      <c r="B98" s="54"/>
      <c r="C98" s="54"/>
      <c r="D98" s="54"/>
      <c r="E98" s="54"/>
      <c r="F98" s="54"/>
      <c r="G98" s="54"/>
      <c r="H98" s="54"/>
      <c r="I98" s="55"/>
      <c r="J98" s="55"/>
      <c r="K98" s="55"/>
      <c r="L98" s="56"/>
      <c r="M98" s="31" t="n">
        <f aca="false">B98+C98</f>
        <v>0</v>
      </c>
      <c r="N98" s="31" t="n">
        <f aca="false">X98+Y98</f>
        <v>0</v>
      </c>
      <c r="O98" s="32" t="n">
        <f aca="false">B98*P1_PVP+C98*P2_PVP</f>
        <v>0</v>
      </c>
      <c r="P98" s="32" t="str">
        <f aca="false">IF(M98&gt;0,O98/M98,"")</f>
        <v/>
      </c>
      <c r="Q98" s="32" t="str">
        <f aca="false">IF(M98&gt;0,K98/M98,"")</f>
        <v/>
      </c>
      <c r="R98" s="57" t="str">
        <f aca="false">IF(K98&gt;0,O98/K98,"")</f>
        <v/>
      </c>
      <c r="S98" s="34" t="str">
        <f aca="false">IF(D98+E98+F98+G98&gt;0,(D98+E98)/(D98+E98+F98+G98),"")</f>
        <v/>
      </c>
      <c r="T98" s="33" t="n">
        <f aca="false">D98*(P1_PVP-P1_CPROD)+E98*(P2_PVP-P2_CPROD)-IF(ISNUMBER(I98),I98,D98*P1_LOG+E98*P2_LOG)</f>
        <v>0</v>
      </c>
      <c r="U98" s="33" t="n">
        <f aca="false">T98-(D98*P1_IVAN+E98*P2_IVAN)-(F98+G98)*(COSTE_DEV-IVA_DEV)-AH98-AJ98</f>
        <v>0</v>
      </c>
      <c r="V98" s="33" t="n">
        <f aca="false">AC98-AD98-AE98-AF98-AG98-AH98-AJ98</f>
        <v>0</v>
      </c>
      <c r="X98" s="58" t="n">
        <f aca="false">MAX(0,B98-D98-F98)</f>
        <v>0</v>
      </c>
      <c r="Y98" s="58" t="n">
        <f aca="false">MAX(0,C98-E98-G98)</f>
        <v>0</v>
      </c>
      <c r="Z98" s="59" t="n">
        <f aca="false">D98+X98*TASA_USADA</f>
        <v>0</v>
      </c>
      <c r="AA98" s="59" t="n">
        <f aca="false">E98+Y98*TASA_USADA</f>
        <v>0</v>
      </c>
      <c r="AB98" s="59" t="n">
        <f aca="false">F98+G98+(X98+Y98)*(1-TASA_USADA)</f>
        <v>0</v>
      </c>
      <c r="AC98" s="60" t="n">
        <f aca="false">Z98*P1_PVP+AA98*P2_PVP</f>
        <v>0</v>
      </c>
      <c r="AD98" s="60" t="n">
        <f aca="false">Z98*P1_CPROD+AA98*P2_CPROD</f>
        <v>0</v>
      </c>
      <c r="AE98" s="60" t="n">
        <f aca="false">IF(ISNUMBER(I98),I98,D98*P1_LOG+E98*P2_LOG)+IF(ISNUMBER(J98),J98,X98*P1_LOG+Y98*P2_LOG)*TASA_USADA</f>
        <v>0</v>
      </c>
      <c r="AF98" s="60" t="n">
        <f aca="false">AB98*COSTE_DEV</f>
        <v>0</v>
      </c>
      <c r="AG98" s="60" t="n">
        <f aca="false">Z98*P1_IVAN+AA98*P2_IVAN-AB98*IVA_DEV</f>
        <v>0</v>
      </c>
      <c r="AH98" s="60" t="n">
        <f aca="false">K98*(1+RECARGO_ADS)</f>
        <v>0</v>
      </c>
      <c r="AI98" s="58" t="n">
        <f aca="false">IF(ISNUMBER(I98),D98+E98+X98+Y98,0)</f>
        <v>0</v>
      </c>
      <c r="AJ98" s="60" t="n">
        <f aca="false">M98*COMISION</f>
        <v>0</v>
      </c>
    </row>
    <row r="99" customFormat="false" ht="15" hidden="false" customHeight="false" outlineLevel="0" collapsed="false">
      <c r="A99" s="53" t="n">
        <v>46393</v>
      </c>
      <c r="B99" s="54"/>
      <c r="C99" s="54"/>
      <c r="D99" s="54"/>
      <c r="E99" s="54"/>
      <c r="F99" s="54"/>
      <c r="G99" s="54"/>
      <c r="H99" s="54"/>
      <c r="I99" s="55"/>
      <c r="J99" s="55"/>
      <c r="K99" s="55"/>
      <c r="L99" s="56"/>
      <c r="M99" s="31" t="n">
        <f aca="false">B99+C99</f>
        <v>0</v>
      </c>
      <c r="N99" s="31" t="n">
        <f aca="false">X99+Y99</f>
        <v>0</v>
      </c>
      <c r="O99" s="32" t="n">
        <f aca="false">B99*P1_PVP+C99*P2_PVP</f>
        <v>0</v>
      </c>
      <c r="P99" s="32" t="str">
        <f aca="false">IF(M99&gt;0,O99/M99,"")</f>
        <v/>
      </c>
      <c r="Q99" s="32" t="str">
        <f aca="false">IF(M99&gt;0,K99/M99,"")</f>
        <v/>
      </c>
      <c r="R99" s="57" t="str">
        <f aca="false">IF(K99&gt;0,O99/K99,"")</f>
        <v/>
      </c>
      <c r="S99" s="34" t="str">
        <f aca="false">IF(D99+E99+F99+G99&gt;0,(D99+E99)/(D99+E99+F99+G99),"")</f>
        <v/>
      </c>
      <c r="T99" s="33" t="n">
        <f aca="false">D99*(P1_PVP-P1_CPROD)+E99*(P2_PVP-P2_CPROD)-IF(ISNUMBER(I99),I99,D99*P1_LOG+E99*P2_LOG)</f>
        <v>0</v>
      </c>
      <c r="U99" s="33" t="n">
        <f aca="false">T99-(D99*P1_IVAN+E99*P2_IVAN)-(F99+G99)*(COSTE_DEV-IVA_DEV)-AH99-AJ99</f>
        <v>0</v>
      </c>
      <c r="V99" s="33" t="n">
        <f aca="false">AC99-AD99-AE99-AF99-AG99-AH99-AJ99</f>
        <v>0</v>
      </c>
      <c r="X99" s="58" t="n">
        <f aca="false">MAX(0,B99-D99-F99)</f>
        <v>0</v>
      </c>
      <c r="Y99" s="58" t="n">
        <f aca="false">MAX(0,C99-E99-G99)</f>
        <v>0</v>
      </c>
      <c r="Z99" s="59" t="n">
        <f aca="false">D99+X99*TASA_USADA</f>
        <v>0</v>
      </c>
      <c r="AA99" s="59" t="n">
        <f aca="false">E99+Y99*TASA_USADA</f>
        <v>0</v>
      </c>
      <c r="AB99" s="59" t="n">
        <f aca="false">F99+G99+(X99+Y99)*(1-TASA_USADA)</f>
        <v>0</v>
      </c>
      <c r="AC99" s="60" t="n">
        <f aca="false">Z99*P1_PVP+AA99*P2_PVP</f>
        <v>0</v>
      </c>
      <c r="AD99" s="60" t="n">
        <f aca="false">Z99*P1_CPROD+AA99*P2_CPROD</f>
        <v>0</v>
      </c>
      <c r="AE99" s="60" t="n">
        <f aca="false">IF(ISNUMBER(I99),I99,D99*P1_LOG+E99*P2_LOG)+IF(ISNUMBER(J99),J99,X99*P1_LOG+Y99*P2_LOG)*TASA_USADA</f>
        <v>0</v>
      </c>
      <c r="AF99" s="60" t="n">
        <f aca="false">AB99*COSTE_DEV</f>
        <v>0</v>
      </c>
      <c r="AG99" s="60" t="n">
        <f aca="false">Z99*P1_IVAN+AA99*P2_IVAN-AB99*IVA_DEV</f>
        <v>0</v>
      </c>
      <c r="AH99" s="60" t="n">
        <f aca="false">K99*(1+RECARGO_ADS)</f>
        <v>0</v>
      </c>
      <c r="AI99" s="58" t="n">
        <f aca="false">IF(ISNUMBER(I99),D99+E99+X99+Y99,0)</f>
        <v>0</v>
      </c>
      <c r="AJ99" s="60" t="n">
        <f aca="false">M99*COMISION</f>
        <v>0</v>
      </c>
    </row>
    <row r="100" customFormat="false" ht="15" hidden="false" customHeight="false" outlineLevel="0" collapsed="false">
      <c r="A100" s="53" t="n">
        <v>46394</v>
      </c>
      <c r="B100" s="54"/>
      <c r="C100" s="54"/>
      <c r="D100" s="54"/>
      <c r="E100" s="54"/>
      <c r="F100" s="54"/>
      <c r="G100" s="54"/>
      <c r="H100" s="54"/>
      <c r="I100" s="55"/>
      <c r="J100" s="55"/>
      <c r="K100" s="55"/>
      <c r="L100" s="56"/>
      <c r="M100" s="31" t="n">
        <f aca="false">B100+C100</f>
        <v>0</v>
      </c>
      <c r="N100" s="31" t="n">
        <f aca="false">X100+Y100</f>
        <v>0</v>
      </c>
      <c r="O100" s="32" t="n">
        <f aca="false">B100*P1_PVP+C100*P2_PVP</f>
        <v>0</v>
      </c>
      <c r="P100" s="32" t="str">
        <f aca="false">IF(M100&gt;0,O100/M100,"")</f>
        <v/>
      </c>
      <c r="Q100" s="32" t="str">
        <f aca="false">IF(M100&gt;0,K100/M100,"")</f>
        <v/>
      </c>
      <c r="R100" s="57" t="str">
        <f aca="false">IF(K100&gt;0,O100/K100,"")</f>
        <v/>
      </c>
      <c r="S100" s="34" t="str">
        <f aca="false">IF(D100+E100+F100+G100&gt;0,(D100+E100)/(D100+E100+F100+G100),"")</f>
        <v/>
      </c>
      <c r="T100" s="33" t="n">
        <f aca="false">D100*(P1_PVP-P1_CPROD)+E100*(P2_PVP-P2_CPROD)-IF(ISNUMBER(I100),I100,D100*P1_LOG+E100*P2_LOG)</f>
        <v>0</v>
      </c>
      <c r="U100" s="33" t="n">
        <f aca="false">T100-(D100*P1_IVAN+E100*P2_IVAN)-(F100+G100)*(COSTE_DEV-IVA_DEV)-AH100-AJ100</f>
        <v>0</v>
      </c>
      <c r="V100" s="33" t="n">
        <f aca="false">AC100-AD100-AE100-AF100-AG100-AH100-AJ100</f>
        <v>0</v>
      </c>
      <c r="X100" s="58" t="n">
        <f aca="false">MAX(0,B100-D100-F100)</f>
        <v>0</v>
      </c>
      <c r="Y100" s="58" t="n">
        <f aca="false">MAX(0,C100-E100-G100)</f>
        <v>0</v>
      </c>
      <c r="Z100" s="59" t="n">
        <f aca="false">D100+X100*TASA_USADA</f>
        <v>0</v>
      </c>
      <c r="AA100" s="59" t="n">
        <f aca="false">E100+Y100*TASA_USADA</f>
        <v>0</v>
      </c>
      <c r="AB100" s="59" t="n">
        <f aca="false">F100+G100+(X100+Y100)*(1-TASA_USADA)</f>
        <v>0</v>
      </c>
      <c r="AC100" s="60" t="n">
        <f aca="false">Z100*P1_PVP+AA100*P2_PVP</f>
        <v>0</v>
      </c>
      <c r="AD100" s="60" t="n">
        <f aca="false">Z100*P1_CPROD+AA100*P2_CPROD</f>
        <v>0</v>
      </c>
      <c r="AE100" s="60" t="n">
        <f aca="false">IF(ISNUMBER(I100),I100,D100*P1_LOG+E100*P2_LOG)+IF(ISNUMBER(J100),J100,X100*P1_LOG+Y100*P2_LOG)*TASA_USADA</f>
        <v>0</v>
      </c>
      <c r="AF100" s="60" t="n">
        <f aca="false">AB100*COSTE_DEV</f>
        <v>0</v>
      </c>
      <c r="AG100" s="60" t="n">
        <f aca="false">Z100*P1_IVAN+AA100*P2_IVAN-AB100*IVA_DEV</f>
        <v>0</v>
      </c>
      <c r="AH100" s="60" t="n">
        <f aca="false">K100*(1+RECARGO_ADS)</f>
        <v>0</v>
      </c>
      <c r="AI100" s="58" t="n">
        <f aca="false">IF(ISNUMBER(I100),D100+E100+X100+Y100,0)</f>
        <v>0</v>
      </c>
      <c r="AJ100" s="60" t="n">
        <f aca="false">M100*COMISION</f>
        <v>0</v>
      </c>
    </row>
    <row r="101" customFormat="false" ht="15" hidden="false" customHeight="false" outlineLevel="0" collapsed="false">
      <c r="A101" s="53" t="n">
        <v>46395</v>
      </c>
      <c r="B101" s="54"/>
      <c r="C101" s="54"/>
      <c r="D101" s="54"/>
      <c r="E101" s="54"/>
      <c r="F101" s="54"/>
      <c r="G101" s="54"/>
      <c r="H101" s="54"/>
      <c r="I101" s="55"/>
      <c r="J101" s="55"/>
      <c r="K101" s="55"/>
      <c r="L101" s="56"/>
      <c r="M101" s="31" t="n">
        <f aca="false">B101+C101</f>
        <v>0</v>
      </c>
      <c r="N101" s="31" t="n">
        <f aca="false">X101+Y101</f>
        <v>0</v>
      </c>
      <c r="O101" s="32" t="n">
        <f aca="false">B101*P1_PVP+C101*P2_PVP</f>
        <v>0</v>
      </c>
      <c r="P101" s="32" t="str">
        <f aca="false">IF(M101&gt;0,O101/M101,"")</f>
        <v/>
      </c>
      <c r="Q101" s="32" t="str">
        <f aca="false">IF(M101&gt;0,K101/M101,"")</f>
        <v/>
      </c>
      <c r="R101" s="57" t="str">
        <f aca="false">IF(K101&gt;0,O101/K101,"")</f>
        <v/>
      </c>
      <c r="S101" s="34" t="str">
        <f aca="false">IF(D101+E101+F101+G101&gt;0,(D101+E101)/(D101+E101+F101+G101),"")</f>
        <v/>
      </c>
      <c r="T101" s="33" t="n">
        <f aca="false">D101*(P1_PVP-P1_CPROD)+E101*(P2_PVP-P2_CPROD)-IF(ISNUMBER(I101),I101,D101*P1_LOG+E101*P2_LOG)</f>
        <v>0</v>
      </c>
      <c r="U101" s="33" t="n">
        <f aca="false">T101-(D101*P1_IVAN+E101*P2_IVAN)-(F101+G101)*(COSTE_DEV-IVA_DEV)-AH101-AJ101</f>
        <v>0</v>
      </c>
      <c r="V101" s="33" t="n">
        <f aca="false">AC101-AD101-AE101-AF101-AG101-AH101-AJ101</f>
        <v>0</v>
      </c>
      <c r="X101" s="58" t="n">
        <f aca="false">MAX(0,B101-D101-F101)</f>
        <v>0</v>
      </c>
      <c r="Y101" s="58" t="n">
        <f aca="false">MAX(0,C101-E101-G101)</f>
        <v>0</v>
      </c>
      <c r="Z101" s="59" t="n">
        <f aca="false">D101+X101*TASA_USADA</f>
        <v>0</v>
      </c>
      <c r="AA101" s="59" t="n">
        <f aca="false">E101+Y101*TASA_USADA</f>
        <v>0</v>
      </c>
      <c r="AB101" s="59" t="n">
        <f aca="false">F101+G101+(X101+Y101)*(1-TASA_USADA)</f>
        <v>0</v>
      </c>
      <c r="AC101" s="60" t="n">
        <f aca="false">Z101*P1_PVP+AA101*P2_PVP</f>
        <v>0</v>
      </c>
      <c r="AD101" s="60" t="n">
        <f aca="false">Z101*P1_CPROD+AA101*P2_CPROD</f>
        <v>0</v>
      </c>
      <c r="AE101" s="60" t="n">
        <f aca="false">IF(ISNUMBER(I101),I101,D101*P1_LOG+E101*P2_LOG)+IF(ISNUMBER(J101),J101,X101*P1_LOG+Y101*P2_LOG)*TASA_USADA</f>
        <v>0</v>
      </c>
      <c r="AF101" s="60" t="n">
        <f aca="false">AB101*COSTE_DEV</f>
        <v>0</v>
      </c>
      <c r="AG101" s="60" t="n">
        <f aca="false">Z101*P1_IVAN+AA101*P2_IVAN-AB101*IVA_DEV</f>
        <v>0</v>
      </c>
      <c r="AH101" s="60" t="n">
        <f aca="false">K101*(1+RECARGO_ADS)</f>
        <v>0</v>
      </c>
      <c r="AI101" s="58" t="n">
        <f aca="false">IF(ISNUMBER(I101),D101+E101+X101+Y101,0)</f>
        <v>0</v>
      </c>
      <c r="AJ101" s="60" t="n">
        <f aca="false">M101*COMISION</f>
        <v>0</v>
      </c>
    </row>
    <row r="102" customFormat="false" ht="15" hidden="false" customHeight="false" outlineLevel="0" collapsed="false">
      <c r="A102" s="53" t="n">
        <v>46396</v>
      </c>
      <c r="B102" s="54"/>
      <c r="C102" s="54"/>
      <c r="D102" s="54"/>
      <c r="E102" s="54"/>
      <c r="F102" s="54"/>
      <c r="G102" s="54"/>
      <c r="H102" s="54"/>
      <c r="I102" s="55"/>
      <c r="J102" s="55"/>
      <c r="K102" s="55"/>
      <c r="L102" s="56"/>
      <c r="M102" s="31" t="n">
        <f aca="false">B102+C102</f>
        <v>0</v>
      </c>
      <c r="N102" s="31" t="n">
        <f aca="false">X102+Y102</f>
        <v>0</v>
      </c>
      <c r="O102" s="32" t="n">
        <f aca="false">B102*P1_PVP+C102*P2_PVP</f>
        <v>0</v>
      </c>
      <c r="P102" s="32" t="str">
        <f aca="false">IF(M102&gt;0,O102/M102,"")</f>
        <v/>
      </c>
      <c r="Q102" s="32" t="str">
        <f aca="false">IF(M102&gt;0,K102/M102,"")</f>
        <v/>
      </c>
      <c r="R102" s="57" t="str">
        <f aca="false">IF(K102&gt;0,O102/K102,"")</f>
        <v/>
      </c>
      <c r="S102" s="34" t="str">
        <f aca="false">IF(D102+E102+F102+G102&gt;0,(D102+E102)/(D102+E102+F102+G102),"")</f>
        <v/>
      </c>
      <c r="T102" s="33" t="n">
        <f aca="false">D102*(P1_PVP-P1_CPROD)+E102*(P2_PVP-P2_CPROD)-IF(ISNUMBER(I102),I102,D102*P1_LOG+E102*P2_LOG)</f>
        <v>0</v>
      </c>
      <c r="U102" s="33" t="n">
        <f aca="false">T102-(D102*P1_IVAN+E102*P2_IVAN)-(F102+G102)*(COSTE_DEV-IVA_DEV)-AH102-AJ102</f>
        <v>0</v>
      </c>
      <c r="V102" s="33" t="n">
        <f aca="false">AC102-AD102-AE102-AF102-AG102-AH102-AJ102</f>
        <v>0</v>
      </c>
      <c r="X102" s="58" t="n">
        <f aca="false">MAX(0,B102-D102-F102)</f>
        <v>0</v>
      </c>
      <c r="Y102" s="58" t="n">
        <f aca="false">MAX(0,C102-E102-G102)</f>
        <v>0</v>
      </c>
      <c r="Z102" s="59" t="n">
        <f aca="false">D102+X102*TASA_USADA</f>
        <v>0</v>
      </c>
      <c r="AA102" s="59" t="n">
        <f aca="false">E102+Y102*TASA_USADA</f>
        <v>0</v>
      </c>
      <c r="AB102" s="59" t="n">
        <f aca="false">F102+G102+(X102+Y102)*(1-TASA_USADA)</f>
        <v>0</v>
      </c>
      <c r="AC102" s="60" t="n">
        <f aca="false">Z102*P1_PVP+AA102*P2_PVP</f>
        <v>0</v>
      </c>
      <c r="AD102" s="60" t="n">
        <f aca="false">Z102*P1_CPROD+AA102*P2_CPROD</f>
        <v>0</v>
      </c>
      <c r="AE102" s="60" t="n">
        <f aca="false">IF(ISNUMBER(I102),I102,D102*P1_LOG+E102*P2_LOG)+IF(ISNUMBER(J102),J102,X102*P1_LOG+Y102*P2_LOG)*TASA_USADA</f>
        <v>0</v>
      </c>
      <c r="AF102" s="60" t="n">
        <f aca="false">AB102*COSTE_DEV</f>
        <v>0</v>
      </c>
      <c r="AG102" s="60" t="n">
        <f aca="false">Z102*P1_IVAN+AA102*P2_IVAN-AB102*IVA_DEV</f>
        <v>0</v>
      </c>
      <c r="AH102" s="60" t="n">
        <f aca="false">K102*(1+RECARGO_ADS)</f>
        <v>0</v>
      </c>
      <c r="AI102" s="58" t="n">
        <f aca="false">IF(ISNUMBER(I102),D102+E102+X102+Y102,0)</f>
        <v>0</v>
      </c>
      <c r="AJ102" s="60" t="n">
        <f aca="false">M102*COMISION</f>
        <v>0</v>
      </c>
    </row>
    <row r="103" customFormat="false" ht="15" hidden="false" customHeight="false" outlineLevel="0" collapsed="false">
      <c r="A103" s="53" t="n">
        <v>46397</v>
      </c>
      <c r="B103" s="54"/>
      <c r="C103" s="54"/>
      <c r="D103" s="54"/>
      <c r="E103" s="54"/>
      <c r="F103" s="54"/>
      <c r="G103" s="54"/>
      <c r="H103" s="54"/>
      <c r="I103" s="55"/>
      <c r="J103" s="55"/>
      <c r="K103" s="55"/>
      <c r="L103" s="56"/>
      <c r="M103" s="31" t="n">
        <f aca="false">B103+C103</f>
        <v>0</v>
      </c>
      <c r="N103" s="31" t="n">
        <f aca="false">X103+Y103</f>
        <v>0</v>
      </c>
      <c r="O103" s="32" t="n">
        <f aca="false">B103*P1_PVP+C103*P2_PVP</f>
        <v>0</v>
      </c>
      <c r="P103" s="32" t="str">
        <f aca="false">IF(M103&gt;0,O103/M103,"")</f>
        <v/>
      </c>
      <c r="Q103" s="32" t="str">
        <f aca="false">IF(M103&gt;0,K103/M103,"")</f>
        <v/>
      </c>
      <c r="R103" s="57" t="str">
        <f aca="false">IF(K103&gt;0,O103/K103,"")</f>
        <v/>
      </c>
      <c r="S103" s="34" t="str">
        <f aca="false">IF(D103+E103+F103+G103&gt;0,(D103+E103)/(D103+E103+F103+G103),"")</f>
        <v/>
      </c>
      <c r="T103" s="33" t="n">
        <f aca="false">D103*(P1_PVP-P1_CPROD)+E103*(P2_PVP-P2_CPROD)-IF(ISNUMBER(I103),I103,D103*P1_LOG+E103*P2_LOG)</f>
        <v>0</v>
      </c>
      <c r="U103" s="33" t="n">
        <f aca="false">T103-(D103*P1_IVAN+E103*P2_IVAN)-(F103+G103)*(COSTE_DEV-IVA_DEV)-AH103-AJ103</f>
        <v>0</v>
      </c>
      <c r="V103" s="33" t="n">
        <f aca="false">AC103-AD103-AE103-AF103-AG103-AH103-AJ103</f>
        <v>0</v>
      </c>
      <c r="X103" s="58" t="n">
        <f aca="false">MAX(0,B103-D103-F103)</f>
        <v>0</v>
      </c>
      <c r="Y103" s="58" t="n">
        <f aca="false">MAX(0,C103-E103-G103)</f>
        <v>0</v>
      </c>
      <c r="Z103" s="59" t="n">
        <f aca="false">D103+X103*TASA_USADA</f>
        <v>0</v>
      </c>
      <c r="AA103" s="59" t="n">
        <f aca="false">E103+Y103*TASA_USADA</f>
        <v>0</v>
      </c>
      <c r="AB103" s="59" t="n">
        <f aca="false">F103+G103+(X103+Y103)*(1-TASA_USADA)</f>
        <v>0</v>
      </c>
      <c r="AC103" s="60" t="n">
        <f aca="false">Z103*P1_PVP+AA103*P2_PVP</f>
        <v>0</v>
      </c>
      <c r="AD103" s="60" t="n">
        <f aca="false">Z103*P1_CPROD+AA103*P2_CPROD</f>
        <v>0</v>
      </c>
      <c r="AE103" s="60" t="n">
        <f aca="false">IF(ISNUMBER(I103),I103,D103*P1_LOG+E103*P2_LOG)+IF(ISNUMBER(J103),J103,X103*P1_LOG+Y103*P2_LOG)*TASA_USADA</f>
        <v>0</v>
      </c>
      <c r="AF103" s="60" t="n">
        <f aca="false">AB103*COSTE_DEV</f>
        <v>0</v>
      </c>
      <c r="AG103" s="60" t="n">
        <f aca="false">Z103*P1_IVAN+AA103*P2_IVAN-AB103*IVA_DEV</f>
        <v>0</v>
      </c>
      <c r="AH103" s="60" t="n">
        <f aca="false">K103*(1+RECARGO_ADS)</f>
        <v>0</v>
      </c>
      <c r="AI103" s="58" t="n">
        <f aca="false">IF(ISNUMBER(I103),D103+E103+X103+Y103,0)</f>
        <v>0</v>
      </c>
      <c r="AJ103" s="60" t="n">
        <f aca="false">M103*COMISION</f>
        <v>0</v>
      </c>
    </row>
    <row r="104" customFormat="false" ht="15" hidden="false" customHeight="false" outlineLevel="0" collapsed="false">
      <c r="A104" s="53" t="n">
        <v>46398</v>
      </c>
      <c r="B104" s="54"/>
      <c r="C104" s="54"/>
      <c r="D104" s="54"/>
      <c r="E104" s="54"/>
      <c r="F104" s="54"/>
      <c r="G104" s="54"/>
      <c r="H104" s="54"/>
      <c r="I104" s="55"/>
      <c r="J104" s="55"/>
      <c r="K104" s="55"/>
      <c r="L104" s="56"/>
      <c r="M104" s="31" t="n">
        <f aca="false">B104+C104</f>
        <v>0</v>
      </c>
      <c r="N104" s="31" t="n">
        <f aca="false">X104+Y104</f>
        <v>0</v>
      </c>
      <c r="O104" s="32" t="n">
        <f aca="false">B104*P1_PVP+C104*P2_PVP</f>
        <v>0</v>
      </c>
      <c r="P104" s="32" t="str">
        <f aca="false">IF(M104&gt;0,O104/M104,"")</f>
        <v/>
      </c>
      <c r="Q104" s="32" t="str">
        <f aca="false">IF(M104&gt;0,K104/M104,"")</f>
        <v/>
      </c>
      <c r="R104" s="57" t="str">
        <f aca="false">IF(K104&gt;0,O104/K104,"")</f>
        <v/>
      </c>
      <c r="S104" s="34" t="str">
        <f aca="false">IF(D104+E104+F104+G104&gt;0,(D104+E104)/(D104+E104+F104+G104),"")</f>
        <v/>
      </c>
      <c r="T104" s="33" t="n">
        <f aca="false">D104*(P1_PVP-P1_CPROD)+E104*(P2_PVP-P2_CPROD)-IF(ISNUMBER(I104),I104,D104*P1_LOG+E104*P2_LOG)</f>
        <v>0</v>
      </c>
      <c r="U104" s="33" t="n">
        <f aca="false">T104-(D104*P1_IVAN+E104*P2_IVAN)-(F104+G104)*(COSTE_DEV-IVA_DEV)-AH104-AJ104</f>
        <v>0</v>
      </c>
      <c r="V104" s="33" t="n">
        <f aca="false">AC104-AD104-AE104-AF104-AG104-AH104-AJ104</f>
        <v>0</v>
      </c>
      <c r="X104" s="58" t="n">
        <f aca="false">MAX(0,B104-D104-F104)</f>
        <v>0</v>
      </c>
      <c r="Y104" s="58" t="n">
        <f aca="false">MAX(0,C104-E104-G104)</f>
        <v>0</v>
      </c>
      <c r="Z104" s="59" t="n">
        <f aca="false">D104+X104*TASA_USADA</f>
        <v>0</v>
      </c>
      <c r="AA104" s="59" t="n">
        <f aca="false">E104+Y104*TASA_USADA</f>
        <v>0</v>
      </c>
      <c r="AB104" s="59" t="n">
        <f aca="false">F104+G104+(X104+Y104)*(1-TASA_USADA)</f>
        <v>0</v>
      </c>
      <c r="AC104" s="60" t="n">
        <f aca="false">Z104*P1_PVP+AA104*P2_PVP</f>
        <v>0</v>
      </c>
      <c r="AD104" s="60" t="n">
        <f aca="false">Z104*P1_CPROD+AA104*P2_CPROD</f>
        <v>0</v>
      </c>
      <c r="AE104" s="60" t="n">
        <f aca="false">IF(ISNUMBER(I104),I104,D104*P1_LOG+E104*P2_LOG)+IF(ISNUMBER(J104),J104,X104*P1_LOG+Y104*P2_LOG)*TASA_USADA</f>
        <v>0</v>
      </c>
      <c r="AF104" s="60" t="n">
        <f aca="false">AB104*COSTE_DEV</f>
        <v>0</v>
      </c>
      <c r="AG104" s="60" t="n">
        <f aca="false">Z104*P1_IVAN+AA104*P2_IVAN-AB104*IVA_DEV</f>
        <v>0</v>
      </c>
      <c r="AH104" s="60" t="n">
        <f aca="false">K104*(1+RECARGO_ADS)</f>
        <v>0</v>
      </c>
      <c r="AI104" s="58" t="n">
        <f aca="false">IF(ISNUMBER(I104),D104+E104+X104+Y104,0)</f>
        <v>0</v>
      </c>
      <c r="AJ104" s="60" t="n">
        <f aca="false">M104*COMISION</f>
        <v>0</v>
      </c>
    </row>
    <row r="105" customFormat="false" ht="15" hidden="false" customHeight="false" outlineLevel="0" collapsed="false">
      <c r="A105" s="53" t="n">
        <v>46399</v>
      </c>
      <c r="B105" s="54"/>
      <c r="C105" s="54"/>
      <c r="D105" s="54"/>
      <c r="E105" s="54"/>
      <c r="F105" s="54"/>
      <c r="G105" s="54"/>
      <c r="H105" s="54"/>
      <c r="I105" s="55"/>
      <c r="J105" s="55"/>
      <c r="K105" s="55"/>
      <c r="L105" s="56"/>
      <c r="M105" s="31" t="n">
        <f aca="false">B105+C105</f>
        <v>0</v>
      </c>
      <c r="N105" s="31" t="n">
        <f aca="false">X105+Y105</f>
        <v>0</v>
      </c>
      <c r="O105" s="32" t="n">
        <f aca="false">B105*P1_PVP+C105*P2_PVP</f>
        <v>0</v>
      </c>
      <c r="P105" s="32" t="str">
        <f aca="false">IF(M105&gt;0,O105/M105,"")</f>
        <v/>
      </c>
      <c r="Q105" s="32" t="str">
        <f aca="false">IF(M105&gt;0,K105/M105,"")</f>
        <v/>
      </c>
      <c r="R105" s="57" t="str">
        <f aca="false">IF(K105&gt;0,O105/K105,"")</f>
        <v/>
      </c>
      <c r="S105" s="34" t="str">
        <f aca="false">IF(D105+E105+F105+G105&gt;0,(D105+E105)/(D105+E105+F105+G105),"")</f>
        <v/>
      </c>
      <c r="T105" s="33" t="n">
        <f aca="false">D105*(P1_PVP-P1_CPROD)+E105*(P2_PVP-P2_CPROD)-IF(ISNUMBER(I105),I105,D105*P1_LOG+E105*P2_LOG)</f>
        <v>0</v>
      </c>
      <c r="U105" s="33" t="n">
        <f aca="false">T105-(D105*P1_IVAN+E105*P2_IVAN)-(F105+G105)*(COSTE_DEV-IVA_DEV)-AH105-AJ105</f>
        <v>0</v>
      </c>
      <c r="V105" s="33" t="n">
        <f aca="false">AC105-AD105-AE105-AF105-AG105-AH105-AJ105</f>
        <v>0</v>
      </c>
      <c r="X105" s="58" t="n">
        <f aca="false">MAX(0,B105-D105-F105)</f>
        <v>0</v>
      </c>
      <c r="Y105" s="58" t="n">
        <f aca="false">MAX(0,C105-E105-G105)</f>
        <v>0</v>
      </c>
      <c r="Z105" s="59" t="n">
        <f aca="false">D105+X105*TASA_USADA</f>
        <v>0</v>
      </c>
      <c r="AA105" s="59" t="n">
        <f aca="false">E105+Y105*TASA_USADA</f>
        <v>0</v>
      </c>
      <c r="AB105" s="59" t="n">
        <f aca="false">F105+G105+(X105+Y105)*(1-TASA_USADA)</f>
        <v>0</v>
      </c>
      <c r="AC105" s="60" t="n">
        <f aca="false">Z105*P1_PVP+AA105*P2_PVP</f>
        <v>0</v>
      </c>
      <c r="AD105" s="60" t="n">
        <f aca="false">Z105*P1_CPROD+AA105*P2_CPROD</f>
        <v>0</v>
      </c>
      <c r="AE105" s="60" t="n">
        <f aca="false">IF(ISNUMBER(I105),I105,D105*P1_LOG+E105*P2_LOG)+IF(ISNUMBER(J105),J105,X105*P1_LOG+Y105*P2_LOG)*TASA_USADA</f>
        <v>0</v>
      </c>
      <c r="AF105" s="60" t="n">
        <f aca="false">AB105*COSTE_DEV</f>
        <v>0</v>
      </c>
      <c r="AG105" s="60" t="n">
        <f aca="false">Z105*P1_IVAN+AA105*P2_IVAN-AB105*IVA_DEV</f>
        <v>0</v>
      </c>
      <c r="AH105" s="60" t="n">
        <f aca="false">K105*(1+RECARGO_ADS)</f>
        <v>0</v>
      </c>
      <c r="AI105" s="58" t="n">
        <f aca="false">IF(ISNUMBER(I105),D105+E105+X105+Y105,0)</f>
        <v>0</v>
      </c>
      <c r="AJ105" s="60" t="n">
        <f aca="false">M105*COMISION</f>
        <v>0</v>
      </c>
    </row>
    <row r="106" customFormat="false" ht="15" hidden="false" customHeight="false" outlineLevel="0" collapsed="false">
      <c r="A106" s="53" t="n">
        <v>46400</v>
      </c>
      <c r="B106" s="54"/>
      <c r="C106" s="54"/>
      <c r="D106" s="54"/>
      <c r="E106" s="54"/>
      <c r="F106" s="54"/>
      <c r="G106" s="54"/>
      <c r="H106" s="54"/>
      <c r="I106" s="55"/>
      <c r="J106" s="55"/>
      <c r="K106" s="55"/>
      <c r="L106" s="56"/>
      <c r="M106" s="31" t="n">
        <f aca="false">B106+C106</f>
        <v>0</v>
      </c>
      <c r="N106" s="31" t="n">
        <f aca="false">X106+Y106</f>
        <v>0</v>
      </c>
      <c r="O106" s="32" t="n">
        <f aca="false">B106*P1_PVP+C106*P2_PVP</f>
        <v>0</v>
      </c>
      <c r="P106" s="32" t="str">
        <f aca="false">IF(M106&gt;0,O106/M106,"")</f>
        <v/>
      </c>
      <c r="Q106" s="32" t="str">
        <f aca="false">IF(M106&gt;0,K106/M106,"")</f>
        <v/>
      </c>
      <c r="R106" s="57" t="str">
        <f aca="false">IF(K106&gt;0,O106/K106,"")</f>
        <v/>
      </c>
      <c r="S106" s="34" t="str">
        <f aca="false">IF(D106+E106+F106+G106&gt;0,(D106+E106)/(D106+E106+F106+G106),"")</f>
        <v/>
      </c>
      <c r="T106" s="33" t="n">
        <f aca="false">D106*(P1_PVP-P1_CPROD)+E106*(P2_PVP-P2_CPROD)-IF(ISNUMBER(I106),I106,D106*P1_LOG+E106*P2_LOG)</f>
        <v>0</v>
      </c>
      <c r="U106" s="33" t="n">
        <f aca="false">T106-(D106*P1_IVAN+E106*P2_IVAN)-(F106+G106)*(COSTE_DEV-IVA_DEV)-AH106-AJ106</f>
        <v>0</v>
      </c>
      <c r="V106" s="33" t="n">
        <f aca="false">AC106-AD106-AE106-AF106-AG106-AH106-AJ106</f>
        <v>0</v>
      </c>
      <c r="X106" s="58" t="n">
        <f aca="false">MAX(0,B106-D106-F106)</f>
        <v>0</v>
      </c>
      <c r="Y106" s="58" t="n">
        <f aca="false">MAX(0,C106-E106-G106)</f>
        <v>0</v>
      </c>
      <c r="Z106" s="59" t="n">
        <f aca="false">D106+X106*TASA_USADA</f>
        <v>0</v>
      </c>
      <c r="AA106" s="59" t="n">
        <f aca="false">E106+Y106*TASA_USADA</f>
        <v>0</v>
      </c>
      <c r="AB106" s="59" t="n">
        <f aca="false">F106+G106+(X106+Y106)*(1-TASA_USADA)</f>
        <v>0</v>
      </c>
      <c r="AC106" s="60" t="n">
        <f aca="false">Z106*P1_PVP+AA106*P2_PVP</f>
        <v>0</v>
      </c>
      <c r="AD106" s="60" t="n">
        <f aca="false">Z106*P1_CPROD+AA106*P2_CPROD</f>
        <v>0</v>
      </c>
      <c r="AE106" s="60" t="n">
        <f aca="false">IF(ISNUMBER(I106),I106,D106*P1_LOG+E106*P2_LOG)+IF(ISNUMBER(J106),J106,X106*P1_LOG+Y106*P2_LOG)*TASA_USADA</f>
        <v>0</v>
      </c>
      <c r="AF106" s="60" t="n">
        <f aca="false">AB106*COSTE_DEV</f>
        <v>0</v>
      </c>
      <c r="AG106" s="60" t="n">
        <f aca="false">Z106*P1_IVAN+AA106*P2_IVAN-AB106*IVA_DEV</f>
        <v>0</v>
      </c>
      <c r="AH106" s="60" t="n">
        <f aca="false">K106*(1+RECARGO_ADS)</f>
        <v>0</v>
      </c>
      <c r="AI106" s="58" t="n">
        <f aca="false">IF(ISNUMBER(I106),D106+E106+X106+Y106,0)</f>
        <v>0</v>
      </c>
      <c r="AJ106" s="60" t="n">
        <f aca="false">M106*COMISION</f>
        <v>0</v>
      </c>
    </row>
    <row r="107" customFormat="false" ht="15" hidden="false" customHeight="false" outlineLevel="0" collapsed="false">
      <c r="A107" s="53" t="n">
        <v>46401</v>
      </c>
      <c r="B107" s="54"/>
      <c r="C107" s="54"/>
      <c r="D107" s="54"/>
      <c r="E107" s="54"/>
      <c r="F107" s="54"/>
      <c r="G107" s="54"/>
      <c r="H107" s="54"/>
      <c r="I107" s="55"/>
      <c r="J107" s="55"/>
      <c r="K107" s="55"/>
      <c r="L107" s="56"/>
      <c r="M107" s="31" t="n">
        <f aca="false">B107+C107</f>
        <v>0</v>
      </c>
      <c r="N107" s="31" t="n">
        <f aca="false">X107+Y107</f>
        <v>0</v>
      </c>
      <c r="O107" s="32" t="n">
        <f aca="false">B107*P1_PVP+C107*P2_PVP</f>
        <v>0</v>
      </c>
      <c r="P107" s="32" t="str">
        <f aca="false">IF(M107&gt;0,O107/M107,"")</f>
        <v/>
      </c>
      <c r="Q107" s="32" t="str">
        <f aca="false">IF(M107&gt;0,K107/M107,"")</f>
        <v/>
      </c>
      <c r="R107" s="57" t="str">
        <f aca="false">IF(K107&gt;0,O107/K107,"")</f>
        <v/>
      </c>
      <c r="S107" s="34" t="str">
        <f aca="false">IF(D107+E107+F107+G107&gt;0,(D107+E107)/(D107+E107+F107+G107),"")</f>
        <v/>
      </c>
      <c r="T107" s="33" t="n">
        <f aca="false">D107*(P1_PVP-P1_CPROD)+E107*(P2_PVP-P2_CPROD)-IF(ISNUMBER(I107),I107,D107*P1_LOG+E107*P2_LOG)</f>
        <v>0</v>
      </c>
      <c r="U107" s="33" t="n">
        <f aca="false">T107-(D107*P1_IVAN+E107*P2_IVAN)-(F107+G107)*(COSTE_DEV-IVA_DEV)-AH107-AJ107</f>
        <v>0</v>
      </c>
      <c r="V107" s="33" t="n">
        <f aca="false">AC107-AD107-AE107-AF107-AG107-AH107-AJ107</f>
        <v>0</v>
      </c>
      <c r="X107" s="58" t="n">
        <f aca="false">MAX(0,B107-D107-F107)</f>
        <v>0</v>
      </c>
      <c r="Y107" s="58" t="n">
        <f aca="false">MAX(0,C107-E107-G107)</f>
        <v>0</v>
      </c>
      <c r="Z107" s="59" t="n">
        <f aca="false">D107+X107*TASA_USADA</f>
        <v>0</v>
      </c>
      <c r="AA107" s="59" t="n">
        <f aca="false">E107+Y107*TASA_USADA</f>
        <v>0</v>
      </c>
      <c r="AB107" s="59" t="n">
        <f aca="false">F107+G107+(X107+Y107)*(1-TASA_USADA)</f>
        <v>0</v>
      </c>
      <c r="AC107" s="60" t="n">
        <f aca="false">Z107*P1_PVP+AA107*P2_PVP</f>
        <v>0</v>
      </c>
      <c r="AD107" s="60" t="n">
        <f aca="false">Z107*P1_CPROD+AA107*P2_CPROD</f>
        <v>0</v>
      </c>
      <c r="AE107" s="60" t="n">
        <f aca="false">IF(ISNUMBER(I107),I107,D107*P1_LOG+E107*P2_LOG)+IF(ISNUMBER(J107),J107,X107*P1_LOG+Y107*P2_LOG)*TASA_USADA</f>
        <v>0</v>
      </c>
      <c r="AF107" s="60" t="n">
        <f aca="false">AB107*COSTE_DEV</f>
        <v>0</v>
      </c>
      <c r="AG107" s="60" t="n">
        <f aca="false">Z107*P1_IVAN+AA107*P2_IVAN-AB107*IVA_DEV</f>
        <v>0</v>
      </c>
      <c r="AH107" s="60" t="n">
        <f aca="false">K107*(1+RECARGO_ADS)</f>
        <v>0</v>
      </c>
      <c r="AI107" s="58" t="n">
        <f aca="false">IF(ISNUMBER(I107),D107+E107+X107+Y107,0)</f>
        <v>0</v>
      </c>
      <c r="AJ107" s="60" t="n">
        <f aca="false">M107*COMISION</f>
        <v>0</v>
      </c>
    </row>
    <row r="108" customFormat="false" ht="15" hidden="false" customHeight="false" outlineLevel="0" collapsed="false">
      <c r="A108" s="53" t="n">
        <v>46402</v>
      </c>
      <c r="B108" s="54"/>
      <c r="C108" s="54"/>
      <c r="D108" s="54"/>
      <c r="E108" s="54"/>
      <c r="F108" s="54"/>
      <c r="G108" s="54"/>
      <c r="H108" s="54"/>
      <c r="I108" s="55"/>
      <c r="J108" s="55"/>
      <c r="K108" s="55"/>
      <c r="L108" s="56"/>
      <c r="M108" s="31" t="n">
        <f aca="false">B108+C108</f>
        <v>0</v>
      </c>
      <c r="N108" s="31" t="n">
        <f aca="false">X108+Y108</f>
        <v>0</v>
      </c>
      <c r="O108" s="32" t="n">
        <f aca="false">B108*P1_PVP+C108*P2_PVP</f>
        <v>0</v>
      </c>
      <c r="P108" s="32" t="str">
        <f aca="false">IF(M108&gt;0,O108/M108,"")</f>
        <v/>
      </c>
      <c r="Q108" s="32" t="str">
        <f aca="false">IF(M108&gt;0,K108/M108,"")</f>
        <v/>
      </c>
      <c r="R108" s="57" t="str">
        <f aca="false">IF(K108&gt;0,O108/K108,"")</f>
        <v/>
      </c>
      <c r="S108" s="34" t="str">
        <f aca="false">IF(D108+E108+F108+G108&gt;0,(D108+E108)/(D108+E108+F108+G108),"")</f>
        <v/>
      </c>
      <c r="T108" s="33" t="n">
        <f aca="false">D108*(P1_PVP-P1_CPROD)+E108*(P2_PVP-P2_CPROD)-IF(ISNUMBER(I108),I108,D108*P1_LOG+E108*P2_LOG)</f>
        <v>0</v>
      </c>
      <c r="U108" s="33" t="n">
        <f aca="false">T108-(D108*P1_IVAN+E108*P2_IVAN)-(F108+G108)*(COSTE_DEV-IVA_DEV)-AH108-AJ108</f>
        <v>0</v>
      </c>
      <c r="V108" s="33" t="n">
        <f aca="false">AC108-AD108-AE108-AF108-AG108-AH108-AJ108</f>
        <v>0</v>
      </c>
      <c r="X108" s="58" t="n">
        <f aca="false">MAX(0,B108-D108-F108)</f>
        <v>0</v>
      </c>
      <c r="Y108" s="58" t="n">
        <f aca="false">MAX(0,C108-E108-G108)</f>
        <v>0</v>
      </c>
      <c r="Z108" s="59" t="n">
        <f aca="false">D108+X108*TASA_USADA</f>
        <v>0</v>
      </c>
      <c r="AA108" s="59" t="n">
        <f aca="false">E108+Y108*TASA_USADA</f>
        <v>0</v>
      </c>
      <c r="AB108" s="59" t="n">
        <f aca="false">F108+G108+(X108+Y108)*(1-TASA_USADA)</f>
        <v>0</v>
      </c>
      <c r="AC108" s="60" t="n">
        <f aca="false">Z108*P1_PVP+AA108*P2_PVP</f>
        <v>0</v>
      </c>
      <c r="AD108" s="60" t="n">
        <f aca="false">Z108*P1_CPROD+AA108*P2_CPROD</f>
        <v>0</v>
      </c>
      <c r="AE108" s="60" t="n">
        <f aca="false">IF(ISNUMBER(I108),I108,D108*P1_LOG+E108*P2_LOG)+IF(ISNUMBER(J108),J108,X108*P1_LOG+Y108*P2_LOG)*TASA_USADA</f>
        <v>0</v>
      </c>
      <c r="AF108" s="60" t="n">
        <f aca="false">AB108*COSTE_DEV</f>
        <v>0</v>
      </c>
      <c r="AG108" s="60" t="n">
        <f aca="false">Z108*P1_IVAN+AA108*P2_IVAN-AB108*IVA_DEV</f>
        <v>0</v>
      </c>
      <c r="AH108" s="60" t="n">
        <f aca="false">K108*(1+RECARGO_ADS)</f>
        <v>0</v>
      </c>
      <c r="AI108" s="58" t="n">
        <f aca="false">IF(ISNUMBER(I108),D108+E108+X108+Y108,0)</f>
        <v>0</v>
      </c>
      <c r="AJ108" s="60" t="n">
        <f aca="false">M108*COMISION</f>
        <v>0</v>
      </c>
    </row>
    <row r="109" customFormat="false" ht="15" hidden="false" customHeight="false" outlineLevel="0" collapsed="false">
      <c r="A109" s="53" t="n">
        <v>46403</v>
      </c>
      <c r="B109" s="54"/>
      <c r="C109" s="54"/>
      <c r="D109" s="54"/>
      <c r="E109" s="54"/>
      <c r="F109" s="54"/>
      <c r="G109" s="54"/>
      <c r="H109" s="54"/>
      <c r="I109" s="55"/>
      <c r="J109" s="55"/>
      <c r="K109" s="55"/>
      <c r="L109" s="56"/>
      <c r="M109" s="31" t="n">
        <f aca="false">B109+C109</f>
        <v>0</v>
      </c>
      <c r="N109" s="31" t="n">
        <f aca="false">X109+Y109</f>
        <v>0</v>
      </c>
      <c r="O109" s="32" t="n">
        <f aca="false">B109*P1_PVP+C109*P2_PVP</f>
        <v>0</v>
      </c>
      <c r="P109" s="32" t="str">
        <f aca="false">IF(M109&gt;0,O109/M109,"")</f>
        <v/>
      </c>
      <c r="Q109" s="32" t="str">
        <f aca="false">IF(M109&gt;0,K109/M109,"")</f>
        <v/>
      </c>
      <c r="R109" s="57" t="str">
        <f aca="false">IF(K109&gt;0,O109/K109,"")</f>
        <v/>
      </c>
      <c r="S109" s="34" t="str">
        <f aca="false">IF(D109+E109+F109+G109&gt;0,(D109+E109)/(D109+E109+F109+G109),"")</f>
        <v/>
      </c>
      <c r="T109" s="33" t="n">
        <f aca="false">D109*(P1_PVP-P1_CPROD)+E109*(P2_PVP-P2_CPROD)-IF(ISNUMBER(I109),I109,D109*P1_LOG+E109*P2_LOG)</f>
        <v>0</v>
      </c>
      <c r="U109" s="33" t="n">
        <f aca="false">T109-(D109*P1_IVAN+E109*P2_IVAN)-(F109+G109)*(COSTE_DEV-IVA_DEV)-AH109-AJ109</f>
        <v>0</v>
      </c>
      <c r="V109" s="33" t="n">
        <f aca="false">AC109-AD109-AE109-AF109-AG109-AH109-AJ109</f>
        <v>0</v>
      </c>
      <c r="X109" s="58" t="n">
        <f aca="false">MAX(0,B109-D109-F109)</f>
        <v>0</v>
      </c>
      <c r="Y109" s="58" t="n">
        <f aca="false">MAX(0,C109-E109-G109)</f>
        <v>0</v>
      </c>
      <c r="Z109" s="59" t="n">
        <f aca="false">D109+X109*TASA_USADA</f>
        <v>0</v>
      </c>
      <c r="AA109" s="59" t="n">
        <f aca="false">E109+Y109*TASA_USADA</f>
        <v>0</v>
      </c>
      <c r="AB109" s="59" t="n">
        <f aca="false">F109+G109+(X109+Y109)*(1-TASA_USADA)</f>
        <v>0</v>
      </c>
      <c r="AC109" s="60" t="n">
        <f aca="false">Z109*P1_PVP+AA109*P2_PVP</f>
        <v>0</v>
      </c>
      <c r="AD109" s="60" t="n">
        <f aca="false">Z109*P1_CPROD+AA109*P2_CPROD</f>
        <v>0</v>
      </c>
      <c r="AE109" s="60" t="n">
        <f aca="false">IF(ISNUMBER(I109),I109,D109*P1_LOG+E109*P2_LOG)+IF(ISNUMBER(J109),J109,X109*P1_LOG+Y109*P2_LOG)*TASA_USADA</f>
        <v>0</v>
      </c>
      <c r="AF109" s="60" t="n">
        <f aca="false">AB109*COSTE_DEV</f>
        <v>0</v>
      </c>
      <c r="AG109" s="60" t="n">
        <f aca="false">Z109*P1_IVAN+AA109*P2_IVAN-AB109*IVA_DEV</f>
        <v>0</v>
      </c>
      <c r="AH109" s="60" t="n">
        <f aca="false">K109*(1+RECARGO_ADS)</f>
        <v>0</v>
      </c>
      <c r="AI109" s="58" t="n">
        <f aca="false">IF(ISNUMBER(I109),D109+E109+X109+Y109,0)</f>
        <v>0</v>
      </c>
      <c r="AJ109" s="60" t="n">
        <f aca="false">M109*COMISION</f>
        <v>0</v>
      </c>
    </row>
    <row r="110" customFormat="false" ht="15" hidden="false" customHeight="false" outlineLevel="0" collapsed="false">
      <c r="A110" s="53" t="n">
        <v>46404</v>
      </c>
      <c r="B110" s="54"/>
      <c r="C110" s="54"/>
      <c r="D110" s="54"/>
      <c r="E110" s="54"/>
      <c r="F110" s="54"/>
      <c r="G110" s="54"/>
      <c r="H110" s="54"/>
      <c r="I110" s="55"/>
      <c r="J110" s="55"/>
      <c r="K110" s="55"/>
      <c r="L110" s="56"/>
      <c r="M110" s="31" t="n">
        <f aca="false">B110+C110</f>
        <v>0</v>
      </c>
      <c r="N110" s="31" t="n">
        <f aca="false">X110+Y110</f>
        <v>0</v>
      </c>
      <c r="O110" s="32" t="n">
        <f aca="false">B110*P1_PVP+C110*P2_PVP</f>
        <v>0</v>
      </c>
      <c r="P110" s="32" t="str">
        <f aca="false">IF(M110&gt;0,O110/M110,"")</f>
        <v/>
      </c>
      <c r="Q110" s="32" t="str">
        <f aca="false">IF(M110&gt;0,K110/M110,"")</f>
        <v/>
      </c>
      <c r="R110" s="57" t="str">
        <f aca="false">IF(K110&gt;0,O110/K110,"")</f>
        <v/>
      </c>
      <c r="S110" s="34" t="str">
        <f aca="false">IF(D110+E110+F110+G110&gt;0,(D110+E110)/(D110+E110+F110+G110),"")</f>
        <v/>
      </c>
      <c r="T110" s="33" t="n">
        <f aca="false">D110*(P1_PVP-P1_CPROD)+E110*(P2_PVP-P2_CPROD)-IF(ISNUMBER(I110),I110,D110*P1_LOG+E110*P2_LOG)</f>
        <v>0</v>
      </c>
      <c r="U110" s="33" t="n">
        <f aca="false">T110-(D110*P1_IVAN+E110*P2_IVAN)-(F110+G110)*(COSTE_DEV-IVA_DEV)-AH110-AJ110</f>
        <v>0</v>
      </c>
      <c r="V110" s="33" t="n">
        <f aca="false">AC110-AD110-AE110-AF110-AG110-AH110-AJ110</f>
        <v>0</v>
      </c>
      <c r="X110" s="58" t="n">
        <f aca="false">MAX(0,B110-D110-F110)</f>
        <v>0</v>
      </c>
      <c r="Y110" s="58" t="n">
        <f aca="false">MAX(0,C110-E110-G110)</f>
        <v>0</v>
      </c>
      <c r="Z110" s="59" t="n">
        <f aca="false">D110+X110*TASA_USADA</f>
        <v>0</v>
      </c>
      <c r="AA110" s="59" t="n">
        <f aca="false">E110+Y110*TASA_USADA</f>
        <v>0</v>
      </c>
      <c r="AB110" s="59" t="n">
        <f aca="false">F110+G110+(X110+Y110)*(1-TASA_USADA)</f>
        <v>0</v>
      </c>
      <c r="AC110" s="60" t="n">
        <f aca="false">Z110*P1_PVP+AA110*P2_PVP</f>
        <v>0</v>
      </c>
      <c r="AD110" s="60" t="n">
        <f aca="false">Z110*P1_CPROD+AA110*P2_CPROD</f>
        <v>0</v>
      </c>
      <c r="AE110" s="60" t="n">
        <f aca="false">IF(ISNUMBER(I110),I110,D110*P1_LOG+E110*P2_LOG)+IF(ISNUMBER(J110),J110,X110*P1_LOG+Y110*P2_LOG)*TASA_USADA</f>
        <v>0</v>
      </c>
      <c r="AF110" s="60" t="n">
        <f aca="false">AB110*COSTE_DEV</f>
        <v>0</v>
      </c>
      <c r="AG110" s="60" t="n">
        <f aca="false">Z110*P1_IVAN+AA110*P2_IVAN-AB110*IVA_DEV</f>
        <v>0</v>
      </c>
      <c r="AH110" s="60" t="n">
        <f aca="false">K110*(1+RECARGO_ADS)</f>
        <v>0</v>
      </c>
      <c r="AI110" s="58" t="n">
        <f aca="false">IF(ISNUMBER(I110),D110+E110+X110+Y110,0)</f>
        <v>0</v>
      </c>
      <c r="AJ110" s="60" t="n">
        <f aca="false">M110*COMISION</f>
        <v>0</v>
      </c>
    </row>
    <row r="111" customFormat="false" ht="15" hidden="false" customHeight="false" outlineLevel="0" collapsed="false">
      <c r="A111" s="53" t="n">
        <v>46405</v>
      </c>
      <c r="B111" s="54"/>
      <c r="C111" s="54"/>
      <c r="D111" s="54"/>
      <c r="E111" s="54"/>
      <c r="F111" s="54"/>
      <c r="G111" s="54"/>
      <c r="H111" s="54"/>
      <c r="I111" s="55"/>
      <c r="J111" s="55"/>
      <c r="K111" s="55"/>
      <c r="L111" s="56"/>
      <c r="M111" s="31" t="n">
        <f aca="false">B111+C111</f>
        <v>0</v>
      </c>
      <c r="N111" s="31" t="n">
        <f aca="false">X111+Y111</f>
        <v>0</v>
      </c>
      <c r="O111" s="32" t="n">
        <f aca="false">B111*P1_PVP+C111*P2_PVP</f>
        <v>0</v>
      </c>
      <c r="P111" s="32" t="str">
        <f aca="false">IF(M111&gt;0,O111/M111,"")</f>
        <v/>
      </c>
      <c r="Q111" s="32" t="str">
        <f aca="false">IF(M111&gt;0,K111/M111,"")</f>
        <v/>
      </c>
      <c r="R111" s="57" t="str">
        <f aca="false">IF(K111&gt;0,O111/K111,"")</f>
        <v/>
      </c>
      <c r="S111" s="34" t="str">
        <f aca="false">IF(D111+E111+F111+G111&gt;0,(D111+E111)/(D111+E111+F111+G111),"")</f>
        <v/>
      </c>
      <c r="T111" s="33" t="n">
        <f aca="false">D111*(P1_PVP-P1_CPROD)+E111*(P2_PVP-P2_CPROD)-IF(ISNUMBER(I111),I111,D111*P1_LOG+E111*P2_LOG)</f>
        <v>0</v>
      </c>
      <c r="U111" s="33" t="n">
        <f aca="false">T111-(D111*P1_IVAN+E111*P2_IVAN)-(F111+G111)*(COSTE_DEV-IVA_DEV)-AH111-AJ111</f>
        <v>0</v>
      </c>
      <c r="V111" s="33" t="n">
        <f aca="false">AC111-AD111-AE111-AF111-AG111-AH111-AJ111</f>
        <v>0</v>
      </c>
      <c r="X111" s="58" t="n">
        <f aca="false">MAX(0,B111-D111-F111)</f>
        <v>0</v>
      </c>
      <c r="Y111" s="58" t="n">
        <f aca="false">MAX(0,C111-E111-G111)</f>
        <v>0</v>
      </c>
      <c r="Z111" s="59" t="n">
        <f aca="false">D111+X111*TASA_USADA</f>
        <v>0</v>
      </c>
      <c r="AA111" s="59" t="n">
        <f aca="false">E111+Y111*TASA_USADA</f>
        <v>0</v>
      </c>
      <c r="AB111" s="59" t="n">
        <f aca="false">F111+G111+(X111+Y111)*(1-TASA_USADA)</f>
        <v>0</v>
      </c>
      <c r="AC111" s="60" t="n">
        <f aca="false">Z111*P1_PVP+AA111*P2_PVP</f>
        <v>0</v>
      </c>
      <c r="AD111" s="60" t="n">
        <f aca="false">Z111*P1_CPROD+AA111*P2_CPROD</f>
        <v>0</v>
      </c>
      <c r="AE111" s="60" t="n">
        <f aca="false">IF(ISNUMBER(I111),I111,D111*P1_LOG+E111*P2_LOG)+IF(ISNUMBER(J111),J111,X111*P1_LOG+Y111*P2_LOG)*TASA_USADA</f>
        <v>0</v>
      </c>
      <c r="AF111" s="60" t="n">
        <f aca="false">AB111*COSTE_DEV</f>
        <v>0</v>
      </c>
      <c r="AG111" s="60" t="n">
        <f aca="false">Z111*P1_IVAN+AA111*P2_IVAN-AB111*IVA_DEV</f>
        <v>0</v>
      </c>
      <c r="AH111" s="60" t="n">
        <f aca="false">K111*(1+RECARGO_ADS)</f>
        <v>0</v>
      </c>
      <c r="AI111" s="58" t="n">
        <f aca="false">IF(ISNUMBER(I111),D111+E111+X111+Y111,0)</f>
        <v>0</v>
      </c>
      <c r="AJ111" s="60" t="n">
        <f aca="false">M111*COMISION</f>
        <v>0</v>
      </c>
    </row>
    <row r="112" customFormat="false" ht="15" hidden="false" customHeight="false" outlineLevel="0" collapsed="false">
      <c r="A112" s="53" t="n">
        <v>46406</v>
      </c>
      <c r="B112" s="54"/>
      <c r="C112" s="54"/>
      <c r="D112" s="54"/>
      <c r="E112" s="54"/>
      <c r="F112" s="54"/>
      <c r="G112" s="54"/>
      <c r="H112" s="54"/>
      <c r="I112" s="55"/>
      <c r="J112" s="55"/>
      <c r="K112" s="55"/>
      <c r="L112" s="56"/>
      <c r="M112" s="31" t="n">
        <f aca="false">B112+C112</f>
        <v>0</v>
      </c>
      <c r="N112" s="31" t="n">
        <f aca="false">X112+Y112</f>
        <v>0</v>
      </c>
      <c r="O112" s="32" t="n">
        <f aca="false">B112*P1_PVP+C112*P2_PVP</f>
        <v>0</v>
      </c>
      <c r="P112" s="32" t="str">
        <f aca="false">IF(M112&gt;0,O112/M112,"")</f>
        <v/>
      </c>
      <c r="Q112" s="32" t="str">
        <f aca="false">IF(M112&gt;0,K112/M112,"")</f>
        <v/>
      </c>
      <c r="R112" s="57" t="str">
        <f aca="false">IF(K112&gt;0,O112/K112,"")</f>
        <v/>
      </c>
      <c r="S112" s="34" t="str">
        <f aca="false">IF(D112+E112+F112+G112&gt;0,(D112+E112)/(D112+E112+F112+G112),"")</f>
        <v/>
      </c>
      <c r="T112" s="33" t="n">
        <f aca="false">D112*(P1_PVP-P1_CPROD)+E112*(P2_PVP-P2_CPROD)-IF(ISNUMBER(I112),I112,D112*P1_LOG+E112*P2_LOG)</f>
        <v>0</v>
      </c>
      <c r="U112" s="33" t="n">
        <f aca="false">T112-(D112*P1_IVAN+E112*P2_IVAN)-(F112+G112)*(COSTE_DEV-IVA_DEV)-AH112-AJ112</f>
        <v>0</v>
      </c>
      <c r="V112" s="33" t="n">
        <f aca="false">AC112-AD112-AE112-AF112-AG112-AH112-AJ112</f>
        <v>0</v>
      </c>
      <c r="X112" s="58" t="n">
        <f aca="false">MAX(0,B112-D112-F112)</f>
        <v>0</v>
      </c>
      <c r="Y112" s="58" t="n">
        <f aca="false">MAX(0,C112-E112-G112)</f>
        <v>0</v>
      </c>
      <c r="Z112" s="59" t="n">
        <f aca="false">D112+X112*TASA_USADA</f>
        <v>0</v>
      </c>
      <c r="AA112" s="59" t="n">
        <f aca="false">E112+Y112*TASA_USADA</f>
        <v>0</v>
      </c>
      <c r="AB112" s="59" t="n">
        <f aca="false">F112+G112+(X112+Y112)*(1-TASA_USADA)</f>
        <v>0</v>
      </c>
      <c r="AC112" s="60" t="n">
        <f aca="false">Z112*P1_PVP+AA112*P2_PVP</f>
        <v>0</v>
      </c>
      <c r="AD112" s="60" t="n">
        <f aca="false">Z112*P1_CPROD+AA112*P2_CPROD</f>
        <v>0</v>
      </c>
      <c r="AE112" s="60" t="n">
        <f aca="false">IF(ISNUMBER(I112),I112,D112*P1_LOG+E112*P2_LOG)+IF(ISNUMBER(J112),J112,X112*P1_LOG+Y112*P2_LOG)*TASA_USADA</f>
        <v>0</v>
      </c>
      <c r="AF112" s="60" t="n">
        <f aca="false">AB112*COSTE_DEV</f>
        <v>0</v>
      </c>
      <c r="AG112" s="60" t="n">
        <f aca="false">Z112*P1_IVAN+AA112*P2_IVAN-AB112*IVA_DEV</f>
        <v>0</v>
      </c>
      <c r="AH112" s="60" t="n">
        <f aca="false">K112*(1+RECARGO_ADS)</f>
        <v>0</v>
      </c>
      <c r="AI112" s="58" t="n">
        <f aca="false">IF(ISNUMBER(I112),D112+E112+X112+Y112,0)</f>
        <v>0</v>
      </c>
      <c r="AJ112" s="60" t="n">
        <f aca="false">M112*COMISION</f>
        <v>0</v>
      </c>
    </row>
    <row r="113" customFormat="false" ht="15" hidden="false" customHeight="false" outlineLevel="0" collapsed="false">
      <c r="A113" s="53" t="n">
        <v>46407</v>
      </c>
      <c r="B113" s="54"/>
      <c r="C113" s="54"/>
      <c r="D113" s="54"/>
      <c r="E113" s="54"/>
      <c r="F113" s="54"/>
      <c r="G113" s="54"/>
      <c r="H113" s="54"/>
      <c r="I113" s="55"/>
      <c r="J113" s="55"/>
      <c r="K113" s="55"/>
      <c r="L113" s="56"/>
      <c r="M113" s="31" t="n">
        <f aca="false">B113+C113</f>
        <v>0</v>
      </c>
      <c r="N113" s="31" t="n">
        <f aca="false">X113+Y113</f>
        <v>0</v>
      </c>
      <c r="O113" s="32" t="n">
        <f aca="false">B113*P1_PVP+C113*P2_PVP</f>
        <v>0</v>
      </c>
      <c r="P113" s="32" t="str">
        <f aca="false">IF(M113&gt;0,O113/M113,"")</f>
        <v/>
      </c>
      <c r="Q113" s="32" t="str">
        <f aca="false">IF(M113&gt;0,K113/M113,"")</f>
        <v/>
      </c>
      <c r="R113" s="57" t="str">
        <f aca="false">IF(K113&gt;0,O113/K113,"")</f>
        <v/>
      </c>
      <c r="S113" s="34" t="str">
        <f aca="false">IF(D113+E113+F113+G113&gt;0,(D113+E113)/(D113+E113+F113+G113),"")</f>
        <v/>
      </c>
      <c r="T113" s="33" t="n">
        <f aca="false">D113*(P1_PVP-P1_CPROD)+E113*(P2_PVP-P2_CPROD)-IF(ISNUMBER(I113),I113,D113*P1_LOG+E113*P2_LOG)</f>
        <v>0</v>
      </c>
      <c r="U113" s="33" t="n">
        <f aca="false">T113-(D113*P1_IVAN+E113*P2_IVAN)-(F113+G113)*(COSTE_DEV-IVA_DEV)-AH113-AJ113</f>
        <v>0</v>
      </c>
      <c r="V113" s="33" t="n">
        <f aca="false">AC113-AD113-AE113-AF113-AG113-AH113-AJ113</f>
        <v>0</v>
      </c>
      <c r="X113" s="58" t="n">
        <f aca="false">MAX(0,B113-D113-F113)</f>
        <v>0</v>
      </c>
      <c r="Y113" s="58" t="n">
        <f aca="false">MAX(0,C113-E113-G113)</f>
        <v>0</v>
      </c>
      <c r="Z113" s="59" t="n">
        <f aca="false">D113+X113*TASA_USADA</f>
        <v>0</v>
      </c>
      <c r="AA113" s="59" t="n">
        <f aca="false">E113+Y113*TASA_USADA</f>
        <v>0</v>
      </c>
      <c r="AB113" s="59" t="n">
        <f aca="false">F113+G113+(X113+Y113)*(1-TASA_USADA)</f>
        <v>0</v>
      </c>
      <c r="AC113" s="60" t="n">
        <f aca="false">Z113*P1_PVP+AA113*P2_PVP</f>
        <v>0</v>
      </c>
      <c r="AD113" s="60" t="n">
        <f aca="false">Z113*P1_CPROD+AA113*P2_CPROD</f>
        <v>0</v>
      </c>
      <c r="AE113" s="60" t="n">
        <f aca="false">IF(ISNUMBER(I113),I113,D113*P1_LOG+E113*P2_LOG)+IF(ISNUMBER(J113),J113,X113*P1_LOG+Y113*P2_LOG)*TASA_USADA</f>
        <v>0</v>
      </c>
      <c r="AF113" s="60" t="n">
        <f aca="false">AB113*COSTE_DEV</f>
        <v>0</v>
      </c>
      <c r="AG113" s="60" t="n">
        <f aca="false">Z113*P1_IVAN+AA113*P2_IVAN-AB113*IVA_DEV</f>
        <v>0</v>
      </c>
      <c r="AH113" s="60" t="n">
        <f aca="false">K113*(1+RECARGO_ADS)</f>
        <v>0</v>
      </c>
      <c r="AI113" s="58" t="n">
        <f aca="false">IF(ISNUMBER(I113),D113+E113+X113+Y113,0)</f>
        <v>0</v>
      </c>
      <c r="AJ113" s="60" t="n">
        <f aca="false">M113*COMISION</f>
        <v>0</v>
      </c>
    </row>
    <row r="114" customFormat="false" ht="15" hidden="false" customHeight="false" outlineLevel="0" collapsed="false">
      <c r="A114" s="53" t="n">
        <v>46408</v>
      </c>
      <c r="B114" s="54"/>
      <c r="C114" s="54"/>
      <c r="D114" s="54"/>
      <c r="E114" s="54"/>
      <c r="F114" s="54"/>
      <c r="G114" s="54"/>
      <c r="H114" s="54"/>
      <c r="I114" s="55"/>
      <c r="J114" s="55"/>
      <c r="K114" s="55"/>
      <c r="L114" s="56"/>
      <c r="M114" s="31" t="n">
        <f aca="false">B114+C114</f>
        <v>0</v>
      </c>
      <c r="N114" s="31" t="n">
        <f aca="false">X114+Y114</f>
        <v>0</v>
      </c>
      <c r="O114" s="32" t="n">
        <f aca="false">B114*P1_PVP+C114*P2_PVP</f>
        <v>0</v>
      </c>
      <c r="P114" s="32" t="str">
        <f aca="false">IF(M114&gt;0,O114/M114,"")</f>
        <v/>
      </c>
      <c r="Q114" s="32" t="str">
        <f aca="false">IF(M114&gt;0,K114/M114,"")</f>
        <v/>
      </c>
      <c r="R114" s="57" t="str">
        <f aca="false">IF(K114&gt;0,O114/K114,"")</f>
        <v/>
      </c>
      <c r="S114" s="34" t="str">
        <f aca="false">IF(D114+E114+F114+G114&gt;0,(D114+E114)/(D114+E114+F114+G114),"")</f>
        <v/>
      </c>
      <c r="T114" s="33" t="n">
        <f aca="false">D114*(P1_PVP-P1_CPROD)+E114*(P2_PVP-P2_CPROD)-IF(ISNUMBER(I114),I114,D114*P1_LOG+E114*P2_LOG)</f>
        <v>0</v>
      </c>
      <c r="U114" s="33" t="n">
        <f aca="false">T114-(D114*P1_IVAN+E114*P2_IVAN)-(F114+G114)*(COSTE_DEV-IVA_DEV)-AH114-AJ114</f>
        <v>0</v>
      </c>
      <c r="V114" s="33" t="n">
        <f aca="false">AC114-AD114-AE114-AF114-AG114-AH114-AJ114</f>
        <v>0</v>
      </c>
      <c r="X114" s="58" t="n">
        <f aca="false">MAX(0,B114-D114-F114)</f>
        <v>0</v>
      </c>
      <c r="Y114" s="58" t="n">
        <f aca="false">MAX(0,C114-E114-G114)</f>
        <v>0</v>
      </c>
      <c r="Z114" s="59" t="n">
        <f aca="false">D114+X114*TASA_USADA</f>
        <v>0</v>
      </c>
      <c r="AA114" s="59" t="n">
        <f aca="false">E114+Y114*TASA_USADA</f>
        <v>0</v>
      </c>
      <c r="AB114" s="59" t="n">
        <f aca="false">F114+G114+(X114+Y114)*(1-TASA_USADA)</f>
        <v>0</v>
      </c>
      <c r="AC114" s="60" t="n">
        <f aca="false">Z114*P1_PVP+AA114*P2_PVP</f>
        <v>0</v>
      </c>
      <c r="AD114" s="60" t="n">
        <f aca="false">Z114*P1_CPROD+AA114*P2_CPROD</f>
        <v>0</v>
      </c>
      <c r="AE114" s="60" t="n">
        <f aca="false">IF(ISNUMBER(I114),I114,D114*P1_LOG+E114*P2_LOG)+IF(ISNUMBER(J114),J114,X114*P1_LOG+Y114*P2_LOG)*TASA_USADA</f>
        <v>0</v>
      </c>
      <c r="AF114" s="60" t="n">
        <f aca="false">AB114*COSTE_DEV</f>
        <v>0</v>
      </c>
      <c r="AG114" s="60" t="n">
        <f aca="false">Z114*P1_IVAN+AA114*P2_IVAN-AB114*IVA_DEV</f>
        <v>0</v>
      </c>
      <c r="AH114" s="60" t="n">
        <f aca="false">K114*(1+RECARGO_ADS)</f>
        <v>0</v>
      </c>
      <c r="AI114" s="58" t="n">
        <f aca="false">IF(ISNUMBER(I114),D114+E114+X114+Y114,0)</f>
        <v>0</v>
      </c>
      <c r="AJ114" s="60" t="n">
        <f aca="false">M114*COMISION</f>
        <v>0</v>
      </c>
    </row>
    <row r="115" customFormat="false" ht="15" hidden="false" customHeight="false" outlineLevel="0" collapsed="false">
      <c r="A115" s="53" t="n">
        <v>46409</v>
      </c>
      <c r="B115" s="54"/>
      <c r="C115" s="54"/>
      <c r="D115" s="54"/>
      <c r="E115" s="54"/>
      <c r="F115" s="54"/>
      <c r="G115" s="54"/>
      <c r="H115" s="54"/>
      <c r="I115" s="55"/>
      <c r="J115" s="55"/>
      <c r="K115" s="55"/>
      <c r="L115" s="56"/>
      <c r="M115" s="31" t="n">
        <f aca="false">B115+C115</f>
        <v>0</v>
      </c>
      <c r="N115" s="31" t="n">
        <f aca="false">X115+Y115</f>
        <v>0</v>
      </c>
      <c r="O115" s="32" t="n">
        <f aca="false">B115*P1_PVP+C115*P2_PVP</f>
        <v>0</v>
      </c>
      <c r="P115" s="32" t="str">
        <f aca="false">IF(M115&gt;0,O115/M115,"")</f>
        <v/>
      </c>
      <c r="Q115" s="32" t="str">
        <f aca="false">IF(M115&gt;0,K115/M115,"")</f>
        <v/>
      </c>
      <c r="R115" s="57" t="str">
        <f aca="false">IF(K115&gt;0,O115/K115,"")</f>
        <v/>
      </c>
      <c r="S115" s="34" t="str">
        <f aca="false">IF(D115+E115+F115+G115&gt;0,(D115+E115)/(D115+E115+F115+G115),"")</f>
        <v/>
      </c>
      <c r="T115" s="33" t="n">
        <f aca="false">D115*(P1_PVP-P1_CPROD)+E115*(P2_PVP-P2_CPROD)-IF(ISNUMBER(I115),I115,D115*P1_LOG+E115*P2_LOG)</f>
        <v>0</v>
      </c>
      <c r="U115" s="33" t="n">
        <f aca="false">T115-(D115*P1_IVAN+E115*P2_IVAN)-(F115+G115)*(COSTE_DEV-IVA_DEV)-AH115-AJ115</f>
        <v>0</v>
      </c>
      <c r="V115" s="33" t="n">
        <f aca="false">AC115-AD115-AE115-AF115-AG115-AH115-AJ115</f>
        <v>0</v>
      </c>
      <c r="X115" s="58" t="n">
        <f aca="false">MAX(0,B115-D115-F115)</f>
        <v>0</v>
      </c>
      <c r="Y115" s="58" t="n">
        <f aca="false">MAX(0,C115-E115-G115)</f>
        <v>0</v>
      </c>
      <c r="Z115" s="59" t="n">
        <f aca="false">D115+X115*TASA_USADA</f>
        <v>0</v>
      </c>
      <c r="AA115" s="59" t="n">
        <f aca="false">E115+Y115*TASA_USADA</f>
        <v>0</v>
      </c>
      <c r="AB115" s="59" t="n">
        <f aca="false">F115+G115+(X115+Y115)*(1-TASA_USADA)</f>
        <v>0</v>
      </c>
      <c r="AC115" s="60" t="n">
        <f aca="false">Z115*P1_PVP+AA115*P2_PVP</f>
        <v>0</v>
      </c>
      <c r="AD115" s="60" t="n">
        <f aca="false">Z115*P1_CPROD+AA115*P2_CPROD</f>
        <v>0</v>
      </c>
      <c r="AE115" s="60" t="n">
        <f aca="false">IF(ISNUMBER(I115),I115,D115*P1_LOG+E115*P2_LOG)+IF(ISNUMBER(J115),J115,X115*P1_LOG+Y115*P2_LOG)*TASA_USADA</f>
        <v>0</v>
      </c>
      <c r="AF115" s="60" t="n">
        <f aca="false">AB115*COSTE_DEV</f>
        <v>0</v>
      </c>
      <c r="AG115" s="60" t="n">
        <f aca="false">Z115*P1_IVAN+AA115*P2_IVAN-AB115*IVA_DEV</f>
        <v>0</v>
      </c>
      <c r="AH115" s="60" t="n">
        <f aca="false">K115*(1+RECARGO_ADS)</f>
        <v>0</v>
      </c>
      <c r="AI115" s="58" t="n">
        <f aca="false">IF(ISNUMBER(I115),D115+E115+X115+Y115,0)</f>
        <v>0</v>
      </c>
      <c r="AJ115" s="60" t="n">
        <f aca="false">M115*COMISION</f>
        <v>0</v>
      </c>
    </row>
    <row r="116" customFormat="false" ht="15" hidden="false" customHeight="false" outlineLevel="0" collapsed="false">
      <c r="A116" s="53" t="n">
        <v>46410</v>
      </c>
      <c r="B116" s="54"/>
      <c r="C116" s="54"/>
      <c r="D116" s="54"/>
      <c r="E116" s="54"/>
      <c r="F116" s="54"/>
      <c r="G116" s="54"/>
      <c r="H116" s="54"/>
      <c r="I116" s="55"/>
      <c r="J116" s="55"/>
      <c r="K116" s="55"/>
      <c r="L116" s="56"/>
      <c r="M116" s="31" t="n">
        <f aca="false">B116+C116</f>
        <v>0</v>
      </c>
      <c r="N116" s="31" t="n">
        <f aca="false">X116+Y116</f>
        <v>0</v>
      </c>
      <c r="O116" s="32" t="n">
        <f aca="false">B116*P1_PVP+C116*P2_PVP</f>
        <v>0</v>
      </c>
      <c r="P116" s="32" t="str">
        <f aca="false">IF(M116&gt;0,O116/M116,"")</f>
        <v/>
      </c>
      <c r="Q116" s="32" t="str">
        <f aca="false">IF(M116&gt;0,K116/M116,"")</f>
        <v/>
      </c>
      <c r="R116" s="57" t="str">
        <f aca="false">IF(K116&gt;0,O116/K116,"")</f>
        <v/>
      </c>
      <c r="S116" s="34" t="str">
        <f aca="false">IF(D116+E116+F116+G116&gt;0,(D116+E116)/(D116+E116+F116+G116),"")</f>
        <v/>
      </c>
      <c r="T116" s="33" t="n">
        <f aca="false">D116*(P1_PVP-P1_CPROD)+E116*(P2_PVP-P2_CPROD)-IF(ISNUMBER(I116),I116,D116*P1_LOG+E116*P2_LOG)</f>
        <v>0</v>
      </c>
      <c r="U116" s="33" t="n">
        <f aca="false">T116-(D116*P1_IVAN+E116*P2_IVAN)-(F116+G116)*(COSTE_DEV-IVA_DEV)-AH116-AJ116</f>
        <v>0</v>
      </c>
      <c r="V116" s="33" t="n">
        <f aca="false">AC116-AD116-AE116-AF116-AG116-AH116-AJ116</f>
        <v>0</v>
      </c>
      <c r="X116" s="58" t="n">
        <f aca="false">MAX(0,B116-D116-F116)</f>
        <v>0</v>
      </c>
      <c r="Y116" s="58" t="n">
        <f aca="false">MAX(0,C116-E116-G116)</f>
        <v>0</v>
      </c>
      <c r="Z116" s="59" t="n">
        <f aca="false">D116+X116*TASA_USADA</f>
        <v>0</v>
      </c>
      <c r="AA116" s="59" t="n">
        <f aca="false">E116+Y116*TASA_USADA</f>
        <v>0</v>
      </c>
      <c r="AB116" s="59" t="n">
        <f aca="false">F116+G116+(X116+Y116)*(1-TASA_USADA)</f>
        <v>0</v>
      </c>
      <c r="AC116" s="60" t="n">
        <f aca="false">Z116*P1_PVP+AA116*P2_PVP</f>
        <v>0</v>
      </c>
      <c r="AD116" s="60" t="n">
        <f aca="false">Z116*P1_CPROD+AA116*P2_CPROD</f>
        <v>0</v>
      </c>
      <c r="AE116" s="60" t="n">
        <f aca="false">IF(ISNUMBER(I116),I116,D116*P1_LOG+E116*P2_LOG)+IF(ISNUMBER(J116),J116,X116*P1_LOG+Y116*P2_LOG)*TASA_USADA</f>
        <v>0</v>
      </c>
      <c r="AF116" s="60" t="n">
        <f aca="false">AB116*COSTE_DEV</f>
        <v>0</v>
      </c>
      <c r="AG116" s="60" t="n">
        <f aca="false">Z116*P1_IVAN+AA116*P2_IVAN-AB116*IVA_DEV</f>
        <v>0</v>
      </c>
      <c r="AH116" s="60" t="n">
        <f aca="false">K116*(1+RECARGO_ADS)</f>
        <v>0</v>
      </c>
      <c r="AI116" s="58" t="n">
        <f aca="false">IF(ISNUMBER(I116),D116+E116+X116+Y116,0)</f>
        <v>0</v>
      </c>
      <c r="AJ116" s="60" t="n">
        <f aca="false">M116*COMISION</f>
        <v>0</v>
      </c>
    </row>
    <row r="117" customFormat="false" ht="15" hidden="false" customHeight="false" outlineLevel="0" collapsed="false">
      <c r="A117" s="53" t="n">
        <v>46411</v>
      </c>
      <c r="B117" s="54"/>
      <c r="C117" s="54"/>
      <c r="D117" s="54"/>
      <c r="E117" s="54"/>
      <c r="F117" s="54"/>
      <c r="G117" s="54"/>
      <c r="H117" s="54"/>
      <c r="I117" s="55"/>
      <c r="J117" s="55"/>
      <c r="K117" s="55"/>
      <c r="L117" s="56"/>
      <c r="M117" s="31" t="n">
        <f aca="false">B117+C117</f>
        <v>0</v>
      </c>
      <c r="N117" s="31" t="n">
        <f aca="false">X117+Y117</f>
        <v>0</v>
      </c>
      <c r="O117" s="32" t="n">
        <f aca="false">B117*P1_PVP+C117*P2_PVP</f>
        <v>0</v>
      </c>
      <c r="P117" s="32" t="str">
        <f aca="false">IF(M117&gt;0,O117/M117,"")</f>
        <v/>
      </c>
      <c r="Q117" s="32" t="str">
        <f aca="false">IF(M117&gt;0,K117/M117,"")</f>
        <v/>
      </c>
      <c r="R117" s="57" t="str">
        <f aca="false">IF(K117&gt;0,O117/K117,"")</f>
        <v/>
      </c>
      <c r="S117" s="34" t="str">
        <f aca="false">IF(D117+E117+F117+G117&gt;0,(D117+E117)/(D117+E117+F117+G117),"")</f>
        <v/>
      </c>
      <c r="T117" s="33" t="n">
        <f aca="false">D117*(P1_PVP-P1_CPROD)+E117*(P2_PVP-P2_CPROD)-IF(ISNUMBER(I117),I117,D117*P1_LOG+E117*P2_LOG)</f>
        <v>0</v>
      </c>
      <c r="U117" s="33" t="n">
        <f aca="false">T117-(D117*P1_IVAN+E117*P2_IVAN)-(F117+G117)*(COSTE_DEV-IVA_DEV)-AH117-AJ117</f>
        <v>0</v>
      </c>
      <c r="V117" s="33" t="n">
        <f aca="false">AC117-AD117-AE117-AF117-AG117-AH117-AJ117</f>
        <v>0</v>
      </c>
      <c r="X117" s="58" t="n">
        <f aca="false">MAX(0,B117-D117-F117)</f>
        <v>0</v>
      </c>
      <c r="Y117" s="58" t="n">
        <f aca="false">MAX(0,C117-E117-G117)</f>
        <v>0</v>
      </c>
      <c r="Z117" s="59" t="n">
        <f aca="false">D117+X117*TASA_USADA</f>
        <v>0</v>
      </c>
      <c r="AA117" s="59" t="n">
        <f aca="false">E117+Y117*TASA_USADA</f>
        <v>0</v>
      </c>
      <c r="AB117" s="59" t="n">
        <f aca="false">F117+G117+(X117+Y117)*(1-TASA_USADA)</f>
        <v>0</v>
      </c>
      <c r="AC117" s="60" t="n">
        <f aca="false">Z117*P1_PVP+AA117*P2_PVP</f>
        <v>0</v>
      </c>
      <c r="AD117" s="60" t="n">
        <f aca="false">Z117*P1_CPROD+AA117*P2_CPROD</f>
        <v>0</v>
      </c>
      <c r="AE117" s="60" t="n">
        <f aca="false">IF(ISNUMBER(I117),I117,D117*P1_LOG+E117*P2_LOG)+IF(ISNUMBER(J117),J117,X117*P1_LOG+Y117*P2_LOG)*TASA_USADA</f>
        <v>0</v>
      </c>
      <c r="AF117" s="60" t="n">
        <f aca="false">AB117*COSTE_DEV</f>
        <v>0</v>
      </c>
      <c r="AG117" s="60" t="n">
        <f aca="false">Z117*P1_IVAN+AA117*P2_IVAN-AB117*IVA_DEV</f>
        <v>0</v>
      </c>
      <c r="AH117" s="60" t="n">
        <f aca="false">K117*(1+RECARGO_ADS)</f>
        <v>0</v>
      </c>
      <c r="AI117" s="58" t="n">
        <f aca="false">IF(ISNUMBER(I117),D117+E117+X117+Y117,0)</f>
        <v>0</v>
      </c>
      <c r="AJ117" s="60" t="n">
        <f aca="false">M117*COMISION</f>
        <v>0</v>
      </c>
    </row>
    <row r="118" customFormat="false" ht="15" hidden="false" customHeight="false" outlineLevel="0" collapsed="false">
      <c r="A118" s="53" t="n">
        <v>46412</v>
      </c>
      <c r="B118" s="54"/>
      <c r="C118" s="54"/>
      <c r="D118" s="54"/>
      <c r="E118" s="54"/>
      <c r="F118" s="54"/>
      <c r="G118" s="54"/>
      <c r="H118" s="54"/>
      <c r="I118" s="55"/>
      <c r="J118" s="55"/>
      <c r="K118" s="55"/>
      <c r="L118" s="56"/>
      <c r="M118" s="31" t="n">
        <f aca="false">B118+C118</f>
        <v>0</v>
      </c>
      <c r="N118" s="31" t="n">
        <f aca="false">X118+Y118</f>
        <v>0</v>
      </c>
      <c r="O118" s="32" t="n">
        <f aca="false">B118*P1_PVP+C118*P2_PVP</f>
        <v>0</v>
      </c>
      <c r="P118" s="32" t="str">
        <f aca="false">IF(M118&gt;0,O118/M118,"")</f>
        <v/>
      </c>
      <c r="Q118" s="32" t="str">
        <f aca="false">IF(M118&gt;0,K118/M118,"")</f>
        <v/>
      </c>
      <c r="R118" s="57" t="str">
        <f aca="false">IF(K118&gt;0,O118/K118,"")</f>
        <v/>
      </c>
      <c r="S118" s="34" t="str">
        <f aca="false">IF(D118+E118+F118+G118&gt;0,(D118+E118)/(D118+E118+F118+G118),"")</f>
        <v/>
      </c>
      <c r="T118" s="33" t="n">
        <f aca="false">D118*(P1_PVP-P1_CPROD)+E118*(P2_PVP-P2_CPROD)-IF(ISNUMBER(I118),I118,D118*P1_LOG+E118*P2_LOG)</f>
        <v>0</v>
      </c>
      <c r="U118" s="33" t="n">
        <f aca="false">T118-(D118*P1_IVAN+E118*P2_IVAN)-(F118+G118)*(COSTE_DEV-IVA_DEV)-AH118-AJ118</f>
        <v>0</v>
      </c>
      <c r="V118" s="33" t="n">
        <f aca="false">AC118-AD118-AE118-AF118-AG118-AH118-AJ118</f>
        <v>0</v>
      </c>
      <c r="X118" s="58" t="n">
        <f aca="false">MAX(0,B118-D118-F118)</f>
        <v>0</v>
      </c>
      <c r="Y118" s="58" t="n">
        <f aca="false">MAX(0,C118-E118-G118)</f>
        <v>0</v>
      </c>
      <c r="Z118" s="59" t="n">
        <f aca="false">D118+X118*TASA_USADA</f>
        <v>0</v>
      </c>
      <c r="AA118" s="59" t="n">
        <f aca="false">E118+Y118*TASA_USADA</f>
        <v>0</v>
      </c>
      <c r="AB118" s="59" t="n">
        <f aca="false">F118+G118+(X118+Y118)*(1-TASA_USADA)</f>
        <v>0</v>
      </c>
      <c r="AC118" s="60" t="n">
        <f aca="false">Z118*P1_PVP+AA118*P2_PVP</f>
        <v>0</v>
      </c>
      <c r="AD118" s="60" t="n">
        <f aca="false">Z118*P1_CPROD+AA118*P2_CPROD</f>
        <v>0</v>
      </c>
      <c r="AE118" s="60" t="n">
        <f aca="false">IF(ISNUMBER(I118),I118,D118*P1_LOG+E118*P2_LOG)+IF(ISNUMBER(J118),J118,X118*P1_LOG+Y118*P2_LOG)*TASA_USADA</f>
        <v>0</v>
      </c>
      <c r="AF118" s="60" t="n">
        <f aca="false">AB118*COSTE_DEV</f>
        <v>0</v>
      </c>
      <c r="AG118" s="60" t="n">
        <f aca="false">Z118*P1_IVAN+AA118*P2_IVAN-AB118*IVA_DEV</f>
        <v>0</v>
      </c>
      <c r="AH118" s="60" t="n">
        <f aca="false">K118*(1+RECARGO_ADS)</f>
        <v>0</v>
      </c>
      <c r="AI118" s="58" t="n">
        <f aca="false">IF(ISNUMBER(I118),D118+E118+X118+Y118,0)</f>
        <v>0</v>
      </c>
      <c r="AJ118" s="60" t="n">
        <f aca="false">M118*COMISION</f>
        <v>0</v>
      </c>
    </row>
    <row r="119" customFormat="false" ht="15" hidden="false" customHeight="false" outlineLevel="0" collapsed="false">
      <c r="A119" s="53" t="n">
        <v>46413</v>
      </c>
      <c r="B119" s="54"/>
      <c r="C119" s="54"/>
      <c r="D119" s="54"/>
      <c r="E119" s="54"/>
      <c r="F119" s="54"/>
      <c r="G119" s="54"/>
      <c r="H119" s="54"/>
      <c r="I119" s="55"/>
      <c r="J119" s="55"/>
      <c r="K119" s="55"/>
      <c r="L119" s="56"/>
      <c r="M119" s="31" t="n">
        <f aca="false">B119+C119</f>
        <v>0</v>
      </c>
      <c r="N119" s="31" t="n">
        <f aca="false">X119+Y119</f>
        <v>0</v>
      </c>
      <c r="O119" s="32" t="n">
        <f aca="false">B119*P1_PVP+C119*P2_PVP</f>
        <v>0</v>
      </c>
      <c r="P119" s="32" t="str">
        <f aca="false">IF(M119&gt;0,O119/M119,"")</f>
        <v/>
      </c>
      <c r="Q119" s="32" t="str">
        <f aca="false">IF(M119&gt;0,K119/M119,"")</f>
        <v/>
      </c>
      <c r="R119" s="57" t="str">
        <f aca="false">IF(K119&gt;0,O119/K119,"")</f>
        <v/>
      </c>
      <c r="S119" s="34" t="str">
        <f aca="false">IF(D119+E119+F119+G119&gt;0,(D119+E119)/(D119+E119+F119+G119),"")</f>
        <v/>
      </c>
      <c r="T119" s="33" t="n">
        <f aca="false">D119*(P1_PVP-P1_CPROD)+E119*(P2_PVP-P2_CPROD)-IF(ISNUMBER(I119),I119,D119*P1_LOG+E119*P2_LOG)</f>
        <v>0</v>
      </c>
      <c r="U119" s="33" t="n">
        <f aca="false">T119-(D119*P1_IVAN+E119*P2_IVAN)-(F119+G119)*(COSTE_DEV-IVA_DEV)-AH119-AJ119</f>
        <v>0</v>
      </c>
      <c r="V119" s="33" t="n">
        <f aca="false">AC119-AD119-AE119-AF119-AG119-AH119-AJ119</f>
        <v>0</v>
      </c>
      <c r="X119" s="58" t="n">
        <f aca="false">MAX(0,B119-D119-F119)</f>
        <v>0</v>
      </c>
      <c r="Y119" s="58" t="n">
        <f aca="false">MAX(0,C119-E119-G119)</f>
        <v>0</v>
      </c>
      <c r="Z119" s="59" t="n">
        <f aca="false">D119+X119*TASA_USADA</f>
        <v>0</v>
      </c>
      <c r="AA119" s="59" t="n">
        <f aca="false">E119+Y119*TASA_USADA</f>
        <v>0</v>
      </c>
      <c r="AB119" s="59" t="n">
        <f aca="false">F119+G119+(X119+Y119)*(1-TASA_USADA)</f>
        <v>0</v>
      </c>
      <c r="AC119" s="60" t="n">
        <f aca="false">Z119*P1_PVP+AA119*P2_PVP</f>
        <v>0</v>
      </c>
      <c r="AD119" s="60" t="n">
        <f aca="false">Z119*P1_CPROD+AA119*P2_CPROD</f>
        <v>0</v>
      </c>
      <c r="AE119" s="60" t="n">
        <f aca="false">IF(ISNUMBER(I119),I119,D119*P1_LOG+E119*P2_LOG)+IF(ISNUMBER(J119),J119,X119*P1_LOG+Y119*P2_LOG)*TASA_USADA</f>
        <v>0</v>
      </c>
      <c r="AF119" s="60" t="n">
        <f aca="false">AB119*COSTE_DEV</f>
        <v>0</v>
      </c>
      <c r="AG119" s="60" t="n">
        <f aca="false">Z119*P1_IVAN+AA119*P2_IVAN-AB119*IVA_DEV</f>
        <v>0</v>
      </c>
      <c r="AH119" s="60" t="n">
        <f aca="false">K119*(1+RECARGO_ADS)</f>
        <v>0</v>
      </c>
      <c r="AI119" s="58" t="n">
        <f aca="false">IF(ISNUMBER(I119),D119+E119+X119+Y119,0)</f>
        <v>0</v>
      </c>
      <c r="AJ119" s="60" t="n">
        <f aca="false">M119*COMISION</f>
        <v>0</v>
      </c>
    </row>
    <row r="120" customFormat="false" ht="15" hidden="false" customHeight="false" outlineLevel="0" collapsed="false">
      <c r="A120" s="53" t="n">
        <v>46414</v>
      </c>
      <c r="B120" s="54"/>
      <c r="C120" s="54"/>
      <c r="D120" s="54"/>
      <c r="E120" s="54"/>
      <c r="F120" s="54"/>
      <c r="G120" s="54"/>
      <c r="H120" s="54"/>
      <c r="I120" s="55"/>
      <c r="J120" s="55"/>
      <c r="K120" s="55"/>
      <c r="L120" s="56"/>
      <c r="M120" s="31" t="n">
        <f aca="false">B120+C120</f>
        <v>0</v>
      </c>
      <c r="N120" s="31" t="n">
        <f aca="false">X120+Y120</f>
        <v>0</v>
      </c>
      <c r="O120" s="32" t="n">
        <f aca="false">B120*P1_PVP+C120*P2_PVP</f>
        <v>0</v>
      </c>
      <c r="P120" s="32" t="str">
        <f aca="false">IF(M120&gt;0,O120/M120,"")</f>
        <v/>
      </c>
      <c r="Q120" s="32" t="str">
        <f aca="false">IF(M120&gt;0,K120/M120,"")</f>
        <v/>
      </c>
      <c r="R120" s="57" t="str">
        <f aca="false">IF(K120&gt;0,O120/K120,"")</f>
        <v/>
      </c>
      <c r="S120" s="34" t="str">
        <f aca="false">IF(D120+E120+F120+G120&gt;0,(D120+E120)/(D120+E120+F120+G120),"")</f>
        <v/>
      </c>
      <c r="T120" s="33" t="n">
        <f aca="false">D120*(P1_PVP-P1_CPROD)+E120*(P2_PVP-P2_CPROD)-IF(ISNUMBER(I120),I120,D120*P1_LOG+E120*P2_LOG)</f>
        <v>0</v>
      </c>
      <c r="U120" s="33" t="n">
        <f aca="false">T120-(D120*P1_IVAN+E120*P2_IVAN)-(F120+G120)*(COSTE_DEV-IVA_DEV)-AH120-AJ120</f>
        <v>0</v>
      </c>
      <c r="V120" s="33" t="n">
        <f aca="false">AC120-AD120-AE120-AF120-AG120-AH120-AJ120</f>
        <v>0</v>
      </c>
      <c r="X120" s="58" t="n">
        <f aca="false">MAX(0,B120-D120-F120)</f>
        <v>0</v>
      </c>
      <c r="Y120" s="58" t="n">
        <f aca="false">MAX(0,C120-E120-G120)</f>
        <v>0</v>
      </c>
      <c r="Z120" s="59" t="n">
        <f aca="false">D120+X120*TASA_USADA</f>
        <v>0</v>
      </c>
      <c r="AA120" s="59" t="n">
        <f aca="false">E120+Y120*TASA_USADA</f>
        <v>0</v>
      </c>
      <c r="AB120" s="59" t="n">
        <f aca="false">F120+G120+(X120+Y120)*(1-TASA_USADA)</f>
        <v>0</v>
      </c>
      <c r="AC120" s="60" t="n">
        <f aca="false">Z120*P1_PVP+AA120*P2_PVP</f>
        <v>0</v>
      </c>
      <c r="AD120" s="60" t="n">
        <f aca="false">Z120*P1_CPROD+AA120*P2_CPROD</f>
        <v>0</v>
      </c>
      <c r="AE120" s="60" t="n">
        <f aca="false">IF(ISNUMBER(I120),I120,D120*P1_LOG+E120*P2_LOG)+IF(ISNUMBER(J120),J120,X120*P1_LOG+Y120*P2_LOG)*TASA_USADA</f>
        <v>0</v>
      </c>
      <c r="AF120" s="60" t="n">
        <f aca="false">AB120*COSTE_DEV</f>
        <v>0</v>
      </c>
      <c r="AG120" s="60" t="n">
        <f aca="false">Z120*P1_IVAN+AA120*P2_IVAN-AB120*IVA_DEV</f>
        <v>0</v>
      </c>
      <c r="AH120" s="60" t="n">
        <f aca="false">K120*(1+RECARGO_ADS)</f>
        <v>0</v>
      </c>
      <c r="AI120" s="58" t="n">
        <f aca="false">IF(ISNUMBER(I120),D120+E120+X120+Y120,0)</f>
        <v>0</v>
      </c>
      <c r="AJ120" s="60" t="n">
        <f aca="false">M120*COMISION</f>
        <v>0</v>
      </c>
    </row>
    <row r="121" customFormat="false" ht="15" hidden="false" customHeight="false" outlineLevel="0" collapsed="false">
      <c r="A121" s="53" t="n">
        <v>46415</v>
      </c>
      <c r="B121" s="54"/>
      <c r="C121" s="54"/>
      <c r="D121" s="54"/>
      <c r="E121" s="54"/>
      <c r="F121" s="54"/>
      <c r="G121" s="54"/>
      <c r="H121" s="54"/>
      <c r="I121" s="55"/>
      <c r="J121" s="55"/>
      <c r="K121" s="55"/>
      <c r="L121" s="56"/>
      <c r="M121" s="31" t="n">
        <f aca="false">B121+C121</f>
        <v>0</v>
      </c>
      <c r="N121" s="31" t="n">
        <f aca="false">X121+Y121</f>
        <v>0</v>
      </c>
      <c r="O121" s="32" t="n">
        <f aca="false">B121*P1_PVP+C121*P2_PVP</f>
        <v>0</v>
      </c>
      <c r="P121" s="32" t="str">
        <f aca="false">IF(M121&gt;0,O121/M121,"")</f>
        <v/>
      </c>
      <c r="Q121" s="32" t="str">
        <f aca="false">IF(M121&gt;0,K121/M121,"")</f>
        <v/>
      </c>
      <c r="R121" s="57" t="str">
        <f aca="false">IF(K121&gt;0,O121/K121,"")</f>
        <v/>
      </c>
      <c r="S121" s="34" t="str">
        <f aca="false">IF(D121+E121+F121+G121&gt;0,(D121+E121)/(D121+E121+F121+G121),"")</f>
        <v/>
      </c>
      <c r="T121" s="33" t="n">
        <f aca="false">D121*(P1_PVP-P1_CPROD)+E121*(P2_PVP-P2_CPROD)-IF(ISNUMBER(I121),I121,D121*P1_LOG+E121*P2_LOG)</f>
        <v>0</v>
      </c>
      <c r="U121" s="33" t="n">
        <f aca="false">T121-(D121*P1_IVAN+E121*P2_IVAN)-(F121+G121)*(COSTE_DEV-IVA_DEV)-AH121-AJ121</f>
        <v>0</v>
      </c>
      <c r="V121" s="33" t="n">
        <f aca="false">AC121-AD121-AE121-AF121-AG121-AH121-AJ121</f>
        <v>0</v>
      </c>
      <c r="X121" s="58" t="n">
        <f aca="false">MAX(0,B121-D121-F121)</f>
        <v>0</v>
      </c>
      <c r="Y121" s="58" t="n">
        <f aca="false">MAX(0,C121-E121-G121)</f>
        <v>0</v>
      </c>
      <c r="Z121" s="59" t="n">
        <f aca="false">D121+X121*TASA_USADA</f>
        <v>0</v>
      </c>
      <c r="AA121" s="59" t="n">
        <f aca="false">E121+Y121*TASA_USADA</f>
        <v>0</v>
      </c>
      <c r="AB121" s="59" t="n">
        <f aca="false">F121+G121+(X121+Y121)*(1-TASA_USADA)</f>
        <v>0</v>
      </c>
      <c r="AC121" s="60" t="n">
        <f aca="false">Z121*P1_PVP+AA121*P2_PVP</f>
        <v>0</v>
      </c>
      <c r="AD121" s="60" t="n">
        <f aca="false">Z121*P1_CPROD+AA121*P2_CPROD</f>
        <v>0</v>
      </c>
      <c r="AE121" s="60" t="n">
        <f aca="false">IF(ISNUMBER(I121),I121,D121*P1_LOG+E121*P2_LOG)+IF(ISNUMBER(J121),J121,X121*P1_LOG+Y121*P2_LOG)*TASA_USADA</f>
        <v>0</v>
      </c>
      <c r="AF121" s="60" t="n">
        <f aca="false">AB121*COSTE_DEV</f>
        <v>0</v>
      </c>
      <c r="AG121" s="60" t="n">
        <f aca="false">Z121*P1_IVAN+AA121*P2_IVAN-AB121*IVA_DEV</f>
        <v>0</v>
      </c>
      <c r="AH121" s="60" t="n">
        <f aca="false">K121*(1+RECARGO_ADS)</f>
        <v>0</v>
      </c>
      <c r="AI121" s="58" t="n">
        <f aca="false">IF(ISNUMBER(I121),D121+E121+X121+Y121,0)</f>
        <v>0</v>
      </c>
      <c r="AJ121" s="60" t="n">
        <f aca="false">M121*COMISION</f>
        <v>0</v>
      </c>
    </row>
    <row r="122" customFormat="false" ht="15" hidden="false" customHeight="false" outlineLevel="0" collapsed="false">
      <c r="A122" s="53" t="n">
        <v>46416</v>
      </c>
      <c r="B122" s="54"/>
      <c r="C122" s="54"/>
      <c r="D122" s="54"/>
      <c r="E122" s="54"/>
      <c r="F122" s="54"/>
      <c r="G122" s="54"/>
      <c r="H122" s="54"/>
      <c r="I122" s="55"/>
      <c r="J122" s="55"/>
      <c r="K122" s="55"/>
      <c r="L122" s="56"/>
      <c r="M122" s="31" t="n">
        <f aca="false">B122+C122</f>
        <v>0</v>
      </c>
      <c r="N122" s="31" t="n">
        <f aca="false">X122+Y122</f>
        <v>0</v>
      </c>
      <c r="O122" s="32" t="n">
        <f aca="false">B122*P1_PVP+C122*P2_PVP</f>
        <v>0</v>
      </c>
      <c r="P122" s="32" t="str">
        <f aca="false">IF(M122&gt;0,O122/M122,"")</f>
        <v/>
      </c>
      <c r="Q122" s="32" t="str">
        <f aca="false">IF(M122&gt;0,K122/M122,"")</f>
        <v/>
      </c>
      <c r="R122" s="57" t="str">
        <f aca="false">IF(K122&gt;0,O122/K122,"")</f>
        <v/>
      </c>
      <c r="S122" s="34" t="str">
        <f aca="false">IF(D122+E122+F122+G122&gt;0,(D122+E122)/(D122+E122+F122+G122),"")</f>
        <v/>
      </c>
      <c r="T122" s="33" t="n">
        <f aca="false">D122*(P1_PVP-P1_CPROD)+E122*(P2_PVP-P2_CPROD)-IF(ISNUMBER(I122),I122,D122*P1_LOG+E122*P2_LOG)</f>
        <v>0</v>
      </c>
      <c r="U122" s="33" t="n">
        <f aca="false">T122-(D122*P1_IVAN+E122*P2_IVAN)-(F122+G122)*(COSTE_DEV-IVA_DEV)-AH122-AJ122</f>
        <v>0</v>
      </c>
      <c r="V122" s="33" t="n">
        <f aca="false">AC122-AD122-AE122-AF122-AG122-AH122-AJ122</f>
        <v>0</v>
      </c>
      <c r="X122" s="58" t="n">
        <f aca="false">MAX(0,B122-D122-F122)</f>
        <v>0</v>
      </c>
      <c r="Y122" s="58" t="n">
        <f aca="false">MAX(0,C122-E122-G122)</f>
        <v>0</v>
      </c>
      <c r="Z122" s="59" t="n">
        <f aca="false">D122+X122*TASA_USADA</f>
        <v>0</v>
      </c>
      <c r="AA122" s="59" t="n">
        <f aca="false">E122+Y122*TASA_USADA</f>
        <v>0</v>
      </c>
      <c r="AB122" s="59" t="n">
        <f aca="false">F122+G122+(X122+Y122)*(1-TASA_USADA)</f>
        <v>0</v>
      </c>
      <c r="AC122" s="60" t="n">
        <f aca="false">Z122*P1_PVP+AA122*P2_PVP</f>
        <v>0</v>
      </c>
      <c r="AD122" s="60" t="n">
        <f aca="false">Z122*P1_CPROD+AA122*P2_CPROD</f>
        <v>0</v>
      </c>
      <c r="AE122" s="60" t="n">
        <f aca="false">IF(ISNUMBER(I122),I122,D122*P1_LOG+E122*P2_LOG)+IF(ISNUMBER(J122),J122,X122*P1_LOG+Y122*P2_LOG)*TASA_USADA</f>
        <v>0</v>
      </c>
      <c r="AF122" s="60" t="n">
        <f aca="false">AB122*COSTE_DEV</f>
        <v>0</v>
      </c>
      <c r="AG122" s="60" t="n">
        <f aca="false">Z122*P1_IVAN+AA122*P2_IVAN-AB122*IVA_DEV</f>
        <v>0</v>
      </c>
      <c r="AH122" s="60" t="n">
        <f aca="false">K122*(1+RECARGO_ADS)</f>
        <v>0</v>
      </c>
      <c r="AI122" s="58" t="n">
        <f aca="false">IF(ISNUMBER(I122),D122+E122+X122+Y122,0)</f>
        <v>0</v>
      </c>
      <c r="AJ122" s="60" t="n">
        <f aca="false">M122*COMISION</f>
        <v>0</v>
      </c>
    </row>
    <row r="123" customFormat="false" ht="15" hidden="false" customHeight="false" outlineLevel="0" collapsed="false">
      <c r="A123" s="53" t="n">
        <v>46417</v>
      </c>
      <c r="B123" s="54"/>
      <c r="C123" s="54"/>
      <c r="D123" s="54"/>
      <c r="E123" s="54"/>
      <c r="F123" s="54"/>
      <c r="G123" s="54"/>
      <c r="H123" s="54"/>
      <c r="I123" s="55"/>
      <c r="J123" s="55"/>
      <c r="K123" s="55"/>
      <c r="L123" s="56"/>
      <c r="M123" s="31" t="n">
        <f aca="false">B123+C123</f>
        <v>0</v>
      </c>
      <c r="N123" s="31" t="n">
        <f aca="false">X123+Y123</f>
        <v>0</v>
      </c>
      <c r="O123" s="32" t="n">
        <f aca="false">B123*P1_PVP+C123*P2_PVP</f>
        <v>0</v>
      </c>
      <c r="P123" s="32" t="str">
        <f aca="false">IF(M123&gt;0,O123/M123,"")</f>
        <v/>
      </c>
      <c r="Q123" s="32" t="str">
        <f aca="false">IF(M123&gt;0,K123/M123,"")</f>
        <v/>
      </c>
      <c r="R123" s="57" t="str">
        <f aca="false">IF(K123&gt;0,O123/K123,"")</f>
        <v/>
      </c>
      <c r="S123" s="34" t="str">
        <f aca="false">IF(D123+E123+F123+G123&gt;0,(D123+E123)/(D123+E123+F123+G123),"")</f>
        <v/>
      </c>
      <c r="T123" s="33" t="n">
        <f aca="false">D123*(P1_PVP-P1_CPROD)+E123*(P2_PVP-P2_CPROD)-IF(ISNUMBER(I123),I123,D123*P1_LOG+E123*P2_LOG)</f>
        <v>0</v>
      </c>
      <c r="U123" s="33" t="n">
        <f aca="false">T123-(D123*P1_IVAN+E123*P2_IVAN)-(F123+G123)*(COSTE_DEV-IVA_DEV)-AH123-AJ123</f>
        <v>0</v>
      </c>
      <c r="V123" s="33" t="n">
        <f aca="false">AC123-AD123-AE123-AF123-AG123-AH123-AJ123</f>
        <v>0</v>
      </c>
      <c r="X123" s="58" t="n">
        <f aca="false">MAX(0,B123-D123-F123)</f>
        <v>0</v>
      </c>
      <c r="Y123" s="58" t="n">
        <f aca="false">MAX(0,C123-E123-G123)</f>
        <v>0</v>
      </c>
      <c r="Z123" s="59" t="n">
        <f aca="false">D123+X123*TASA_USADA</f>
        <v>0</v>
      </c>
      <c r="AA123" s="59" t="n">
        <f aca="false">E123+Y123*TASA_USADA</f>
        <v>0</v>
      </c>
      <c r="AB123" s="59" t="n">
        <f aca="false">F123+G123+(X123+Y123)*(1-TASA_USADA)</f>
        <v>0</v>
      </c>
      <c r="AC123" s="60" t="n">
        <f aca="false">Z123*P1_PVP+AA123*P2_PVP</f>
        <v>0</v>
      </c>
      <c r="AD123" s="60" t="n">
        <f aca="false">Z123*P1_CPROD+AA123*P2_CPROD</f>
        <v>0</v>
      </c>
      <c r="AE123" s="60" t="n">
        <f aca="false">IF(ISNUMBER(I123),I123,D123*P1_LOG+E123*P2_LOG)+IF(ISNUMBER(J123),J123,X123*P1_LOG+Y123*P2_LOG)*TASA_USADA</f>
        <v>0</v>
      </c>
      <c r="AF123" s="60" t="n">
        <f aca="false">AB123*COSTE_DEV</f>
        <v>0</v>
      </c>
      <c r="AG123" s="60" t="n">
        <f aca="false">Z123*P1_IVAN+AA123*P2_IVAN-AB123*IVA_DEV</f>
        <v>0</v>
      </c>
      <c r="AH123" s="60" t="n">
        <f aca="false">K123*(1+RECARGO_ADS)</f>
        <v>0</v>
      </c>
      <c r="AI123" s="58" t="n">
        <f aca="false">IF(ISNUMBER(I123),D123+E123+X123+Y123,0)</f>
        <v>0</v>
      </c>
      <c r="AJ123" s="60" t="n">
        <f aca="false">M123*COMISION</f>
        <v>0</v>
      </c>
    </row>
    <row r="124" customFormat="false" ht="15" hidden="false" customHeight="false" outlineLevel="0" collapsed="false">
      <c r="A124" s="53" t="n">
        <v>46418</v>
      </c>
      <c r="B124" s="54"/>
      <c r="C124" s="54"/>
      <c r="D124" s="54"/>
      <c r="E124" s="54"/>
      <c r="F124" s="54"/>
      <c r="G124" s="54"/>
      <c r="H124" s="54"/>
      <c r="I124" s="55"/>
      <c r="J124" s="55"/>
      <c r="K124" s="55"/>
      <c r="L124" s="56"/>
      <c r="M124" s="31" t="n">
        <f aca="false">B124+C124</f>
        <v>0</v>
      </c>
      <c r="N124" s="31" t="n">
        <f aca="false">X124+Y124</f>
        <v>0</v>
      </c>
      <c r="O124" s="32" t="n">
        <f aca="false">B124*P1_PVP+C124*P2_PVP</f>
        <v>0</v>
      </c>
      <c r="P124" s="32" t="str">
        <f aca="false">IF(M124&gt;0,O124/M124,"")</f>
        <v/>
      </c>
      <c r="Q124" s="32" t="str">
        <f aca="false">IF(M124&gt;0,K124/M124,"")</f>
        <v/>
      </c>
      <c r="R124" s="57" t="str">
        <f aca="false">IF(K124&gt;0,O124/K124,"")</f>
        <v/>
      </c>
      <c r="S124" s="34" t="str">
        <f aca="false">IF(D124+E124+F124+G124&gt;0,(D124+E124)/(D124+E124+F124+G124),"")</f>
        <v/>
      </c>
      <c r="T124" s="33" t="n">
        <f aca="false">D124*(P1_PVP-P1_CPROD)+E124*(P2_PVP-P2_CPROD)-IF(ISNUMBER(I124),I124,D124*P1_LOG+E124*P2_LOG)</f>
        <v>0</v>
      </c>
      <c r="U124" s="33" t="n">
        <f aca="false">T124-(D124*P1_IVAN+E124*P2_IVAN)-(F124+G124)*(COSTE_DEV-IVA_DEV)-AH124-AJ124</f>
        <v>0</v>
      </c>
      <c r="V124" s="33" t="n">
        <f aca="false">AC124-AD124-AE124-AF124-AG124-AH124-AJ124</f>
        <v>0</v>
      </c>
      <c r="X124" s="58" t="n">
        <f aca="false">MAX(0,B124-D124-F124)</f>
        <v>0</v>
      </c>
      <c r="Y124" s="58" t="n">
        <f aca="false">MAX(0,C124-E124-G124)</f>
        <v>0</v>
      </c>
      <c r="Z124" s="59" t="n">
        <f aca="false">D124+X124*TASA_USADA</f>
        <v>0</v>
      </c>
      <c r="AA124" s="59" t="n">
        <f aca="false">E124+Y124*TASA_USADA</f>
        <v>0</v>
      </c>
      <c r="AB124" s="59" t="n">
        <f aca="false">F124+G124+(X124+Y124)*(1-TASA_USADA)</f>
        <v>0</v>
      </c>
      <c r="AC124" s="60" t="n">
        <f aca="false">Z124*P1_PVP+AA124*P2_PVP</f>
        <v>0</v>
      </c>
      <c r="AD124" s="60" t="n">
        <f aca="false">Z124*P1_CPROD+AA124*P2_CPROD</f>
        <v>0</v>
      </c>
      <c r="AE124" s="60" t="n">
        <f aca="false">IF(ISNUMBER(I124),I124,D124*P1_LOG+E124*P2_LOG)+IF(ISNUMBER(J124),J124,X124*P1_LOG+Y124*P2_LOG)*TASA_USADA</f>
        <v>0</v>
      </c>
      <c r="AF124" s="60" t="n">
        <f aca="false">AB124*COSTE_DEV</f>
        <v>0</v>
      </c>
      <c r="AG124" s="60" t="n">
        <f aca="false">Z124*P1_IVAN+AA124*P2_IVAN-AB124*IVA_DEV</f>
        <v>0</v>
      </c>
      <c r="AH124" s="60" t="n">
        <f aca="false">K124*(1+RECARGO_ADS)</f>
        <v>0</v>
      </c>
      <c r="AI124" s="58" t="n">
        <f aca="false">IF(ISNUMBER(I124),D124+E124+X124+Y124,0)</f>
        <v>0</v>
      </c>
      <c r="AJ124" s="60" t="n">
        <f aca="false">M124*COMISION</f>
        <v>0</v>
      </c>
    </row>
    <row r="125" customFormat="false" ht="15" hidden="false" customHeight="false" outlineLevel="0" collapsed="false">
      <c r="A125" s="53" t="n">
        <v>46419</v>
      </c>
      <c r="B125" s="54"/>
      <c r="C125" s="54"/>
      <c r="D125" s="54"/>
      <c r="E125" s="54"/>
      <c r="F125" s="54"/>
      <c r="G125" s="54"/>
      <c r="H125" s="54"/>
      <c r="I125" s="55"/>
      <c r="J125" s="55"/>
      <c r="K125" s="55"/>
      <c r="L125" s="56"/>
      <c r="M125" s="31" t="n">
        <f aca="false">B125+C125</f>
        <v>0</v>
      </c>
      <c r="N125" s="31" t="n">
        <f aca="false">X125+Y125</f>
        <v>0</v>
      </c>
      <c r="O125" s="32" t="n">
        <f aca="false">B125*P1_PVP+C125*P2_PVP</f>
        <v>0</v>
      </c>
      <c r="P125" s="32" t="str">
        <f aca="false">IF(M125&gt;0,O125/M125,"")</f>
        <v/>
      </c>
      <c r="Q125" s="32" t="str">
        <f aca="false">IF(M125&gt;0,K125/M125,"")</f>
        <v/>
      </c>
      <c r="R125" s="57" t="str">
        <f aca="false">IF(K125&gt;0,O125/K125,"")</f>
        <v/>
      </c>
      <c r="S125" s="34" t="str">
        <f aca="false">IF(D125+E125+F125+G125&gt;0,(D125+E125)/(D125+E125+F125+G125),"")</f>
        <v/>
      </c>
      <c r="T125" s="33" t="n">
        <f aca="false">D125*(P1_PVP-P1_CPROD)+E125*(P2_PVP-P2_CPROD)-IF(ISNUMBER(I125),I125,D125*P1_LOG+E125*P2_LOG)</f>
        <v>0</v>
      </c>
      <c r="U125" s="33" t="n">
        <f aca="false">T125-(D125*P1_IVAN+E125*P2_IVAN)-(F125+G125)*(COSTE_DEV-IVA_DEV)-AH125-AJ125</f>
        <v>0</v>
      </c>
      <c r="V125" s="33" t="n">
        <f aca="false">AC125-AD125-AE125-AF125-AG125-AH125-AJ125</f>
        <v>0</v>
      </c>
      <c r="X125" s="58" t="n">
        <f aca="false">MAX(0,B125-D125-F125)</f>
        <v>0</v>
      </c>
      <c r="Y125" s="58" t="n">
        <f aca="false">MAX(0,C125-E125-G125)</f>
        <v>0</v>
      </c>
      <c r="Z125" s="59" t="n">
        <f aca="false">D125+X125*TASA_USADA</f>
        <v>0</v>
      </c>
      <c r="AA125" s="59" t="n">
        <f aca="false">E125+Y125*TASA_USADA</f>
        <v>0</v>
      </c>
      <c r="AB125" s="59" t="n">
        <f aca="false">F125+G125+(X125+Y125)*(1-TASA_USADA)</f>
        <v>0</v>
      </c>
      <c r="AC125" s="60" t="n">
        <f aca="false">Z125*P1_PVP+AA125*P2_PVP</f>
        <v>0</v>
      </c>
      <c r="AD125" s="60" t="n">
        <f aca="false">Z125*P1_CPROD+AA125*P2_CPROD</f>
        <v>0</v>
      </c>
      <c r="AE125" s="60" t="n">
        <f aca="false">IF(ISNUMBER(I125),I125,D125*P1_LOG+E125*P2_LOG)+IF(ISNUMBER(J125),J125,X125*P1_LOG+Y125*P2_LOG)*TASA_USADA</f>
        <v>0</v>
      </c>
      <c r="AF125" s="60" t="n">
        <f aca="false">AB125*COSTE_DEV</f>
        <v>0</v>
      </c>
      <c r="AG125" s="60" t="n">
        <f aca="false">Z125*P1_IVAN+AA125*P2_IVAN-AB125*IVA_DEV</f>
        <v>0</v>
      </c>
      <c r="AH125" s="60" t="n">
        <f aca="false">K125*(1+RECARGO_ADS)</f>
        <v>0</v>
      </c>
      <c r="AI125" s="58" t="n">
        <f aca="false">IF(ISNUMBER(I125),D125+E125+X125+Y125,0)</f>
        <v>0</v>
      </c>
      <c r="AJ125" s="60" t="n">
        <f aca="false">M125*COMISION</f>
        <v>0</v>
      </c>
    </row>
    <row r="126" customFormat="false" ht="15" hidden="false" customHeight="false" outlineLevel="0" collapsed="false">
      <c r="A126" s="53" t="n">
        <v>46420</v>
      </c>
      <c r="B126" s="54"/>
      <c r="C126" s="54"/>
      <c r="D126" s="54"/>
      <c r="E126" s="54"/>
      <c r="F126" s="54"/>
      <c r="G126" s="54"/>
      <c r="H126" s="54"/>
      <c r="I126" s="55"/>
      <c r="J126" s="55"/>
      <c r="K126" s="55"/>
      <c r="L126" s="56"/>
      <c r="M126" s="31" t="n">
        <f aca="false">B126+C126</f>
        <v>0</v>
      </c>
      <c r="N126" s="31" t="n">
        <f aca="false">X126+Y126</f>
        <v>0</v>
      </c>
      <c r="O126" s="32" t="n">
        <f aca="false">B126*P1_PVP+C126*P2_PVP</f>
        <v>0</v>
      </c>
      <c r="P126" s="32" t="str">
        <f aca="false">IF(M126&gt;0,O126/M126,"")</f>
        <v/>
      </c>
      <c r="Q126" s="32" t="str">
        <f aca="false">IF(M126&gt;0,K126/M126,"")</f>
        <v/>
      </c>
      <c r="R126" s="57" t="str">
        <f aca="false">IF(K126&gt;0,O126/K126,"")</f>
        <v/>
      </c>
      <c r="S126" s="34" t="str">
        <f aca="false">IF(D126+E126+F126+G126&gt;0,(D126+E126)/(D126+E126+F126+G126),"")</f>
        <v/>
      </c>
      <c r="T126" s="33" t="n">
        <f aca="false">D126*(P1_PVP-P1_CPROD)+E126*(P2_PVP-P2_CPROD)-IF(ISNUMBER(I126),I126,D126*P1_LOG+E126*P2_LOG)</f>
        <v>0</v>
      </c>
      <c r="U126" s="33" t="n">
        <f aca="false">T126-(D126*P1_IVAN+E126*P2_IVAN)-(F126+G126)*(COSTE_DEV-IVA_DEV)-AH126-AJ126</f>
        <v>0</v>
      </c>
      <c r="V126" s="33" t="n">
        <f aca="false">AC126-AD126-AE126-AF126-AG126-AH126-AJ126</f>
        <v>0</v>
      </c>
      <c r="X126" s="58" t="n">
        <f aca="false">MAX(0,B126-D126-F126)</f>
        <v>0</v>
      </c>
      <c r="Y126" s="58" t="n">
        <f aca="false">MAX(0,C126-E126-G126)</f>
        <v>0</v>
      </c>
      <c r="Z126" s="59" t="n">
        <f aca="false">D126+X126*TASA_USADA</f>
        <v>0</v>
      </c>
      <c r="AA126" s="59" t="n">
        <f aca="false">E126+Y126*TASA_USADA</f>
        <v>0</v>
      </c>
      <c r="AB126" s="59" t="n">
        <f aca="false">F126+G126+(X126+Y126)*(1-TASA_USADA)</f>
        <v>0</v>
      </c>
      <c r="AC126" s="60" t="n">
        <f aca="false">Z126*P1_PVP+AA126*P2_PVP</f>
        <v>0</v>
      </c>
      <c r="AD126" s="60" t="n">
        <f aca="false">Z126*P1_CPROD+AA126*P2_CPROD</f>
        <v>0</v>
      </c>
      <c r="AE126" s="60" t="n">
        <f aca="false">IF(ISNUMBER(I126),I126,D126*P1_LOG+E126*P2_LOG)+IF(ISNUMBER(J126),J126,X126*P1_LOG+Y126*P2_LOG)*TASA_USADA</f>
        <v>0</v>
      </c>
      <c r="AF126" s="60" t="n">
        <f aca="false">AB126*COSTE_DEV</f>
        <v>0</v>
      </c>
      <c r="AG126" s="60" t="n">
        <f aca="false">Z126*P1_IVAN+AA126*P2_IVAN-AB126*IVA_DEV</f>
        <v>0</v>
      </c>
      <c r="AH126" s="60" t="n">
        <f aca="false">K126*(1+RECARGO_ADS)</f>
        <v>0</v>
      </c>
      <c r="AI126" s="58" t="n">
        <f aca="false">IF(ISNUMBER(I126),D126+E126+X126+Y126,0)</f>
        <v>0</v>
      </c>
      <c r="AJ126" s="60" t="n">
        <f aca="false">M126*COMISION</f>
        <v>0</v>
      </c>
    </row>
    <row r="127" customFormat="false" ht="15" hidden="false" customHeight="false" outlineLevel="0" collapsed="false">
      <c r="A127" s="53" t="n">
        <v>46421</v>
      </c>
      <c r="B127" s="54"/>
      <c r="C127" s="54"/>
      <c r="D127" s="54"/>
      <c r="E127" s="54"/>
      <c r="F127" s="54"/>
      <c r="G127" s="54"/>
      <c r="H127" s="54"/>
      <c r="I127" s="55"/>
      <c r="J127" s="55"/>
      <c r="K127" s="55"/>
      <c r="L127" s="56"/>
      <c r="M127" s="31" t="n">
        <f aca="false">B127+C127</f>
        <v>0</v>
      </c>
      <c r="N127" s="31" t="n">
        <f aca="false">X127+Y127</f>
        <v>0</v>
      </c>
      <c r="O127" s="32" t="n">
        <f aca="false">B127*P1_PVP+C127*P2_PVP</f>
        <v>0</v>
      </c>
      <c r="P127" s="32" t="str">
        <f aca="false">IF(M127&gt;0,O127/M127,"")</f>
        <v/>
      </c>
      <c r="Q127" s="32" t="str">
        <f aca="false">IF(M127&gt;0,K127/M127,"")</f>
        <v/>
      </c>
      <c r="R127" s="57" t="str">
        <f aca="false">IF(K127&gt;0,O127/K127,"")</f>
        <v/>
      </c>
      <c r="S127" s="34" t="str">
        <f aca="false">IF(D127+E127+F127+G127&gt;0,(D127+E127)/(D127+E127+F127+G127),"")</f>
        <v/>
      </c>
      <c r="T127" s="33" t="n">
        <f aca="false">D127*(P1_PVP-P1_CPROD)+E127*(P2_PVP-P2_CPROD)-IF(ISNUMBER(I127),I127,D127*P1_LOG+E127*P2_LOG)</f>
        <v>0</v>
      </c>
      <c r="U127" s="33" t="n">
        <f aca="false">T127-(D127*P1_IVAN+E127*P2_IVAN)-(F127+G127)*(COSTE_DEV-IVA_DEV)-AH127-AJ127</f>
        <v>0</v>
      </c>
      <c r="V127" s="33" t="n">
        <f aca="false">AC127-AD127-AE127-AF127-AG127-AH127-AJ127</f>
        <v>0</v>
      </c>
      <c r="X127" s="58" t="n">
        <f aca="false">MAX(0,B127-D127-F127)</f>
        <v>0</v>
      </c>
      <c r="Y127" s="58" t="n">
        <f aca="false">MAX(0,C127-E127-G127)</f>
        <v>0</v>
      </c>
      <c r="Z127" s="59" t="n">
        <f aca="false">D127+X127*TASA_USADA</f>
        <v>0</v>
      </c>
      <c r="AA127" s="59" t="n">
        <f aca="false">E127+Y127*TASA_USADA</f>
        <v>0</v>
      </c>
      <c r="AB127" s="59" t="n">
        <f aca="false">F127+G127+(X127+Y127)*(1-TASA_USADA)</f>
        <v>0</v>
      </c>
      <c r="AC127" s="60" t="n">
        <f aca="false">Z127*P1_PVP+AA127*P2_PVP</f>
        <v>0</v>
      </c>
      <c r="AD127" s="60" t="n">
        <f aca="false">Z127*P1_CPROD+AA127*P2_CPROD</f>
        <v>0</v>
      </c>
      <c r="AE127" s="60" t="n">
        <f aca="false">IF(ISNUMBER(I127),I127,D127*P1_LOG+E127*P2_LOG)+IF(ISNUMBER(J127),J127,X127*P1_LOG+Y127*P2_LOG)*TASA_USADA</f>
        <v>0</v>
      </c>
      <c r="AF127" s="60" t="n">
        <f aca="false">AB127*COSTE_DEV</f>
        <v>0</v>
      </c>
      <c r="AG127" s="60" t="n">
        <f aca="false">Z127*P1_IVAN+AA127*P2_IVAN-AB127*IVA_DEV</f>
        <v>0</v>
      </c>
      <c r="AH127" s="60" t="n">
        <f aca="false">K127*(1+RECARGO_ADS)</f>
        <v>0</v>
      </c>
      <c r="AI127" s="58" t="n">
        <f aca="false">IF(ISNUMBER(I127),D127+E127+X127+Y127,0)</f>
        <v>0</v>
      </c>
      <c r="AJ127" s="60" t="n">
        <f aca="false">M127*COMISION</f>
        <v>0</v>
      </c>
    </row>
    <row r="128" customFormat="false" ht="15" hidden="false" customHeight="false" outlineLevel="0" collapsed="false">
      <c r="A128" s="53" t="n">
        <v>46422</v>
      </c>
      <c r="B128" s="54"/>
      <c r="C128" s="54"/>
      <c r="D128" s="54"/>
      <c r="E128" s="54"/>
      <c r="F128" s="54"/>
      <c r="G128" s="54"/>
      <c r="H128" s="54"/>
      <c r="I128" s="55"/>
      <c r="J128" s="55"/>
      <c r="K128" s="55"/>
      <c r="L128" s="56"/>
      <c r="M128" s="31" t="n">
        <f aca="false">B128+C128</f>
        <v>0</v>
      </c>
      <c r="N128" s="31" t="n">
        <f aca="false">X128+Y128</f>
        <v>0</v>
      </c>
      <c r="O128" s="32" t="n">
        <f aca="false">B128*P1_PVP+C128*P2_PVP</f>
        <v>0</v>
      </c>
      <c r="P128" s="32" t="str">
        <f aca="false">IF(M128&gt;0,O128/M128,"")</f>
        <v/>
      </c>
      <c r="Q128" s="32" t="str">
        <f aca="false">IF(M128&gt;0,K128/M128,"")</f>
        <v/>
      </c>
      <c r="R128" s="57" t="str">
        <f aca="false">IF(K128&gt;0,O128/K128,"")</f>
        <v/>
      </c>
      <c r="S128" s="34" t="str">
        <f aca="false">IF(D128+E128+F128+G128&gt;0,(D128+E128)/(D128+E128+F128+G128),"")</f>
        <v/>
      </c>
      <c r="T128" s="33" t="n">
        <f aca="false">D128*(P1_PVP-P1_CPROD)+E128*(P2_PVP-P2_CPROD)-IF(ISNUMBER(I128),I128,D128*P1_LOG+E128*P2_LOG)</f>
        <v>0</v>
      </c>
      <c r="U128" s="33" t="n">
        <f aca="false">T128-(D128*P1_IVAN+E128*P2_IVAN)-(F128+G128)*(COSTE_DEV-IVA_DEV)-AH128-AJ128</f>
        <v>0</v>
      </c>
      <c r="V128" s="33" t="n">
        <f aca="false">AC128-AD128-AE128-AF128-AG128-AH128-AJ128</f>
        <v>0</v>
      </c>
      <c r="X128" s="58" t="n">
        <f aca="false">MAX(0,B128-D128-F128)</f>
        <v>0</v>
      </c>
      <c r="Y128" s="58" t="n">
        <f aca="false">MAX(0,C128-E128-G128)</f>
        <v>0</v>
      </c>
      <c r="Z128" s="59" t="n">
        <f aca="false">D128+X128*TASA_USADA</f>
        <v>0</v>
      </c>
      <c r="AA128" s="59" t="n">
        <f aca="false">E128+Y128*TASA_USADA</f>
        <v>0</v>
      </c>
      <c r="AB128" s="59" t="n">
        <f aca="false">F128+G128+(X128+Y128)*(1-TASA_USADA)</f>
        <v>0</v>
      </c>
      <c r="AC128" s="60" t="n">
        <f aca="false">Z128*P1_PVP+AA128*P2_PVP</f>
        <v>0</v>
      </c>
      <c r="AD128" s="60" t="n">
        <f aca="false">Z128*P1_CPROD+AA128*P2_CPROD</f>
        <v>0</v>
      </c>
      <c r="AE128" s="60" t="n">
        <f aca="false">IF(ISNUMBER(I128),I128,D128*P1_LOG+E128*P2_LOG)+IF(ISNUMBER(J128),J128,X128*P1_LOG+Y128*P2_LOG)*TASA_USADA</f>
        <v>0</v>
      </c>
      <c r="AF128" s="60" t="n">
        <f aca="false">AB128*COSTE_DEV</f>
        <v>0</v>
      </c>
      <c r="AG128" s="60" t="n">
        <f aca="false">Z128*P1_IVAN+AA128*P2_IVAN-AB128*IVA_DEV</f>
        <v>0</v>
      </c>
      <c r="AH128" s="60" t="n">
        <f aca="false">K128*(1+RECARGO_ADS)</f>
        <v>0</v>
      </c>
      <c r="AI128" s="58" t="n">
        <f aca="false">IF(ISNUMBER(I128),D128+E128+X128+Y128,0)</f>
        <v>0</v>
      </c>
      <c r="AJ128" s="60" t="n">
        <f aca="false">M128*COMISION</f>
        <v>0</v>
      </c>
    </row>
    <row r="129" customFormat="false" ht="15" hidden="false" customHeight="false" outlineLevel="0" collapsed="false">
      <c r="A129" s="53" t="n">
        <v>46423</v>
      </c>
      <c r="B129" s="54"/>
      <c r="C129" s="54"/>
      <c r="D129" s="54"/>
      <c r="E129" s="54"/>
      <c r="F129" s="54"/>
      <c r="G129" s="54"/>
      <c r="H129" s="54"/>
      <c r="I129" s="55"/>
      <c r="J129" s="55"/>
      <c r="K129" s="55"/>
      <c r="L129" s="56"/>
      <c r="M129" s="31" t="n">
        <f aca="false">B129+C129</f>
        <v>0</v>
      </c>
      <c r="N129" s="31" t="n">
        <f aca="false">X129+Y129</f>
        <v>0</v>
      </c>
      <c r="O129" s="32" t="n">
        <f aca="false">B129*P1_PVP+C129*P2_PVP</f>
        <v>0</v>
      </c>
      <c r="P129" s="32" t="str">
        <f aca="false">IF(M129&gt;0,O129/M129,"")</f>
        <v/>
      </c>
      <c r="Q129" s="32" t="str">
        <f aca="false">IF(M129&gt;0,K129/M129,"")</f>
        <v/>
      </c>
      <c r="R129" s="57" t="str">
        <f aca="false">IF(K129&gt;0,O129/K129,"")</f>
        <v/>
      </c>
      <c r="S129" s="34" t="str">
        <f aca="false">IF(D129+E129+F129+G129&gt;0,(D129+E129)/(D129+E129+F129+G129),"")</f>
        <v/>
      </c>
      <c r="T129" s="33" t="n">
        <f aca="false">D129*(P1_PVP-P1_CPROD)+E129*(P2_PVP-P2_CPROD)-IF(ISNUMBER(I129),I129,D129*P1_LOG+E129*P2_LOG)</f>
        <v>0</v>
      </c>
      <c r="U129" s="33" t="n">
        <f aca="false">T129-(D129*P1_IVAN+E129*P2_IVAN)-(F129+G129)*(COSTE_DEV-IVA_DEV)-AH129-AJ129</f>
        <v>0</v>
      </c>
      <c r="V129" s="33" t="n">
        <f aca="false">AC129-AD129-AE129-AF129-AG129-AH129-AJ129</f>
        <v>0</v>
      </c>
      <c r="X129" s="58" t="n">
        <f aca="false">MAX(0,B129-D129-F129)</f>
        <v>0</v>
      </c>
      <c r="Y129" s="58" t="n">
        <f aca="false">MAX(0,C129-E129-G129)</f>
        <v>0</v>
      </c>
      <c r="Z129" s="59" t="n">
        <f aca="false">D129+X129*TASA_USADA</f>
        <v>0</v>
      </c>
      <c r="AA129" s="59" t="n">
        <f aca="false">E129+Y129*TASA_USADA</f>
        <v>0</v>
      </c>
      <c r="AB129" s="59" t="n">
        <f aca="false">F129+G129+(X129+Y129)*(1-TASA_USADA)</f>
        <v>0</v>
      </c>
      <c r="AC129" s="60" t="n">
        <f aca="false">Z129*P1_PVP+AA129*P2_PVP</f>
        <v>0</v>
      </c>
      <c r="AD129" s="60" t="n">
        <f aca="false">Z129*P1_CPROD+AA129*P2_CPROD</f>
        <v>0</v>
      </c>
      <c r="AE129" s="60" t="n">
        <f aca="false">IF(ISNUMBER(I129),I129,D129*P1_LOG+E129*P2_LOG)+IF(ISNUMBER(J129),J129,X129*P1_LOG+Y129*P2_LOG)*TASA_USADA</f>
        <v>0</v>
      </c>
      <c r="AF129" s="60" t="n">
        <f aca="false">AB129*COSTE_DEV</f>
        <v>0</v>
      </c>
      <c r="AG129" s="60" t="n">
        <f aca="false">Z129*P1_IVAN+AA129*P2_IVAN-AB129*IVA_DEV</f>
        <v>0</v>
      </c>
      <c r="AH129" s="60" t="n">
        <f aca="false">K129*(1+RECARGO_ADS)</f>
        <v>0</v>
      </c>
      <c r="AI129" s="58" t="n">
        <f aca="false">IF(ISNUMBER(I129),D129+E129+X129+Y129,0)</f>
        <v>0</v>
      </c>
      <c r="AJ129" s="60" t="n">
        <f aca="false">M129*COMISION</f>
        <v>0</v>
      </c>
    </row>
    <row r="130" customFormat="false" ht="15" hidden="false" customHeight="false" outlineLevel="0" collapsed="false">
      <c r="A130" s="53" t="n">
        <v>46424</v>
      </c>
      <c r="B130" s="54"/>
      <c r="C130" s="54"/>
      <c r="D130" s="54"/>
      <c r="E130" s="54"/>
      <c r="F130" s="54"/>
      <c r="G130" s="54"/>
      <c r="H130" s="54"/>
      <c r="I130" s="55"/>
      <c r="J130" s="55"/>
      <c r="K130" s="55"/>
      <c r="L130" s="56"/>
      <c r="M130" s="31" t="n">
        <f aca="false">B130+C130</f>
        <v>0</v>
      </c>
      <c r="N130" s="31" t="n">
        <f aca="false">X130+Y130</f>
        <v>0</v>
      </c>
      <c r="O130" s="32" t="n">
        <f aca="false">B130*P1_PVP+C130*P2_PVP</f>
        <v>0</v>
      </c>
      <c r="P130" s="32" t="str">
        <f aca="false">IF(M130&gt;0,O130/M130,"")</f>
        <v/>
      </c>
      <c r="Q130" s="32" t="str">
        <f aca="false">IF(M130&gt;0,K130/M130,"")</f>
        <v/>
      </c>
      <c r="R130" s="57" t="str">
        <f aca="false">IF(K130&gt;0,O130/K130,"")</f>
        <v/>
      </c>
      <c r="S130" s="34" t="str">
        <f aca="false">IF(D130+E130+F130+G130&gt;0,(D130+E130)/(D130+E130+F130+G130),"")</f>
        <v/>
      </c>
      <c r="T130" s="33" t="n">
        <f aca="false">D130*(P1_PVP-P1_CPROD)+E130*(P2_PVP-P2_CPROD)-IF(ISNUMBER(I130),I130,D130*P1_LOG+E130*P2_LOG)</f>
        <v>0</v>
      </c>
      <c r="U130" s="33" t="n">
        <f aca="false">T130-(D130*P1_IVAN+E130*P2_IVAN)-(F130+G130)*(COSTE_DEV-IVA_DEV)-AH130-AJ130</f>
        <v>0</v>
      </c>
      <c r="V130" s="33" t="n">
        <f aca="false">AC130-AD130-AE130-AF130-AG130-AH130-AJ130</f>
        <v>0</v>
      </c>
      <c r="X130" s="58" t="n">
        <f aca="false">MAX(0,B130-D130-F130)</f>
        <v>0</v>
      </c>
      <c r="Y130" s="58" t="n">
        <f aca="false">MAX(0,C130-E130-G130)</f>
        <v>0</v>
      </c>
      <c r="Z130" s="59" t="n">
        <f aca="false">D130+X130*TASA_USADA</f>
        <v>0</v>
      </c>
      <c r="AA130" s="59" t="n">
        <f aca="false">E130+Y130*TASA_USADA</f>
        <v>0</v>
      </c>
      <c r="AB130" s="59" t="n">
        <f aca="false">F130+G130+(X130+Y130)*(1-TASA_USADA)</f>
        <v>0</v>
      </c>
      <c r="AC130" s="60" t="n">
        <f aca="false">Z130*P1_PVP+AA130*P2_PVP</f>
        <v>0</v>
      </c>
      <c r="AD130" s="60" t="n">
        <f aca="false">Z130*P1_CPROD+AA130*P2_CPROD</f>
        <v>0</v>
      </c>
      <c r="AE130" s="60" t="n">
        <f aca="false">IF(ISNUMBER(I130),I130,D130*P1_LOG+E130*P2_LOG)+IF(ISNUMBER(J130),J130,X130*P1_LOG+Y130*P2_LOG)*TASA_USADA</f>
        <v>0</v>
      </c>
      <c r="AF130" s="60" t="n">
        <f aca="false">AB130*COSTE_DEV</f>
        <v>0</v>
      </c>
      <c r="AG130" s="60" t="n">
        <f aca="false">Z130*P1_IVAN+AA130*P2_IVAN-AB130*IVA_DEV</f>
        <v>0</v>
      </c>
      <c r="AH130" s="60" t="n">
        <f aca="false">K130*(1+RECARGO_ADS)</f>
        <v>0</v>
      </c>
      <c r="AI130" s="58" t="n">
        <f aca="false">IF(ISNUMBER(I130),D130+E130+X130+Y130,0)</f>
        <v>0</v>
      </c>
      <c r="AJ130" s="60" t="n">
        <f aca="false">M130*COMISION</f>
        <v>0</v>
      </c>
    </row>
    <row r="131" customFormat="false" ht="15" hidden="false" customHeight="false" outlineLevel="0" collapsed="false">
      <c r="A131" s="53" t="n">
        <v>46425</v>
      </c>
      <c r="B131" s="54"/>
      <c r="C131" s="54"/>
      <c r="D131" s="54"/>
      <c r="E131" s="54"/>
      <c r="F131" s="54"/>
      <c r="G131" s="54"/>
      <c r="H131" s="54"/>
      <c r="I131" s="55"/>
      <c r="J131" s="55"/>
      <c r="K131" s="55"/>
      <c r="L131" s="56"/>
      <c r="M131" s="31" t="n">
        <f aca="false">B131+C131</f>
        <v>0</v>
      </c>
      <c r="N131" s="31" t="n">
        <f aca="false">X131+Y131</f>
        <v>0</v>
      </c>
      <c r="O131" s="32" t="n">
        <f aca="false">B131*P1_PVP+C131*P2_PVP</f>
        <v>0</v>
      </c>
      <c r="P131" s="32" t="str">
        <f aca="false">IF(M131&gt;0,O131/M131,"")</f>
        <v/>
      </c>
      <c r="Q131" s="32" t="str">
        <f aca="false">IF(M131&gt;0,K131/M131,"")</f>
        <v/>
      </c>
      <c r="R131" s="57" t="str">
        <f aca="false">IF(K131&gt;0,O131/K131,"")</f>
        <v/>
      </c>
      <c r="S131" s="34" t="str">
        <f aca="false">IF(D131+E131+F131+G131&gt;0,(D131+E131)/(D131+E131+F131+G131),"")</f>
        <v/>
      </c>
      <c r="T131" s="33" t="n">
        <f aca="false">D131*(P1_PVP-P1_CPROD)+E131*(P2_PVP-P2_CPROD)-IF(ISNUMBER(I131),I131,D131*P1_LOG+E131*P2_LOG)</f>
        <v>0</v>
      </c>
      <c r="U131" s="33" t="n">
        <f aca="false">T131-(D131*P1_IVAN+E131*P2_IVAN)-(F131+G131)*(COSTE_DEV-IVA_DEV)-AH131-AJ131</f>
        <v>0</v>
      </c>
      <c r="V131" s="33" t="n">
        <f aca="false">AC131-AD131-AE131-AF131-AG131-AH131-AJ131</f>
        <v>0</v>
      </c>
      <c r="X131" s="58" t="n">
        <f aca="false">MAX(0,B131-D131-F131)</f>
        <v>0</v>
      </c>
      <c r="Y131" s="58" t="n">
        <f aca="false">MAX(0,C131-E131-G131)</f>
        <v>0</v>
      </c>
      <c r="Z131" s="59" t="n">
        <f aca="false">D131+X131*TASA_USADA</f>
        <v>0</v>
      </c>
      <c r="AA131" s="59" t="n">
        <f aca="false">E131+Y131*TASA_USADA</f>
        <v>0</v>
      </c>
      <c r="AB131" s="59" t="n">
        <f aca="false">F131+G131+(X131+Y131)*(1-TASA_USADA)</f>
        <v>0</v>
      </c>
      <c r="AC131" s="60" t="n">
        <f aca="false">Z131*P1_PVP+AA131*P2_PVP</f>
        <v>0</v>
      </c>
      <c r="AD131" s="60" t="n">
        <f aca="false">Z131*P1_CPROD+AA131*P2_CPROD</f>
        <v>0</v>
      </c>
      <c r="AE131" s="60" t="n">
        <f aca="false">IF(ISNUMBER(I131),I131,D131*P1_LOG+E131*P2_LOG)+IF(ISNUMBER(J131),J131,X131*P1_LOG+Y131*P2_LOG)*TASA_USADA</f>
        <v>0</v>
      </c>
      <c r="AF131" s="60" t="n">
        <f aca="false">AB131*COSTE_DEV</f>
        <v>0</v>
      </c>
      <c r="AG131" s="60" t="n">
        <f aca="false">Z131*P1_IVAN+AA131*P2_IVAN-AB131*IVA_DEV</f>
        <v>0</v>
      </c>
      <c r="AH131" s="60" t="n">
        <f aca="false">K131*(1+RECARGO_ADS)</f>
        <v>0</v>
      </c>
      <c r="AI131" s="58" t="n">
        <f aca="false">IF(ISNUMBER(I131),D131+E131+X131+Y131,0)</f>
        <v>0</v>
      </c>
      <c r="AJ131" s="60" t="n">
        <f aca="false">M131*COMISION</f>
        <v>0</v>
      </c>
    </row>
    <row r="132" customFormat="false" ht="15" hidden="false" customHeight="false" outlineLevel="0" collapsed="false">
      <c r="A132" s="53" t="n">
        <v>46426</v>
      </c>
      <c r="B132" s="54"/>
      <c r="C132" s="54"/>
      <c r="D132" s="54"/>
      <c r="E132" s="54"/>
      <c r="F132" s="54"/>
      <c r="G132" s="54"/>
      <c r="H132" s="54"/>
      <c r="I132" s="55"/>
      <c r="J132" s="55"/>
      <c r="K132" s="55"/>
      <c r="L132" s="56"/>
      <c r="M132" s="31" t="n">
        <f aca="false">B132+C132</f>
        <v>0</v>
      </c>
      <c r="N132" s="31" t="n">
        <f aca="false">X132+Y132</f>
        <v>0</v>
      </c>
      <c r="O132" s="32" t="n">
        <f aca="false">B132*P1_PVP+C132*P2_PVP</f>
        <v>0</v>
      </c>
      <c r="P132" s="32" t="str">
        <f aca="false">IF(M132&gt;0,O132/M132,"")</f>
        <v/>
      </c>
      <c r="Q132" s="32" t="str">
        <f aca="false">IF(M132&gt;0,K132/M132,"")</f>
        <v/>
      </c>
      <c r="R132" s="57" t="str">
        <f aca="false">IF(K132&gt;0,O132/K132,"")</f>
        <v/>
      </c>
      <c r="S132" s="34" t="str">
        <f aca="false">IF(D132+E132+F132+G132&gt;0,(D132+E132)/(D132+E132+F132+G132),"")</f>
        <v/>
      </c>
      <c r="T132" s="33" t="n">
        <f aca="false">D132*(P1_PVP-P1_CPROD)+E132*(P2_PVP-P2_CPROD)-IF(ISNUMBER(I132),I132,D132*P1_LOG+E132*P2_LOG)</f>
        <v>0</v>
      </c>
      <c r="U132" s="33" t="n">
        <f aca="false">T132-(D132*P1_IVAN+E132*P2_IVAN)-(F132+G132)*(COSTE_DEV-IVA_DEV)-AH132-AJ132</f>
        <v>0</v>
      </c>
      <c r="V132" s="33" t="n">
        <f aca="false">AC132-AD132-AE132-AF132-AG132-AH132-AJ132</f>
        <v>0</v>
      </c>
      <c r="X132" s="58" t="n">
        <f aca="false">MAX(0,B132-D132-F132)</f>
        <v>0</v>
      </c>
      <c r="Y132" s="58" t="n">
        <f aca="false">MAX(0,C132-E132-G132)</f>
        <v>0</v>
      </c>
      <c r="Z132" s="59" t="n">
        <f aca="false">D132+X132*TASA_USADA</f>
        <v>0</v>
      </c>
      <c r="AA132" s="59" t="n">
        <f aca="false">E132+Y132*TASA_USADA</f>
        <v>0</v>
      </c>
      <c r="AB132" s="59" t="n">
        <f aca="false">F132+G132+(X132+Y132)*(1-TASA_USADA)</f>
        <v>0</v>
      </c>
      <c r="AC132" s="60" t="n">
        <f aca="false">Z132*P1_PVP+AA132*P2_PVP</f>
        <v>0</v>
      </c>
      <c r="AD132" s="60" t="n">
        <f aca="false">Z132*P1_CPROD+AA132*P2_CPROD</f>
        <v>0</v>
      </c>
      <c r="AE132" s="60" t="n">
        <f aca="false">IF(ISNUMBER(I132),I132,D132*P1_LOG+E132*P2_LOG)+IF(ISNUMBER(J132),J132,X132*P1_LOG+Y132*P2_LOG)*TASA_USADA</f>
        <v>0</v>
      </c>
      <c r="AF132" s="60" t="n">
        <f aca="false">AB132*COSTE_DEV</f>
        <v>0</v>
      </c>
      <c r="AG132" s="60" t="n">
        <f aca="false">Z132*P1_IVAN+AA132*P2_IVAN-AB132*IVA_DEV</f>
        <v>0</v>
      </c>
      <c r="AH132" s="60" t="n">
        <f aca="false">K132*(1+RECARGO_ADS)</f>
        <v>0</v>
      </c>
      <c r="AI132" s="58" t="n">
        <f aca="false">IF(ISNUMBER(I132),D132+E132+X132+Y132,0)</f>
        <v>0</v>
      </c>
      <c r="AJ132" s="60" t="n">
        <f aca="false">M132*COMISION</f>
        <v>0</v>
      </c>
    </row>
    <row r="133" customFormat="false" ht="15" hidden="false" customHeight="false" outlineLevel="0" collapsed="false">
      <c r="A133" s="53" t="n">
        <v>46427</v>
      </c>
      <c r="B133" s="54"/>
      <c r="C133" s="54"/>
      <c r="D133" s="54"/>
      <c r="E133" s="54"/>
      <c r="F133" s="54"/>
      <c r="G133" s="54"/>
      <c r="H133" s="54"/>
      <c r="I133" s="55"/>
      <c r="J133" s="55"/>
      <c r="K133" s="55"/>
      <c r="L133" s="56"/>
      <c r="M133" s="31" t="n">
        <f aca="false">B133+C133</f>
        <v>0</v>
      </c>
      <c r="N133" s="31" t="n">
        <f aca="false">X133+Y133</f>
        <v>0</v>
      </c>
      <c r="O133" s="32" t="n">
        <f aca="false">B133*P1_PVP+C133*P2_PVP</f>
        <v>0</v>
      </c>
      <c r="P133" s="32" t="str">
        <f aca="false">IF(M133&gt;0,O133/M133,"")</f>
        <v/>
      </c>
      <c r="Q133" s="32" t="str">
        <f aca="false">IF(M133&gt;0,K133/M133,"")</f>
        <v/>
      </c>
      <c r="R133" s="57" t="str">
        <f aca="false">IF(K133&gt;0,O133/K133,"")</f>
        <v/>
      </c>
      <c r="S133" s="34" t="str">
        <f aca="false">IF(D133+E133+F133+G133&gt;0,(D133+E133)/(D133+E133+F133+G133),"")</f>
        <v/>
      </c>
      <c r="T133" s="33" t="n">
        <f aca="false">D133*(P1_PVP-P1_CPROD)+E133*(P2_PVP-P2_CPROD)-IF(ISNUMBER(I133),I133,D133*P1_LOG+E133*P2_LOG)</f>
        <v>0</v>
      </c>
      <c r="U133" s="33" t="n">
        <f aca="false">T133-(D133*P1_IVAN+E133*P2_IVAN)-(F133+G133)*(COSTE_DEV-IVA_DEV)-AH133-AJ133</f>
        <v>0</v>
      </c>
      <c r="V133" s="33" t="n">
        <f aca="false">AC133-AD133-AE133-AF133-AG133-AH133-AJ133</f>
        <v>0</v>
      </c>
      <c r="X133" s="58" t="n">
        <f aca="false">MAX(0,B133-D133-F133)</f>
        <v>0</v>
      </c>
      <c r="Y133" s="58" t="n">
        <f aca="false">MAX(0,C133-E133-G133)</f>
        <v>0</v>
      </c>
      <c r="Z133" s="59" t="n">
        <f aca="false">D133+X133*TASA_USADA</f>
        <v>0</v>
      </c>
      <c r="AA133" s="59" t="n">
        <f aca="false">E133+Y133*TASA_USADA</f>
        <v>0</v>
      </c>
      <c r="AB133" s="59" t="n">
        <f aca="false">F133+G133+(X133+Y133)*(1-TASA_USADA)</f>
        <v>0</v>
      </c>
      <c r="AC133" s="60" t="n">
        <f aca="false">Z133*P1_PVP+AA133*P2_PVP</f>
        <v>0</v>
      </c>
      <c r="AD133" s="60" t="n">
        <f aca="false">Z133*P1_CPROD+AA133*P2_CPROD</f>
        <v>0</v>
      </c>
      <c r="AE133" s="60" t="n">
        <f aca="false">IF(ISNUMBER(I133),I133,D133*P1_LOG+E133*P2_LOG)+IF(ISNUMBER(J133),J133,X133*P1_LOG+Y133*P2_LOG)*TASA_USADA</f>
        <v>0</v>
      </c>
      <c r="AF133" s="60" t="n">
        <f aca="false">AB133*COSTE_DEV</f>
        <v>0</v>
      </c>
      <c r="AG133" s="60" t="n">
        <f aca="false">Z133*P1_IVAN+AA133*P2_IVAN-AB133*IVA_DEV</f>
        <v>0</v>
      </c>
      <c r="AH133" s="60" t="n">
        <f aca="false">K133*(1+RECARGO_ADS)</f>
        <v>0</v>
      </c>
      <c r="AI133" s="58" t="n">
        <f aca="false">IF(ISNUMBER(I133),D133+E133+X133+Y133,0)</f>
        <v>0</v>
      </c>
      <c r="AJ133" s="60" t="n">
        <f aca="false">M133*COMISION</f>
        <v>0</v>
      </c>
    </row>
    <row r="134" customFormat="false" ht="15" hidden="false" customHeight="false" outlineLevel="0" collapsed="false">
      <c r="A134" s="53" t="n">
        <v>46428</v>
      </c>
      <c r="B134" s="54"/>
      <c r="C134" s="54"/>
      <c r="D134" s="54"/>
      <c r="E134" s="54"/>
      <c r="F134" s="54"/>
      <c r="G134" s="54"/>
      <c r="H134" s="54"/>
      <c r="I134" s="55"/>
      <c r="J134" s="55"/>
      <c r="K134" s="55"/>
      <c r="L134" s="56"/>
      <c r="M134" s="31" t="n">
        <f aca="false">B134+C134</f>
        <v>0</v>
      </c>
      <c r="N134" s="31" t="n">
        <f aca="false">X134+Y134</f>
        <v>0</v>
      </c>
      <c r="O134" s="32" t="n">
        <f aca="false">B134*P1_PVP+C134*P2_PVP</f>
        <v>0</v>
      </c>
      <c r="P134" s="32" t="str">
        <f aca="false">IF(M134&gt;0,O134/M134,"")</f>
        <v/>
      </c>
      <c r="Q134" s="32" t="str">
        <f aca="false">IF(M134&gt;0,K134/M134,"")</f>
        <v/>
      </c>
      <c r="R134" s="57" t="str">
        <f aca="false">IF(K134&gt;0,O134/K134,"")</f>
        <v/>
      </c>
      <c r="S134" s="34" t="str">
        <f aca="false">IF(D134+E134+F134+G134&gt;0,(D134+E134)/(D134+E134+F134+G134),"")</f>
        <v/>
      </c>
      <c r="T134" s="33" t="n">
        <f aca="false">D134*(P1_PVP-P1_CPROD)+E134*(P2_PVP-P2_CPROD)-IF(ISNUMBER(I134),I134,D134*P1_LOG+E134*P2_LOG)</f>
        <v>0</v>
      </c>
      <c r="U134" s="33" t="n">
        <f aca="false">T134-(D134*P1_IVAN+E134*P2_IVAN)-(F134+G134)*(COSTE_DEV-IVA_DEV)-AH134-AJ134</f>
        <v>0</v>
      </c>
      <c r="V134" s="33" t="n">
        <f aca="false">AC134-AD134-AE134-AF134-AG134-AH134-AJ134</f>
        <v>0</v>
      </c>
      <c r="X134" s="58" t="n">
        <f aca="false">MAX(0,B134-D134-F134)</f>
        <v>0</v>
      </c>
      <c r="Y134" s="58" t="n">
        <f aca="false">MAX(0,C134-E134-G134)</f>
        <v>0</v>
      </c>
      <c r="Z134" s="59" t="n">
        <f aca="false">D134+X134*TASA_USADA</f>
        <v>0</v>
      </c>
      <c r="AA134" s="59" t="n">
        <f aca="false">E134+Y134*TASA_USADA</f>
        <v>0</v>
      </c>
      <c r="AB134" s="59" t="n">
        <f aca="false">F134+G134+(X134+Y134)*(1-TASA_USADA)</f>
        <v>0</v>
      </c>
      <c r="AC134" s="60" t="n">
        <f aca="false">Z134*P1_PVP+AA134*P2_PVP</f>
        <v>0</v>
      </c>
      <c r="AD134" s="60" t="n">
        <f aca="false">Z134*P1_CPROD+AA134*P2_CPROD</f>
        <v>0</v>
      </c>
      <c r="AE134" s="60" t="n">
        <f aca="false">IF(ISNUMBER(I134),I134,D134*P1_LOG+E134*P2_LOG)+IF(ISNUMBER(J134),J134,X134*P1_LOG+Y134*P2_LOG)*TASA_USADA</f>
        <v>0</v>
      </c>
      <c r="AF134" s="60" t="n">
        <f aca="false">AB134*COSTE_DEV</f>
        <v>0</v>
      </c>
      <c r="AG134" s="60" t="n">
        <f aca="false">Z134*P1_IVAN+AA134*P2_IVAN-AB134*IVA_DEV</f>
        <v>0</v>
      </c>
      <c r="AH134" s="60" t="n">
        <f aca="false">K134*(1+RECARGO_ADS)</f>
        <v>0</v>
      </c>
      <c r="AI134" s="58" t="n">
        <f aca="false">IF(ISNUMBER(I134),D134+E134+X134+Y134,0)</f>
        <v>0</v>
      </c>
      <c r="AJ134" s="60" t="n">
        <f aca="false">M134*COMISION</f>
        <v>0</v>
      </c>
    </row>
    <row r="135" customFormat="false" ht="15" hidden="false" customHeight="false" outlineLevel="0" collapsed="false">
      <c r="A135" s="53" t="n">
        <v>46429</v>
      </c>
      <c r="B135" s="54"/>
      <c r="C135" s="54"/>
      <c r="D135" s="54"/>
      <c r="E135" s="54"/>
      <c r="F135" s="54"/>
      <c r="G135" s="54"/>
      <c r="H135" s="54"/>
      <c r="I135" s="55"/>
      <c r="J135" s="55"/>
      <c r="K135" s="55"/>
      <c r="L135" s="56"/>
      <c r="M135" s="31" t="n">
        <f aca="false">B135+C135</f>
        <v>0</v>
      </c>
      <c r="N135" s="31" t="n">
        <f aca="false">X135+Y135</f>
        <v>0</v>
      </c>
      <c r="O135" s="32" t="n">
        <f aca="false">B135*P1_PVP+C135*P2_PVP</f>
        <v>0</v>
      </c>
      <c r="P135" s="32" t="str">
        <f aca="false">IF(M135&gt;0,O135/M135,"")</f>
        <v/>
      </c>
      <c r="Q135" s="32" t="str">
        <f aca="false">IF(M135&gt;0,K135/M135,"")</f>
        <v/>
      </c>
      <c r="R135" s="57" t="str">
        <f aca="false">IF(K135&gt;0,O135/K135,"")</f>
        <v/>
      </c>
      <c r="S135" s="34" t="str">
        <f aca="false">IF(D135+E135+F135+G135&gt;0,(D135+E135)/(D135+E135+F135+G135),"")</f>
        <v/>
      </c>
      <c r="T135" s="33" t="n">
        <f aca="false">D135*(P1_PVP-P1_CPROD)+E135*(P2_PVP-P2_CPROD)-IF(ISNUMBER(I135),I135,D135*P1_LOG+E135*P2_LOG)</f>
        <v>0</v>
      </c>
      <c r="U135" s="33" t="n">
        <f aca="false">T135-(D135*P1_IVAN+E135*P2_IVAN)-(F135+G135)*(COSTE_DEV-IVA_DEV)-AH135-AJ135</f>
        <v>0</v>
      </c>
      <c r="V135" s="33" t="n">
        <f aca="false">AC135-AD135-AE135-AF135-AG135-AH135-AJ135</f>
        <v>0</v>
      </c>
      <c r="X135" s="58" t="n">
        <f aca="false">MAX(0,B135-D135-F135)</f>
        <v>0</v>
      </c>
      <c r="Y135" s="58" t="n">
        <f aca="false">MAX(0,C135-E135-G135)</f>
        <v>0</v>
      </c>
      <c r="Z135" s="59" t="n">
        <f aca="false">D135+X135*TASA_USADA</f>
        <v>0</v>
      </c>
      <c r="AA135" s="59" t="n">
        <f aca="false">E135+Y135*TASA_USADA</f>
        <v>0</v>
      </c>
      <c r="AB135" s="59" t="n">
        <f aca="false">F135+G135+(X135+Y135)*(1-TASA_USADA)</f>
        <v>0</v>
      </c>
      <c r="AC135" s="60" t="n">
        <f aca="false">Z135*P1_PVP+AA135*P2_PVP</f>
        <v>0</v>
      </c>
      <c r="AD135" s="60" t="n">
        <f aca="false">Z135*P1_CPROD+AA135*P2_CPROD</f>
        <v>0</v>
      </c>
      <c r="AE135" s="60" t="n">
        <f aca="false">IF(ISNUMBER(I135),I135,D135*P1_LOG+E135*P2_LOG)+IF(ISNUMBER(J135),J135,X135*P1_LOG+Y135*P2_LOG)*TASA_USADA</f>
        <v>0</v>
      </c>
      <c r="AF135" s="60" t="n">
        <f aca="false">AB135*COSTE_DEV</f>
        <v>0</v>
      </c>
      <c r="AG135" s="60" t="n">
        <f aca="false">Z135*P1_IVAN+AA135*P2_IVAN-AB135*IVA_DEV</f>
        <v>0</v>
      </c>
      <c r="AH135" s="60" t="n">
        <f aca="false">K135*(1+RECARGO_ADS)</f>
        <v>0</v>
      </c>
      <c r="AI135" s="58" t="n">
        <f aca="false">IF(ISNUMBER(I135),D135+E135+X135+Y135,0)</f>
        <v>0</v>
      </c>
      <c r="AJ135" s="60" t="n">
        <f aca="false">M135*COMISION</f>
        <v>0</v>
      </c>
    </row>
    <row r="136" customFormat="false" ht="15" hidden="false" customHeight="false" outlineLevel="0" collapsed="false">
      <c r="A136" s="53" t="n">
        <v>46430</v>
      </c>
      <c r="B136" s="54"/>
      <c r="C136" s="54"/>
      <c r="D136" s="54"/>
      <c r="E136" s="54"/>
      <c r="F136" s="54"/>
      <c r="G136" s="54"/>
      <c r="H136" s="54"/>
      <c r="I136" s="55"/>
      <c r="J136" s="55"/>
      <c r="K136" s="55"/>
      <c r="L136" s="56"/>
      <c r="M136" s="31" t="n">
        <f aca="false">B136+C136</f>
        <v>0</v>
      </c>
      <c r="N136" s="31" t="n">
        <f aca="false">X136+Y136</f>
        <v>0</v>
      </c>
      <c r="O136" s="32" t="n">
        <f aca="false">B136*P1_PVP+C136*P2_PVP</f>
        <v>0</v>
      </c>
      <c r="P136" s="32" t="str">
        <f aca="false">IF(M136&gt;0,O136/M136,"")</f>
        <v/>
      </c>
      <c r="Q136" s="32" t="str">
        <f aca="false">IF(M136&gt;0,K136/M136,"")</f>
        <v/>
      </c>
      <c r="R136" s="57" t="str">
        <f aca="false">IF(K136&gt;0,O136/K136,"")</f>
        <v/>
      </c>
      <c r="S136" s="34" t="str">
        <f aca="false">IF(D136+E136+F136+G136&gt;0,(D136+E136)/(D136+E136+F136+G136),"")</f>
        <v/>
      </c>
      <c r="T136" s="33" t="n">
        <f aca="false">D136*(P1_PVP-P1_CPROD)+E136*(P2_PVP-P2_CPROD)-IF(ISNUMBER(I136),I136,D136*P1_LOG+E136*P2_LOG)</f>
        <v>0</v>
      </c>
      <c r="U136" s="33" t="n">
        <f aca="false">T136-(D136*P1_IVAN+E136*P2_IVAN)-(F136+G136)*(COSTE_DEV-IVA_DEV)-AH136-AJ136</f>
        <v>0</v>
      </c>
      <c r="V136" s="33" t="n">
        <f aca="false">AC136-AD136-AE136-AF136-AG136-AH136-AJ136</f>
        <v>0</v>
      </c>
      <c r="X136" s="58" t="n">
        <f aca="false">MAX(0,B136-D136-F136)</f>
        <v>0</v>
      </c>
      <c r="Y136" s="58" t="n">
        <f aca="false">MAX(0,C136-E136-G136)</f>
        <v>0</v>
      </c>
      <c r="Z136" s="59" t="n">
        <f aca="false">D136+X136*TASA_USADA</f>
        <v>0</v>
      </c>
      <c r="AA136" s="59" t="n">
        <f aca="false">E136+Y136*TASA_USADA</f>
        <v>0</v>
      </c>
      <c r="AB136" s="59" t="n">
        <f aca="false">F136+G136+(X136+Y136)*(1-TASA_USADA)</f>
        <v>0</v>
      </c>
      <c r="AC136" s="60" t="n">
        <f aca="false">Z136*P1_PVP+AA136*P2_PVP</f>
        <v>0</v>
      </c>
      <c r="AD136" s="60" t="n">
        <f aca="false">Z136*P1_CPROD+AA136*P2_CPROD</f>
        <v>0</v>
      </c>
      <c r="AE136" s="60" t="n">
        <f aca="false">IF(ISNUMBER(I136),I136,D136*P1_LOG+E136*P2_LOG)+IF(ISNUMBER(J136),J136,X136*P1_LOG+Y136*P2_LOG)*TASA_USADA</f>
        <v>0</v>
      </c>
      <c r="AF136" s="60" t="n">
        <f aca="false">AB136*COSTE_DEV</f>
        <v>0</v>
      </c>
      <c r="AG136" s="60" t="n">
        <f aca="false">Z136*P1_IVAN+AA136*P2_IVAN-AB136*IVA_DEV</f>
        <v>0</v>
      </c>
      <c r="AH136" s="60" t="n">
        <f aca="false">K136*(1+RECARGO_ADS)</f>
        <v>0</v>
      </c>
      <c r="AI136" s="58" t="n">
        <f aca="false">IF(ISNUMBER(I136),D136+E136+X136+Y136,0)</f>
        <v>0</v>
      </c>
      <c r="AJ136" s="60" t="n">
        <f aca="false">M136*COMISION</f>
        <v>0</v>
      </c>
    </row>
    <row r="137" customFormat="false" ht="15" hidden="false" customHeight="false" outlineLevel="0" collapsed="false">
      <c r="A137" s="53" t="n">
        <v>46431</v>
      </c>
      <c r="B137" s="54"/>
      <c r="C137" s="54"/>
      <c r="D137" s="54"/>
      <c r="E137" s="54"/>
      <c r="F137" s="54"/>
      <c r="G137" s="54"/>
      <c r="H137" s="54"/>
      <c r="I137" s="55"/>
      <c r="J137" s="55"/>
      <c r="K137" s="55"/>
      <c r="L137" s="56"/>
      <c r="M137" s="31" t="n">
        <f aca="false">B137+C137</f>
        <v>0</v>
      </c>
      <c r="N137" s="31" t="n">
        <f aca="false">X137+Y137</f>
        <v>0</v>
      </c>
      <c r="O137" s="32" t="n">
        <f aca="false">B137*P1_PVP+C137*P2_PVP</f>
        <v>0</v>
      </c>
      <c r="P137" s="32" t="str">
        <f aca="false">IF(M137&gt;0,O137/M137,"")</f>
        <v/>
      </c>
      <c r="Q137" s="32" t="str">
        <f aca="false">IF(M137&gt;0,K137/M137,"")</f>
        <v/>
      </c>
      <c r="R137" s="57" t="str">
        <f aca="false">IF(K137&gt;0,O137/K137,"")</f>
        <v/>
      </c>
      <c r="S137" s="34" t="str">
        <f aca="false">IF(D137+E137+F137+G137&gt;0,(D137+E137)/(D137+E137+F137+G137),"")</f>
        <v/>
      </c>
      <c r="T137" s="33" t="n">
        <f aca="false">D137*(P1_PVP-P1_CPROD)+E137*(P2_PVP-P2_CPROD)-IF(ISNUMBER(I137),I137,D137*P1_LOG+E137*P2_LOG)</f>
        <v>0</v>
      </c>
      <c r="U137" s="33" t="n">
        <f aca="false">T137-(D137*P1_IVAN+E137*P2_IVAN)-(F137+G137)*(COSTE_DEV-IVA_DEV)-AH137-AJ137</f>
        <v>0</v>
      </c>
      <c r="V137" s="33" t="n">
        <f aca="false">AC137-AD137-AE137-AF137-AG137-AH137-AJ137</f>
        <v>0</v>
      </c>
      <c r="X137" s="58" t="n">
        <f aca="false">MAX(0,B137-D137-F137)</f>
        <v>0</v>
      </c>
      <c r="Y137" s="58" t="n">
        <f aca="false">MAX(0,C137-E137-G137)</f>
        <v>0</v>
      </c>
      <c r="Z137" s="59" t="n">
        <f aca="false">D137+X137*TASA_USADA</f>
        <v>0</v>
      </c>
      <c r="AA137" s="59" t="n">
        <f aca="false">E137+Y137*TASA_USADA</f>
        <v>0</v>
      </c>
      <c r="AB137" s="59" t="n">
        <f aca="false">F137+G137+(X137+Y137)*(1-TASA_USADA)</f>
        <v>0</v>
      </c>
      <c r="AC137" s="60" t="n">
        <f aca="false">Z137*P1_PVP+AA137*P2_PVP</f>
        <v>0</v>
      </c>
      <c r="AD137" s="60" t="n">
        <f aca="false">Z137*P1_CPROD+AA137*P2_CPROD</f>
        <v>0</v>
      </c>
      <c r="AE137" s="60" t="n">
        <f aca="false">IF(ISNUMBER(I137),I137,D137*P1_LOG+E137*P2_LOG)+IF(ISNUMBER(J137),J137,X137*P1_LOG+Y137*P2_LOG)*TASA_USADA</f>
        <v>0</v>
      </c>
      <c r="AF137" s="60" t="n">
        <f aca="false">AB137*COSTE_DEV</f>
        <v>0</v>
      </c>
      <c r="AG137" s="60" t="n">
        <f aca="false">Z137*P1_IVAN+AA137*P2_IVAN-AB137*IVA_DEV</f>
        <v>0</v>
      </c>
      <c r="AH137" s="60" t="n">
        <f aca="false">K137*(1+RECARGO_ADS)</f>
        <v>0</v>
      </c>
      <c r="AI137" s="58" t="n">
        <f aca="false">IF(ISNUMBER(I137),D137+E137+X137+Y137,0)</f>
        <v>0</v>
      </c>
      <c r="AJ137" s="60" t="n">
        <f aca="false">M137*COMISION</f>
        <v>0</v>
      </c>
    </row>
    <row r="138" customFormat="false" ht="15" hidden="false" customHeight="false" outlineLevel="0" collapsed="false">
      <c r="A138" s="53" t="n">
        <v>46432</v>
      </c>
      <c r="B138" s="54"/>
      <c r="C138" s="54"/>
      <c r="D138" s="54"/>
      <c r="E138" s="54"/>
      <c r="F138" s="54"/>
      <c r="G138" s="54"/>
      <c r="H138" s="54"/>
      <c r="I138" s="55"/>
      <c r="J138" s="55"/>
      <c r="K138" s="55"/>
      <c r="L138" s="56"/>
      <c r="M138" s="31" t="n">
        <f aca="false">B138+C138</f>
        <v>0</v>
      </c>
      <c r="N138" s="31" t="n">
        <f aca="false">X138+Y138</f>
        <v>0</v>
      </c>
      <c r="O138" s="32" t="n">
        <f aca="false">B138*P1_PVP+C138*P2_PVP</f>
        <v>0</v>
      </c>
      <c r="P138" s="32" t="str">
        <f aca="false">IF(M138&gt;0,O138/M138,"")</f>
        <v/>
      </c>
      <c r="Q138" s="32" t="str">
        <f aca="false">IF(M138&gt;0,K138/M138,"")</f>
        <v/>
      </c>
      <c r="R138" s="57" t="str">
        <f aca="false">IF(K138&gt;0,O138/K138,"")</f>
        <v/>
      </c>
      <c r="S138" s="34" t="str">
        <f aca="false">IF(D138+E138+F138+G138&gt;0,(D138+E138)/(D138+E138+F138+G138),"")</f>
        <v/>
      </c>
      <c r="T138" s="33" t="n">
        <f aca="false">D138*(P1_PVP-P1_CPROD)+E138*(P2_PVP-P2_CPROD)-IF(ISNUMBER(I138),I138,D138*P1_LOG+E138*P2_LOG)</f>
        <v>0</v>
      </c>
      <c r="U138" s="33" t="n">
        <f aca="false">T138-(D138*P1_IVAN+E138*P2_IVAN)-(F138+G138)*(COSTE_DEV-IVA_DEV)-AH138-AJ138</f>
        <v>0</v>
      </c>
      <c r="V138" s="33" t="n">
        <f aca="false">AC138-AD138-AE138-AF138-AG138-AH138-AJ138</f>
        <v>0</v>
      </c>
      <c r="X138" s="58" t="n">
        <f aca="false">MAX(0,B138-D138-F138)</f>
        <v>0</v>
      </c>
      <c r="Y138" s="58" t="n">
        <f aca="false">MAX(0,C138-E138-G138)</f>
        <v>0</v>
      </c>
      <c r="Z138" s="59" t="n">
        <f aca="false">D138+X138*TASA_USADA</f>
        <v>0</v>
      </c>
      <c r="AA138" s="59" t="n">
        <f aca="false">E138+Y138*TASA_USADA</f>
        <v>0</v>
      </c>
      <c r="AB138" s="59" t="n">
        <f aca="false">F138+G138+(X138+Y138)*(1-TASA_USADA)</f>
        <v>0</v>
      </c>
      <c r="AC138" s="60" t="n">
        <f aca="false">Z138*P1_PVP+AA138*P2_PVP</f>
        <v>0</v>
      </c>
      <c r="AD138" s="60" t="n">
        <f aca="false">Z138*P1_CPROD+AA138*P2_CPROD</f>
        <v>0</v>
      </c>
      <c r="AE138" s="60" t="n">
        <f aca="false">IF(ISNUMBER(I138),I138,D138*P1_LOG+E138*P2_LOG)+IF(ISNUMBER(J138),J138,X138*P1_LOG+Y138*P2_LOG)*TASA_USADA</f>
        <v>0</v>
      </c>
      <c r="AF138" s="60" t="n">
        <f aca="false">AB138*COSTE_DEV</f>
        <v>0</v>
      </c>
      <c r="AG138" s="60" t="n">
        <f aca="false">Z138*P1_IVAN+AA138*P2_IVAN-AB138*IVA_DEV</f>
        <v>0</v>
      </c>
      <c r="AH138" s="60" t="n">
        <f aca="false">K138*(1+RECARGO_ADS)</f>
        <v>0</v>
      </c>
      <c r="AI138" s="58" t="n">
        <f aca="false">IF(ISNUMBER(I138),D138+E138+X138+Y138,0)</f>
        <v>0</v>
      </c>
      <c r="AJ138" s="60" t="n">
        <f aca="false">M138*COMISION</f>
        <v>0</v>
      </c>
    </row>
    <row r="139" customFormat="false" ht="15" hidden="false" customHeight="false" outlineLevel="0" collapsed="false">
      <c r="A139" s="53" t="n">
        <v>46433</v>
      </c>
      <c r="B139" s="54"/>
      <c r="C139" s="54"/>
      <c r="D139" s="54"/>
      <c r="E139" s="54"/>
      <c r="F139" s="54"/>
      <c r="G139" s="54"/>
      <c r="H139" s="54"/>
      <c r="I139" s="55"/>
      <c r="J139" s="55"/>
      <c r="K139" s="55"/>
      <c r="L139" s="56"/>
      <c r="M139" s="31" t="n">
        <f aca="false">B139+C139</f>
        <v>0</v>
      </c>
      <c r="N139" s="31" t="n">
        <f aca="false">X139+Y139</f>
        <v>0</v>
      </c>
      <c r="O139" s="32" t="n">
        <f aca="false">B139*P1_PVP+C139*P2_PVP</f>
        <v>0</v>
      </c>
      <c r="P139" s="32" t="str">
        <f aca="false">IF(M139&gt;0,O139/M139,"")</f>
        <v/>
      </c>
      <c r="Q139" s="32" t="str">
        <f aca="false">IF(M139&gt;0,K139/M139,"")</f>
        <v/>
      </c>
      <c r="R139" s="57" t="str">
        <f aca="false">IF(K139&gt;0,O139/K139,"")</f>
        <v/>
      </c>
      <c r="S139" s="34" t="str">
        <f aca="false">IF(D139+E139+F139+G139&gt;0,(D139+E139)/(D139+E139+F139+G139),"")</f>
        <v/>
      </c>
      <c r="T139" s="33" t="n">
        <f aca="false">D139*(P1_PVP-P1_CPROD)+E139*(P2_PVP-P2_CPROD)-IF(ISNUMBER(I139),I139,D139*P1_LOG+E139*P2_LOG)</f>
        <v>0</v>
      </c>
      <c r="U139" s="33" t="n">
        <f aca="false">T139-(D139*P1_IVAN+E139*P2_IVAN)-(F139+G139)*(COSTE_DEV-IVA_DEV)-AH139-AJ139</f>
        <v>0</v>
      </c>
      <c r="V139" s="33" t="n">
        <f aca="false">AC139-AD139-AE139-AF139-AG139-AH139-AJ139</f>
        <v>0</v>
      </c>
      <c r="X139" s="58" t="n">
        <f aca="false">MAX(0,B139-D139-F139)</f>
        <v>0</v>
      </c>
      <c r="Y139" s="58" t="n">
        <f aca="false">MAX(0,C139-E139-G139)</f>
        <v>0</v>
      </c>
      <c r="Z139" s="59" t="n">
        <f aca="false">D139+X139*TASA_USADA</f>
        <v>0</v>
      </c>
      <c r="AA139" s="59" t="n">
        <f aca="false">E139+Y139*TASA_USADA</f>
        <v>0</v>
      </c>
      <c r="AB139" s="59" t="n">
        <f aca="false">F139+G139+(X139+Y139)*(1-TASA_USADA)</f>
        <v>0</v>
      </c>
      <c r="AC139" s="60" t="n">
        <f aca="false">Z139*P1_PVP+AA139*P2_PVP</f>
        <v>0</v>
      </c>
      <c r="AD139" s="60" t="n">
        <f aca="false">Z139*P1_CPROD+AA139*P2_CPROD</f>
        <v>0</v>
      </c>
      <c r="AE139" s="60" t="n">
        <f aca="false">IF(ISNUMBER(I139),I139,D139*P1_LOG+E139*P2_LOG)+IF(ISNUMBER(J139),J139,X139*P1_LOG+Y139*P2_LOG)*TASA_USADA</f>
        <v>0</v>
      </c>
      <c r="AF139" s="60" t="n">
        <f aca="false">AB139*COSTE_DEV</f>
        <v>0</v>
      </c>
      <c r="AG139" s="60" t="n">
        <f aca="false">Z139*P1_IVAN+AA139*P2_IVAN-AB139*IVA_DEV</f>
        <v>0</v>
      </c>
      <c r="AH139" s="60" t="n">
        <f aca="false">K139*(1+RECARGO_ADS)</f>
        <v>0</v>
      </c>
      <c r="AI139" s="58" t="n">
        <f aca="false">IF(ISNUMBER(I139),D139+E139+X139+Y139,0)</f>
        <v>0</v>
      </c>
      <c r="AJ139" s="60" t="n">
        <f aca="false">M139*COMISION</f>
        <v>0</v>
      </c>
    </row>
    <row r="140" customFormat="false" ht="15" hidden="false" customHeight="false" outlineLevel="0" collapsed="false">
      <c r="A140" s="53" t="n">
        <v>46434</v>
      </c>
      <c r="B140" s="54"/>
      <c r="C140" s="54"/>
      <c r="D140" s="54"/>
      <c r="E140" s="54"/>
      <c r="F140" s="54"/>
      <c r="G140" s="54"/>
      <c r="H140" s="54"/>
      <c r="I140" s="55"/>
      <c r="J140" s="55"/>
      <c r="K140" s="55"/>
      <c r="L140" s="56"/>
      <c r="M140" s="31" t="n">
        <f aca="false">B140+C140</f>
        <v>0</v>
      </c>
      <c r="N140" s="31" t="n">
        <f aca="false">X140+Y140</f>
        <v>0</v>
      </c>
      <c r="O140" s="32" t="n">
        <f aca="false">B140*P1_PVP+C140*P2_PVP</f>
        <v>0</v>
      </c>
      <c r="P140" s="32" t="str">
        <f aca="false">IF(M140&gt;0,O140/M140,"")</f>
        <v/>
      </c>
      <c r="Q140" s="32" t="str">
        <f aca="false">IF(M140&gt;0,K140/M140,"")</f>
        <v/>
      </c>
      <c r="R140" s="57" t="str">
        <f aca="false">IF(K140&gt;0,O140/K140,"")</f>
        <v/>
      </c>
      <c r="S140" s="34" t="str">
        <f aca="false">IF(D140+E140+F140+G140&gt;0,(D140+E140)/(D140+E140+F140+G140),"")</f>
        <v/>
      </c>
      <c r="T140" s="33" t="n">
        <f aca="false">D140*(P1_PVP-P1_CPROD)+E140*(P2_PVP-P2_CPROD)-IF(ISNUMBER(I140),I140,D140*P1_LOG+E140*P2_LOG)</f>
        <v>0</v>
      </c>
      <c r="U140" s="33" t="n">
        <f aca="false">T140-(D140*P1_IVAN+E140*P2_IVAN)-(F140+G140)*(COSTE_DEV-IVA_DEV)-AH140-AJ140</f>
        <v>0</v>
      </c>
      <c r="V140" s="33" t="n">
        <f aca="false">AC140-AD140-AE140-AF140-AG140-AH140-AJ140</f>
        <v>0</v>
      </c>
      <c r="X140" s="58" t="n">
        <f aca="false">MAX(0,B140-D140-F140)</f>
        <v>0</v>
      </c>
      <c r="Y140" s="58" t="n">
        <f aca="false">MAX(0,C140-E140-G140)</f>
        <v>0</v>
      </c>
      <c r="Z140" s="59" t="n">
        <f aca="false">D140+X140*TASA_USADA</f>
        <v>0</v>
      </c>
      <c r="AA140" s="59" t="n">
        <f aca="false">E140+Y140*TASA_USADA</f>
        <v>0</v>
      </c>
      <c r="AB140" s="59" t="n">
        <f aca="false">F140+G140+(X140+Y140)*(1-TASA_USADA)</f>
        <v>0</v>
      </c>
      <c r="AC140" s="60" t="n">
        <f aca="false">Z140*P1_PVP+AA140*P2_PVP</f>
        <v>0</v>
      </c>
      <c r="AD140" s="60" t="n">
        <f aca="false">Z140*P1_CPROD+AA140*P2_CPROD</f>
        <v>0</v>
      </c>
      <c r="AE140" s="60" t="n">
        <f aca="false">IF(ISNUMBER(I140),I140,D140*P1_LOG+E140*P2_LOG)+IF(ISNUMBER(J140),J140,X140*P1_LOG+Y140*P2_LOG)*TASA_USADA</f>
        <v>0</v>
      </c>
      <c r="AF140" s="60" t="n">
        <f aca="false">AB140*COSTE_DEV</f>
        <v>0</v>
      </c>
      <c r="AG140" s="60" t="n">
        <f aca="false">Z140*P1_IVAN+AA140*P2_IVAN-AB140*IVA_DEV</f>
        <v>0</v>
      </c>
      <c r="AH140" s="60" t="n">
        <f aca="false">K140*(1+RECARGO_ADS)</f>
        <v>0</v>
      </c>
      <c r="AI140" s="58" t="n">
        <f aca="false">IF(ISNUMBER(I140),D140+E140+X140+Y140,0)</f>
        <v>0</v>
      </c>
      <c r="AJ140" s="60" t="n">
        <f aca="false">M140*COMISION</f>
        <v>0</v>
      </c>
    </row>
    <row r="141" customFormat="false" ht="15" hidden="false" customHeight="false" outlineLevel="0" collapsed="false">
      <c r="A141" s="53" t="n">
        <v>46435</v>
      </c>
      <c r="B141" s="54"/>
      <c r="C141" s="54"/>
      <c r="D141" s="54"/>
      <c r="E141" s="54"/>
      <c r="F141" s="54"/>
      <c r="G141" s="54"/>
      <c r="H141" s="54"/>
      <c r="I141" s="55"/>
      <c r="J141" s="55"/>
      <c r="K141" s="55"/>
      <c r="L141" s="56"/>
      <c r="M141" s="31" t="n">
        <f aca="false">B141+C141</f>
        <v>0</v>
      </c>
      <c r="N141" s="31" t="n">
        <f aca="false">X141+Y141</f>
        <v>0</v>
      </c>
      <c r="O141" s="32" t="n">
        <f aca="false">B141*P1_PVP+C141*P2_PVP</f>
        <v>0</v>
      </c>
      <c r="P141" s="32" t="str">
        <f aca="false">IF(M141&gt;0,O141/M141,"")</f>
        <v/>
      </c>
      <c r="Q141" s="32" t="str">
        <f aca="false">IF(M141&gt;0,K141/M141,"")</f>
        <v/>
      </c>
      <c r="R141" s="57" t="str">
        <f aca="false">IF(K141&gt;0,O141/K141,"")</f>
        <v/>
      </c>
      <c r="S141" s="34" t="str">
        <f aca="false">IF(D141+E141+F141+G141&gt;0,(D141+E141)/(D141+E141+F141+G141),"")</f>
        <v/>
      </c>
      <c r="T141" s="33" t="n">
        <f aca="false">D141*(P1_PVP-P1_CPROD)+E141*(P2_PVP-P2_CPROD)-IF(ISNUMBER(I141),I141,D141*P1_LOG+E141*P2_LOG)</f>
        <v>0</v>
      </c>
      <c r="U141" s="33" t="n">
        <f aca="false">T141-(D141*P1_IVAN+E141*P2_IVAN)-(F141+G141)*(COSTE_DEV-IVA_DEV)-AH141-AJ141</f>
        <v>0</v>
      </c>
      <c r="V141" s="33" t="n">
        <f aca="false">AC141-AD141-AE141-AF141-AG141-AH141-AJ141</f>
        <v>0</v>
      </c>
      <c r="X141" s="58" t="n">
        <f aca="false">MAX(0,B141-D141-F141)</f>
        <v>0</v>
      </c>
      <c r="Y141" s="58" t="n">
        <f aca="false">MAX(0,C141-E141-G141)</f>
        <v>0</v>
      </c>
      <c r="Z141" s="59" t="n">
        <f aca="false">D141+X141*TASA_USADA</f>
        <v>0</v>
      </c>
      <c r="AA141" s="59" t="n">
        <f aca="false">E141+Y141*TASA_USADA</f>
        <v>0</v>
      </c>
      <c r="AB141" s="59" t="n">
        <f aca="false">F141+G141+(X141+Y141)*(1-TASA_USADA)</f>
        <v>0</v>
      </c>
      <c r="AC141" s="60" t="n">
        <f aca="false">Z141*P1_PVP+AA141*P2_PVP</f>
        <v>0</v>
      </c>
      <c r="AD141" s="60" t="n">
        <f aca="false">Z141*P1_CPROD+AA141*P2_CPROD</f>
        <v>0</v>
      </c>
      <c r="AE141" s="60" t="n">
        <f aca="false">IF(ISNUMBER(I141),I141,D141*P1_LOG+E141*P2_LOG)+IF(ISNUMBER(J141),J141,X141*P1_LOG+Y141*P2_LOG)*TASA_USADA</f>
        <v>0</v>
      </c>
      <c r="AF141" s="60" t="n">
        <f aca="false">AB141*COSTE_DEV</f>
        <v>0</v>
      </c>
      <c r="AG141" s="60" t="n">
        <f aca="false">Z141*P1_IVAN+AA141*P2_IVAN-AB141*IVA_DEV</f>
        <v>0</v>
      </c>
      <c r="AH141" s="60" t="n">
        <f aca="false">K141*(1+RECARGO_ADS)</f>
        <v>0</v>
      </c>
      <c r="AI141" s="58" t="n">
        <f aca="false">IF(ISNUMBER(I141),D141+E141+X141+Y141,0)</f>
        <v>0</v>
      </c>
      <c r="AJ141" s="60" t="n">
        <f aca="false">M141*COMISION</f>
        <v>0</v>
      </c>
    </row>
    <row r="142" customFormat="false" ht="15" hidden="false" customHeight="false" outlineLevel="0" collapsed="false">
      <c r="A142" s="53" t="n">
        <v>46436</v>
      </c>
      <c r="B142" s="54"/>
      <c r="C142" s="54"/>
      <c r="D142" s="54"/>
      <c r="E142" s="54"/>
      <c r="F142" s="54"/>
      <c r="G142" s="54"/>
      <c r="H142" s="54"/>
      <c r="I142" s="55"/>
      <c r="J142" s="55"/>
      <c r="K142" s="55"/>
      <c r="L142" s="56"/>
      <c r="M142" s="31" t="n">
        <f aca="false">B142+C142</f>
        <v>0</v>
      </c>
      <c r="N142" s="31" t="n">
        <f aca="false">X142+Y142</f>
        <v>0</v>
      </c>
      <c r="O142" s="32" t="n">
        <f aca="false">B142*P1_PVP+C142*P2_PVP</f>
        <v>0</v>
      </c>
      <c r="P142" s="32" t="str">
        <f aca="false">IF(M142&gt;0,O142/M142,"")</f>
        <v/>
      </c>
      <c r="Q142" s="32" t="str">
        <f aca="false">IF(M142&gt;0,K142/M142,"")</f>
        <v/>
      </c>
      <c r="R142" s="57" t="str">
        <f aca="false">IF(K142&gt;0,O142/K142,"")</f>
        <v/>
      </c>
      <c r="S142" s="34" t="str">
        <f aca="false">IF(D142+E142+F142+G142&gt;0,(D142+E142)/(D142+E142+F142+G142),"")</f>
        <v/>
      </c>
      <c r="T142" s="33" t="n">
        <f aca="false">D142*(P1_PVP-P1_CPROD)+E142*(P2_PVP-P2_CPROD)-IF(ISNUMBER(I142),I142,D142*P1_LOG+E142*P2_LOG)</f>
        <v>0</v>
      </c>
      <c r="U142" s="33" t="n">
        <f aca="false">T142-(D142*P1_IVAN+E142*P2_IVAN)-(F142+G142)*(COSTE_DEV-IVA_DEV)-AH142-AJ142</f>
        <v>0</v>
      </c>
      <c r="V142" s="33" t="n">
        <f aca="false">AC142-AD142-AE142-AF142-AG142-AH142-AJ142</f>
        <v>0</v>
      </c>
      <c r="X142" s="58" t="n">
        <f aca="false">MAX(0,B142-D142-F142)</f>
        <v>0</v>
      </c>
      <c r="Y142" s="58" t="n">
        <f aca="false">MAX(0,C142-E142-G142)</f>
        <v>0</v>
      </c>
      <c r="Z142" s="59" t="n">
        <f aca="false">D142+X142*TASA_USADA</f>
        <v>0</v>
      </c>
      <c r="AA142" s="59" t="n">
        <f aca="false">E142+Y142*TASA_USADA</f>
        <v>0</v>
      </c>
      <c r="AB142" s="59" t="n">
        <f aca="false">F142+G142+(X142+Y142)*(1-TASA_USADA)</f>
        <v>0</v>
      </c>
      <c r="AC142" s="60" t="n">
        <f aca="false">Z142*P1_PVP+AA142*P2_PVP</f>
        <v>0</v>
      </c>
      <c r="AD142" s="60" t="n">
        <f aca="false">Z142*P1_CPROD+AA142*P2_CPROD</f>
        <v>0</v>
      </c>
      <c r="AE142" s="60" t="n">
        <f aca="false">IF(ISNUMBER(I142),I142,D142*P1_LOG+E142*P2_LOG)+IF(ISNUMBER(J142),J142,X142*P1_LOG+Y142*P2_LOG)*TASA_USADA</f>
        <v>0</v>
      </c>
      <c r="AF142" s="60" t="n">
        <f aca="false">AB142*COSTE_DEV</f>
        <v>0</v>
      </c>
      <c r="AG142" s="60" t="n">
        <f aca="false">Z142*P1_IVAN+AA142*P2_IVAN-AB142*IVA_DEV</f>
        <v>0</v>
      </c>
      <c r="AH142" s="60" t="n">
        <f aca="false">K142*(1+RECARGO_ADS)</f>
        <v>0</v>
      </c>
      <c r="AI142" s="58" t="n">
        <f aca="false">IF(ISNUMBER(I142),D142+E142+X142+Y142,0)</f>
        <v>0</v>
      </c>
      <c r="AJ142" s="60" t="n">
        <f aca="false">M142*COMISION</f>
        <v>0</v>
      </c>
    </row>
    <row r="143" customFormat="false" ht="15" hidden="false" customHeight="false" outlineLevel="0" collapsed="false">
      <c r="A143" s="53" t="n">
        <v>46437</v>
      </c>
      <c r="B143" s="54"/>
      <c r="C143" s="54"/>
      <c r="D143" s="54"/>
      <c r="E143" s="54"/>
      <c r="F143" s="54"/>
      <c r="G143" s="54"/>
      <c r="H143" s="54"/>
      <c r="I143" s="55"/>
      <c r="J143" s="55"/>
      <c r="K143" s="55"/>
      <c r="L143" s="56"/>
      <c r="M143" s="31" t="n">
        <f aca="false">B143+C143</f>
        <v>0</v>
      </c>
      <c r="N143" s="31" t="n">
        <f aca="false">X143+Y143</f>
        <v>0</v>
      </c>
      <c r="O143" s="32" t="n">
        <f aca="false">B143*P1_PVP+C143*P2_PVP</f>
        <v>0</v>
      </c>
      <c r="P143" s="32" t="str">
        <f aca="false">IF(M143&gt;0,O143/M143,"")</f>
        <v/>
      </c>
      <c r="Q143" s="32" t="str">
        <f aca="false">IF(M143&gt;0,K143/M143,"")</f>
        <v/>
      </c>
      <c r="R143" s="57" t="str">
        <f aca="false">IF(K143&gt;0,O143/K143,"")</f>
        <v/>
      </c>
      <c r="S143" s="34" t="str">
        <f aca="false">IF(D143+E143+F143+G143&gt;0,(D143+E143)/(D143+E143+F143+G143),"")</f>
        <v/>
      </c>
      <c r="T143" s="33" t="n">
        <f aca="false">D143*(P1_PVP-P1_CPROD)+E143*(P2_PVP-P2_CPROD)-IF(ISNUMBER(I143),I143,D143*P1_LOG+E143*P2_LOG)</f>
        <v>0</v>
      </c>
      <c r="U143" s="33" t="n">
        <f aca="false">T143-(D143*P1_IVAN+E143*P2_IVAN)-(F143+G143)*(COSTE_DEV-IVA_DEV)-AH143-AJ143</f>
        <v>0</v>
      </c>
      <c r="V143" s="33" t="n">
        <f aca="false">AC143-AD143-AE143-AF143-AG143-AH143-AJ143</f>
        <v>0</v>
      </c>
      <c r="X143" s="58" t="n">
        <f aca="false">MAX(0,B143-D143-F143)</f>
        <v>0</v>
      </c>
      <c r="Y143" s="58" t="n">
        <f aca="false">MAX(0,C143-E143-G143)</f>
        <v>0</v>
      </c>
      <c r="Z143" s="59" t="n">
        <f aca="false">D143+X143*TASA_USADA</f>
        <v>0</v>
      </c>
      <c r="AA143" s="59" t="n">
        <f aca="false">E143+Y143*TASA_USADA</f>
        <v>0</v>
      </c>
      <c r="AB143" s="59" t="n">
        <f aca="false">F143+G143+(X143+Y143)*(1-TASA_USADA)</f>
        <v>0</v>
      </c>
      <c r="AC143" s="60" t="n">
        <f aca="false">Z143*P1_PVP+AA143*P2_PVP</f>
        <v>0</v>
      </c>
      <c r="AD143" s="60" t="n">
        <f aca="false">Z143*P1_CPROD+AA143*P2_CPROD</f>
        <v>0</v>
      </c>
      <c r="AE143" s="60" t="n">
        <f aca="false">IF(ISNUMBER(I143),I143,D143*P1_LOG+E143*P2_LOG)+IF(ISNUMBER(J143),J143,X143*P1_LOG+Y143*P2_LOG)*TASA_USADA</f>
        <v>0</v>
      </c>
      <c r="AF143" s="60" t="n">
        <f aca="false">AB143*COSTE_DEV</f>
        <v>0</v>
      </c>
      <c r="AG143" s="60" t="n">
        <f aca="false">Z143*P1_IVAN+AA143*P2_IVAN-AB143*IVA_DEV</f>
        <v>0</v>
      </c>
      <c r="AH143" s="60" t="n">
        <f aca="false">K143*(1+RECARGO_ADS)</f>
        <v>0</v>
      </c>
      <c r="AI143" s="58" t="n">
        <f aca="false">IF(ISNUMBER(I143),D143+E143+X143+Y143,0)</f>
        <v>0</v>
      </c>
      <c r="AJ143" s="60" t="n">
        <f aca="false">M143*COMISION</f>
        <v>0</v>
      </c>
    </row>
    <row r="144" customFormat="false" ht="15" hidden="false" customHeight="false" outlineLevel="0" collapsed="false">
      <c r="A144" s="53" t="n">
        <v>46438</v>
      </c>
      <c r="B144" s="54"/>
      <c r="C144" s="54"/>
      <c r="D144" s="54"/>
      <c r="E144" s="54"/>
      <c r="F144" s="54"/>
      <c r="G144" s="54"/>
      <c r="H144" s="54"/>
      <c r="I144" s="55"/>
      <c r="J144" s="55"/>
      <c r="K144" s="55"/>
      <c r="L144" s="56"/>
      <c r="M144" s="31" t="n">
        <f aca="false">B144+C144</f>
        <v>0</v>
      </c>
      <c r="N144" s="31" t="n">
        <f aca="false">X144+Y144</f>
        <v>0</v>
      </c>
      <c r="O144" s="32" t="n">
        <f aca="false">B144*P1_PVP+C144*P2_PVP</f>
        <v>0</v>
      </c>
      <c r="P144" s="32" t="str">
        <f aca="false">IF(M144&gt;0,O144/M144,"")</f>
        <v/>
      </c>
      <c r="Q144" s="32" t="str">
        <f aca="false">IF(M144&gt;0,K144/M144,"")</f>
        <v/>
      </c>
      <c r="R144" s="57" t="str">
        <f aca="false">IF(K144&gt;0,O144/K144,"")</f>
        <v/>
      </c>
      <c r="S144" s="34" t="str">
        <f aca="false">IF(D144+E144+F144+G144&gt;0,(D144+E144)/(D144+E144+F144+G144),"")</f>
        <v/>
      </c>
      <c r="T144" s="33" t="n">
        <f aca="false">D144*(P1_PVP-P1_CPROD)+E144*(P2_PVP-P2_CPROD)-IF(ISNUMBER(I144),I144,D144*P1_LOG+E144*P2_LOG)</f>
        <v>0</v>
      </c>
      <c r="U144" s="33" t="n">
        <f aca="false">T144-(D144*P1_IVAN+E144*P2_IVAN)-(F144+G144)*(COSTE_DEV-IVA_DEV)-AH144-AJ144</f>
        <v>0</v>
      </c>
      <c r="V144" s="33" t="n">
        <f aca="false">AC144-AD144-AE144-AF144-AG144-AH144-AJ144</f>
        <v>0</v>
      </c>
      <c r="X144" s="58" t="n">
        <f aca="false">MAX(0,B144-D144-F144)</f>
        <v>0</v>
      </c>
      <c r="Y144" s="58" t="n">
        <f aca="false">MAX(0,C144-E144-G144)</f>
        <v>0</v>
      </c>
      <c r="Z144" s="59" t="n">
        <f aca="false">D144+X144*TASA_USADA</f>
        <v>0</v>
      </c>
      <c r="AA144" s="59" t="n">
        <f aca="false">E144+Y144*TASA_USADA</f>
        <v>0</v>
      </c>
      <c r="AB144" s="59" t="n">
        <f aca="false">F144+G144+(X144+Y144)*(1-TASA_USADA)</f>
        <v>0</v>
      </c>
      <c r="AC144" s="60" t="n">
        <f aca="false">Z144*P1_PVP+AA144*P2_PVP</f>
        <v>0</v>
      </c>
      <c r="AD144" s="60" t="n">
        <f aca="false">Z144*P1_CPROD+AA144*P2_CPROD</f>
        <v>0</v>
      </c>
      <c r="AE144" s="60" t="n">
        <f aca="false">IF(ISNUMBER(I144),I144,D144*P1_LOG+E144*P2_LOG)+IF(ISNUMBER(J144),J144,X144*P1_LOG+Y144*P2_LOG)*TASA_USADA</f>
        <v>0</v>
      </c>
      <c r="AF144" s="60" t="n">
        <f aca="false">AB144*COSTE_DEV</f>
        <v>0</v>
      </c>
      <c r="AG144" s="60" t="n">
        <f aca="false">Z144*P1_IVAN+AA144*P2_IVAN-AB144*IVA_DEV</f>
        <v>0</v>
      </c>
      <c r="AH144" s="60" t="n">
        <f aca="false">K144*(1+RECARGO_ADS)</f>
        <v>0</v>
      </c>
      <c r="AI144" s="58" t="n">
        <f aca="false">IF(ISNUMBER(I144),D144+E144+X144+Y144,0)</f>
        <v>0</v>
      </c>
      <c r="AJ144" s="60" t="n">
        <f aca="false">M144*COMISION</f>
        <v>0</v>
      </c>
    </row>
    <row r="145" customFormat="false" ht="15" hidden="false" customHeight="false" outlineLevel="0" collapsed="false">
      <c r="A145" s="53" t="n">
        <v>46439</v>
      </c>
      <c r="B145" s="54"/>
      <c r="C145" s="54"/>
      <c r="D145" s="54"/>
      <c r="E145" s="54"/>
      <c r="F145" s="54"/>
      <c r="G145" s="54"/>
      <c r="H145" s="54"/>
      <c r="I145" s="55"/>
      <c r="J145" s="55"/>
      <c r="K145" s="55"/>
      <c r="L145" s="56"/>
      <c r="M145" s="31" t="n">
        <f aca="false">B145+C145</f>
        <v>0</v>
      </c>
      <c r="N145" s="31" t="n">
        <f aca="false">X145+Y145</f>
        <v>0</v>
      </c>
      <c r="O145" s="32" t="n">
        <f aca="false">B145*P1_PVP+C145*P2_PVP</f>
        <v>0</v>
      </c>
      <c r="P145" s="32" t="str">
        <f aca="false">IF(M145&gt;0,O145/M145,"")</f>
        <v/>
      </c>
      <c r="Q145" s="32" t="str">
        <f aca="false">IF(M145&gt;0,K145/M145,"")</f>
        <v/>
      </c>
      <c r="R145" s="57" t="str">
        <f aca="false">IF(K145&gt;0,O145/K145,"")</f>
        <v/>
      </c>
      <c r="S145" s="34" t="str">
        <f aca="false">IF(D145+E145+F145+G145&gt;0,(D145+E145)/(D145+E145+F145+G145),"")</f>
        <v/>
      </c>
      <c r="T145" s="33" t="n">
        <f aca="false">D145*(P1_PVP-P1_CPROD)+E145*(P2_PVP-P2_CPROD)-IF(ISNUMBER(I145),I145,D145*P1_LOG+E145*P2_LOG)</f>
        <v>0</v>
      </c>
      <c r="U145" s="33" t="n">
        <f aca="false">T145-(D145*P1_IVAN+E145*P2_IVAN)-(F145+G145)*(COSTE_DEV-IVA_DEV)-AH145-AJ145</f>
        <v>0</v>
      </c>
      <c r="V145" s="33" t="n">
        <f aca="false">AC145-AD145-AE145-AF145-AG145-AH145-AJ145</f>
        <v>0</v>
      </c>
      <c r="X145" s="58" t="n">
        <f aca="false">MAX(0,B145-D145-F145)</f>
        <v>0</v>
      </c>
      <c r="Y145" s="58" t="n">
        <f aca="false">MAX(0,C145-E145-G145)</f>
        <v>0</v>
      </c>
      <c r="Z145" s="59" t="n">
        <f aca="false">D145+X145*TASA_USADA</f>
        <v>0</v>
      </c>
      <c r="AA145" s="59" t="n">
        <f aca="false">E145+Y145*TASA_USADA</f>
        <v>0</v>
      </c>
      <c r="AB145" s="59" t="n">
        <f aca="false">F145+G145+(X145+Y145)*(1-TASA_USADA)</f>
        <v>0</v>
      </c>
      <c r="AC145" s="60" t="n">
        <f aca="false">Z145*P1_PVP+AA145*P2_PVP</f>
        <v>0</v>
      </c>
      <c r="AD145" s="60" t="n">
        <f aca="false">Z145*P1_CPROD+AA145*P2_CPROD</f>
        <v>0</v>
      </c>
      <c r="AE145" s="60" t="n">
        <f aca="false">IF(ISNUMBER(I145),I145,D145*P1_LOG+E145*P2_LOG)+IF(ISNUMBER(J145),J145,X145*P1_LOG+Y145*P2_LOG)*TASA_USADA</f>
        <v>0</v>
      </c>
      <c r="AF145" s="60" t="n">
        <f aca="false">AB145*COSTE_DEV</f>
        <v>0</v>
      </c>
      <c r="AG145" s="60" t="n">
        <f aca="false">Z145*P1_IVAN+AA145*P2_IVAN-AB145*IVA_DEV</f>
        <v>0</v>
      </c>
      <c r="AH145" s="60" t="n">
        <f aca="false">K145*(1+RECARGO_ADS)</f>
        <v>0</v>
      </c>
      <c r="AI145" s="58" t="n">
        <f aca="false">IF(ISNUMBER(I145),D145+E145+X145+Y145,0)</f>
        <v>0</v>
      </c>
      <c r="AJ145" s="60" t="n">
        <f aca="false">M145*COMISION</f>
        <v>0</v>
      </c>
    </row>
    <row r="146" customFormat="false" ht="15" hidden="false" customHeight="false" outlineLevel="0" collapsed="false">
      <c r="A146" s="53" t="n">
        <v>46440</v>
      </c>
      <c r="B146" s="54"/>
      <c r="C146" s="54"/>
      <c r="D146" s="54"/>
      <c r="E146" s="54"/>
      <c r="F146" s="54"/>
      <c r="G146" s="54"/>
      <c r="H146" s="54"/>
      <c r="I146" s="55"/>
      <c r="J146" s="55"/>
      <c r="K146" s="55"/>
      <c r="L146" s="56"/>
      <c r="M146" s="31" t="n">
        <f aca="false">B146+C146</f>
        <v>0</v>
      </c>
      <c r="N146" s="31" t="n">
        <f aca="false">X146+Y146</f>
        <v>0</v>
      </c>
      <c r="O146" s="32" t="n">
        <f aca="false">B146*P1_PVP+C146*P2_PVP</f>
        <v>0</v>
      </c>
      <c r="P146" s="32" t="str">
        <f aca="false">IF(M146&gt;0,O146/M146,"")</f>
        <v/>
      </c>
      <c r="Q146" s="32" t="str">
        <f aca="false">IF(M146&gt;0,K146/M146,"")</f>
        <v/>
      </c>
      <c r="R146" s="57" t="str">
        <f aca="false">IF(K146&gt;0,O146/K146,"")</f>
        <v/>
      </c>
      <c r="S146" s="34" t="str">
        <f aca="false">IF(D146+E146+F146+G146&gt;0,(D146+E146)/(D146+E146+F146+G146),"")</f>
        <v/>
      </c>
      <c r="T146" s="33" t="n">
        <f aca="false">D146*(P1_PVP-P1_CPROD)+E146*(P2_PVP-P2_CPROD)-IF(ISNUMBER(I146),I146,D146*P1_LOG+E146*P2_LOG)</f>
        <v>0</v>
      </c>
      <c r="U146" s="33" t="n">
        <f aca="false">T146-(D146*P1_IVAN+E146*P2_IVAN)-(F146+G146)*(COSTE_DEV-IVA_DEV)-AH146-AJ146</f>
        <v>0</v>
      </c>
      <c r="V146" s="33" t="n">
        <f aca="false">AC146-AD146-AE146-AF146-AG146-AH146-AJ146</f>
        <v>0</v>
      </c>
      <c r="X146" s="58" t="n">
        <f aca="false">MAX(0,B146-D146-F146)</f>
        <v>0</v>
      </c>
      <c r="Y146" s="58" t="n">
        <f aca="false">MAX(0,C146-E146-G146)</f>
        <v>0</v>
      </c>
      <c r="Z146" s="59" t="n">
        <f aca="false">D146+X146*TASA_USADA</f>
        <v>0</v>
      </c>
      <c r="AA146" s="59" t="n">
        <f aca="false">E146+Y146*TASA_USADA</f>
        <v>0</v>
      </c>
      <c r="AB146" s="59" t="n">
        <f aca="false">F146+G146+(X146+Y146)*(1-TASA_USADA)</f>
        <v>0</v>
      </c>
      <c r="AC146" s="60" t="n">
        <f aca="false">Z146*P1_PVP+AA146*P2_PVP</f>
        <v>0</v>
      </c>
      <c r="AD146" s="60" t="n">
        <f aca="false">Z146*P1_CPROD+AA146*P2_CPROD</f>
        <v>0</v>
      </c>
      <c r="AE146" s="60" t="n">
        <f aca="false">IF(ISNUMBER(I146),I146,D146*P1_LOG+E146*P2_LOG)+IF(ISNUMBER(J146),J146,X146*P1_LOG+Y146*P2_LOG)*TASA_USADA</f>
        <v>0</v>
      </c>
      <c r="AF146" s="60" t="n">
        <f aca="false">AB146*COSTE_DEV</f>
        <v>0</v>
      </c>
      <c r="AG146" s="60" t="n">
        <f aca="false">Z146*P1_IVAN+AA146*P2_IVAN-AB146*IVA_DEV</f>
        <v>0</v>
      </c>
      <c r="AH146" s="60" t="n">
        <f aca="false">K146*(1+RECARGO_ADS)</f>
        <v>0</v>
      </c>
      <c r="AI146" s="58" t="n">
        <f aca="false">IF(ISNUMBER(I146),D146+E146+X146+Y146,0)</f>
        <v>0</v>
      </c>
      <c r="AJ146" s="60" t="n">
        <f aca="false">M146*COMISION</f>
        <v>0</v>
      </c>
    </row>
    <row r="147" customFormat="false" ht="15" hidden="false" customHeight="false" outlineLevel="0" collapsed="false">
      <c r="A147" s="53" t="n">
        <v>46441</v>
      </c>
      <c r="B147" s="54"/>
      <c r="C147" s="54"/>
      <c r="D147" s="54"/>
      <c r="E147" s="54"/>
      <c r="F147" s="54"/>
      <c r="G147" s="54"/>
      <c r="H147" s="54"/>
      <c r="I147" s="55"/>
      <c r="J147" s="55"/>
      <c r="K147" s="55"/>
      <c r="L147" s="56"/>
      <c r="M147" s="31" t="n">
        <f aca="false">B147+C147</f>
        <v>0</v>
      </c>
      <c r="N147" s="31" t="n">
        <f aca="false">X147+Y147</f>
        <v>0</v>
      </c>
      <c r="O147" s="32" t="n">
        <f aca="false">B147*P1_PVP+C147*P2_PVP</f>
        <v>0</v>
      </c>
      <c r="P147" s="32" t="str">
        <f aca="false">IF(M147&gt;0,O147/M147,"")</f>
        <v/>
      </c>
      <c r="Q147" s="32" t="str">
        <f aca="false">IF(M147&gt;0,K147/M147,"")</f>
        <v/>
      </c>
      <c r="R147" s="57" t="str">
        <f aca="false">IF(K147&gt;0,O147/K147,"")</f>
        <v/>
      </c>
      <c r="S147" s="34" t="str">
        <f aca="false">IF(D147+E147+F147+G147&gt;0,(D147+E147)/(D147+E147+F147+G147),"")</f>
        <v/>
      </c>
      <c r="T147" s="33" t="n">
        <f aca="false">D147*(P1_PVP-P1_CPROD)+E147*(P2_PVP-P2_CPROD)-IF(ISNUMBER(I147),I147,D147*P1_LOG+E147*P2_LOG)</f>
        <v>0</v>
      </c>
      <c r="U147" s="33" t="n">
        <f aca="false">T147-(D147*P1_IVAN+E147*P2_IVAN)-(F147+G147)*(COSTE_DEV-IVA_DEV)-AH147-AJ147</f>
        <v>0</v>
      </c>
      <c r="V147" s="33" t="n">
        <f aca="false">AC147-AD147-AE147-AF147-AG147-AH147-AJ147</f>
        <v>0</v>
      </c>
      <c r="X147" s="58" t="n">
        <f aca="false">MAX(0,B147-D147-F147)</f>
        <v>0</v>
      </c>
      <c r="Y147" s="58" t="n">
        <f aca="false">MAX(0,C147-E147-G147)</f>
        <v>0</v>
      </c>
      <c r="Z147" s="59" t="n">
        <f aca="false">D147+X147*TASA_USADA</f>
        <v>0</v>
      </c>
      <c r="AA147" s="59" t="n">
        <f aca="false">E147+Y147*TASA_USADA</f>
        <v>0</v>
      </c>
      <c r="AB147" s="59" t="n">
        <f aca="false">F147+G147+(X147+Y147)*(1-TASA_USADA)</f>
        <v>0</v>
      </c>
      <c r="AC147" s="60" t="n">
        <f aca="false">Z147*P1_PVP+AA147*P2_PVP</f>
        <v>0</v>
      </c>
      <c r="AD147" s="60" t="n">
        <f aca="false">Z147*P1_CPROD+AA147*P2_CPROD</f>
        <v>0</v>
      </c>
      <c r="AE147" s="60" t="n">
        <f aca="false">IF(ISNUMBER(I147),I147,D147*P1_LOG+E147*P2_LOG)+IF(ISNUMBER(J147),J147,X147*P1_LOG+Y147*P2_LOG)*TASA_USADA</f>
        <v>0</v>
      </c>
      <c r="AF147" s="60" t="n">
        <f aca="false">AB147*COSTE_DEV</f>
        <v>0</v>
      </c>
      <c r="AG147" s="60" t="n">
        <f aca="false">Z147*P1_IVAN+AA147*P2_IVAN-AB147*IVA_DEV</f>
        <v>0</v>
      </c>
      <c r="AH147" s="60" t="n">
        <f aca="false">K147*(1+RECARGO_ADS)</f>
        <v>0</v>
      </c>
      <c r="AI147" s="58" t="n">
        <f aca="false">IF(ISNUMBER(I147),D147+E147+X147+Y147,0)</f>
        <v>0</v>
      </c>
      <c r="AJ147" s="60" t="n">
        <f aca="false">M147*COMISION</f>
        <v>0</v>
      </c>
    </row>
    <row r="148" customFormat="false" ht="15" hidden="false" customHeight="false" outlineLevel="0" collapsed="false">
      <c r="A148" s="53" t="n">
        <v>46442</v>
      </c>
      <c r="B148" s="54"/>
      <c r="C148" s="54"/>
      <c r="D148" s="54"/>
      <c r="E148" s="54"/>
      <c r="F148" s="54"/>
      <c r="G148" s="54"/>
      <c r="H148" s="54"/>
      <c r="I148" s="55"/>
      <c r="J148" s="55"/>
      <c r="K148" s="55"/>
      <c r="L148" s="56"/>
      <c r="M148" s="31" t="n">
        <f aca="false">B148+C148</f>
        <v>0</v>
      </c>
      <c r="N148" s="31" t="n">
        <f aca="false">X148+Y148</f>
        <v>0</v>
      </c>
      <c r="O148" s="32" t="n">
        <f aca="false">B148*P1_PVP+C148*P2_PVP</f>
        <v>0</v>
      </c>
      <c r="P148" s="32" t="str">
        <f aca="false">IF(M148&gt;0,O148/M148,"")</f>
        <v/>
      </c>
      <c r="Q148" s="32" t="str">
        <f aca="false">IF(M148&gt;0,K148/M148,"")</f>
        <v/>
      </c>
      <c r="R148" s="57" t="str">
        <f aca="false">IF(K148&gt;0,O148/K148,"")</f>
        <v/>
      </c>
      <c r="S148" s="34" t="str">
        <f aca="false">IF(D148+E148+F148+G148&gt;0,(D148+E148)/(D148+E148+F148+G148),"")</f>
        <v/>
      </c>
      <c r="T148" s="33" t="n">
        <f aca="false">D148*(P1_PVP-P1_CPROD)+E148*(P2_PVP-P2_CPROD)-IF(ISNUMBER(I148),I148,D148*P1_LOG+E148*P2_LOG)</f>
        <v>0</v>
      </c>
      <c r="U148" s="33" t="n">
        <f aca="false">T148-(D148*P1_IVAN+E148*P2_IVAN)-(F148+G148)*(COSTE_DEV-IVA_DEV)-AH148-AJ148</f>
        <v>0</v>
      </c>
      <c r="V148" s="33" t="n">
        <f aca="false">AC148-AD148-AE148-AF148-AG148-AH148-AJ148</f>
        <v>0</v>
      </c>
      <c r="X148" s="58" t="n">
        <f aca="false">MAX(0,B148-D148-F148)</f>
        <v>0</v>
      </c>
      <c r="Y148" s="58" t="n">
        <f aca="false">MAX(0,C148-E148-G148)</f>
        <v>0</v>
      </c>
      <c r="Z148" s="59" t="n">
        <f aca="false">D148+X148*TASA_USADA</f>
        <v>0</v>
      </c>
      <c r="AA148" s="59" t="n">
        <f aca="false">E148+Y148*TASA_USADA</f>
        <v>0</v>
      </c>
      <c r="AB148" s="59" t="n">
        <f aca="false">F148+G148+(X148+Y148)*(1-TASA_USADA)</f>
        <v>0</v>
      </c>
      <c r="AC148" s="60" t="n">
        <f aca="false">Z148*P1_PVP+AA148*P2_PVP</f>
        <v>0</v>
      </c>
      <c r="AD148" s="60" t="n">
        <f aca="false">Z148*P1_CPROD+AA148*P2_CPROD</f>
        <v>0</v>
      </c>
      <c r="AE148" s="60" t="n">
        <f aca="false">IF(ISNUMBER(I148),I148,D148*P1_LOG+E148*P2_LOG)+IF(ISNUMBER(J148),J148,X148*P1_LOG+Y148*P2_LOG)*TASA_USADA</f>
        <v>0</v>
      </c>
      <c r="AF148" s="60" t="n">
        <f aca="false">AB148*COSTE_DEV</f>
        <v>0</v>
      </c>
      <c r="AG148" s="60" t="n">
        <f aca="false">Z148*P1_IVAN+AA148*P2_IVAN-AB148*IVA_DEV</f>
        <v>0</v>
      </c>
      <c r="AH148" s="60" t="n">
        <f aca="false">K148*(1+RECARGO_ADS)</f>
        <v>0</v>
      </c>
      <c r="AI148" s="58" t="n">
        <f aca="false">IF(ISNUMBER(I148),D148+E148+X148+Y148,0)</f>
        <v>0</v>
      </c>
      <c r="AJ148" s="60" t="n">
        <f aca="false">M148*COMISION</f>
        <v>0</v>
      </c>
    </row>
    <row r="149" customFormat="false" ht="15" hidden="false" customHeight="false" outlineLevel="0" collapsed="false">
      <c r="A149" s="53" t="n">
        <v>46443</v>
      </c>
      <c r="B149" s="54"/>
      <c r="C149" s="54"/>
      <c r="D149" s="54"/>
      <c r="E149" s="54"/>
      <c r="F149" s="54"/>
      <c r="G149" s="54"/>
      <c r="H149" s="54"/>
      <c r="I149" s="55"/>
      <c r="J149" s="55"/>
      <c r="K149" s="55"/>
      <c r="L149" s="56"/>
      <c r="M149" s="31" t="n">
        <f aca="false">B149+C149</f>
        <v>0</v>
      </c>
      <c r="N149" s="31" t="n">
        <f aca="false">X149+Y149</f>
        <v>0</v>
      </c>
      <c r="O149" s="32" t="n">
        <f aca="false">B149*P1_PVP+C149*P2_PVP</f>
        <v>0</v>
      </c>
      <c r="P149" s="32" t="str">
        <f aca="false">IF(M149&gt;0,O149/M149,"")</f>
        <v/>
      </c>
      <c r="Q149" s="32" t="str">
        <f aca="false">IF(M149&gt;0,K149/M149,"")</f>
        <v/>
      </c>
      <c r="R149" s="57" t="str">
        <f aca="false">IF(K149&gt;0,O149/K149,"")</f>
        <v/>
      </c>
      <c r="S149" s="34" t="str">
        <f aca="false">IF(D149+E149+F149+G149&gt;0,(D149+E149)/(D149+E149+F149+G149),"")</f>
        <v/>
      </c>
      <c r="T149" s="33" t="n">
        <f aca="false">D149*(P1_PVP-P1_CPROD)+E149*(P2_PVP-P2_CPROD)-IF(ISNUMBER(I149),I149,D149*P1_LOG+E149*P2_LOG)</f>
        <v>0</v>
      </c>
      <c r="U149" s="33" t="n">
        <f aca="false">T149-(D149*P1_IVAN+E149*P2_IVAN)-(F149+G149)*(COSTE_DEV-IVA_DEV)-AH149-AJ149</f>
        <v>0</v>
      </c>
      <c r="V149" s="33" t="n">
        <f aca="false">AC149-AD149-AE149-AF149-AG149-AH149-AJ149</f>
        <v>0</v>
      </c>
      <c r="X149" s="58" t="n">
        <f aca="false">MAX(0,B149-D149-F149)</f>
        <v>0</v>
      </c>
      <c r="Y149" s="58" t="n">
        <f aca="false">MAX(0,C149-E149-G149)</f>
        <v>0</v>
      </c>
      <c r="Z149" s="59" t="n">
        <f aca="false">D149+X149*TASA_USADA</f>
        <v>0</v>
      </c>
      <c r="AA149" s="59" t="n">
        <f aca="false">E149+Y149*TASA_USADA</f>
        <v>0</v>
      </c>
      <c r="AB149" s="59" t="n">
        <f aca="false">F149+G149+(X149+Y149)*(1-TASA_USADA)</f>
        <v>0</v>
      </c>
      <c r="AC149" s="60" t="n">
        <f aca="false">Z149*P1_PVP+AA149*P2_PVP</f>
        <v>0</v>
      </c>
      <c r="AD149" s="60" t="n">
        <f aca="false">Z149*P1_CPROD+AA149*P2_CPROD</f>
        <v>0</v>
      </c>
      <c r="AE149" s="60" t="n">
        <f aca="false">IF(ISNUMBER(I149),I149,D149*P1_LOG+E149*P2_LOG)+IF(ISNUMBER(J149),J149,X149*P1_LOG+Y149*P2_LOG)*TASA_USADA</f>
        <v>0</v>
      </c>
      <c r="AF149" s="60" t="n">
        <f aca="false">AB149*COSTE_DEV</f>
        <v>0</v>
      </c>
      <c r="AG149" s="60" t="n">
        <f aca="false">Z149*P1_IVAN+AA149*P2_IVAN-AB149*IVA_DEV</f>
        <v>0</v>
      </c>
      <c r="AH149" s="60" t="n">
        <f aca="false">K149*(1+RECARGO_ADS)</f>
        <v>0</v>
      </c>
      <c r="AI149" s="58" t="n">
        <f aca="false">IF(ISNUMBER(I149),D149+E149+X149+Y149,0)</f>
        <v>0</v>
      </c>
      <c r="AJ149" s="60" t="n">
        <f aca="false">M149*COMISION</f>
        <v>0</v>
      </c>
    </row>
    <row r="150" customFormat="false" ht="15" hidden="false" customHeight="false" outlineLevel="0" collapsed="false">
      <c r="A150" s="53" t="n">
        <v>46444</v>
      </c>
      <c r="B150" s="54"/>
      <c r="C150" s="54"/>
      <c r="D150" s="54"/>
      <c r="E150" s="54"/>
      <c r="F150" s="54"/>
      <c r="G150" s="54"/>
      <c r="H150" s="54"/>
      <c r="I150" s="55"/>
      <c r="J150" s="55"/>
      <c r="K150" s="55"/>
      <c r="L150" s="56"/>
      <c r="M150" s="31" t="n">
        <f aca="false">B150+C150</f>
        <v>0</v>
      </c>
      <c r="N150" s="31" t="n">
        <f aca="false">X150+Y150</f>
        <v>0</v>
      </c>
      <c r="O150" s="32" t="n">
        <f aca="false">B150*P1_PVP+C150*P2_PVP</f>
        <v>0</v>
      </c>
      <c r="P150" s="32" t="str">
        <f aca="false">IF(M150&gt;0,O150/M150,"")</f>
        <v/>
      </c>
      <c r="Q150" s="32" t="str">
        <f aca="false">IF(M150&gt;0,K150/M150,"")</f>
        <v/>
      </c>
      <c r="R150" s="57" t="str">
        <f aca="false">IF(K150&gt;0,O150/K150,"")</f>
        <v/>
      </c>
      <c r="S150" s="34" t="str">
        <f aca="false">IF(D150+E150+F150+G150&gt;0,(D150+E150)/(D150+E150+F150+G150),"")</f>
        <v/>
      </c>
      <c r="T150" s="33" t="n">
        <f aca="false">D150*(P1_PVP-P1_CPROD)+E150*(P2_PVP-P2_CPROD)-IF(ISNUMBER(I150),I150,D150*P1_LOG+E150*P2_LOG)</f>
        <v>0</v>
      </c>
      <c r="U150" s="33" t="n">
        <f aca="false">T150-(D150*P1_IVAN+E150*P2_IVAN)-(F150+G150)*(COSTE_DEV-IVA_DEV)-AH150-AJ150</f>
        <v>0</v>
      </c>
      <c r="V150" s="33" t="n">
        <f aca="false">AC150-AD150-AE150-AF150-AG150-AH150-AJ150</f>
        <v>0</v>
      </c>
      <c r="X150" s="58" t="n">
        <f aca="false">MAX(0,B150-D150-F150)</f>
        <v>0</v>
      </c>
      <c r="Y150" s="58" t="n">
        <f aca="false">MAX(0,C150-E150-G150)</f>
        <v>0</v>
      </c>
      <c r="Z150" s="59" t="n">
        <f aca="false">D150+X150*TASA_USADA</f>
        <v>0</v>
      </c>
      <c r="AA150" s="59" t="n">
        <f aca="false">E150+Y150*TASA_USADA</f>
        <v>0</v>
      </c>
      <c r="AB150" s="59" t="n">
        <f aca="false">F150+G150+(X150+Y150)*(1-TASA_USADA)</f>
        <v>0</v>
      </c>
      <c r="AC150" s="60" t="n">
        <f aca="false">Z150*P1_PVP+AA150*P2_PVP</f>
        <v>0</v>
      </c>
      <c r="AD150" s="60" t="n">
        <f aca="false">Z150*P1_CPROD+AA150*P2_CPROD</f>
        <v>0</v>
      </c>
      <c r="AE150" s="60" t="n">
        <f aca="false">IF(ISNUMBER(I150),I150,D150*P1_LOG+E150*P2_LOG)+IF(ISNUMBER(J150),J150,X150*P1_LOG+Y150*P2_LOG)*TASA_USADA</f>
        <v>0</v>
      </c>
      <c r="AF150" s="60" t="n">
        <f aca="false">AB150*COSTE_DEV</f>
        <v>0</v>
      </c>
      <c r="AG150" s="60" t="n">
        <f aca="false">Z150*P1_IVAN+AA150*P2_IVAN-AB150*IVA_DEV</f>
        <v>0</v>
      </c>
      <c r="AH150" s="60" t="n">
        <f aca="false">K150*(1+RECARGO_ADS)</f>
        <v>0</v>
      </c>
      <c r="AI150" s="58" t="n">
        <f aca="false">IF(ISNUMBER(I150),D150+E150+X150+Y150,0)</f>
        <v>0</v>
      </c>
      <c r="AJ150" s="60" t="n">
        <f aca="false">M150*COMISION</f>
        <v>0</v>
      </c>
    </row>
    <row r="151" customFormat="false" ht="15" hidden="false" customHeight="false" outlineLevel="0" collapsed="false">
      <c r="A151" s="53" t="n">
        <v>46445</v>
      </c>
      <c r="B151" s="54"/>
      <c r="C151" s="54"/>
      <c r="D151" s="54"/>
      <c r="E151" s="54"/>
      <c r="F151" s="54"/>
      <c r="G151" s="54"/>
      <c r="H151" s="54"/>
      <c r="I151" s="55"/>
      <c r="J151" s="55"/>
      <c r="K151" s="55"/>
      <c r="L151" s="56"/>
      <c r="M151" s="31" t="n">
        <f aca="false">B151+C151</f>
        <v>0</v>
      </c>
      <c r="N151" s="31" t="n">
        <f aca="false">X151+Y151</f>
        <v>0</v>
      </c>
      <c r="O151" s="32" t="n">
        <f aca="false">B151*P1_PVP+C151*P2_PVP</f>
        <v>0</v>
      </c>
      <c r="P151" s="32" t="str">
        <f aca="false">IF(M151&gt;0,O151/M151,"")</f>
        <v/>
      </c>
      <c r="Q151" s="32" t="str">
        <f aca="false">IF(M151&gt;0,K151/M151,"")</f>
        <v/>
      </c>
      <c r="R151" s="57" t="str">
        <f aca="false">IF(K151&gt;0,O151/K151,"")</f>
        <v/>
      </c>
      <c r="S151" s="34" t="str">
        <f aca="false">IF(D151+E151+F151+G151&gt;0,(D151+E151)/(D151+E151+F151+G151),"")</f>
        <v/>
      </c>
      <c r="T151" s="33" t="n">
        <f aca="false">D151*(P1_PVP-P1_CPROD)+E151*(P2_PVP-P2_CPROD)-IF(ISNUMBER(I151),I151,D151*P1_LOG+E151*P2_LOG)</f>
        <v>0</v>
      </c>
      <c r="U151" s="33" t="n">
        <f aca="false">T151-(D151*P1_IVAN+E151*P2_IVAN)-(F151+G151)*(COSTE_DEV-IVA_DEV)-AH151-AJ151</f>
        <v>0</v>
      </c>
      <c r="V151" s="33" t="n">
        <f aca="false">AC151-AD151-AE151-AF151-AG151-AH151-AJ151</f>
        <v>0</v>
      </c>
      <c r="X151" s="58" t="n">
        <f aca="false">MAX(0,B151-D151-F151)</f>
        <v>0</v>
      </c>
      <c r="Y151" s="58" t="n">
        <f aca="false">MAX(0,C151-E151-G151)</f>
        <v>0</v>
      </c>
      <c r="Z151" s="59" t="n">
        <f aca="false">D151+X151*TASA_USADA</f>
        <v>0</v>
      </c>
      <c r="AA151" s="59" t="n">
        <f aca="false">E151+Y151*TASA_USADA</f>
        <v>0</v>
      </c>
      <c r="AB151" s="59" t="n">
        <f aca="false">F151+G151+(X151+Y151)*(1-TASA_USADA)</f>
        <v>0</v>
      </c>
      <c r="AC151" s="60" t="n">
        <f aca="false">Z151*P1_PVP+AA151*P2_PVP</f>
        <v>0</v>
      </c>
      <c r="AD151" s="60" t="n">
        <f aca="false">Z151*P1_CPROD+AA151*P2_CPROD</f>
        <v>0</v>
      </c>
      <c r="AE151" s="60" t="n">
        <f aca="false">IF(ISNUMBER(I151),I151,D151*P1_LOG+E151*P2_LOG)+IF(ISNUMBER(J151),J151,X151*P1_LOG+Y151*P2_LOG)*TASA_USADA</f>
        <v>0</v>
      </c>
      <c r="AF151" s="60" t="n">
        <f aca="false">AB151*COSTE_DEV</f>
        <v>0</v>
      </c>
      <c r="AG151" s="60" t="n">
        <f aca="false">Z151*P1_IVAN+AA151*P2_IVAN-AB151*IVA_DEV</f>
        <v>0</v>
      </c>
      <c r="AH151" s="60" t="n">
        <f aca="false">K151*(1+RECARGO_ADS)</f>
        <v>0</v>
      </c>
      <c r="AI151" s="58" t="n">
        <f aca="false">IF(ISNUMBER(I151),D151+E151+X151+Y151,0)</f>
        <v>0</v>
      </c>
      <c r="AJ151" s="60" t="n">
        <f aca="false">M151*COMISION</f>
        <v>0</v>
      </c>
    </row>
    <row r="152" customFormat="false" ht="15" hidden="false" customHeight="false" outlineLevel="0" collapsed="false">
      <c r="A152" s="53" t="n">
        <v>46446</v>
      </c>
      <c r="B152" s="54"/>
      <c r="C152" s="54"/>
      <c r="D152" s="54"/>
      <c r="E152" s="54"/>
      <c r="F152" s="54"/>
      <c r="G152" s="54"/>
      <c r="H152" s="54"/>
      <c r="I152" s="55"/>
      <c r="J152" s="55"/>
      <c r="K152" s="55"/>
      <c r="L152" s="56"/>
      <c r="M152" s="31" t="n">
        <f aca="false">B152+C152</f>
        <v>0</v>
      </c>
      <c r="N152" s="31" t="n">
        <f aca="false">X152+Y152</f>
        <v>0</v>
      </c>
      <c r="O152" s="32" t="n">
        <f aca="false">B152*P1_PVP+C152*P2_PVP</f>
        <v>0</v>
      </c>
      <c r="P152" s="32" t="str">
        <f aca="false">IF(M152&gt;0,O152/M152,"")</f>
        <v/>
      </c>
      <c r="Q152" s="32" t="str">
        <f aca="false">IF(M152&gt;0,K152/M152,"")</f>
        <v/>
      </c>
      <c r="R152" s="57" t="str">
        <f aca="false">IF(K152&gt;0,O152/K152,"")</f>
        <v/>
      </c>
      <c r="S152" s="34" t="str">
        <f aca="false">IF(D152+E152+F152+G152&gt;0,(D152+E152)/(D152+E152+F152+G152),"")</f>
        <v/>
      </c>
      <c r="T152" s="33" t="n">
        <f aca="false">D152*(P1_PVP-P1_CPROD)+E152*(P2_PVP-P2_CPROD)-IF(ISNUMBER(I152),I152,D152*P1_LOG+E152*P2_LOG)</f>
        <v>0</v>
      </c>
      <c r="U152" s="33" t="n">
        <f aca="false">T152-(D152*P1_IVAN+E152*P2_IVAN)-(F152+G152)*(COSTE_DEV-IVA_DEV)-AH152-AJ152</f>
        <v>0</v>
      </c>
      <c r="V152" s="33" t="n">
        <f aca="false">AC152-AD152-AE152-AF152-AG152-AH152-AJ152</f>
        <v>0</v>
      </c>
      <c r="X152" s="58" t="n">
        <f aca="false">MAX(0,B152-D152-F152)</f>
        <v>0</v>
      </c>
      <c r="Y152" s="58" t="n">
        <f aca="false">MAX(0,C152-E152-G152)</f>
        <v>0</v>
      </c>
      <c r="Z152" s="59" t="n">
        <f aca="false">D152+X152*TASA_USADA</f>
        <v>0</v>
      </c>
      <c r="AA152" s="59" t="n">
        <f aca="false">E152+Y152*TASA_USADA</f>
        <v>0</v>
      </c>
      <c r="AB152" s="59" t="n">
        <f aca="false">F152+G152+(X152+Y152)*(1-TASA_USADA)</f>
        <v>0</v>
      </c>
      <c r="AC152" s="60" t="n">
        <f aca="false">Z152*P1_PVP+AA152*P2_PVP</f>
        <v>0</v>
      </c>
      <c r="AD152" s="60" t="n">
        <f aca="false">Z152*P1_CPROD+AA152*P2_CPROD</f>
        <v>0</v>
      </c>
      <c r="AE152" s="60" t="n">
        <f aca="false">IF(ISNUMBER(I152),I152,D152*P1_LOG+E152*P2_LOG)+IF(ISNUMBER(J152),J152,X152*P1_LOG+Y152*P2_LOG)*TASA_USADA</f>
        <v>0</v>
      </c>
      <c r="AF152" s="60" t="n">
        <f aca="false">AB152*COSTE_DEV</f>
        <v>0</v>
      </c>
      <c r="AG152" s="60" t="n">
        <f aca="false">Z152*P1_IVAN+AA152*P2_IVAN-AB152*IVA_DEV</f>
        <v>0</v>
      </c>
      <c r="AH152" s="60" t="n">
        <f aca="false">K152*(1+RECARGO_ADS)</f>
        <v>0</v>
      </c>
      <c r="AI152" s="58" t="n">
        <f aca="false">IF(ISNUMBER(I152),D152+E152+X152+Y152,0)</f>
        <v>0</v>
      </c>
      <c r="AJ152" s="60" t="n">
        <f aca="false">M152*COMISION</f>
        <v>0</v>
      </c>
    </row>
    <row r="153" customFormat="false" ht="15" hidden="false" customHeight="false" outlineLevel="0" collapsed="false">
      <c r="A153" s="53" t="n">
        <v>46447</v>
      </c>
      <c r="B153" s="54"/>
      <c r="C153" s="54"/>
      <c r="D153" s="54"/>
      <c r="E153" s="54"/>
      <c r="F153" s="54"/>
      <c r="G153" s="54"/>
      <c r="H153" s="54"/>
      <c r="I153" s="55"/>
      <c r="J153" s="55"/>
      <c r="K153" s="55"/>
      <c r="L153" s="56"/>
      <c r="M153" s="31" t="n">
        <f aca="false">B153+C153</f>
        <v>0</v>
      </c>
      <c r="N153" s="31" t="n">
        <f aca="false">X153+Y153</f>
        <v>0</v>
      </c>
      <c r="O153" s="32" t="n">
        <f aca="false">B153*P1_PVP+C153*P2_PVP</f>
        <v>0</v>
      </c>
      <c r="P153" s="32" t="str">
        <f aca="false">IF(M153&gt;0,O153/M153,"")</f>
        <v/>
      </c>
      <c r="Q153" s="32" t="str">
        <f aca="false">IF(M153&gt;0,K153/M153,"")</f>
        <v/>
      </c>
      <c r="R153" s="57" t="str">
        <f aca="false">IF(K153&gt;0,O153/K153,"")</f>
        <v/>
      </c>
      <c r="S153" s="34" t="str">
        <f aca="false">IF(D153+E153+F153+G153&gt;0,(D153+E153)/(D153+E153+F153+G153),"")</f>
        <v/>
      </c>
      <c r="T153" s="33" t="n">
        <f aca="false">D153*(P1_PVP-P1_CPROD)+E153*(P2_PVP-P2_CPROD)-IF(ISNUMBER(I153),I153,D153*P1_LOG+E153*P2_LOG)</f>
        <v>0</v>
      </c>
      <c r="U153" s="33" t="n">
        <f aca="false">T153-(D153*P1_IVAN+E153*P2_IVAN)-(F153+G153)*(COSTE_DEV-IVA_DEV)-AH153-AJ153</f>
        <v>0</v>
      </c>
      <c r="V153" s="33" t="n">
        <f aca="false">AC153-AD153-AE153-AF153-AG153-AH153-AJ153</f>
        <v>0</v>
      </c>
      <c r="X153" s="58" t="n">
        <f aca="false">MAX(0,B153-D153-F153)</f>
        <v>0</v>
      </c>
      <c r="Y153" s="58" t="n">
        <f aca="false">MAX(0,C153-E153-G153)</f>
        <v>0</v>
      </c>
      <c r="Z153" s="59" t="n">
        <f aca="false">D153+X153*TASA_USADA</f>
        <v>0</v>
      </c>
      <c r="AA153" s="59" t="n">
        <f aca="false">E153+Y153*TASA_USADA</f>
        <v>0</v>
      </c>
      <c r="AB153" s="59" t="n">
        <f aca="false">F153+G153+(X153+Y153)*(1-TASA_USADA)</f>
        <v>0</v>
      </c>
      <c r="AC153" s="60" t="n">
        <f aca="false">Z153*P1_PVP+AA153*P2_PVP</f>
        <v>0</v>
      </c>
      <c r="AD153" s="60" t="n">
        <f aca="false">Z153*P1_CPROD+AA153*P2_CPROD</f>
        <v>0</v>
      </c>
      <c r="AE153" s="60" t="n">
        <f aca="false">IF(ISNUMBER(I153),I153,D153*P1_LOG+E153*P2_LOG)+IF(ISNUMBER(J153),J153,X153*P1_LOG+Y153*P2_LOG)*TASA_USADA</f>
        <v>0</v>
      </c>
      <c r="AF153" s="60" t="n">
        <f aca="false">AB153*COSTE_DEV</f>
        <v>0</v>
      </c>
      <c r="AG153" s="60" t="n">
        <f aca="false">Z153*P1_IVAN+AA153*P2_IVAN-AB153*IVA_DEV</f>
        <v>0</v>
      </c>
      <c r="AH153" s="60" t="n">
        <f aca="false">K153*(1+RECARGO_ADS)</f>
        <v>0</v>
      </c>
      <c r="AI153" s="58" t="n">
        <f aca="false">IF(ISNUMBER(I153),D153+E153+X153+Y153,0)</f>
        <v>0</v>
      </c>
      <c r="AJ153" s="60" t="n">
        <f aca="false">M153*COMISION</f>
        <v>0</v>
      </c>
    </row>
    <row r="154" customFormat="false" ht="15" hidden="false" customHeight="false" outlineLevel="0" collapsed="false">
      <c r="A154" s="53" t="n">
        <v>46448</v>
      </c>
      <c r="B154" s="54"/>
      <c r="C154" s="54"/>
      <c r="D154" s="54"/>
      <c r="E154" s="54"/>
      <c r="F154" s="54"/>
      <c r="G154" s="54"/>
      <c r="H154" s="54"/>
      <c r="I154" s="55"/>
      <c r="J154" s="55"/>
      <c r="K154" s="55"/>
      <c r="L154" s="56"/>
      <c r="M154" s="31" t="n">
        <f aca="false">B154+C154</f>
        <v>0</v>
      </c>
      <c r="N154" s="31" t="n">
        <f aca="false">X154+Y154</f>
        <v>0</v>
      </c>
      <c r="O154" s="32" t="n">
        <f aca="false">B154*P1_PVP+C154*P2_PVP</f>
        <v>0</v>
      </c>
      <c r="P154" s="32" t="str">
        <f aca="false">IF(M154&gt;0,O154/M154,"")</f>
        <v/>
      </c>
      <c r="Q154" s="32" t="str">
        <f aca="false">IF(M154&gt;0,K154/M154,"")</f>
        <v/>
      </c>
      <c r="R154" s="57" t="str">
        <f aca="false">IF(K154&gt;0,O154/K154,"")</f>
        <v/>
      </c>
      <c r="S154" s="34" t="str">
        <f aca="false">IF(D154+E154+F154+G154&gt;0,(D154+E154)/(D154+E154+F154+G154),"")</f>
        <v/>
      </c>
      <c r="T154" s="33" t="n">
        <f aca="false">D154*(P1_PVP-P1_CPROD)+E154*(P2_PVP-P2_CPROD)-IF(ISNUMBER(I154),I154,D154*P1_LOG+E154*P2_LOG)</f>
        <v>0</v>
      </c>
      <c r="U154" s="33" t="n">
        <f aca="false">T154-(D154*P1_IVAN+E154*P2_IVAN)-(F154+G154)*(COSTE_DEV-IVA_DEV)-AH154-AJ154</f>
        <v>0</v>
      </c>
      <c r="V154" s="33" t="n">
        <f aca="false">AC154-AD154-AE154-AF154-AG154-AH154-AJ154</f>
        <v>0</v>
      </c>
      <c r="X154" s="58" t="n">
        <f aca="false">MAX(0,B154-D154-F154)</f>
        <v>0</v>
      </c>
      <c r="Y154" s="58" t="n">
        <f aca="false">MAX(0,C154-E154-G154)</f>
        <v>0</v>
      </c>
      <c r="Z154" s="59" t="n">
        <f aca="false">D154+X154*TASA_USADA</f>
        <v>0</v>
      </c>
      <c r="AA154" s="59" t="n">
        <f aca="false">E154+Y154*TASA_USADA</f>
        <v>0</v>
      </c>
      <c r="AB154" s="59" t="n">
        <f aca="false">F154+G154+(X154+Y154)*(1-TASA_USADA)</f>
        <v>0</v>
      </c>
      <c r="AC154" s="60" t="n">
        <f aca="false">Z154*P1_PVP+AA154*P2_PVP</f>
        <v>0</v>
      </c>
      <c r="AD154" s="60" t="n">
        <f aca="false">Z154*P1_CPROD+AA154*P2_CPROD</f>
        <v>0</v>
      </c>
      <c r="AE154" s="60" t="n">
        <f aca="false">IF(ISNUMBER(I154),I154,D154*P1_LOG+E154*P2_LOG)+IF(ISNUMBER(J154),J154,X154*P1_LOG+Y154*P2_LOG)*TASA_USADA</f>
        <v>0</v>
      </c>
      <c r="AF154" s="60" t="n">
        <f aca="false">AB154*COSTE_DEV</f>
        <v>0</v>
      </c>
      <c r="AG154" s="60" t="n">
        <f aca="false">Z154*P1_IVAN+AA154*P2_IVAN-AB154*IVA_DEV</f>
        <v>0</v>
      </c>
      <c r="AH154" s="60" t="n">
        <f aca="false">K154*(1+RECARGO_ADS)</f>
        <v>0</v>
      </c>
      <c r="AI154" s="58" t="n">
        <f aca="false">IF(ISNUMBER(I154),D154+E154+X154+Y154,0)</f>
        <v>0</v>
      </c>
      <c r="AJ154" s="60" t="n">
        <f aca="false">M154*COMISION</f>
        <v>0</v>
      </c>
    </row>
    <row r="155" customFormat="false" ht="15" hidden="false" customHeight="false" outlineLevel="0" collapsed="false">
      <c r="A155" s="53" t="n">
        <v>46449</v>
      </c>
      <c r="B155" s="54"/>
      <c r="C155" s="54"/>
      <c r="D155" s="54"/>
      <c r="E155" s="54"/>
      <c r="F155" s="54"/>
      <c r="G155" s="54"/>
      <c r="H155" s="54"/>
      <c r="I155" s="55"/>
      <c r="J155" s="55"/>
      <c r="K155" s="55"/>
      <c r="L155" s="56"/>
      <c r="M155" s="31" t="n">
        <f aca="false">B155+C155</f>
        <v>0</v>
      </c>
      <c r="N155" s="31" t="n">
        <f aca="false">X155+Y155</f>
        <v>0</v>
      </c>
      <c r="O155" s="32" t="n">
        <f aca="false">B155*P1_PVP+C155*P2_PVP</f>
        <v>0</v>
      </c>
      <c r="P155" s="32" t="str">
        <f aca="false">IF(M155&gt;0,O155/M155,"")</f>
        <v/>
      </c>
      <c r="Q155" s="32" t="str">
        <f aca="false">IF(M155&gt;0,K155/M155,"")</f>
        <v/>
      </c>
      <c r="R155" s="57" t="str">
        <f aca="false">IF(K155&gt;0,O155/K155,"")</f>
        <v/>
      </c>
      <c r="S155" s="34" t="str">
        <f aca="false">IF(D155+E155+F155+G155&gt;0,(D155+E155)/(D155+E155+F155+G155),"")</f>
        <v/>
      </c>
      <c r="T155" s="33" t="n">
        <f aca="false">D155*(P1_PVP-P1_CPROD)+E155*(P2_PVP-P2_CPROD)-IF(ISNUMBER(I155),I155,D155*P1_LOG+E155*P2_LOG)</f>
        <v>0</v>
      </c>
      <c r="U155" s="33" t="n">
        <f aca="false">T155-(D155*P1_IVAN+E155*P2_IVAN)-(F155+G155)*(COSTE_DEV-IVA_DEV)-AH155-AJ155</f>
        <v>0</v>
      </c>
      <c r="V155" s="33" t="n">
        <f aca="false">AC155-AD155-AE155-AF155-AG155-AH155-AJ155</f>
        <v>0</v>
      </c>
      <c r="X155" s="58" t="n">
        <f aca="false">MAX(0,B155-D155-F155)</f>
        <v>0</v>
      </c>
      <c r="Y155" s="58" t="n">
        <f aca="false">MAX(0,C155-E155-G155)</f>
        <v>0</v>
      </c>
      <c r="Z155" s="59" t="n">
        <f aca="false">D155+X155*TASA_USADA</f>
        <v>0</v>
      </c>
      <c r="AA155" s="59" t="n">
        <f aca="false">E155+Y155*TASA_USADA</f>
        <v>0</v>
      </c>
      <c r="AB155" s="59" t="n">
        <f aca="false">F155+G155+(X155+Y155)*(1-TASA_USADA)</f>
        <v>0</v>
      </c>
      <c r="AC155" s="60" t="n">
        <f aca="false">Z155*P1_PVP+AA155*P2_PVP</f>
        <v>0</v>
      </c>
      <c r="AD155" s="60" t="n">
        <f aca="false">Z155*P1_CPROD+AA155*P2_CPROD</f>
        <v>0</v>
      </c>
      <c r="AE155" s="60" t="n">
        <f aca="false">IF(ISNUMBER(I155),I155,D155*P1_LOG+E155*P2_LOG)+IF(ISNUMBER(J155),J155,X155*P1_LOG+Y155*P2_LOG)*TASA_USADA</f>
        <v>0</v>
      </c>
      <c r="AF155" s="60" t="n">
        <f aca="false">AB155*COSTE_DEV</f>
        <v>0</v>
      </c>
      <c r="AG155" s="60" t="n">
        <f aca="false">Z155*P1_IVAN+AA155*P2_IVAN-AB155*IVA_DEV</f>
        <v>0</v>
      </c>
      <c r="AH155" s="60" t="n">
        <f aca="false">K155*(1+RECARGO_ADS)</f>
        <v>0</v>
      </c>
      <c r="AI155" s="58" t="n">
        <f aca="false">IF(ISNUMBER(I155),D155+E155+X155+Y155,0)</f>
        <v>0</v>
      </c>
      <c r="AJ155" s="60" t="n">
        <f aca="false">M155*COMISION</f>
        <v>0</v>
      </c>
    </row>
    <row r="156" customFormat="false" ht="15" hidden="false" customHeight="false" outlineLevel="0" collapsed="false">
      <c r="A156" s="53" t="n">
        <v>46450</v>
      </c>
      <c r="B156" s="54"/>
      <c r="C156" s="54"/>
      <c r="D156" s="54"/>
      <c r="E156" s="54"/>
      <c r="F156" s="54"/>
      <c r="G156" s="54"/>
      <c r="H156" s="54"/>
      <c r="I156" s="55"/>
      <c r="J156" s="55"/>
      <c r="K156" s="55"/>
      <c r="L156" s="56"/>
      <c r="M156" s="31" t="n">
        <f aca="false">B156+C156</f>
        <v>0</v>
      </c>
      <c r="N156" s="31" t="n">
        <f aca="false">X156+Y156</f>
        <v>0</v>
      </c>
      <c r="O156" s="32" t="n">
        <f aca="false">B156*P1_PVP+C156*P2_PVP</f>
        <v>0</v>
      </c>
      <c r="P156" s="32" t="str">
        <f aca="false">IF(M156&gt;0,O156/M156,"")</f>
        <v/>
      </c>
      <c r="Q156" s="32" t="str">
        <f aca="false">IF(M156&gt;0,K156/M156,"")</f>
        <v/>
      </c>
      <c r="R156" s="57" t="str">
        <f aca="false">IF(K156&gt;0,O156/K156,"")</f>
        <v/>
      </c>
      <c r="S156" s="34" t="str">
        <f aca="false">IF(D156+E156+F156+G156&gt;0,(D156+E156)/(D156+E156+F156+G156),"")</f>
        <v/>
      </c>
      <c r="T156" s="33" t="n">
        <f aca="false">D156*(P1_PVP-P1_CPROD)+E156*(P2_PVP-P2_CPROD)-IF(ISNUMBER(I156),I156,D156*P1_LOG+E156*P2_LOG)</f>
        <v>0</v>
      </c>
      <c r="U156" s="33" t="n">
        <f aca="false">T156-(D156*P1_IVAN+E156*P2_IVAN)-(F156+G156)*(COSTE_DEV-IVA_DEV)-AH156-AJ156</f>
        <v>0</v>
      </c>
      <c r="V156" s="33" t="n">
        <f aca="false">AC156-AD156-AE156-AF156-AG156-AH156-AJ156</f>
        <v>0</v>
      </c>
      <c r="X156" s="58" t="n">
        <f aca="false">MAX(0,B156-D156-F156)</f>
        <v>0</v>
      </c>
      <c r="Y156" s="58" t="n">
        <f aca="false">MAX(0,C156-E156-G156)</f>
        <v>0</v>
      </c>
      <c r="Z156" s="59" t="n">
        <f aca="false">D156+X156*TASA_USADA</f>
        <v>0</v>
      </c>
      <c r="AA156" s="59" t="n">
        <f aca="false">E156+Y156*TASA_USADA</f>
        <v>0</v>
      </c>
      <c r="AB156" s="59" t="n">
        <f aca="false">F156+G156+(X156+Y156)*(1-TASA_USADA)</f>
        <v>0</v>
      </c>
      <c r="AC156" s="60" t="n">
        <f aca="false">Z156*P1_PVP+AA156*P2_PVP</f>
        <v>0</v>
      </c>
      <c r="AD156" s="60" t="n">
        <f aca="false">Z156*P1_CPROD+AA156*P2_CPROD</f>
        <v>0</v>
      </c>
      <c r="AE156" s="60" t="n">
        <f aca="false">IF(ISNUMBER(I156),I156,D156*P1_LOG+E156*P2_LOG)+IF(ISNUMBER(J156),J156,X156*P1_LOG+Y156*P2_LOG)*TASA_USADA</f>
        <v>0</v>
      </c>
      <c r="AF156" s="60" t="n">
        <f aca="false">AB156*COSTE_DEV</f>
        <v>0</v>
      </c>
      <c r="AG156" s="60" t="n">
        <f aca="false">Z156*P1_IVAN+AA156*P2_IVAN-AB156*IVA_DEV</f>
        <v>0</v>
      </c>
      <c r="AH156" s="60" t="n">
        <f aca="false">K156*(1+RECARGO_ADS)</f>
        <v>0</v>
      </c>
      <c r="AI156" s="58" t="n">
        <f aca="false">IF(ISNUMBER(I156),D156+E156+X156+Y156,0)</f>
        <v>0</v>
      </c>
      <c r="AJ156" s="60" t="n">
        <f aca="false">M156*COMISION</f>
        <v>0</v>
      </c>
    </row>
    <row r="157" customFormat="false" ht="15" hidden="false" customHeight="false" outlineLevel="0" collapsed="false">
      <c r="A157" s="53" t="n">
        <v>46451</v>
      </c>
      <c r="B157" s="54"/>
      <c r="C157" s="54"/>
      <c r="D157" s="54"/>
      <c r="E157" s="54"/>
      <c r="F157" s="54"/>
      <c r="G157" s="54"/>
      <c r="H157" s="54"/>
      <c r="I157" s="55"/>
      <c r="J157" s="55"/>
      <c r="K157" s="55"/>
      <c r="L157" s="56"/>
      <c r="M157" s="31" t="n">
        <f aca="false">B157+C157</f>
        <v>0</v>
      </c>
      <c r="N157" s="31" t="n">
        <f aca="false">X157+Y157</f>
        <v>0</v>
      </c>
      <c r="O157" s="32" t="n">
        <f aca="false">B157*P1_PVP+C157*P2_PVP</f>
        <v>0</v>
      </c>
      <c r="P157" s="32" t="str">
        <f aca="false">IF(M157&gt;0,O157/M157,"")</f>
        <v/>
      </c>
      <c r="Q157" s="32" t="str">
        <f aca="false">IF(M157&gt;0,K157/M157,"")</f>
        <v/>
      </c>
      <c r="R157" s="57" t="str">
        <f aca="false">IF(K157&gt;0,O157/K157,"")</f>
        <v/>
      </c>
      <c r="S157" s="34" t="str">
        <f aca="false">IF(D157+E157+F157+G157&gt;0,(D157+E157)/(D157+E157+F157+G157),"")</f>
        <v/>
      </c>
      <c r="T157" s="33" t="n">
        <f aca="false">D157*(P1_PVP-P1_CPROD)+E157*(P2_PVP-P2_CPROD)-IF(ISNUMBER(I157),I157,D157*P1_LOG+E157*P2_LOG)</f>
        <v>0</v>
      </c>
      <c r="U157" s="33" t="n">
        <f aca="false">T157-(D157*P1_IVAN+E157*P2_IVAN)-(F157+G157)*(COSTE_DEV-IVA_DEV)-AH157-AJ157</f>
        <v>0</v>
      </c>
      <c r="V157" s="33" t="n">
        <f aca="false">AC157-AD157-AE157-AF157-AG157-AH157-AJ157</f>
        <v>0</v>
      </c>
      <c r="X157" s="58" t="n">
        <f aca="false">MAX(0,B157-D157-F157)</f>
        <v>0</v>
      </c>
      <c r="Y157" s="58" t="n">
        <f aca="false">MAX(0,C157-E157-G157)</f>
        <v>0</v>
      </c>
      <c r="Z157" s="59" t="n">
        <f aca="false">D157+X157*TASA_USADA</f>
        <v>0</v>
      </c>
      <c r="AA157" s="59" t="n">
        <f aca="false">E157+Y157*TASA_USADA</f>
        <v>0</v>
      </c>
      <c r="AB157" s="59" t="n">
        <f aca="false">F157+G157+(X157+Y157)*(1-TASA_USADA)</f>
        <v>0</v>
      </c>
      <c r="AC157" s="60" t="n">
        <f aca="false">Z157*P1_PVP+AA157*P2_PVP</f>
        <v>0</v>
      </c>
      <c r="AD157" s="60" t="n">
        <f aca="false">Z157*P1_CPROD+AA157*P2_CPROD</f>
        <v>0</v>
      </c>
      <c r="AE157" s="60" t="n">
        <f aca="false">IF(ISNUMBER(I157),I157,D157*P1_LOG+E157*P2_LOG)+IF(ISNUMBER(J157),J157,X157*P1_LOG+Y157*P2_LOG)*TASA_USADA</f>
        <v>0</v>
      </c>
      <c r="AF157" s="60" t="n">
        <f aca="false">AB157*COSTE_DEV</f>
        <v>0</v>
      </c>
      <c r="AG157" s="60" t="n">
        <f aca="false">Z157*P1_IVAN+AA157*P2_IVAN-AB157*IVA_DEV</f>
        <v>0</v>
      </c>
      <c r="AH157" s="60" t="n">
        <f aca="false">K157*(1+RECARGO_ADS)</f>
        <v>0</v>
      </c>
      <c r="AI157" s="58" t="n">
        <f aca="false">IF(ISNUMBER(I157),D157+E157+X157+Y157,0)</f>
        <v>0</v>
      </c>
      <c r="AJ157" s="60" t="n">
        <f aca="false">M157*COMISION</f>
        <v>0</v>
      </c>
    </row>
    <row r="158" customFormat="false" ht="15" hidden="false" customHeight="false" outlineLevel="0" collapsed="false">
      <c r="A158" s="53" t="n">
        <v>46452</v>
      </c>
      <c r="B158" s="54"/>
      <c r="C158" s="54"/>
      <c r="D158" s="54"/>
      <c r="E158" s="54"/>
      <c r="F158" s="54"/>
      <c r="G158" s="54"/>
      <c r="H158" s="54"/>
      <c r="I158" s="55"/>
      <c r="J158" s="55"/>
      <c r="K158" s="55"/>
      <c r="L158" s="56"/>
      <c r="M158" s="31" t="n">
        <f aca="false">B158+C158</f>
        <v>0</v>
      </c>
      <c r="N158" s="31" t="n">
        <f aca="false">X158+Y158</f>
        <v>0</v>
      </c>
      <c r="O158" s="32" t="n">
        <f aca="false">B158*P1_PVP+C158*P2_PVP</f>
        <v>0</v>
      </c>
      <c r="P158" s="32" t="str">
        <f aca="false">IF(M158&gt;0,O158/M158,"")</f>
        <v/>
      </c>
      <c r="Q158" s="32" t="str">
        <f aca="false">IF(M158&gt;0,K158/M158,"")</f>
        <v/>
      </c>
      <c r="R158" s="57" t="str">
        <f aca="false">IF(K158&gt;0,O158/K158,"")</f>
        <v/>
      </c>
      <c r="S158" s="34" t="str">
        <f aca="false">IF(D158+E158+F158+G158&gt;0,(D158+E158)/(D158+E158+F158+G158),"")</f>
        <v/>
      </c>
      <c r="T158" s="33" t="n">
        <f aca="false">D158*(P1_PVP-P1_CPROD)+E158*(P2_PVP-P2_CPROD)-IF(ISNUMBER(I158),I158,D158*P1_LOG+E158*P2_LOG)</f>
        <v>0</v>
      </c>
      <c r="U158" s="33" t="n">
        <f aca="false">T158-(D158*P1_IVAN+E158*P2_IVAN)-(F158+G158)*(COSTE_DEV-IVA_DEV)-AH158-AJ158</f>
        <v>0</v>
      </c>
      <c r="V158" s="33" t="n">
        <f aca="false">AC158-AD158-AE158-AF158-AG158-AH158-AJ158</f>
        <v>0</v>
      </c>
      <c r="X158" s="58" t="n">
        <f aca="false">MAX(0,B158-D158-F158)</f>
        <v>0</v>
      </c>
      <c r="Y158" s="58" t="n">
        <f aca="false">MAX(0,C158-E158-G158)</f>
        <v>0</v>
      </c>
      <c r="Z158" s="59" t="n">
        <f aca="false">D158+X158*TASA_USADA</f>
        <v>0</v>
      </c>
      <c r="AA158" s="59" t="n">
        <f aca="false">E158+Y158*TASA_USADA</f>
        <v>0</v>
      </c>
      <c r="AB158" s="59" t="n">
        <f aca="false">F158+G158+(X158+Y158)*(1-TASA_USADA)</f>
        <v>0</v>
      </c>
      <c r="AC158" s="60" t="n">
        <f aca="false">Z158*P1_PVP+AA158*P2_PVP</f>
        <v>0</v>
      </c>
      <c r="AD158" s="60" t="n">
        <f aca="false">Z158*P1_CPROD+AA158*P2_CPROD</f>
        <v>0</v>
      </c>
      <c r="AE158" s="60" t="n">
        <f aca="false">IF(ISNUMBER(I158),I158,D158*P1_LOG+E158*P2_LOG)+IF(ISNUMBER(J158),J158,X158*P1_LOG+Y158*P2_LOG)*TASA_USADA</f>
        <v>0</v>
      </c>
      <c r="AF158" s="60" t="n">
        <f aca="false">AB158*COSTE_DEV</f>
        <v>0</v>
      </c>
      <c r="AG158" s="60" t="n">
        <f aca="false">Z158*P1_IVAN+AA158*P2_IVAN-AB158*IVA_DEV</f>
        <v>0</v>
      </c>
      <c r="AH158" s="60" t="n">
        <f aca="false">K158*(1+RECARGO_ADS)</f>
        <v>0</v>
      </c>
      <c r="AI158" s="58" t="n">
        <f aca="false">IF(ISNUMBER(I158),D158+E158+X158+Y158,0)</f>
        <v>0</v>
      </c>
      <c r="AJ158" s="60" t="n">
        <f aca="false">M158*COMISION</f>
        <v>0</v>
      </c>
    </row>
    <row r="159" customFormat="false" ht="15" hidden="false" customHeight="false" outlineLevel="0" collapsed="false">
      <c r="A159" s="53" t="n">
        <v>46453</v>
      </c>
      <c r="B159" s="54"/>
      <c r="C159" s="54"/>
      <c r="D159" s="54"/>
      <c r="E159" s="54"/>
      <c r="F159" s="54"/>
      <c r="G159" s="54"/>
      <c r="H159" s="54"/>
      <c r="I159" s="55"/>
      <c r="J159" s="55"/>
      <c r="K159" s="55"/>
      <c r="L159" s="56"/>
      <c r="M159" s="31" t="n">
        <f aca="false">B159+C159</f>
        <v>0</v>
      </c>
      <c r="N159" s="31" t="n">
        <f aca="false">X159+Y159</f>
        <v>0</v>
      </c>
      <c r="O159" s="32" t="n">
        <f aca="false">B159*P1_PVP+C159*P2_PVP</f>
        <v>0</v>
      </c>
      <c r="P159" s="32" t="str">
        <f aca="false">IF(M159&gt;0,O159/M159,"")</f>
        <v/>
      </c>
      <c r="Q159" s="32" t="str">
        <f aca="false">IF(M159&gt;0,K159/M159,"")</f>
        <v/>
      </c>
      <c r="R159" s="57" t="str">
        <f aca="false">IF(K159&gt;0,O159/K159,"")</f>
        <v/>
      </c>
      <c r="S159" s="34" t="str">
        <f aca="false">IF(D159+E159+F159+G159&gt;0,(D159+E159)/(D159+E159+F159+G159),"")</f>
        <v/>
      </c>
      <c r="T159" s="33" t="n">
        <f aca="false">D159*(P1_PVP-P1_CPROD)+E159*(P2_PVP-P2_CPROD)-IF(ISNUMBER(I159),I159,D159*P1_LOG+E159*P2_LOG)</f>
        <v>0</v>
      </c>
      <c r="U159" s="33" t="n">
        <f aca="false">T159-(D159*P1_IVAN+E159*P2_IVAN)-(F159+G159)*(COSTE_DEV-IVA_DEV)-AH159-AJ159</f>
        <v>0</v>
      </c>
      <c r="V159" s="33" t="n">
        <f aca="false">AC159-AD159-AE159-AF159-AG159-AH159-AJ159</f>
        <v>0</v>
      </c>
      <c r="X159" s="58" t="n">
        <f aca="false">MAX(0,B159-D159-F159)</f>
        <v>0</v>
      </c>
      <c r="Y159" s="58" t="n">
        <f aca="false">MAX(0,C159-E159-G159)</f>
        <v>0</v>
      </c>
      <c r="Z159" s="59" t="n">
        <f aca="false">D159+X159*TASA_USADA</f>
        <v>0</v>
      </c>
      <c r="AA159" s="59" t="n">
        <f aca="false">E159+Y159*TASA_USADA</f>
        <v>0</v>
      </c>
      <c r="AB159" s="59" t="n">
        <f aca="false">F159+G159+(X159+Y159)*(1-TASA_USADA)</f>
        <v>0</v>
      </c>
      <c r="AC159" s="60" t="n">
        <f aca="false">Z159*P1_PVP+AA159*P2_PVP</f>
        <v>0</v>
      </c>
      <c r="AD159" s="60" t="n">
        <f aca="false">Z159*P1_CPROD+AA159*P2_CPROD</f>
        <v>0</v>
      </c>
      <c r="AE159" s="60" t="n">
        <f aca="false">IF(ISNUMBER(I159),I159,D159*P1_LOG+E159*P2_LOG)+IF(ISNUMBER(J159),J159,X159*P1_LOG+Y159*P2_LOG)*TASA_USADA</f>
        <v>0</v>
      </c>
      <c r="AF159" s="60" t="n">
        <f aca="false">AB159*COSTE_DEV</f>
        <v>0</v>
      </c>
      <c r="AG159" s="60" t="n">
        <f aca="false">Z159*P1_IVAN+AA159*P2_IVAN-AB159*IVA_DEV</f>
        <v>0</v>
      </c>
      <c r="AH159" s="60" t="n">
        <f aca="false">K159*(1+RECARGO_ADS)</f>
        <v>0</v>
      </c>
      <c r="AI159" s="58" t="n">
        <f aca="false">IF(ISNUMBER(I159),D159+E159+X159+Y159,0)</f>
        <v>0</v>
      </c>
      <c r="AJ159" s="60" t="n">
        <f aca="false">M159*COMISION</f>
        <v>0</v>
      </c>
    </row>
    <row r="160" customFormat="false" ht="15" hidden="false" customHeight="false" outlineLevel="0" collapsed="false">
      <c r="A160" s="53" t="n">
        <v>46454</v>
      </c>
      <c r="B160" s="54"/>
      <c r="C160" s="54"/>
      <c r="D160" s="54"/>
      <c r="E160" s="54"/>
      <c r="F160" s="54"/>
      <c r="G160" s="54"/>
      <c r="H160" s="54"/>
      <c r="I160" s="55"/>
      <c r="J160" s="55"/>
      <c r="K160" s="55"/>
      <c r="L160" s="56"/>
      <c r="M160" s="31" t="n">
        <f aca="false">B160+C160</f>
        <v>0</v>
      </c>
      <c r="N160" s="31" t="n">
        <f aca="false">X160+Y160</f>
        <v>0</v>
      </c>
      <c r="O160" s="32" t="n">
        <f aca="false">B160*P1_PVP+C160*P2_PVP</f>
        <v>0</v>
      </c>
      <c r="P160" s="32" t="str">
        <f aca="false">IF(M160&gt;0,O160/M160,"")</f>
        <v/>
      </c>
      <c r="Q160" s="32" t="str">
        <f aca="false">IF(M160&gt;0,K160/M160,"")</f>
        <v/>
      </c>
      <c r="R160" s="57" t="str">
        <f aca="false">IF(K160&gt;0,O160/K160,"")</f>
        <v/>
      </c>
      <c r="S160" s="34" t="str">
        <f aca="false">IF(D160+E160+F160+G160&gt;0,(D160+E160)/(D160+E160+F160+G160),"")</f>
        <v/>
      </c>
      <c r="T160" s="33" t="n">
        <f aca="false">D160*(P1_PVP-P1_CPROD)+E160*(P2_PVP-P2_CPROD)-IF(ISNUMBER(I160),I160,D160*P1_LOG+E160*P2_LOG)</f>
        <v>0</v>
      </c>
      <c r="U160" s="33" t="n">
        <f aca="false">T160-(D160*P1_IVAN+E160*P2_IVAN)-(F160+G160)*(COSTE_DEV-IVA_DEV)-AH160-AJ160</f>
        <v>0</v>
      </c>
      <c r="V160" s="33" t="n">
        <f aca="false">AC160-AD160-AE160-AF160-AG160-AH160-AJ160</f>
        <v>0</v>
      </c>
      <c r="X160" s="58" t="n">
        <f aca="false">MAX(0,B160-D160-F160)</f>
        <v>0</v>
      </c>
      <c r="Y160" s="58" t="n">
        <f aca="false">MAX(0,C160-E160-G160)</f>
        <v>0</v>
      </c>
      <c r="Z160" s="59" t="n">
        <f aca="false">D160+X160*TASA_USADA</f>
        <v>0</v>
      </c>
      <c r="AA160" s="59" t="n">
        <f aca="false">E160+Y160*TASA_USADA</f>
        <v>0</v>
      </c>
      <c r="AB160" s="59" t="n">
        <f aca="false">F160+G160+(X160+Y160)*(1-TASA_USADA)</f>
        <v>0</v>
      </c>
      <c r="AC160" s="60" t="n">
        <f aca="false">Z160*P1_PVP+AA160*P2_PVP</f>
        <v>0</v>
      </c>
      <c r="AD160" s="60" t="n">
        <f aca="false">Z160*P1_CPROD+AA160*P2_CPROD</f>
        <v>0</v>
      </c>
      <c r="AE160" s="60" t="n">
        <f aca="false">IF(ISNUMBER(I160),I160,D160*P1_LOG+E160*P2_LOG)+IF(ISNUMBER(J160),J160,X160*P1_LOG+Y160*P2_LOG)*TASA_USADA</f>
        <v>0</v>
      </c>
      <c r="AF160" s="60" t="n">
        <f aca="false">AB160*COSTE_DEV</f>
        <v>0</v>
      </c>
      <c r="AG160" s="60" t="n">
        <f aca="false">Z160*P1_IVAN+AA160*P2_IVAN-AB160*IVA_DEV</f>
        <v>0</v>
      </c>
      <c r="AH160" s="60" t="n">
        <f aca="false">K160*(1+RECARGO_ADS)</f>
        <v>0</v>
      </c>
      <c r="AI160" s="58" t="n">
        <f aca="false">IF(ISNUMBER(I160),D160+E160+X160+Y160,0)</f>
        <v>0</v>
      </c>
      <c r="AJ160" s="60" t="n">
        <f aca="false">M160*COMISION</f>
        <v>0</v>
      </c>
    </row>
    <row r="161" customFormat="false" ht="15" hidden="false" customHeight="false" outlineLevel="0" collapsed="false">
      <c r="A161" s="53" t="n">
        <v>46455</v>
      </c>
      <c r="B161" s="54"/>
      <c r="C161" s="54"/>
      <c r="D161" s="54"/>
      <c r="E161" s="54"/>
      <c r="F161" s="54"/>
      <c r="G161" s="54"/>
      <c r="H161" s="54"/>
      <c r="I161" s="55"/>
      <c r="J161" s="55"/>
      <c r="K161" s="55"/>
      <c r="L161" s="56"/>
      <c r="M161" s="31" t="n">
        <f aca="false">B161+C161</f>
        <v>0</v>
      </c>
      <c r="N161" s="31" t="n">
        <f aca="false">X161+Y161</f>
        <v>0</v>
      </c>
      <c r="O161" s="32" t="n">
        <f aca="false">B161*P1_PVP+C161*P2_PVP</f>
        <v>0</v>
      </c>
      <c r="P161" s="32" t="str">
        <f aca="false">IF(M161&gt;0,O161/M161,"")</f>
        <v/>
      </c>
      <c r="Q161" s="32" t="str">
        <f aca="false">IF(M161&gt;0,K161/M161,"")</f>
        <v/>
      </c>
      <c r="R161" s="57" t="str">
        <f aca="false">IF(K161&gt;0,O161/K161,"")</f>
        <v/>
      </c>
      <c r="S161" s="34" t="str">
        <f aca="false">IF(D161+E161+F161+G161&gt;0,(D161+E161)/(D161+E161+F161+G161),"")</f>
        <v/>
      </c>
      <c r="T161" s="33" t="n">
        <f aca="false">D161*(P1_PVP-P1_CPROD)+E161*(P2_PVP-P2_CPROD)-IF(ISNUMBER(I161),I161,D161*P1_LOG+E161*P2_LOG)</f>
        <v>0</v>
      </c>
      <c r="U161" s="33" t="n">
        <f aca="false">T161-(D161*P1_IVAN+E161*P2_IVAN)-(F161+G161)*(COSTE_DEV-IVA_DEV)-AH161-AJ161</f>
        <v>0</v>
      </c>
      <c r="V161" s="33" t="n">
        <f aca="false">AC161-AD161-AE161-AF161-AG161-AH161-AJ161</f>
        <v>0</v>
      </c>
      <c r="X161" s="58" t="n">
        <f aca="false">MAX(0,B161-D161-F161)</f>
        <v>0</v>
      </c>
      <c r="Y161" s="58" t="n">
        <f aca="false">MAX(0,C161-E161-G161)</f>
        <v>0</v>
      </c>
      <c r="Z161" s="59" t="n">
        <f aca="false">D161+X161*TASA_USADA</f>
        <v>0</v>
      </c>
      <c r="AA161" s="59" t="n">
        <f aca="false">E161+Y161*TASA_USADA</f>
        <v>0</v>
      </c>
      <c r="AB161" s="59" t="n">
        <f aca="false">F161+G161+(X161+Y161)*(1-TASA_USADA)</f>
        <v>0</v>
      </c>
      <c r="AC161" s="60" t="n">
        <f aca="false">Z161*P1_PVP+AA161*P2_PVP</f>
        <v>0</v>
      </c>
      <c r="AD161" s="60" t="n">
        <f aca="false">Z161*P1_CPROD+AA161*P2_CPROD</f>
        <v>0</v>
      </c>
      <c r="AE161" s="60" t="n">
        <f aca="false">IF(ISNUMBER(I161),I161,D161*P1_LOG+E161*P2_LOG)+IF(ISNUMBER(J161),J161,X161*P1_LOG+Y161*P2_LOG)*TASA_USADA</f>
        <v>0</v>
      </c>
      <c r="AF161" s="60" t="n">
        <f aca="false">AB161*COSTE_DEV</f>
        <v>0</v>
      </c>
      <c r="AG161" s="60" t="n">
        <f aca="false">Z161*P1_IVAN+AA161*P2_IVAN-AB161*IVA_DEV</f>
        <v>0</v>
      </c>
      <c r="AH161" s="60" t="n">
        <f aca="false">K161*(1+RECARGO_ADS)</f>
        <v>0</v>
      </c>
      <c r="AI161" s="58" t="n">
        <f aca="false">IF(ISNUMBER(I161),D161+E161+X161+Y161,0)</f>
        <v>0</v>
      </c>
      <c r="AJ161" s="60" t="n">
        <f aca="false">M161*COMISION</f>
        <v>0</v>
      </c>
    </row>
    <row r="162" customFormat="false" ht="15" hidden="false" customHeight="false" outlineLevel="0" collapsed="false">
      <c r="A162" s="53" t="n">
        <v>46456</v>
      </c>
      <c r="B162" s="54"/>
      <c r="C162" s="54"/>
      <c r="D162" s="54"/>
      <c r="E162" s="54"/>
      <c r="F162" s="54"/>
      <c r="G162" s="54"/>
      <c r="H162" s="54"/>
      <c r="I162" s="55"/>
      <c r="J162" s="55"/>
      <c r="K162" s="55"/>
      <c r="L162" s="56"/>
      <c r="M162" s="31" t="n">
        <f aca="false">B162+C162</f>
        <v>0</v>
      </c>
      <c r="N162" s="31" t="n">
        <f aca="false">X162+Y162</f>
        <v>0</v>
      </c>
      <c r="O162" s="32" t="n">
        <f aca="false">B162*P1_PVP+C162*P2_PVP</f>
        <v>0</v>
      </c>
      <c r="P162" s="32" t="str">
        <f aca="false">IF(M162&gt;0,O162/M162,"")</f>
        <v/>
      </c>
      <c r="Q162" s="32" t="str">
        <f aca="false">IF(M162&gt;0,K162/M162,"")</f>
        <v/>
      </c>
      <c r="R162" s="57" t="str">
        <f aca="false">IF(K162&gt;0,O162/K162,"")</f>
        <v/>
      </c>
      <c r="S162" s="34" t="str">
        <f aca="false">IF(D162+E162+F162+G162&gt;0,(D162+E162)/(D162+E162+F162+G162),"")</f>
        <v/>
      </c>
      <c r="T162" s="33" t="n">
        <f aca="false">D162*(P1_PVP-P1_CPROD)+E162*(P2_PVP-P2_CPROD)-IF(ISNUMBER(I162),I162,D162*P1_LOG+E162*P2_LOG)</f>
        <v>0</v>
      </c>
      <c r="U162" s="33" t="n">
        <f aca="false">T162-(D162*P1_IVAN+E162*P2_IVAN)-(F162+G162)*(COSTE_DEV-IVA_DEV)-AH162-AJ162</f>
        <v>0</v>
      </c>
      <c r="V162" s="33" t="n">
        <f aca="false">AC162-AD162-AE162-AF162-AG162-AH162-AJ162</f>
        <v>0</v>
      </c>
      <c r="X162" s="58" t="n">
        <f aca="false">MAX(0,B162-D162-F162)</f>
        <v>0</v>
      </c>
      <c r="Y162" s="58" t="n">
        <f aca="false">MAX(0,C162-E162-G162)</f>
        <v>0</v>
      </c>
      <c r="Z162" s="59" t="n">
        <f aca="false">D162+X162*TASA_USADA</f>
        <v>0</v>
      </c>
      <c r="AA162" s="59" t="n">
        <f aca="false">E162+Y162*TASA_USADA</f>
        <v>0</v>
      </c>
      <c r="AB162" s="59" t="n">
        <f aca="false">F162+G162+(X162+Y162)*(1-TASA_USADA)</f>
        <v>0</v>
      </c>
      <c r="AC162" s="60" t="n">
        <f aca="false">Z162*P1_PVP+AA162*P2_PVP</f>
        <v>0</v>
      </c>
      <c r="AD162" s="60" t="n">
        <f aca="false">Z162*P1_CPROD+AA162*P2_CPROD</f>
        <v>0</v>
      </c>
      <c r="AE162" s="60" t="n">
        <f aca="false">IF(ISNUMBER(I162),I162,D162*P1_LOG+E162*P2_LOG)+IF(ISNUMBER(J162),J162,X162*P1_LOG+Y162*P2_LOG)*TASA_USADA</f>
        <v>0</v>
      </c>
      <c r="AF162" s="60" t="n">
        <f aca="false">AB162*COSTE_DEV</f>
        <v>0</v>
      </c>
      <c r="AG162" s="60" t="n">
        <f aca="false">Z162*P1_IVAN+AA162*P2_IVAN-AB162*IVA_DEV</f>
        <v>0</v>
      </c>
      <c r="AH162" s="60" t="n">
        <f aca="false">K162*(1+RECARGO_ADS)</f>
        <v>0</v>
      </c>
      <c r="AI162" s="58" t="n">
        <f aca="false">IF(ISNUMBER(I162),D162+E162+X162+Y162,0)</f>
        <v>0</v>
      </c>
      <c r="AJ162" s="60" t="n">
        <f aca="false">M162*COMISION</f>
        <v>0</v>
      </c>
    </row>
    <row r="163" customFormat="false" ht="15" hidden="false" customHeight="false" outlineLevel="0" collapsed="false">
      <c r="A163" s="53" t="n">
        <v>46457</v>
      </c>
      <c r="B163" s="54"/>
      <c r="C163" s="54"/>
      <c r="D163" s="54"/>
      <c r="E163" s="54"/>
      <c r="F163" s="54"/>
      <c r="G163" s="54"/>
      <c r="H163" s="54"/>
      <c r="I163" s="55"/>
      <c r="J163" s="55"/>
      <c r="K163" s="55"/>
      <c r="L163" s="56"/>
      <c r="M163" s="31" t="n">
        <f aca="false">B163+C163</f>
        <v>0</v>
      </c>
      <c r="N163" s="31" t="n">
        <f aca="false">X163+Y163</f>
        <v>0</v>
      </c>
      <c r="O163" s="32" t="n">
        <f aca="false">B163*P1_PVP+C163*P2_PVP</f>
        <v>0</v>
      </c>
      <c r="P163" s="32" t="str">
        <f aca="false">IF(M163&gt;0,O163/M163,"")</f>
        <v/>
      </c>
      <c r="Q163" s="32" t="str">
        <f aca="false">IF(M163&gt;0,K163/M163,"")</f>
        <v/>
      </c>
      <c r="R163" s="57" t="str">
        <f aca="false">IF(K163&gt;0,O163/K163,"")</f>
        <v/>
      </c>
      <c r="S163" s="34" t="str">
        <f aca="false">IF(D163+E163+F163+G163&gt;0,(D163+E163)/(D163+E163+F163+G163),"")</f>
        <v/>
      </c>
      <c r="T163" s="33" t="n">
        <f aca="false">D163*(P1_PVP-P1_CPROD)+E163*(P2_PVP-P2_CPROD)-IF(ISNUMBER(I163),I163,D163*P1_LOG+E163*P2_LOG)</f>
        <v>0</v>
      </c>
      <c r="U163" s="33" t="n">
        <f aca="false">T163-(D163*P1_IVAN+E163*P2_IVAN)-(F163+G163)*(COSTE_DEV-IVA_DEV)-AH163-AJ163</f>
        <v>0</v>
      </c>
      <c r="V163" s="33" t="n">
        <f aca="false">AC163-AD163-AE163-AF163-AG163-AH163-AJ163</f>
        <v>0</v>
      </c>
      <c r="X163" s="58" t="n">
        <f aca="false">MAX(0,B163-D163-F163)</f>
        <v>0</v>
      </c>
      <c r="Y163" s="58" t="n">
        <f aca="false">MAX(0,C163-E163-G163)</f>
        <v>0</v>
      </c>
      <c r="Z163" s="59" t="n">
        <f aca="false">D163+X163*TASA_USADA</f>
        <v>0</v>
      </c>
      <c r="AA163" s="59" t="n">
        <f aca="false">E163+Y163*TASA_USADA</f>
        <v>0</v>
      </c>
      <c r="AB163" s="59" t="n">
        <f aca="false">F163+G163+(X163+Y163)*(1-TASA_USADA)</f>
        <v>0</v>
      </c>
      <c r="AC163" s="60" t="n">
        <f aca="false">Z163*P1_PVP+AA163*P2_PVP</f>
        <v>0</v>
      </c>
      <c r="AD163" s="60" t="n">
        <f aca="false">Z163*P1_CPROD+AA163*P2_CPROD</f>
        <v>0</v>
      </c>
      <c r="AE163" s="60" t="n">
        <f aca="false">IF(ISNUMBER(I163),I163,D163*P1_LOG+E163*P2_LOG)+IF(ISNUMBER(J163),J163,X163*P1_LOG+Y163*P2_LOG)*TASA_USADA</f>
        <v>0</v>
      </c>
      <c r="AF163" s="60" t="n">
        <f aca="false">AB163*COSTE_DEV</f>
        <v>0</v>
      </c>
      <c r="AG163" s="60" t="n">
        <f aca="false">Z163*P1_IVAN+AA163*P2_IVAN-AB163*IVA_DEV</f>
        <v>0</v>
      </c>
      <c r="AH163" s="60" t="n">
        <f aca="false">K163*(1+RECARGO_ADS)</f>
        <v>0</v>
      </c>
      <c r="AI163" s="58" t="n">
        <f aca="false">IF(ISNUMBER(I163),D163+E163+X163+Y163,0)</f>
        <v>0</v>
      </c>
      <c r="AJ163" s="60" t="n">
        <f aca="false">M163*COMISION</f>
        <v>0</v>
      </c>
    </row>
    <row r="164" customFormat="false" ht="15" hidden="false" customHeight="false" outlineLevel="0" collapsed="false">
      <c r="A164" s="53" t="n">
        <v>46458</v>
      </c>
      <c r="B164" s="54"/>
      <c r="C164" s="54"/>
      <c r="D164" s="54"/>
      <c r="E164" s="54"/>
      <c r="F164" s="54"/>
      <c r="G164" s="54"/>
      <c r="H164" s="54"/>
      <c r="I164" s="55"/>
      <c r="J164" s="55"/>
      <c r="K164" s="55"/>
      <c r="L164" s="56"/>
      <c r="M164" s="31" t="n">
        <f aca="false">B164+C164</f>
        <v>0</v>
      </c>
      <c r="N164" s="31" t="n">
        <f aca="false">X164+Y164</f>
        <v>0</v>
      </c>
      <c r="O164" s="32" t="n">
        <f aca="false">B164*P1_PVP+C164*P2_PVP</f>
        <v>0</v>
      </c>
      <c r="P164" s="32" t="str">
        <f aca="false">IF(M164&gt;0,O164/M164,"")</f>
        <v/>
      </c>
      <c r="Q164" s="32" t="str">
        <f aca="false">IF(M164&gt;0,K164/M164,"")</f>
        <v/>
      </c>
      <c r="R164" s="57" t="str">
        <f aca="false">IF(K164&gt;0,O164/K164,"")</f>
        <v/>
      </c>
      <c r="S164" s="34" t="str">
        <f aca="false">IF(D164+E164+F164+G164&gt;0,(D164+E164)/(D164+E164+F164+G164),"")</f>
        <v/>
      </c>
      <c r="T164" s="33" t="n">
        <f aca="false">D164*(P1_PVP-P1_CPROD)+E164*(P2_PVP-P2_CPROD)-IF(ISNUMBER(I164),I164,D164*P1_LOG+E164*P2_LOG)</f>
        <v>0</v>
      </c>
      <c r="U164" s="33" t="n">
        <f aca="false">T164-(D164*P1_IVAN+E164*P2_IVAN)-(F164+G164)*(COSTE_DEV-IVA_DEV)-AH164-AJ164</f>
        <v>0</v>
      </c>
      <c r="V164" s="33" t="n">
        <f aca="false">AC164-AD164-AE164-AF164-AG164-AH164-AJ164</f>
        <v>0</v>
      </c>
      <c r="X164" s="58" t="n">
        <f aca="false">MAX(0,B164-D164-F164)</f>
        <v>0</v>
      </c>
      <c r="Y164" s="58" t="n">
        <f aca="false">MAX(0,C164-E164-G164)</f>
        <v>0</v>
      </c>
      <c r="Z164" s="59" t="n">
        <f aca="false">D164+X164*TASA_USADA</f>
        <v>0</v>
      </c>
      <c r="AA164" s="59" t="n">
        <f aca="false">E164+Y164*TASA_USADA</f>
        <v>0</v>
      </c>
      <c r="AB164" s="59" t="n">
        <f aca="false">F164+G164+(X164+Y164)*(1-TASA_USADA)</f>
        <v>0</v>
      </c>
      <c r="AC164" s="60" t="n">
        <f aca="false">Z164*P1_PVP+AA164*P2_PVP</f>
        <v>0</v>
      </c>
      <c r="AD164" s="60" t="n">
        <f aca="false">Z164*P1_CPROD+AA164*P2_CPROD</f>
        <v>0</v>
      </c>
      <c r="AE164" s="60" t="n">
        <f aca="false">IF(ISNUMBER(I164),I164,D164*P1_LOG+E164*P2_LOG)+IF(ISNUMBER(J164),J164,X164*P1_LOG+Y164*P2_LOG)*TASA_USADA</f>
        <v>0</v>
      </c>
      <c r="AF164" s="60" t="n">
        <f aca="false">AB164*COSTE_DEV</f>
        <v>0</v>
      </c>
      <c r="AG164" s="60" t="n">
        <f aca="false">Z164*P1_IVAN+AA164*P2_IVAN-AB164*IVA_DEV</f>
        <v>0</v>
      </c>
      <c r="AH164" s="60" t="n">
        <f aca="false">K164*(1+RECARGO_ADS)</f>
        <v>0</v>
      </c>
      <c r="AI164" s="58" t="n">
        <f aca="false">IF(ISNUMBER(I164),D164+E164+X164+Y164,0)</f>
        <v>0</v>
      </c>
      <c r="AJ164" s="60" t="n">
        <f aca="false">M164*COMISION</f>
        <v>0</v>
      </c>
    </row>
    <row r="165" customFormat="false" ht="15" hidden="false" customHeight="false" outlineLevel="0" collapsed="false">
      <c r="A165" s="53" t="n">
        <v>46459</v>
      </c>
      <c r="B165" s="54"/>
      <c r="C165" s="54"/>
      <c r="D165" s="54"/>
      <c r="E165" s="54"/>
      <c r="F165" s="54"/>
      <c r="G165" s="54"/>
      <c r="H165" s="54"/>
      <c r="I165" s="55"/>
      <c r="J165" s="55"/>
      <c r="K165" s="55"/>
      <c r="L165" s="56"/>
      <c r="M165" s="31" t="n">
        <f aca="false">B165+C165</f>
        <v>0</v>
      </c>
      <c r="N165" s="31" t="n">
        <f aca="false">X165+Y165</f>
        <v>0</v>
      </c>
      <c r="O165" s="32" t="n">
        <f aca="false">B165*P1_PVP+C165*P2_PVP</f>
        <v>0</v>
      </c>
      <c r="P165" s="32" t="str">
        <f aca="false">IF(M165&gt;0,O165/M165,"")</f>
        <v/>
      </c>
      <c r="Q165" s="32" t="str">
        <f aca="false">IF(M165&gt;0,K165/M165,"")</f>
        <v/>
      </c>
      <c r="R165" s="57" t="str">
        <f aca="false">IF(K165&gt;0,O165/K165,"")</f>
        <v/>
      </c>
      <c r="S165" s="34" t="str">
        <f aca="false">IF(D165+E165+F165+G165&gt;0,(D165+E165)/(D165+E165+F165+G165),"")</f>
        <v/>
      </c>
      <c r="T165" s="33" t="n">
        <f aca="false">D165*(P1_PVP-P1_CPROD)+E165*(P2_PVP-P2_CPROD)-IF(ISNUMBER(I165),I165,D165*P1_LOG+E165*P2_LOG)</f>
        <v>0</v>
      </c>
      <c r="U165" s="33" t="n">
        <f aca="false">T165-(D165*P1_IVAN+E165*P2_IVAN)-(F165+G165)*(COSTE_DEV-IVA_DEV)-AH165-AJ165</f>
        <v>0</v>
      </c>
      <c r="V165" s="33" t="n">
        <f aca="false">AC165-AD165-AE165-AF165-AG165-AH165-AJ165</f>
        <v>0</v>
      </c>
      <c r="X165" s="58" t="n">
        <f aca="false">MAX(0,B165-D165-F165)</f>
        <v>0</v>
      </c>
      <c r="Y165" s="58" t="n">
        <f aca="false">MAX(0,C165-E165-G165)</f>
        <v>0</v>
      </c>
      <c r="Z165" s="59" t="n">
        <f aca="false">D165+X165*TASA_USADA</f>
        <v>0</v>
      </c>
      <c r="AA165" s="59" t="n">
        <f aca="false">E165+Y165*TASA_USADA</f>
        <v>0</v>
      </c>
      <c r="AB165" s="59" t="n">
        <f aca="false">F165+G165+(X165+Y165)*(1-TASA_USADA)</f>
        <v>0</v>
      </c>
      <c r="AC165" s="60" t="n">
        <f aca="false">Z165*P1_PVP+AA165*P2_PVP</f>
        <v>0</v>
      </c>
      <c r="AD165" s="60" t="n">
        <f aca="false">Z165*P1_CPROD+AA165*P2_CPROD</f>
        <v>0</v>
      </c>
      <c r="AE165" s="60" t="n">
        <f aca="false">IF(ISNUMBER(I165),I165,D165*P1_LOG+E165*P2_LOG)+IF(ISNUMBER(J165),J165,X165*P1_LOG+Y165*P2_LOG)*TASA_USADA</f>
        <v>0</v>
      </c>
      <c r="AF165" s="60" t="n">
        <f aca="false">AB165*COSTE_DEV</f>
        <v>0</v>
      </c>
      <c r="AG165" s="60" t="n">
        <f aca="false">Z165*P1_IVAN+AA165*P2_IVAN-AB165*IVA_DEV</f>
        <v>0</v>
      </c>
      <c r="AH165" s="60" t="n">
        <f aca="false">K165*(1+RECARGO_ADS)</f>
        <v>0</v>
      </c>
      <c r="AI165" s="58" t="n">
        <f aca="false">IF(ISNUMBER(I165),D165+E165+X165+Y165,0)</f>
        <v>0</v>
      </c>
      <c r="AJ165" s="60" t="n">
        <f aca="false">M165*COMISION</f>
        <v>0</v>
      </c>
    </row>
    <row r="166" customFormat="false" ht="15" hidden="false" customHeight="false" outlineLevel="0" collapsed="false">
      <c r="A166" s="53" t="n">
        <v>46460</v>
      </c>
      <c r="B166" s="54"/>
      <c r="C166" s="54"/>
      <c r="D166" s="54"/>
      <c r="E166" s="54"/>
      <c r="F166" s="54"/>
      <c r="G166" s="54"/>
      <c r="H166" s="54"/>
      <c r="I166" s="55"/>
      <c r="J166" s="55"/>
      <c r="K166" s="55"/>
      <c r="L166" s="56"/>
      <c r="M166" s="31" t="n">
        <f aca="false">B166+C166</f>
        <v>0</v>
      </c>
      <c r="N166" s="31" t="n">
        <f aca="false">X166+Y166</f>
        <v>0</v>
      </c>
      <c r="O166" s="32" t="n">
        <f aca="false">B166*P1_PVP+C166*P2_PVP</f>
        <v>0</v>
      </c>
      <c r="P166" s="32" t="str">
        <f aca="false">IF(M166&gt;0,O166/M166,"")</f>
        <v/>
      </c>
      <c r="Q166" s="32" t="str">
        <f aca="false">IF(M166&gt;0,K166/M166,"")</f>
        <v/>
      </c>
      <c r="R166" s="57" t="str">
        <f aca="false">IF(K166&gt;0,O166/K166,"")</f>
        <v/>
      </c>
      <c r="S166" s="34" t="str">
        <f aca="false">IF(D166+E166+F166+G166&gt;0,(D166+E166)/(D166+E166+F166+G166),"")</f>
        <v/>
      </c>
      <c r="T166" s="33" t="n">
        <f aca="false">D166*(P1_PVP-P1_CPROD)+E166*(P2_PVP-P2_CPROD)-IF(ISNUMBER(I166),I166,D166*P1_LOG+E166*P2_LOG)</f>
        <v>0</v>
      </c>
      <c r="U166" s="33" t="n">
        <f aca="false">T166-(D166*P1_IVAN+E166*P2_IVAN)-(F166+G166)*(COSTE_DEV-IVA_DEV)-AH166-AJ166</f>
        <v>0</v>
      </c>
      <c r="V166" s="33" t="n">
        <f aca="false">AC166-AD166-AE166-AF166-AG166-AH166-AJ166</f>
        <v>0</v>
      </c>
      <c r="X166" s="58" t="n">
        <f aca="false">MAX(0,B166-D166-F166)</f>
        <v>0</v>
      </c>
      <c r="Y166" s="58" t="n">
        <f aca="false">MAX(0,C166-E166-G166)</f>
        <v>0</v>
      </c>
      <c r="Z166" s="59" t="n">
        <f aca="false">D166+X166*TASA_USADA</f>
        <v>0</v>
      </c>
      <c r="AA166" s="59" t="n">
        <f aca="false">E166+Y166*TASA_USADA</f>
        <v>0</v>
      </c>
      <c r="AB166" s="59" t="n">
        <f aca="false">F166+G166+(X166+Y166)*(1-TASA_USADA)</f>
        <v>0</v>
      </c>
      <c r="AC166" s="60" t="n">
        <f aca="false">Z166*P1_PVP+AA166*P2_PVP</f>
        <v>0</v>
      </c>
      <c r="AD166" s="60" t="n">
        <f aca="false">Z166*P1_CPROD+AA166*P2_CPROD</f>
        <v>0</v>
      </c>
      <c r="AE166" s="60" t="n">
        <f aca="false">IF(ISNUMBER(I166),I166,D166*P1_LOG+E166*P2_LOG)+IF(ISNUMBER(J166),J166,X166*P1_LOG+Y166*P2_LOG)*TASA_USADA</f>
        <v>0</v>
      </c>
      <c r="AF166" s="60" t="n">
        <f aca="false">AB166*COSTE_DEV</f>
        <v>0</v>
      </c>
      <c r="AG166" s="60" t="n">
        <f aca="false">Z166*P1_IVAN+AA166*P2_IVAN-AB166*IVA_DEV</f>
        <v>0</v>
      </c>
      <c r="AH166" s="60" t="n">
        <f aca="false">K166*(1+RECARGO_ADS)</f>
        <v>0</v>
      </c>
      <c r="AI166" s="58" t="n">
        <f aca="false">IF(ISNUMBER(I166),D166+E166+X166+Y166,0)</f>
        <v>0</v>
      </c>
      <c r="AJ166" s="60" t="n">
        <f aca="false">M166*COMISION</f>
        <v>0</v>
      </c>
    </row>
    <row r="167" customFormat="false" ht="15" hidden="false" customHeight="false" outlineLevel="0" collapsed="false">
      <c r="A167" s="53" t="n">
        <v>46461</v>
      </c>
      <c r="B167" s="54"/>
      <c r="C167" s="54"/>
      <c r="D167" s="54"/>
      <c r="E167" s="54"/>
      <c r="F167" s="54"/>
      <c r="G167" s="54"/>
      <c r="H167" s="54"/>
      <c r="I167" s="55"/>
      <c r="J167" s="55"/>
      <c r="K167" s="55"/>
      <c r="L167" s="56"/>
      <c r="M167" s="31" t="n">
        <f aca="false">B167+C167</f>
        <v>0</v>
      </c>
      <c r="N167" s="31" t="n">
        <f aca="false">X167+Y167</f>
        <v>0</v>
      </c>
      <c r="O167" s="32" t="n">
        <f aca="false">B167*P1_PVP+C167*P2_PVP</f>
        <v>0</v>
      </c>
      <c r="P167" s="32" t="str">
        <f aca="false">IF(M167&gt;0,O167/M167,"")</f>
        <v/>
      </c>
      <c r="Q167" s="32" t="str">
        <f aca="false">IF(M167&gt;0,K167/M167,"")</f>
        <v/>
      </c>
      <c r="R167" s="57" t="str">
        <f aca="false">IF(K167&gt;0,O167/K167,"")</f>
        <v/>
      </c>
      <c r="S167" s="34" t="str">
        <f aca="false">IF(D167+E167+F167+G167&gt;0,(D167+E167)/(D167+E167+F167+G167),"")</f>
        <v/>
      </c>
      <c r="T167" s="33" t="n">
        <f aca="false">D167*(P1_PVP-P1_CPROD)+E167*(P2_PVP-P2_CPROD)-IF(ISNUMBER(I167),I167,D167*P1_LOG+E167*P2_LOG)</f>
        <v>0</v>
      </c>
      <c r="U167" s="33" t="n">
        <f aca="false">T167-(D167*P1_IVAN+E167*P2_IVAN)-(F167+G167)*(COSTE_DEV-IVA_DEV)-AH167-AJ167</f>
        <v>0</v>
      </c>
      <c r="V167" s="33" t="n">
        <f aca="false">AC167-AD167-AE167-AF167-AG167-AH167-AJ167</f>
        <v>0</v>
      </c>
      <c r="X167" s="58" t="n">
        <f aca="false">MAX(0,B167-D167-F167)</f>
        <v>0</v>
      </c>
      <c r="Y167" s="58" t="n">
        <f aca="false">MAX(0,C167-E167-G167)</f>
        <v>0</v>
      </c>
      <c r="Z167" s="59" t="n">
        <f aca="false">D167+X167*TASA_USADA</f>
        <v>0</v>
      </c>
      <c r="AA167" s="59" t="n">
        <f aca="false">E167+Y167*TASA_USADA</f>
        <v>0</v>
      </c>
      <c r="AB167" s="59" t="n">
        <f aca="false">F167+G167+(X167+Y167)*(1-TASA_USADA)</f>
        <v>0</v>
      </c>
      <c r="AC167" s="60" t="n">
        <f aca="false">Z167*P1_PVP+AA167*P2_PVP</f>
        <v>0</v>
      </c>
      <c r="AD167" s="60" t="n">
        <f aca="false">Z167*P1_CPROD+AA167*P2_CPROD</f>
        <v>0</v>
      </c>
      <c r="AE167" s="60" t="n">
        <f aca="false">IF(ISNUMBER(I167),I167,D167*P1_LOG+E167*P2_LOG)+IF(ISNUMBER(J167),J167,X167*P1_LOG+Y167*P2_LOG)*TASA_USADA</f>
        <v>0</v>
      </c>
      <c r="AF167" s="60" t="n">
        <f aca="false">AB167*COSTE_DEV</f>
        <v>0</v>
      </c>
      <c r="AG167" s="60" t="n">
        <f aca="false">Z167*P1_IVAN+AA167*P2_IVAN-AB167*IVA_DEV</f>
        <v>0</v>
      </c>
      <c r="AH167" s="60" t="n">
        <f aca="false">K167*(1+RECARGO_ADS)</f>
        <v>0</v>
      </c>
      <c r="AI167" s="58" t="n">
        <f aca="false">IF(ISNUMBER(I167),D167+E167+X167+Y167,0)</f>
        <v>0</v>
      </c>
      <c r="AJ167" s="60" t="n">
        <f aca="false">M167*COMISION</f>
        <v>0</v>
      </c>
    </row>
    <row r="168" customFormat="false" ht="15" hidden="false" customHeight="false" outlineLevel="0" collapsed="false">
      <c r="A168" s="53" t="n">
        <v>46462</v>
      </c>
      <c r="B168" s="54"/>
      <c r="C168" s="54"/>
      <c r="D168" s="54"/>
      <c r="E168" s="54"/>
      <c r="F168" s="54"/>
      <c r="G168" s="54"/>
      <c r="H168" s="54"/>
      <c r="I168" s="55"/>
      <c r="J168" s="55"/>
      <c r="K168" s="55"/>
      <c r="L168" s="56"/>
      <c r="M168" s="31" t="n">
        <f aca="false">B168+C168</f>
        <v>0</v>
      </c>
      <c r="N168" s="31" t="n">
        <f aca="false">X168+Y168</f>
        <v>0</v>
      </c>
      <c r="O168" s="32" t="n">
        <f aca="false">B168*P1_PVP+C168*P2_PVP</f>
        <v>0</v>
      </c>
      <c r="P168" s="32" t="str">
        <f aca="false">IF(M168&gt;0,O168/M168,"")</f>
        <v/>
      </c>
      <c r="Q168" s="32" t="str">
        <f aca="false">IF(M168&gt;0,K168/M168,"")</f>
        <v/>
      </c>
      <c r="R168" s="57" t="str">
        <f aca="false">IF(K168&gt;0,O168/K168,"")</f>
        <v/>
      </c>
      <c r="S168" s="34" t="str">
        <f aca="false">IF(D168+E168+F168+G168&gt;0,(D168+E168)/(D168+E168+F168+G168),"")</f>
        <v/>
      </c>
      <c r="T168" s="33" t="n">
        <f aca="false">D168*(P1_PVP-P1_CPROD)+E168*(P2_PVP-P2_CPROD)-IF(ISNUMBER(I168),I168,D168*P1_LOG+E168*P2_LOG)</f>
        <v>0</v>
      </c>
      <c r="U168" s="33" t="n">
        <f aca="false">T168-(D168*P1_IVAN+E168*P2_IVAN)-(F168+G168)*(COSTE_DEV-IVA_DEV)-AH168-AJ168</f>
        <v>0</v>
      </c>
      <c r="V168" s="33" t="n">
        <f aca="false">AC168-AD168-AE168-AF168-AG168-AH168-AJ168</f>
        <v>0</v>
      </c>
      <c r="X168" s="58" t="n">
        <f aca="false">MAX(0,B168-D168-F168)</f>
        <v>0</v>
      </c>
      <c r="Y168" s="58" t="n">
        <f aca="false">MAX(0,C168-E168-G168)</f>
        <v>0</v>
      </c>
      <c r="Z168" s="59" t="n">
        <f aca="false">D168+X168*TASA_USADA</f>
        <v>0</v>
      </c>
      <c r="AA168" s="59" t="n">
        <f aca="false">E168+Y168*TASA_USADA</f>
        <v>0</v>
      </c>
      <c r="AB168" s="59" t="n">
        <f aca="false">F168+G168+(X168+Y168)*(1-TASA_USADA)</f>
        <v>0</v>
      </c>
      <c r="AC168" s="60" t="n">
        <f aca="false">Z168*P1_PVP+AA168*P2_PVP</f>
        <v>0</v>
      </c>
      <c r="AD168" s="60" t="n">
        <f aca="false">Z168*P1_CPROD+AA168*P2_CPROD</f>
        <v>0</v>
      </c>
      <c r="AE168" s="60" t="n">
        <f aca="false">IF(ISNUMBER(I168),I168,D168*P1_LOG+E168*P2_LOG)+IF(ISNUMBER(J168),J168,X168*P1_LOG+Y168*P2_LOG)*TASA_USADA</f>
        <v>0</v>
      </c>
      <c r="AF168" s="60" t="n">
        <f aca="false">AB168*COSTE_DEV</f>
        <v>0</v>
      </c>
      <c r="AG168" s="60" t="n">
        <f aca="false">Z168*P1_IVAN+AA168*P2_IVAN-AB168*IVA_DEV</f>
        <v>0</v>
      </c>
      <c r="AH168" s="60" t="n">
        <f aca="false">K168*(1+RECARGO_ADS)</f>
        <v>0</v>
      </c>
      <c r="AI168" s="58" t="n">
        <f aca="false">IF(ISNUMBER(I168),D168+E168+X168+Y168,0)</f>
        <v>0</v>
      </c>
      <c r="AJ168" s="60" t="n">
        <f aca="false">M168*COMISION</f>
        <v>0</v>
      </c>
    </row>
    <row r="169" customFormat="false" ht="15" hidden="false" customHeight="false" outlineLevel="0" collapsed="false">
      <c r="A169" s="53" t="n">
        <v>46463</v>
      </c>
      <c r="B169" s="54"/>
      <c r="C169" s="54"/>
      <c r="D169" s="54"/>
      <c r="E169" s="54"/>
      <c r="F169" s="54"/>
      <c r="G169" s="54"/>
      <c r="H169" s="54"/>
      <c r="I169" s="55"/>
      <c r="J169" s="55"/>
      <c r="K169" s="55"/>
      <c r="L169" s="56"/>
      <c r="M169" s="31" t="n">
        <f aca="false">B169+C169</f>
        <v>0</v>
      </c>
      <c r="N169" s="31" t="n">
        <f aca="false">X169+Y169</f>
        <v>0</v>
      </c>
      <c r="O169" s="32" t="n">
        <f aca="false">B169*P1_PVP+C169*P2_PVP</f>
        <v>0</v>
      </c>
      <c r="P169" s="32" t="str">
        <f aca="false">IF(M169&gt;0,O169/M169,"")</f>
        <v/>
      </c>
      <c r="Q169" s="32" t="str">
        <f aca="false">IF(M169&gt;0,K169/M169,"")</f>
        <v/>
      </c>
      <c r="R169" s="57" t="str">
        <f aca="false">IF(K169&gt;0,O169/K169,"")</f>
        <v/>
      </c>
      <c r="S169" s="34" t="str">
        <f aca="false">IF(D169+E169+F169+G169&gt;0,(D169+E169)/(D169+E169+F169+G169),"")</f>
        <v/>
      </c>
      <c r="T169" s="33" t="n">
        <f aca="false">D169*(P1_PVP-P1_CPROD)+E169*(P2_PVP-P2_CPROD)-IF(ISNUMBER(I169),I169,D169*P1_LOG+E169*P2_LOG)</f>
        <v>0</v>
      </c>
      <c r="U169" s="33" t="n">
        <f aca="false">T169-(D169*P1_IVAN+E169*P2_IVAN)-(F169+G169)*(COSTE_DEV-IVA_DEV)-AH169-AJ169</f>
        <v>0</v>
      </c>
      <c r="V169" s="33" t="n">
        <f aca="false">AC169-AD169-AE169-AF169-AG169-AH169-AJ169</f>
        <v>0</v>
      </c>
      <c r="X169" s="58" t="n">
        <f aca="false">MAX(0,B169-D169-F169)</f>
        <v>0</v>
      </c>
      <c r="Y169" s="58" t="n">
        <f aca="false">MAX(0,C169-E169-G169)</f>
        <v>0</v>
      </c>
      <c r="Z169" s="59" t="n">
        <f aca="false">D169+X169*TASA_USADA</f>
        <v>0</v>
      </c>
      <c r="AA169" s="59" t="n">
        <f aca="false">E169+Y169*TASA_USADA</f>
        <v>0</v>
      </c>
      <c r="AB169" s="59" t="n">
        <f aca="false">F169+G169+(X169+Y169)*(1-TASA_USADA)</f>
        <v>0</v>
      </c>
      <c r="AC169" s="60" t="n">
        <f aca="false">Z169*P1_PVP+AA169*P2_PVP</f>
        <v>0</v>
      </c>
      <c r="AD169" s="60" t="n">
        <f aca="false">Z169*P1_CPROD+AA169*P2_CPROD</f>
        <v>0</v>
      </c>
      <c r="AE169" s="60" t="n">
        <f aca="false">IF(ISNUMBER(I169),I169,D169*P1_LOG+E169*P2_LOG)+IF(ISNUMBER(J169),J169,X169*P1_LOG+Y169*P2_LOG)*TASA_USADA</f>
        <v>0</v>
      </c>
      <c r="AF169" s="60" t="n">
        <f aca="false">AB169*COSTE_DEV</f>
        <v>0</v>
      </c>
      <c r="AG169" s="60" t="n">
        <f aca="false">Z169*P1_IVAN+AA169*P2_IVAN-AB169*IVA_DEV</f>
        <v>0</v>
      </c>
      <c r="AH169" s="60" t="n">
        <f aca="false">K169*(1+RECARGO_ADS)</f>
        <v>0</v>
      </c>
      <c r="AI169" s="58" t="n">
        <f aca="false">IF(ISNUMBER(I169),D169+E169+X169+Y169,0)</f>
        <v>0</v>
      </c>
      <c r="AJ169" s="60" t="n">
        <f aca="false">M169*COMISION</f>
        <v>0</v>
      </c>
    </row>
    <row r="170" customFormat="false" ht="15" hidden="false" customHeight="false" outlineLevel="0" collapsed="false">
      <c r="A170" s="53" t="n">
        <v>46464</v>
      </c>
      <c r="B170" s="54"/>
      <c r="C170" s="54"/>
      <c r="D170" s="54"/>
      <c r="E170" s="54"/>
      <c r="F170" s="54"/>
      <c r="G170" s="54"/>
      <c r="H170" s="54"/>
      <c r="I170" s="55"/>
      <c r="J170" s="55"/>
      <c r="K170" s="55"/>
      <c r="L170" s="56"/>
      <c r="M170" s="31" t="n">
        <f aca="false">B170+C170</f>
        <v>0</v>
      </c>
      <c r="N170" s="31" t="n">
        <f aca="false">X170+Y170</f>
        <v>0</v>
      </c>
      <c r="O170" s="32" t="n">
        <f aca="false">B170*P1_PVP+C170*P2_PVP</f>
        <v>0</v>
      </c>
      <c r="P170" s="32" t="str">
        <f aca="false">IF(M170&gt;0,O170/M170,"")</f>
        <v/>
      </c>
      <c r="Q170" s="32" t="str">
        <f aca="false">IF(M170&gt;0,K170/M170,"")</f>
        <v/>
      </c>
      <c r="R170" s="57" t="str">
        <f aca="false">IF(K170&gt;0,O170/K170,"")</f>
        <v/>
      </c>
      <c r="S170" s="34" t="str">
        <f aca="false">IF(D170+E170+F170+G170&gt;0,(D170+E170)/(D170+E170+F170+G170),"")</f>
        <v/>
      </c>
      <c r="T170" s="33" t="n">
        <f aca="false">D170*(P1_PVP-P1_CPROD)+E170*(P2_PVP-P2_CPROD)-IF(ISNUMBER(I170),I170,D170*P1_LOG+E170*P2_LOG)</f>
        <v>0</v>
      </c>
      <c r="U170" s="33" t="n">
        <f aca="false">T170-(D170*P1_IVAN+E170*P2_IVAN)-(F170+G170)*(COSTE_DEV-IVA_DEV)-AH170-AJ170</f>
        <v>0</v>
      </c>
      <c r="V170" s="33" t="n">
        <f aca="false">AC170-AD170-AE170-AF170-AG170-AH170-AJ170</f>
        <v>0</v>
      </c>
      <c r="X170" s="58" t="n">
        <f aca="false">MAX(0,B170-D170-F170)</f>
        <v>0</v>
      </c>
      <c r="Y170" s="58" t="n">
        <f aca="false">MAX(0,C170-E170-G170)</f>
        <v>0</v>
      </c>
      <c r="Z170" s="59" t="n">
        <f aca="false">D170+X170*TASA_USADA</f>
        <v>0</v>
      </c>
      <c r="AA170" s="59" t="n">
        <f aca="false">E170+Y170*TASA_USADA</f>
        <v>0</v>
      </c>
      <c r="AB170" s="59" t="n">
        <f aca="false">F170+G170+(X170+Y170)*(1-TASA_USADA)</f>
        <v>0</v>
      </c>
      <c r="AC170" s="60" t="n">
        <f aca="false">Z170*P1_PVP+AA170*P2_PVP</f>
        <v>0</v>
      </c>
      <c r="AD170" s="60" t="n">
        <f aca="false">Z170*P1_CPROD+AA170*P2_CPROD</f>
        <v>0</v>
      </c>
      <c r="AE170" s="60" t="n">
        <f aca="false">IF(ISNUMBER(I170),I170,D170*P1_LOG+E170*P2_LOG)+IF(ISNUMBER(J170),J170,X170*P1_LOG+Y170*P2_LOG)*TASA_USADA</f>
        <v>0</v>
      </c>
      <c r="AF170" s="60" t="n">
        <f aca="false">AB170*COSTE_DEV</f>
        <v>0</v>
      </c>
      <c r="AG170" s="60" t="n">
        <f aca="false">Z170*P1_IVAN+AA170*P2_IVAN-AB170*IVA_DEV</f>
        <v>0</v>
      </c>
      <c r="AH170" s="60" t="n">
        <f aca="false">K170*(1+RECARGO_ADS)</f>
        <v>0</v>
      </c>
      <c r="AI170" s="58" t="n">
        <f aca="false">IF(ISNUMBER(I170),D170+E170+X170+Y170,0)</f>
        <v>0</v>
      </c>
      <c r="AJ170" s="60" t="n">
        <f aca="false">M170*COMISION</f>
        <v>0</v>
      </c>
    </row>
    <row r="171" customFormat="false" ht="15" hidden="false" customHeight="false" outlineLevel="0" collapsed="false">
      <c r="A171" s="53" t="n">
        <v>46465</v>
      </c>
      <c r="B171" s="54"/>
      <c r="C171" s="54"/>
      <c r="D171" s="54"/>
      <c r="E171" s="54"/>
      <c r="F171" s="54"/>
      <c r="G171" s="54"/>
      <c r="H171" s="54"/>
      <c r="I171" s="55"/>
      <c r="J171" s="55"/>
      <c r="K171" s="55"/>
      <c r="L171" s="56"/>
      <c r="M171" s="31" t="n">
        <f aca="false">B171+C171</f>
        <v>0</v>
      </c>
      <c r="N171" s="31" t="n">
        <f aca="false">X171+Y171</f>
        <v>0</v>
      </c>
      <c r="O171" s="32" t="n">
        <f aca="false">B171*P1_PVP+C171*P2_PVP</f>
        <v>0</v>
      </c>
      <c r="P171" s="32" t="str">
        <f aca="false">IF(M171&gt;0,O171/M171,"")</f>
        <v/>
      </c>
      <c r="Q171" s="32" t="str">
        <f aca="false">IF(M171&gt;0,K171/M171,"")</f>
        <v/>
      </c>
      <c r="R171" s="57" t="str">
        <f aca="false">IF(K171&gt;0,O171/K171,"")</f>
        <v/>
      </c>
      <c r="S171" s="34" t="str">
        <f aca="false">IF(D171+E171+F171+G171&gt;0,(D171+E171)/(D171+E171+F171+G171),"")</f>
        <v/>
      </c>
      <c r="T171" s="33" t="n">
        <f aca="false">D171*(P1_PVP-P1_CPROD)+E171*(P2_PVP-P2_CPROD)-IF(ISNUMBER(I171),I171,D171*P1_LOG+E171*P2_LOG)</f>
        <v>0</v>
      </c>
      <c r="U171" s="33" t="n">
        <f aca="false">T171-(D171*P1_IVAN+E171*P2_IVAN)-(F171+G171)*(COSTE_DEV-IVA_DEV)-AH171-AJ171</f>
        <v>0</v>
      </c>
      <c r="V171" s="33" t="n">
        <f aca="false">AC171-AD171-AE171-AF171-AG171-AH171-AJ171</f>
        <v>0</v>
      </c>
      <c r="X171" s="58" t="n">
        <f aca="false">MAX(0,B171-D171-F171)</f>
        <v>0</v>
      </c>
      <c r="Y171" s="58" t="n">
        <f aca="false">MAX(0,C171-E171-G171)</f>
        <v>0</v>
      </c>
      <c r="Z171" s="59" t="n">
        <f aca="false">D171+X171*TASA_USADA</f>
        <v>0</v>
      </c>
      <c r="AA171" s="59" t="n">
        <f aca="false">E171+Y171*TASA_USADA</f>
        <v>0</v>
      </c>
      <c r="AB171" s="59" t="n">
        <f aca="false">F171+G171+(X171+Y171)*(1-TASA_USADA)</f>
        <v>0</v>
      </c>
      <c r="AC171" s="60" t="n">
        <f aca="false">Z171*P1_PVP+AA171*P2_PVP</f>
        <v>0</v>
      </c>
      <c r="AD171" s="60" t="n">
        <f aca="false">Z171*P1_CPROD+AA171*P2_CPROD</f>
        <v>0</v>
      </c>
      <c r="AE171" s="60" t="n">
        <f aca="false">IF(ISNUMBER(I171),I171,D171*P1_LOG+E171*P2_LOG)+IF(ISNUMBER(J171),J171,X171*P1_LOG+Y171*P2_LOG)*TASA_USADA</f>
        <v>0</v>
      </c>
      <c r="AF171" s="60" t="n">
        <f aca="false">AB171*COSTE_DEV</f>
        <v>0</v>
      </c>
      <c r="AG171" s="60" t="n">
        <f aca="false">Z171*P1_IVAN+AA171*P2_IVAN-AB171*IVA_DEV</f>
        <v>0</v>
      </c>
      <c r="AH171" s="60" t="n">
        <f aca="false">K171*(1+RECARGO_ADS)</f>
        <v>0</v>
      </c>
      <c r="AI171" s="58" t="n">
        <f aca="false">IF(ISNUMBER(I171),D171+E171+X171+Y171,0)</f>
        <v>0</v>
      </c>
      <c r="AJ171" s="60" t="n">
        <f aca="false">M171*COMISION</f>
        <v>0</v>
      </c>
    </row>
    <row r="172" customFormat="false" ht="15" hidden="false" customHeight="false" outlineLevel="0" collapsed="false">
      <c r="A172" s="53" t="n">
        <v>46466</v>
      </c>
      <c r="B172" s="54"/>
      <c r="C172" s="54"/>
      <c r="D172" s="54"/>
      <c r="E172" s="54"/>
      <c r="F172" s="54"/>
      <c r="G172" s="54"/>
      <c r="H172" s="54"/>
      <c r="I172" s="55"/>
      <c r="J172" s="55"/>
      <c r="K172" s="55"/>
      <c r="L172" s="56"/>
      <c r="M172" s="31" t="n">
        <f aca="false">B172+C172</f>
        <v>0</v>
      </c>
      <c r="N172" s="31" t="n">
        <f aca="false">X172+Y172</f>
        <v>0</v>
      </c>
      <c r="O172" s="32" t="n">
        <f aca="false">B172*P1_PVP+C172*P2_PVP</f>
        <v>0</v>
      </c>
      <c r="P172" s="32" t="str">
        <f aca="false">IF(M172&gt;0,O172/M172,"")</f>
        <v/>
      </c>
      <c r="Q172" s="32" t="str">
        <f aca="false">IF(M172&gt;0,K172/M172,"")</f>
        <v/>
      </c>
      <c r="R172" s="57" t="str">
        <f aca="false">IF(K172&gt;0,O172/K172,"")</f>
        <v/>
      </c>
      <c r="S172" s="34" t="str">
        <f aca="false">IF(D172+E172+F172+G172&gt;0,(D172+E172)/(D172+E172+F172+G172),"")</f>
        <v/>
      </c>
      <c r="T172" s="33" t="n">
        <f aca="false">D172*(P1_PVP-P1_CPROD)+E172*(P2_PVP-P2_CPROD)-IF(ISNUMBER(I172),I172,D172*P1_LOG+E172*P2_LOG)</f>
        <v>0</v>
      </c>
      <c r="U172" s="33" t="n">
        <f aca="false">T172-(D172*P1_IVAN+E172*P2_IVAN)-(F172+G172)*(COSTE_DEV-IVA_DEV)-AH172-AJ172</f>
        <v>0</v>
      </c>
      <c r="V172" s="33" t="n">
        <f aca="false">AC172-AD172-AE172-AF172-AG172-AH172-AJ172</f>
        <v>0</v>
      </c>
      <c r="X172" s="58" t="n">
        <f aca="false">MAX(0,B172-D172-F172)</f>
        <v>0</v>
      </c>
      <c r="Y172" s="58" t="n">
        <f aca="false">MAX(0,C172-E172-G172)</f>
        <v>0</v>
      </c>
      <c r="Z172" s="59" t="n">
        <f aca="false">D172+X172*TASA_USADA</f>
        <v>0</v>
      </c>
      <c r="AA172" s="59" t="n">
        <f aca="false">E172+Y172*TASA_USADA</f>
        <v>0</v>
      </c>
      <c r="AB172" s="59" t="n">
        <f aca="false">F172+G172+(X172+Y172)*(1-TASA_USADA)</f>
        <v>0</v>
      </c>
      <c r="AC172" s="60" t="n">
        <f aca="false">Z172*P1_PVP+AA172*P2_PVP</f>
        <v>0</v>
      </c>
      <c r="AD172" s="60" t="n">
        <f aca="false">Z172*P1_CPROD+AA172*P2_CPROD</f>
        <v>0</v>
      </c>
      <c r="AE172" s="60" t="n">
        <f aca="false">IF(ISNUMBER(I172),I172,D172*P1_LOG+E172*P2_LOG)+IF(ISNUMBER(J172),J172,X172*P1_LOG+Y172*P2_LOG)*TASA_USADA</f>
        <v>0</v>
      </c>
      <c r="AF172" s="60" t="n">
        <f aca="false">AB172*COSTE_DEV</f>
        <v>0</v>
      </c>
      <c r="AG172" s="60" t="n">
        <f aca="false">Z172*P1_IVAN+AA172*P2_IVAN-AB172*IVA_DEV</f>
        <v>0</v>
      </c>
      <c r="AH172" s="60" t="n">
        <f aca="false">K172*(1+RECARGO_ADS)</f>
        <v>0</v>
      </c>
      <c r="AI172" s="58" t="n">
        <f aca="false">IF(ISNUMBER(I172),D172+E172+X172+Y172,0)</f>
        <v>0</v>
      </c>
      <c r="AJ172" s="60" t="n">
        <f aca="false">M172*COMISION</f>
        <v>0</v>
      </c>
    </row>
    <row r="173" customFormat="false" ht="15" hidden="false" customHeight="false" outlineLevel="0" collapsed="false">
      <c r="A173" s="53" t="n">
        <v>46467</v>
      </c>
      <c r="B173" s="54"/>
      <c r="C173" s="54"/>
      <c r="D173" s="54"/>
      <c r="E173" s="54"/>
      <c r="F173" s="54"/>
      <c r="G173" s="54"/>
      <c r="H173" s="54"/>
      <c r="I173" s="55"/>
      <c r="J173" s="55"/>
      <c r="K173" s="55"/>
      <c r="L173" s="56"/>
      <c r="M173" s="31" t="n">
        <f aca="false">B173+C173</f>
        <v>0</v>
      </c>
      <c r="N173" s="31" t="n">
        <f aca="false">X173+Y173</f>
        <v>0</v>
      </c>
      <c r="O173" s="32" t="n">
        <f aca="false">B173*P1_PVP+C173*P2_PVP</f>
        <v>0</v>
      </c>
      <c r="P173" s="32" t="str">
        <f aca="false">IF(M173&gt;0,O173/M173,"")</f>
        <v/>
      </c>
      <c r="Q173" s="32" t="str">
        <f aca="false">IF(M173&gt;0,K173/M173,"")</f>
        <v/>
      </c>
      <c r="R173" s="57" t="str">
        <f aca="false">IF(K173&gt;0,O173/K173,"")</f>
        <v/>
      </c>
      <c r="S173" s="34" t="str">
        <f aca="false">IF(D173+E173+F173+G173&gt;0,(D173+E173)/(D173+E173+F173+G173),"")</f>
        <v/>
      </c>
      <c r="T173" s="33" t="n">
        <f aca="false">D173*(P1_PVP-P1_CPROD)+E173*(P2_PVP-P2_CPROD)-IF(ISNUMBER(I173),I173,D173*P1_LOG+E173*P2_LOG)</f>
        <v>0</v>
      </c>
      <c r="U173" s="33" t="n">
        <f aca="false">T173-(D173*P1_IVAN+E173*P2_IVAN)-(F173+G173)*(COSTE_DEV-IVA_DEV)-AH173-AJ173</f>
        <v>0</v>
      </c>
      <c r="V173" s="33" t="n">
        <f aca="false">AC173-AD173-AE173-AF173-AG173-AH173-AJ173</f>
        <v>0</v>
      </c>
      <c r="X173" s="58" t="n">
        <f aca="false">MAX(0,B173-D173-F173)</f>
        <v>0</v>
      </c>
      <c r="Y173" s="58" t="n">
        <f aca="false">MAX(0,C173-E173-G173)</f>
        <v>0</v>
      </c>
      <c r="Z173" s="59" t="n">
        <f aca="false">D173+X173*TASA_USADA</f>
        <v>0</v>
      </c>
      <c r="AA173" s="59" t="n">
        <f aca="false">E173+Y173*TASA_USADA</f>
        <v>0</v>
      </c>
      <c r="AB173" s="59" t="n">
        <f aca="false">F173+G173+(X173+Y173)*(1-TASA_USADA)</f>
        <v>0</v>
      </c>
      <c r="AC173" s="60" t="n">
        <f aca="false">Z173*P1_PVP+AA173*P2_PVP</f>
        <v>0</v>
      </c>
      <c r="AD173" s="60" t="n">
        <f aca="false">Z173*P1_CPROD+AA173*P2_CPROD</f>
        <v>0</v>
      </c>
      <c r="AE173" s="60" t="n">
        <f aca="false">IF(ISNUMBER(I173),I173,D173*P1_LOG+E173*P2_LOG)+IF(ISNUMBER(J173),J173,X173*P1_LOG+Y173*P2_LOG)*TASA_USADA</f>
        <v>0</v>
      </c>
      <c r="AF173" s="60" t="n">
        <f aca="false">AB173*COSTE_DEV</f>
        <v>0</v>
      </c>
      <c r="AG173" s="60" t="n">
        <f aca="false">Z173*P1_IVAN+AA173*P2_IVAN-AB173*IVA_DEV</f>
        <v>0</v>
      </c>
      <c r="AH173" s="60" t="n">
        <f aca="false">K173*(1+RECARGO_ADS)</f>
        <v>0</v>
      </c>
      <c r="AI173" s="58" t="n">
        <f aca="false">IF(ISNUMBER(I173),D173+E173+X173+Y173,0)</f>
        <v>0</v>
      </c>
      <c r="AJ173" s="60" t="n">
        <f aca="false">M173*COMISION</f>
        <v>0</v>
      </c>
    </row>
    <row r="174" customFormat="false" ht="15" hidden="false" customHeight="false" outlineLevel="0" collapsed="false">
      <c r="A174" s="53" t="n">
        <v>46468</v>
      </c>
      <c r="B174" s="54"/>
      <c r="C174" s="54"/>
      <c r="D174" s="54"/>
      <c r="E174" s="54"/>
      <c r="F174" s="54"/>
      <c r="G174" s="54"/>
      <c r="H174" s="54"/>
      <c r="I174" s="55"/>
      <c r="J174" s="55"/>
      <c r="K174" s="55"/>
      <c r="L174" s="56"/>
      <c r="M174" s="31" t="n">
        <f aca="false">B174+C174</f>
        <v>0</v>
      </c>
      <c r="N174" s="31" t="n">
        <f aca="false">X174+Y174</f>
        <v>0</v>
      </c>
      <c r="O174" s="32" t="n">
        <f aca="false">B174*P1_PVP+C174*P2_PVP</f>
        <v>0</v>
      </c>
      <c r="P174" s="32" t="str">
        <f aca="false">IF(M174&gt;0,O174/M174,"")</f>
        <v/>
      </c>
      <c r="Q174" s="32" t="str">
        <f aca="false">IF(M174&gt;0,K174/M174,"")</f>
        <v/>
      </c>
      <c r="R174" s="57" t="str">
        <f aca="false">IF(K174&gt;0,O174/K174,"")</f>
        <v/>
      </c>
      <c r="S174" s="34" t="str">
        <f aca="false">IF(D174+E174+F174+G174&gt;0,(D174+E174)/(D174+E174+F174+G174),"")</f>
        <v/>
      </c>
      <c r="T174" s="33" t="n">
        <f aca="false">D174*(P1_PVP-P1_CPROD)+E174*(P2_PVP-P2_CPROD)-IF(ISNUMBER(I174),I174,D174*P1_LOG+E174*P2_LOG)</f>
        <v>0</v>
      </c>
      <c r="U174" s="33" t="n">
        <f aca="false">T174-(D174*P1_IVAN+E174*P2_IVAN)-(F174+G174)*(COSTE_DEV-IVA_DEV)-AH174-AJ174</f>
        <v>0</v>
      </c>
      <c r="V174" s="33" t="n">
        <f aca="false">AC174-AD174-AE174-AF174-AG174-AH174-AJ174</f>
        <v>0</v>
      </c>
      <c r="X174" s="58" t="n">
        <f aca="false">MAX(0,B174-D174-F174)</f>
        <v>0</v>
      </c>
      <c r="Y174" s="58" t="n">
        <f aca="false">MAX(0,C174-E174-G174)</f>
        <v>0</v>
      </c>
      <c r="Z174" s="59" t="n">
        <f aca="false">D174+X174*TASA_USADA</f>
        <v>0</v>
      </c>
      <c r="AA174" s="59" t="n">
        <f aca="false">E174+Y174*TASA_USADA</f>
        <v>0</v>
      </c>
      <c r="AB174" s="59" t="n">
        <f aca="false">F174+G174+(X174+Y174)*(1-TASA_USADA)</f>
        <v>0</v>
      </c>
      <c r="AC174" s="60" t="n">
        <f aca="false">Z174*P1_PVP+AA174*P2_PVP</f>
        <v>0</v>
      </c>
      <c r="AD174" s="60" t="n">
        <f aca="false">Z174*P1_CPROD+AA174*P2_CPROD</f>
        <v>0</v>
      </c>
      <c r="AE174" s="60" t="n">
        <f aca="false">IF(ISNUMBER(I174),I174,D174*P1_LOG+E174*P2_LOG)+IF(ISNUMBER(J174),J174,X174*P1_LOG+Y174*P2_LOG)*TASA_USADA</f>
        <v>0</v>
      </c>
      <c r="AF174" s="60" t="n">
        <f aca="false">AB174*COSTE_DEV</f>
        <v>0</v>
      </c>
      <c r="AG174" s="60" t="n">
        <f aca="false">Z174*P1_IVAN+AA174*P2_IVAN-AB174*IVA_DEV</f>
        <v>0</v>
      </c>
      <c r="AH174" s="60" t="n">
        <f aca="false">K174*(1+RECARGO_ADS)</f>
        <v>0</v>
      </c>
      <c r="AI174" s="58" t="n">
        <f aca="false">IF(ISNUMBER(I174),D174+E174+X174+Y174,0)</f>
        <v>0</v>
      </c>
      <c r="AJ174" s="60" t="n">
        <f aca="false">M174*COMISION</f>
        <v>0</v>
      </c>
    </row>
    <row r="175" customFormat="false" ht="15" hidden="false" customHeight="false" outlineLevel="0" collapsed="false">
      <c r="A175" s="53" t="n">
        <v>46469</v>
      </c>
      <c r="B175" s="54"/>
      <c r="C175" s="54"/>
      <c r="D175" s="54"/>
      <c r="E175" s="54"/>
      <c r="F175" s="54"/>
      <c r="G175" s="54"/>
      <c r="H175" s="54"/>
      <c r="I175" s="55"/>
      <c r="J175" s="55"/>
      <c r="K175" s="55"/>
      <c r="L175" s="56"/>
      <c r="M175" s="31" t="n">
        <f aca="false">B175+C175</f>
        <v>0</v>
      </c>
      <c r="N175" s="31" t="n">
        <f aca="false">X175+Y175</f>
        <v>0</v>
      </c>
      <c r="O175" s="32" t="n">
        <f aca="false">B175*P1_PVP+C175*P2_PVP</f>
        <v>0</v>
      </c>
      <c r="P175" s="32" t="str">
        <f aca="false">IF(M175&gt;0,O175/M175,"")</f>
        <v/>
      </c>
      <c r="Q175" s="32" t="str">
        <f aca="false">IF(M175&gt;0,K175/M175,"")</f>
        <v/>
      </c>
      <c r="R175" s="57" t="str">
        <f aca="false">IF(K175&gt;0,O175/K175,"")</f>
        <v/>
      </c>
      <c r="S175" s="34" t="str">
        <f aca="false">IF(D175+E175+F175+G175&gt;0,(D175+E175)/(D175+E175+F175+G175),"")</f>
        <v/>
      </c>
      <c r="T175" s="33" t="n">
        <f aca="false">D175*(P1_PVP-P1_CPROD)+E175*(P2_PVP-P2_CPROD)-IF(ISNUMBER(I175),I175,D175*P1_LOG+E175*P2_LOG)</f>
        <v>0</v>
      </c>
      <c r="U175" s="33" t="n">
        <f aca="false">T175-(D175*P1_IVAN+E175*P2_IVAN)-(F175+G175)*(COSTE_DEV-IVA_DEV)-AH175-AJ175</f>
        <v>0</v>
      </c>
      <c r="V175" s="33" t="n">
        <f aca="false">AC175-AD175-AE175-AF175-AG175-AH175-AJ175</f>
        <v>0</v>
      </c>
      <c r="X175" s="58" t="n">
        <f aca="false">MAX(0,B175-D175-F175)</f>
        <v>0</v>
      </c>
      <c r="Y175" s="58" t="n">
        <f aca="false">MAX(0,C175-E175-G175)</f>
        <v>0</v>
      </c>
      <c r="Z175" s="59" t="n">
        <f aca="false">D175+X175*TASA_USADA</f>
        <v>0</v>
      </c>
      <c r="AA175" s="59" t="n">
        <f aca="false">E175+Y175*TASA_USADA</f>
        <v>0</v>
      </c>
      <c r="AB175" s="59" t="n">
        <f aca="false">F175+G175+(X175+Y175)*(1-TASA_USADA)</f>
        <v>0</v>
      </c>
      <c r="AC175" s="60" t="n">
        <f aca="false">Z175*P1_PVP+AA175*P2_PVP</f>
        <v>0</v>
      </c>
      <c r="AD175" s="60" t="n">
        <f aca="false">Z175*P1_CPROD+AA175*P2_CPROD</f>
        <v>0</v>
      </c>
      <c r="AE175" s="60" t="n">
        <f aca="false">IF(ISNUMBER(I175),I175,D175*P1_LOG+E175*P2_LOG)+IF(ISNUMBER(J175),J175,X175*P1_LOG+Y175*P2_LOG)*TASA_USADA</f>
        <v>0</v>
      </c>
      <c r="AF175" s="60" t="n">
        <f aca="false">AB175*COSTE_DEV</f>
        <v>0</v>
      </c>
      <c r="AG175" s="60" t="n">
        <f aca="false">Z175*P1_IVAN+AA175*P2_IVAN-AB175*IVA_DEV</f>
        <v>0</v>
      </c>
      <c r="AH175" s="60" t="n">
        <f aca="false">K175*(1+RECARGO_ADS)</f>
        <v>0</v>
      </c>
      <c r="AI175" s="58" t="n">
        <f aca="false">IF(ISNUMBER(I175),D175+E175+X175+Y175,0)</f>
        <v>0</v>
      </c>
      <c r="AJ175" s="60" t="n">
        <f aca="false">M175*COMISION</f>
        <v>0</v>
      </c>
    </row>
    <row r="176" customFormat="false" ht="15" hidden="false" customHeight="false" outlineLevel="0" collapsed="false">
      <c r="A176" s="53" t="n">
        <v>46470</v>
      </c>
      <c r="B176" s="54"/>
      <c r="C176" s="54"/>
      <c r="D176" s="54"/>
      <c r="E176" s="54"/>
      <c r="F176" s="54"/>
      <c r="G176" s="54"/>
      <c r="H176" s="54"/>
      <c r="I176" s="55"/>
      <c r="J176" s="55"/>
      <c r="K176" s="55"/>
      <c r="L176" s="56"/>
      <c r="M176" s="31" t="n">
        <f aca="false">B176+C176</f>
        <v>0</v>
      </c>
      <c r="N176" s="31" t="n">
        <f aca="false">X176+Y176</f>
        <v>0</v>
      </c>
      <c r="O176" s="32" t="n">
        <f aca="false">B176*P1_PVP+C176*P2_PVP</f>
        <v>0</v>
      </c>
      <c r="P176" s="32" t="str">
        <f aca="false">IF(M176&gt;0,O176/M176,"")</f>
        <v/>
      </c>
      <c r="Q176" s="32" t="str">
        <f aca="false">IF(M176&gt;0,K176/M176,"")</f>
        <v/>
      </c>
      <c r="R176" s="57" t="str">
        <f aca="false">IF(K176&gt;0,O176/K176,"")</f>
        <v/>
      </c>
      <c r="S176" s="34" t="str">
        <f aca="false">IF(D176+E176+F176+G176&gt;0,(D176+E176)/(D176+E176+F176+G176),"")</f>
        <v/>
      </c>
      <c r="T176" s="33" t="n">
        <f aca="false">D176*(P1_PVP-P1_CPROD)+E176*(P2_PVP-P2_CPROD)-IF(ISNUMBER(I176),I176,D176*P1_LOG+E176*P2_LOG)</f>
        <v>0</v>
      </c>
      <c r="U176" s="33" t="n">
        <f aca="false">T176-(D176*P1_IVAN+E176*P2_IVAN)-(F176+G176)*(COSTE_DEV-IVA_DEV)-AH176-AJ176</f>
        <v>0</v>
      </c>
      <c r="V176" s="33" t="n">
        <f aca="false">AC176-AD176-AE176-AF176-AG176-AH176-AJ176</f>
        <v>0</v>
      </c>
      <c r="X176" s="58" t="n">
        <f aca="false">MAX(0,B176-D176-F176)</f>
        <v>0</v>
      </c>
      <c r="Y176" s="58" t="n">
        <f aca="false">MAX(0,C176-E176-G176)</f>
        <v>0</v>
      </c>
      <c r="Z176" s="59" t="n">
        <f aca="false">D176+X176*TASA_USADA</f>
        <v>0</v>
      </c>
      <c r="AA176" s="59" t="n">
        <f aca="false">E176+Y176*TASA_USADA</f>
        <v>0</v>
      </c>
      <c r="AB176" s="59" t="n">
        <f aca="false">F176+G176+(X176+Y176)*(1-TASA_USADA)</f>
        <v>0</v>
      </c>
      <c r="AC176" s="60" t="n">
        <f aca="false">Z176*P1_PVP+AA176*P2_PVP</f>
        <v>0</v>
      </c>
      <c r="AD176" s="60" t="n">
        <f aca="false">Z176*P1_CPROD+AA176*P2_CPROD</f>
        <v>0</v>
      </c>
      <c r="AE176" s="60" t="n">
        <f aca="false">IF(ISNUMBER(I176),I176,D176*P1_LOG+E176*P2_LOG)+IF(ISNUMBER(J176),J176,X176*P1_LOG+Y176*P2_LOG)*TASA_USADA</f>
        <v>0</v>
      </c>
      <c r="AF176" s="60" t="n">
        <f aca="false">AB176*COSTE_DEV</f>
        <v>0</v>
      </c>
      <c r="AG176" s="60" t="n">
        <f aca="false">Z176*P1_IVAN+AA176*P2_IVAN-AB176*IVA_DEV</f>
        <v>0</v>
      </c>
      <c r="AH176" s="60" t="n">
        <f aca="false">K176*(1+RECARGO_ADS)</f>
        <v>0</v>
      </c>
      <c r="AI176" s="58" t="n">
        <f aca="false">IF(ISNUMBER(I176),D176+E176+X176+Y176,0)</f>
        <v>0</v>
      </c>
      <c r="AJ176" s="60" t="n">
        <f aca="false">M176*COMISION</f>
        <v>0</v>
      </c>
    </row>
    <row r="177" customFormat="false" ht="15" hidden="false" customHeight="false" outlineLevel="0" collapsed="false">
      <c r="A177" s="53" t="n">
        <v>46471</v>
      </c>
      <c r="B177" s="54"/>
      <c r="C177" s="54"/>
      <c r="D177" s="54"/>
      <c r="E177" s="54"/>
      <c r="F177" s="54"/>
      <c r="G177" s="54"/>
      <c r="H177" s="54"/>
      <c r="I177" s="55"/>
      <c r="J177" s="55"/>
      <c r="K177" s="55"/>
      <c r="L177" s="56"/>
      <c r="M177" s="31" t="n">
        <f aca="false">B177+C177</f>
        <v>0</v>
      </c>
      <c r="N177" s="31" t="n">
        <f aca="false">X177+Y177</f>
        <v>0</v>
      </c>
      <c r="O177" s="32" t="n">
        <f aca="false">B177*P1_PVP+C177*P2_PVP</f>
        <v>0</v>
      </c>
      <c r="P177" s="32" t="str">
        <f aca="false">IF(M177&gt;0,O177/M177,"")</f>
        <v/>
      </c>
      <c r="Q177" s="32" t="str">
        <f aca="false">IF(M177&gt;0,K177/M177,"")</f>
        <v/>
      </c>
      <c r="R177" s="57" t="str">
        <f aca="false">IF(K177&gt;0,O177/K177,"")</f>
        <v/>
      </c>
      <c r="S177" s="34" t="str">
        <f aca="false">IF(D177+E177+F177+G177&gt;0,(D177+E177)/(D177+E177+F177+G177),"")</f>
        <v/>
      </c>
      <c r="T177" s="33" t="n">
        <f aca="false">D177*(P1_PVP-P1_CPROD)+E177*(P2_PVP-P2_CPROD)-IF(ISNUMBER(I177),I177,D177*P1_LOG+E177*P2_LOG)</f>
        <v>0</v>
      </c>
      <c r="U177" s="33" t="n">
        <f aca="false">T177-(D177*P1_IVAN+E177*P2_IVAN)-(F177+G177)*(COSTE_DEV-IVA_DEV)-AH177-AJ177</f>
        <v>0</v>
      </c>
      <c r="V177" s="33" t="n">
        <f aca="false">AC177-AD177-AE177-AF177-AG177-AH177-AJ177</f>
        <v>0</v>
      </c>
      <c r="X177" s="58" t="n">
        <f aca="false">MAX(0,B177-D177-F177)</f>
        <v>0</v>
      </c>
      <c r="Y177" s="58" t="n">
        <f aca="false">MAX(0,C177-E177-G177)</f>
        <v>0</v>
      </c>
      <c r="Z177" s="59" t="n">
        <f aca="false">D177+X177*TASA_USADA</f>
        <v>0</v>
      </c>
      <c r="AA177" s="59" t="n">
        <f aca="false">E177+Y177*TASA_USADA</f>
        <v>0</v>
      </c>
      <c r="AB177" s="59" t="n">
        <f aca="false">F177+G177+(X177+Y177)*(1-TASA_USADA)</f>
        <v>0</v>
      </c>
      <c r="AC177" s="60" t="n">
        <f aca="false">Z177*P1_PVP+AA177*P2_PVP</f>
        <v>0</v>
      </c>
      <c r="AD177" s="60" t="n">
        <f aca="false">Z177*P1_CPROD+AA177*P2_CPROD</f>
        <v>0</v>
      </c>
      <c r="AE177" s="60" t="n">
        <f aca="false">IF(ISNUMBER(I177),I177,D177*P1_LOG+E177*P2_LOG)+IF(ISNUMBER(J177),J177,X177*P1_LOG+Y177*P2_LOG)*TASA_USADA</f>
        <v>0</v>
      </c>
      <c r="AF177" s="60" t="n">
        <f aca="false">AB177*COSTE_DEV</f>
        <v>0</v>
      </c>
      <c r="AG177" s="60" t="n">
        <f aca="false">Z177*P1_IVAN+AA177*P2_IVAN-AB177*IVA_DEV</f>
        <v>0</v>
      </c>
      <c r="AH177" s="60" t="n">
        <f aca="false">K177*(1+RECARGO_ADS)</f>
        <v>0</v>
      </c>
      <c r="AI177" s="58" t="n">
        <f aca="false">IF(ISNUMBER(I177),D177+E177+X177+Y177,0)</f>
        <v>0</v>
      </c>
      <c r="AJ177" s="60" t="n">
        <f aca="false">M177*COMISION</f>
        <v>0</v>
      </c>
    </row>
    <row r="178" customFormat="false" ht="15" hidden="false" customHeight="false" outlineLevel="0" collapsed="false">
      <c r="A178" s="53" t="n">
        <v>46472</v>
      </c>
      <c r="B178" s="54"/>
      <c r="C178" s="54"/>
      <c r="D178" s="54"/>
      <c r="E178" s="54"/>
      <c r="F178" s="54"/>
      <c r="G178" s="54"/>
      <c r="H178" s="54"/>
      <c r="I178" s="55"/>
      <c r="J178" s="55"/>
      <c r="K178" s="55"/>
      <c r="L178" s="56"/>
      <c r="M178" s="31" t="n">
        <f aca="false">B178+C178</f>
        <v>0</v>
      </c>
      <c r="N178" s="31" t="n">
        <f aca="false">X178+Y178</f>
        <v>0</v>
      </c>
      <c r="O178" s="32" t="n">
        <f aca="false">B178*P1_PVP+C178*P2_PVP</f>
        <v>0</v>
      </c>
      <c r="P178" s="32" t="str">
        <f aca="false">IF(M178&gt;0,O178/M178,"")</f>
        <v/>
      </c>
      <c r="Q178" s="32" t="str">
        <f aca="false">IF(M178&gt;0,K178/M178,"")</f>
        <v/>
      </c>
      <c r="R178" s="57" t="str">
        <f aca="false">IF(K178&gt;0,O178/K178,"")</f>
        <v/>
      </c>
      <c r="S178" s="34" t="str">
        <f aca="false">IF(D178+E178+F178+G178&gt;0,(D178+E178)/(D178+E178+F178+G178),"")</f>
        <v/>
      </c>
      <c r="T178" s="33" t="n">
        <f aca="false">D178*(P1_PVP-P1_CPROD)+E178*(P2_PVP-P2_CPROD)-IF(ISNUMBER(I178),I178,D178*P1_LOG+E178*P2_LOG)</f>
        <v>0</v>
      </c>
      <c r="U178" s="33" t="n">
        <f aca="false">T178-(D178*P1_IVAN+E178*P2_IVAN)-(F178+G178)*(COSTE_DEV-IVA_DEV)-AH178-AJ178</f>
        <v>0</v>
      </c>
      <c r="V178" s="33" t="n">
        <f aca="false">AC178-AD178-AE178-AF178-AG178-AH178-AJ178</f>
        <v>0</v>
      </c>
      <c r="X178" s="58" t="n">
        <f aca="false">MAX(0,B178-D178-F178)</f>
        <v>0</v>
      </c>
      <c r="Y178" s="58" t="n">
        <f aca="false">MAX(0,C178-E178-G178)</f>
        <v>0</v>
      </c>
      <c r="Z178" s="59" t="n">
        <f aca="false">D178+X178*TASA_USADA</f>
        <v>0</v>
      </c>
      <c r="AA178" s="59" t="n">
        <f aca="false">E178+Y178*TASA_USADA</f>
        <v>0</v>
      </c>
      <c r="AB178" s="59" t="n">
        <f aca="false">F178+G178+(X178+Y178)*(1-TASA_USADA)</f>
        <v>0</v>
      </c>
      <c r="AC178" s="60" t="n">
        <f aca="false">Z178*P1_PVP+AA178*P2_PVP</f>
        <v>0</v>
      </c>
      <c r="AD178" s="60" t="n">
        <f aca="false">Z178*P1_CPROD+AA178*P2_CPROD</f>
        <v>0</v>
      </c>
      <c r="AE178" s="60" t="n">
        <f aca="false">IF(ISNUMBER(I178),I178,D178*P1_LOG+E178*P2_LOG)+IF(ISNUMBER(J178),J178,X178*P1_LOG+Y178*P2_LOG)*TASA_USADA</f>
        <v>0</v>
      </c>
      <c r="AF178" s="60" t="n">
        <f aca="false">AB178*COSTE_DEV</f>
        <v>0</v>
      </c>
      <c r="AG178" s="60" t="n">
        <f aca="false">Z178*P1_IVAN+AA178*P2_IVAN-AB178*IVA_DEV</f>
        <v>0</v>
      </c>
      <c r="AH178" s="60" t="n">
        <f aca="false">K178*(1+RECARGO_ADS)</f>
        <v>0</v>
      </c>
      <c r="AI178" s="58" t="n">
        <f aca="false">IF(ISNUMBER(I178),D178+E178+X178+Y178,0)</f>
        <v>0</v>
      </c>
      <c r="AJ178" s="60" t="n">
        <f aca="false">M178*COMISION</f>
        <v>0</v>
      </c>
    </row>
    <row r="179" customFormat="false" ht="15" hidden="false" customHeight="false" outlineLevel="0" collapsed="false">
      <c r="A179" s="53" t="n">
        <v>46473</v>
      </c>
      <c r="B179" s="54"/>
      <c r="C179" s="54"/>
      <c r="D179" s="54"/>
      <c r="E179" s="54"/>
      <c r="F179" s="54"/>
      <c r="G179" s="54"/>
      <c r="H179" s="54"/>
      <c r="I179" s="55"/>
      <c r="J179" s="55"/>
      <c r="K179" s="55"/>
      <c r="L179" s="56"/>
      <c r="M179" s="31" t="n">
        <f aca="false">B179+C179</f>
        <v>0</v>
      </c>
      <c r="N179" s="31" t="n">
        <f aca="false">X179+Y179</f>
        <v>0</v>
      </c>
      <c r="O179" s="32" t="n">
        <f aca="false">B179*P1_PVP+C179*P2_PVP</f>
        <v>0</v>
      </c>
      <c r="P179" s="32" t="str">
        <f aca="false">IF(M179&gt;0,O179/M179,"")</f>
        <v/>
      </c>
      <c r="Q179" s="32" t="str">
        <f aca="false">IF(M179&gt;0,K179/M179,"")</f>
        <v/>
      </c>
      <c r="R179" s="57" t="str">
        <f aca="false">IF(K179&gt;0,O179/K179,"")</f>
        <v/>
      </c>
      <c r="S179" s="34" t="str">
        <f aca="false">IF(D179+E179+F179+G179&gt;0,(D179+E179)/(D179+E179+F179+G179),"")</f>
        <v/>
      </c>
      <c r="T179" s="33" t="n">
        <f aca="false">D179*(P1_PVP-P1_CPROD)+E179*(P2_PVP-P2_CPROD)-IF(ISNUMBER(I179),I179,D179*P1_LOG+E179*P2_LOG)</f>
        <v>0</v>
      </c>
      <c r="U179" s="33" t="n">
        <f aca="false">T179-(D179*P1_IVAN+E179*P2_IVAN)-(F179+G179)*(COSTE_DEV-IVA_DEV)-AH179-AJ179</f>
        <v>0</v>
      </c>
      <c r="V179" s="33" t="n">
        <f aca="false">AC179-AD179-AE179-AF179-AG179-AH179-AJ179</f>
        <v>0</v>
      </c>
      <c r="X179" s="58" t="n">
        <f aca="false">MAX(0,B179-D179-F179)</f>
        <v>0</v>
      </c>
      <c r="Y179" s="58" t="n">
        <f aca="false">MAX(0,C179-E179-G179)</f>
        <v>0</v>
      </c>
      <c r="Z179" s="59" t="n">
        <f aca="false">D179+X179*TASA_USADA</f>
        <v>0</v>
      </c>
      <c r="AA179" s="59" t="n">
        <f aca="false">E179+Y179*TASA_USADA</f>
        <v>0</v>
      </c>
      <c r="AB179" s="59" t="n">
        <f aca="false">F179+G179+(X179+Y179)*(1-TASA_USADA)</f>
        <v>0</v>
      </c>
      <c r="AC179" s="60" t="n">
        <f aca="false">Z179*P1_PVP+AA179*P2_PVP</f>
        <v>0</v>
      </c>
      <c r="AD179" s="60" t="n">
        <f aca="false">Z179*P1_CPROD+AA179*P2_CPROD</f>
        <v>0</v>
      </c>
      <c r="AE179" s="60" t="n">
        <f aca="false">IF(ISNUMBER(I179),I179,D179*P1_LOG+E179*P2_LOG)+IF(ISNUMBER(J179),J179,X179*P1_LOG+Y179*P2_LOG)*TASA_USADA</f>
        <v>0</v>
      </c>
      <c r="AF179" s="60" t="n">
        <f aca="false">AB179*COSTE_DEV</f>
        <v>0</v>
      </c>
      <c r="AG179" s="60" t="n">
        <f aca="false">Z179*P1_IVAN+AA179*P2_IVAN-AB179*IVA_DEV</f>
        <v>0</v>
      </c>
      <c r="AH179" s="60" t="n">
        <f aca="false">K179*(1+RECARGO_ADS)</f>
        <v>0</v>
      </c>
      <c r="AI179" s="58" t="n">
        <f aca="false">IF(ISNUMBER(I179),D179+E179+X179+Y179,0)</f>
        <v>0</v>
      </c>
      <c r="AJ179" s="60" t="n">
        <f aca="false">M179*COMISION</f>
        <v>0</v>
      </c>
    </row>
    <row r="180" customFormat="false" ht="15" hidden="false" customHeight="false" outlineLevel="0" collapsed="false">
      <c r="A180" s="53" t="n">
        <v>46474</v>
      </c>
      <c r="B180" s="54"/>
      <c r="C180" s="54"/>
      <c r="D180" s="54"/>
      <c r="E180" s="54"/>
      <c r="F180" s="54"/>
      <c r="G180" s="54"/>
      <c r="H180" s="54"/>
      <c r="I180" s="55"/>
      <c r="J180" s="55"/>
      <c r="K180" s="55"/>
      <c r="L180" s="56"/>
      <c r="M180" s="31" t="n">
        <f aca="false">B180+C180</f>
        <v>0</v>
      </c>
      <c r="N180" s="31" t="n">
        <f aca="false">X180+Y180</f>
        <v>0</v>
      </c>
      <c r="O180" s="32" t="n">
        <f aca="false">B180*P1_PVP+C180*P2_PVP</f>
        <v>0</v>
      </c>
      <c r="P180" s="32" t="str">
        <f aca="false">IF(M180&gt;0,O180/M180,"")</f>
        <v/>
      </c>
      <c r="Q180" s="32" t="str">
        <f aca="false">IF(M180&gt;0,K180/M180,"")</f>
        <v/>
      </c>
      <c r="R180" s="57" t="str">
        <f aca="false">IF(K180&gt;0,O180/K180,"")</f>
        <v/>
      </c>
      <c r="S180" s="34" t="str">
        <f aca="false">IF(D180+E180+F180+G180&gt;0,(D180+E180)/(D180+E180+F180+G180),"")</f>
        <v/>
      </c>
      <c r="T180" s="33" t="n">
        <f aca="false">D180*(P1_PVP-P1_CPROD)+E180*(P2_PVP-P2_CPROD)-IF(ISNUMBER(I180),I180,D180*P1_LOG+E180*P2_LOG)</f>
        <v>0</v>
      </c>
      <c r="U180" s="33" t="n">
        <f aca="false">T180-(D180*P1_IVAN+E180*P2_IVAN)-(F180+G180)*(COSTE_DEV-IVA_DEV)-AH180-AJ180</f>
        <v>0</v>
      </c>
      <c r="V180" s="33" t="n">
        <f aca="false">AC180-AD180-AE180-AF180-AG180-AH180-AJ180</f>
        <v>0</v>
      </c>
      <c r="X180" s="58" t="n">
        <f aca="false">MAX(0,B180-D180-F180)</f>
        <v>0</v>
      </c>
      <c r="Y180" s="58" t="n">
        <f aca="false">MAX(0,C180-E180-G180)</f>
        <v>0</v>
      </c>
      <c r="Z180" s="59" t="n">
        <f aca="false">D180+X180*TASA_USADA</f>
        <v>0</v>
      </c>
      <c r="AA180" s="59" t="n">
        <f aca="false">E180+Y180*TASA_USADA</f>
        <v>0</v>
      </c>
      <c r="AB180" s="59" t="n">
        <f aca="false">F180+G180+(X180+Y180)*(1-TASA_USADA)</f>
        <v>0</v>
      </c>
      <c r="AC180" s="60" t="n">
        <f aca="false">Z180*P1_PVP+AA180*P2_PVP</f>
        <v>0</v>
      </c>
      <c r="AD180" s="60" t="n">
        <f aca="false">Z180*P1_CPROD+AA180*P2_CPROD</f>
        <v>0</v>
      </c>
      <c r="AE180" s="60" t="n">
        <f aca="false">IF(ISNUMBER(I180),I180,D180*P1_LOG+E180*P2_LOG)+IF(ISNUMBER(J180),J180,X180*P1_LOG+Y180*P2_LOG)*TASA_USADA</f>
        <v>0</v>
      </c>
      <c r="AF180" s="60" t="n">
        <f aca="false">AB180*COSTE_DEV</f>
        <v>0</v>
      </c>
      <c r="AG180" s="60" t="n">
        <f aca="false">Z180*P1_IVAN+AA180*P2_IVAN-AB180*IVA_DEV</f>
        <v>0</v>
      </c>
      <c r="AH180" s="60" t="n">
        <f aca="false">K180*(1+RECARGO_ADS)</f>
        <v>0</v>
      </c>
      <c r="AI180" s="58" t="n">
        <f aca="false">IF(ISNUMBER(I180),D180+E180+X180+Y180,0)</f>
        <v>0</v>
      </c>
      <c r="AJ180" s="60" t="n">
        <f aca="false">M180*COMISION</f>
        <v>0</v>
      </c>
    </row>
    <row r="181" customFormat="false" ht="15" hidden="false" customHeight="false" outlineLevel="0" collapsed="false">
      <c r="A181" s="53" t="n">
        <v>46475</v>
      </c>
      <c r="B181" s="54"/>
      <c r="C181" s="54"/>
      <c r="D181" s="54"/>
      <c r="E181" s="54"/>
      <c r="F181" s="54"/>
      <c r="G181" s="54"/>
      <c r="H181" s="54"/>
      <c r="I181" s="55"/>
      <c r="J181" s="55"/>
      <c r="K181" s="55"/>
      <c r="L181" s="56"/>
      <c r="M181" s="31" t="n">
        <f aca="false">B181+C181</f>
        <v>0</v>
      </c>
      <c r="N181" s="31" t="n">
        <f aca="false">X181+Y181</f>
        <v>0</v>
      </c>
      <c r="O181" s="32" t="n">
        <f aca="false">B181*P1_PVP+C181*P2_PVP</f>
        <v>0</v>
      </c>
      <c r="P181" s="32" t="str">
        <f aca="false">IF(M181&gt;0,O181/M181,"")</f>
        <v/>
      </c>
      <c r="Q181" s="32" t="str">
        <f aca="false">IF(M181&gt;0,K181/M181,"")</f>
        <v/>
      </c>
      <c r="R181" s="57" t="str">
        <f aca="false">IF(K181&gt;0,O181/K181,"")</f>
        <v/>
      </c>
      <c r="S181" s="34" t="str">
        <f aca="false">IF(D181+E181+F181+G181&gt;0,(D181+E181)/(D181+E181+F181+G181),"")</f>
        <v/>
      </c>
      <c r="T181" s="33" t="n">
        <f aca="false">D181*(P1_PVP-P1_CPROD)+E181*(P2_PVP-P2_CPROD)-IF(ISNUMBER(I181),I181,D181*P1_LOG+E181*P2_LOG)</f>
        <v>0</v>
      </c>
      <c r="U181" s="33" t="n">
        <f aca="false">T181-(D181*P1_IVAN+E181*P2_IVAN)-(F181+G181)*(COSTE_DEV-IVA_DEV)-AH181-AJ181</f>
        <v>0</v>
      </c>
      <c r="V181" s="33" t="n">
        <f aca="false">AC181-AD181-AE181-AF181-AG181-AH181-AJ181</f>
        <v>0</v>
      </c>
      <c r="X181" s="58" t="n">
        <f aca="false">MAX(0,B181-D181-F181)</f>
        <v>0</v>
      </c>
      <c r="Y181" s="58" t="n">
        <f aca="false">MAX(0,C181-E181-G181)</f>
        <v>0</v>
      </c>
      <c r="Z181" s="59" t="n">
        <f aca="false">D181+X181*TASA_USADA</f>
        <v>0</v>
      </c>
      <c r="AA181" s="59" t="n">
        <f aca="false">E181+Y181*TASA_USADA</f>
        <v>0</v>
      </c>
      <c r="AB181" s="59" t="n">
        <f aca="false">F181+G181+(X181+Y181)*(1-TASA_USADA)</f>
        <v>0</v>
      </c>
      <c r="AC181" s="60" t="n">
        <f aca="false">Z181*P1_PVP+AA181*P2_PVP</f>
        <v>0</v>
      </c>
      <c r="AD181" s="60" t="n">
        <f aca="false">Z181*P1_CPROD+AA181*P2_CPROD</f>
        <v>0</v>
      </c>
      <c r="AE181" s="60" t="n">
        <f aca="false">IF(ISNUMBER(I181),I181,D181*P1_LOG+E181*P2_LOG)+IF(ISNUMBER(J181),J181,X181*P1_LOG+Y181*P2_LOG)*TASA_USADA</f>
        <v>0</v>
      </c>
      <c r="AF181" s="60" t="n">
        <f aca="false">AB181*COSTE_DEV</f>
        <v>0</v>
      </c>
      <c r="AG181" s="60" t="n">
        <f aca="false">Z181*P1_IVAN+AA181*P2_IVAN-AB181*IVA_DEV</f>
        <v>0</v>
      </c>
      <c r="AH181" s="60" t="n">
        <f aca="false">K181*(1+RECARGO_ADS)</f>
        <v>0</v>
      </c>
      <c r="AI181" s="58" t="n">
        <f aca="false">IF(ISNUMBER(I181),D181+E181+X181+Y181,0)</f>
        <v>0</v>
      </c>
      <c r="AJ181" s="60" t="n">
        <f aca="false">M181*COMISION</f>
        <v>0</v>
      </c>
    </row>
    <row r="182" customFormat="false" ht="15" hidden="false" customHeight="false" outlineLevel="0" collapsed="false">
      <c r="A182" s="53" t="n">
        <v>46476</v>
      </c>
      <c r="B182" s="54"/>
      <c r="C182" s="54"/>
      <c r="D182" s="54"/>
      <c r="E182" s="54"/>
      <c r="F182" s="54"/>
      <c r="G182" s="54"/>
      <c r="H182" s="54"/>
      <c r="I182" s="55"/>
      <c r="J182" s="55"/>
      <c r="K182" s="55"/>
      <c r="L182" s="56"/>
      <c r="M182" s="31" t="n">
        <f aca="false">B182+C182</f>
        <v>0</v>
      </c>
      <c r="N182" s="31" t="n">
        <f aca="false">X182+Y182</f>
        <v>0</v>
      </c>
      <c r="O182" s="32" t="n">
        <f aca="false">B182*P1_PVP+C182*P2_PVP</f>
        <v>0</v>
      </c>
      <c r="P182" s="32" t="str">
        <f aca="false">IF(M182&gt;0,O182/M182,"")</f>
        <v/>
      </c>
      <c r="Q182" s="32" t="str">
        <f aca="false">IF(M182&gt;0,K182/M182,"")</f>
        <v/>
      </c>
      <c r="R182" s="57" t="str">
        <f aca="false">IF(K182&gt;0,O182/K182,"")</f>
        <v/>
      </c>
      <c r="S182" s="34" t="str">
        <f aca="false">IF(D182+E182+F182+G182&gt;0,(D182+E182)/(D182+E182+F182+G182),"")</f>
        <v/>
      </c>
      <c r="T182" s="33" t="n">
        <f aca="false">D182*(P1_PVP-P1_CPROD)+E182*(P2_PVP-P2_CPROD)-IF(ISNUMBER(I182),I182,D182*P1_LOG+E182*P2_LOG)</f>
        <v>0</v>
      </c>
      <c r="U182" s="33" t="n">
        <f aca="false">T182-(D182*P1_IVAN+E182*P2_IVAN)-(F182+G182)*(COSTE_DEV-IVA_DEV)-AH182-AJ182</f>
        <v>0</v>
      </c>
      <c r="V182" s="33" t="n">
        <f aca="false">AC182-AD182-AE182-AF182-AG182-AH182-AJ182</f>
        <v>0</v>
      </c>
      <c r="X182" s="58" t="n">
        <f aca="false">MAX(0,B182-D182-F182)</f>
        <v>0</v>
      </c>
      <c r="Y182" s="58" t="n">
        <f aca="false">MAX(0,C182-E182-G182)</f>
        <v>0</v>
      </c>
      <c r="Z182" s="59" t="n">
        <f aca="false">D182+X182*TASA_USADA</f>
        <v>0</v>
      </c>
      <c r="AA182" s="59" t="n">
        <f aca="false">E182+Y182*TASA_USADA</f>
        <v>0</v>
      </c>
      <c r="AB182" s="59" t="n">
        <f aca="false">F182+G182+(X182+Y182)*(1-TASA_USADA)</f>
        <v>0</v>
      </c>
      <c r="AC182" s="60" t="n">
        <f aca="false">Z182*P1_PVP+AA182*P2_PVP</f>
        <v>0</v>
      </c>
      <c r="AD182" s="60" t="n">
        <f aca="false">Z182*P1_CPROD+AA182*P2_CPROD</f>
        <v>0</v>
      </c>
      <c r="AE182" s="60" t="n">
        <f aca="false">IF(ISNUMBER(I182),I182,D182*P1_LOG+E182*P2_LOG)+IF(ISNUMBER(J182),J182,X182*P1_LOG+Y182*P2_LOG)*TASA_USADA</f>
        <v>0</v>
      </c>
      <c r="AF182" s="60" t="n">
        <f aca="false">AB182*COSTE_DEV</f>
        <v>0</v>
      </c>
      <c r="AG182" s="60" t="n">
        <f aca="false">Z182*P1_IVAN+AA182*P2_IVAN-AB182*IVA_DEV</f>
        <v>0</v>
      </c>
      <c r="AH182" s="60" t="n">
        <f aca="false">K182*(1+RECARGO_ADS)</f>
        <v>0</v>
      </c>
      <c r="AI182" s="58" t="n">
        <f aca="false">IF(ISNUMBER(I182),D182+E182+X182+Y182,0)</f>
        <v>0</v>
      </c>
      <c r="AJ182" s="60" t="n">
        <f aca="false">M182*COMISION</f>
        <v>0</v>
      </c>
    </row>
    <row r="183" customFormat="false" ht="15" hidden="false" customHeight="false" outlineLevel="0" collapsed="false">
      <c r="A183" s="53" t="n">
        <v>46477</v>
      </c>
      <c r="B183" s="54"/>
      <c r="C183" s="54"/>
      <c r="D183" s="54"/>
      <c r="E183" s="54"/>
      <c r="F183" s="54"/>
      <c r="G183" s="54"/>
      <c r="H183" s="54"/>
      <c r="I183" s="55"/>
      <c r="J183" s="55"/>
      <c r="K183" s="55"/>
      <c r="L183" s="56"/>
      <c r="M183" s="31" t="n">
        <f aca="false">B183+C183</f>
        <v>0</v>
      </c>
      <c r="N183" s="31" t="n">
        <f aca="false">X183+Y183</f>
        <v>0</v>
      </c>
      <c r="O183" s="32" t="n">
        <f aca="false">B183*P1_PVP+C183*P2_PVP</f>
        <v>0</v>
      </c>
      <c r="P183" s="32" t="str">
        <f aca="false">IF(M183&gt;0,O183/M183,"")</f>
        <v/>
      </c>
      <c r="Q183" s="32" t="str">
        <f aca="false">IF(M183&gt;0,K183/M183,"")</f>
        <v/>
      </c>
      <c r="R183" s="57" t="str">
        <f aca="false">IF(K183&gt;0,O183/K183,"")</f>
        <v/>
      </c>
      <c r="S183" s="34" t="str">
        <f aca="false">IF(D183+E183+F183+G183&gt;0,(D183+E183)/(D183+E183+F183+G183),"")</f>
        <v/>
      </c>
      <c r="T183" s="33" t="n">
        <f aca="false">D183*(P1_PVP-P1_CPROD)+E183*(P2_PVP-P2_CPROD)-IF(ISNUMBER(I183),I183,D183*P1_LOG+E183*P2_LOG)</f>
        <v>0</v>
      </c>
      <c r="U183" s="33" t="n">
        <f aca="false">T183-(D183*P1_IVAN+E183*P2_IVAN)-(F183+G183)*(COSTE_DEV-IVA_DEV)-AH183-AJ183</f>
        <v>0</v>
      </c>
      <c r="V183" s="33" t="n">
        <f aca="false">AC183-AD183-AE183-AF183-AG183-AH183-AJ183</f>
        <v>0</v>
      </c>
      <c r="X183" s="58" t="n">
        <f aca="false">MAX(0,B183-D183-F183)</f>
        <v>0</v>
      </c>
      <c r="Y183" s="58" t="n">
        <f aca="false">MAX(0,C183-E183-G183)</f>
        <v>0</v>
      </c>
      <c r="Z183" s="59" t="n">
        <f aca="false">D183+X183*TASA_USADA</f>
        <v>0</v>
      </c>
      <c r="AA183" s="59" t="n">
        <f aca="false">E183+Y183*TASA_USADA</f>
        <v>0</v>
      </c>
      <c r="AB183" s="59" t="n">
        <f aca="false">F183+G183+(X183+Y183)*(1-TASA_USADA)</f>
        <v>0</v>
      </c>
      <c r="AC183" s="60" t="n">
        <f aca="false">Z183*P1_PVP+AA183*P2_PVP</f>
        <v>0</v>
      </c>
      <c r="AD183" s="60" t="n">
        <f aca="false">Z183*P1_CPROD+AA183*P2_CPROD</f>
        <v>0</v>
      </c>
      <c r="AE183" s="60" t="n">
        <f aca="false">IF(ISNUMBER(I183),I183,D183*P1_LOG+E183*P2_LOG)+IF(ISNUMBER(J183),J183,X183*P1_LOG+Y183*P2_LOG)*TASA_USADA</f>
        <v>0</v>
      </c>
      <c r="AF183" s="60" t="n">
        <f aca="false">AB183*COSTE_DEV</f>
        <v>0</v>
      </c>
      <c r="AG183" s="60" t="n">
        <f aca="false">Z183*P1_IVAN+AA183*P2_IVAN-AB183*IVA_DEV</f>
        <v>0</v>
      </c>
      <c r="AH183" s="60" t="n">
        <f aca="false">K183*(1+RECARGO_ADS)</f>
        <v>0</v>
      </c>
      <c r="AI183" s="58" t="n">
        <f aca="false">IF(ISNUMBER(I183),D183+E183+X183+Y183,0)</f>
        <v>0</v>
      </c>
      <c r="AJ183" s="60" t="n">
        <f aca="false">M183*COMISION</f>
        <v>0</v>
      </c>
    </row>
    <row r="184" customFormat="false" ht="15" hidden="false" customHeight="false" outlineLevel="0" collapsed="false">
      <c r="A184" s="53" t="n">
        <v>46478</v>
      </c>
      <c r="B184" s="54"/>
      <c r="C184" s="54"/>
      <c r="D184" s="54"/>
      <c r="E184" s="54"/>
      <c r="F184" s="54"/>
      <c r="G184" s="54"/>
      <c r="H184" s="54"/>
      <c r="I184" s="55"/>
      <c r="J184" s="55"/>
      <c r="K184" s="55"/>
      <c r="L184" s="56"/>
      <c r="M184" s="31" t="n">
        <f aca="false">B184+C184</f>
        <v>0</v>
      </c>
      <c r="N184" s="31" t="n">
        <f aca="false">X184+Y184</f>
        <v>0</v>
      </c>
      <c r="O184" s="32" t="n">
        <f aca="false">B184*P1_PVP+C184*P2_PVP</f>
        <v>0</v>
      </c>
      <c r="P184" s="32" t="str">
        <f aca="false">IF(M184&gt;0,O184/M184,"")</f>
        <v/>
      </c>
      <c r="Q184" s="32" t="str">
        <f aca="false">IF(M184&gt;0,K184/M184,"")</f>
        <v/>
      </c>
      <c r="R184" s="57" t="str">
        <f aca="false">IF(K184&gt;0,O184/K184,"")</f>
        <v/>
      </c>
      <c r="S184" s="34" t="str">
        <f aca="false">IF(D184+E184+F184+G184&gt;0,(D184+E184)/(D184+E184+F184+G184),"")</f>
        <v/>
      </c>
      <c r="T184" s="33" t="n">
        <f aca="false">D184*(P1_PVP-P1_CPROD)+E184*(P2_PVP-P2_CPROD)-IF(ISNUMBER(I184),I184,D184*P1_LOG+E184*P2_LOG)</f>
        <v>0</v>
      </c>
      <c r="U184" s="33" t="n">
        <f aca="false">T184-(D184*P1_IVAN+E184*P2_IVAN)-(F184+G184)*(COSTE_DEV-IVA_DEV)-AH184-AJ184</f>
        <v>0</v>
      </c>
      <c r="V184" s="33" t="n">
        <f aca="false">AC184-AD184-AE184-AF184-AG184-AH184-AJ184</f>
        <v>0</v>
      </c>
      <c r="X184" s="58" t="n">
        <f aca="false">MAX(0,B184-D184-F184)</f>
        <v>0</v>
      </c>
      <c r="Y184" s="58" t="n">
        <f aca="false">MAX(0,C184-E184-G184)</f>
        <v>0</v>
      </c>
      <c r="Z184" s="59" t="n">
        <f aca="false">D184+X184*TASA_USADA</f>
        <v>0</v>
      </c>
      <c r="AA184" s="59" t="n">
        <f aca="false">E184+Y184*TASA_USADA</f>
        <v>0</v>
      </c>
      <c r="AB184" s="59" t="n">
        <f aca="false">F184+G184+(X184+Y184)*(1-TASA_USADA)</f>
        <v>0</v>
      </c>
      <c r="AC184" s="60" t="n">
        <f aca="false">Z184*P1_PVP+AA184*P2_PVP</f>
        <v>0</v>
      </c>
      <c r="AD184" s="60" t="n">
        <f aca="false">Z184*P1_CPROD+AA184*P2_CPROD</f>
        <v>0</v>
      </c>
      <c r="AE184" s="60" t="n">
        <f aca="false">IF(ISNUMBER(I184),I184,D184*P1_LOG+E184*P2_LOG)+IF(ISNUMBER(J184),J184,X184*P1_LOG+Y184*P2_LOG)*TASA_USADA</f>
        <v>0</v>
      </c>
      <c r="AF184" s="60" t="n">
        <f aca="false">AB184*COSTE_DEV</f>
        <v>0</v>
      </c>
      <c r="AG184" s="60" t="n">
        <f aca="false">Z184*P1_IVAN+AA184*P2_IVAN-AB184*IVA_DEV</f>
        <v>0</v>
      </c>
      <c r="AH184" s="60" t="n">
        <f aca="false">K184*(1+RECARGO_ADS)</f>
        <v>0</v>
      </c>
      <c r="AI184" s="58" t="n">
        <f aca="false">IF(ISNUMBER(I184),D184+E184+X184+Y184,0)</f>
        <v>0</v>
      </c>
      <c r="AJ184" s="60" t="n">
        <f aca="false">M184*COMISION</f>
        <v>0</v>
      </c>
    </row>
    <row r="185" customFormat="false" ht="15" hidden="false" customHeight="false" outlineLevel="0" collapsed="false">
      <c r="A185" s="53" t="n">
        <v>46479</v>
      </c>
      <c r="B185" s="54"/>
      <c r="C185" s="54"/>
      <c r="D185" s="54"/>
      <c r="E185" s="54"/>
      <c r="F185" s="54"/>
      <c r="G185" s="54"/>
      <c r="H185" s="54"/>
      <c r="I185" s="55"/>
      <c r="J185" s="55"/>
      <c r="K185" s="55"/>
      <c r="L185" s="56"/>
      <c r="M185" s="31" t="n">
        <f aca="false">B185+C185</f>
        <v>0</v>
      </c>
      <c r="N185" s="31" t="n">
        <f aca="false">X185+Y185</f>
        <v>0</v>
      </c>
      <c r="O185" s="32" t="n">
        <f aca="false">B185*P1_PVP+C185*P2_PVP</f>
        <v>0</v>
      </c>
      <c r="P185" s="32" t="str">
        <f aca="false">IF(M185&gt;0,O185/M185,"")</f>
        <v/>
      </c>
      <c r="Q185" s="32" t="str">
        <f aca="false">IF(M185&gt;0,K185/M185,"")</f>
        <v/>
      </c>
      <c r="R185" s="57" t="str">
        <f aca="false">IF(K185&gt;0,O185/K185,"")</f>
        <v/>
      </c>
      <c r="S185" s="34" t="str">
        <f aca="false">IF(D185+E185+F185+G185&gt;0,(D185+E185)/(D185+E185+F185+G185),"")</f>
        <v/>
      </c>
      <c r="T185" s="33" t="n">
        <f aca="false">D185*(P1_PVP-P1_CPROD)+E185*(P2_PVP-P2_CPROD)-IF(ISNUMBER(I185),I185,D185*P1_LOG+E185*P2_LOG)</f>
        <v>0</v>
      </c>
      <c r="U185" s="33" t="n">
        <f aca="false">T185-(D185*P1_IVAN+E185*P2_IVAN)-(F185+G185)*(COSTE_DEV-IVA_DEV)-AH185-AJ185</f>
        <v>0</v>
      </c>
      <c r="V185" s="33" t="n">
        <f aca="false">AC185-AD185-AE185-AF185-AG185-AH185-AJ185</f>
        <v>0</v>
      </c>
      <c r="X185" s="58" t="n">
        <f aca="false">MAX(0,B185-D185-F185)</f>
        <v>0</v>
      </c>
      <c r="Y185" s="58" t="n">
        <f aca="false">MAX(0,C185-E185-G185)</f>
        <v>0</v>
      </c>
      <c r="Z185" s="59" t="n">
        <f aca="false">D185+X185*TASA_USADA</f>
        <v>0</v>
      </c>
      <c r="AA185" s="59" t="n">
        <f aca="false">E185+Y185*TASA_USADA</f>
        <v>0</v>
      </c>
      <c r="AB185" s="59" t="n">
        <f aca="false">F185+G185+(X185+Y185)*(1-TASA_USADA)</f>
        <v>0</v>
      </c>
      <c r="AC185" s="60" t="n">
        <f aca="false">Z185*P1_PVP+AA185*P2_PVP</f>
        <v>0</v>
      </c>
      <c r="AD185" s="60" t="n">
        <f aca="false">Z185*P1_CPROD+AA185*P2_CPROD</f>
        <v>0</v>
      </c>
      <c r="AE185" s="60" t="n">
        <f aca="false">IF(ISNUMBER(I185),I185,D185*P1_LOG+E185*P2_LOG)+IF(ISNUMBER(J185),J185,X185*P1_LOG+Y185*P2_LOG)*TASA_USADA</f>
        <v>0</v>
      </c>
      <c r="AF185" s="60" t="n">
        <f aca="false">AB185*COSTE_DEV</f>
        <v>0</v>
      </c>
      <c r="AG185" s="60" t="n">
        <f aca="false">Z185*P1_IVAN+AA185*P2_IVAN-AB185*IVA_DEV</f>
        <v>0</v>
      </c>
      <c r="AH185" s="60" t="n">
        <f aca="false">K185*(1+RECARGO_ADS)</f>
        <v>0</v>
      </c>
      <c r="AI185" s="58" t="n">
        <f aca="false">IF(ISNUMBER(I185),D185+E185+X185+Y185,0)</f>
        <v>0</v>
      </c>
      <c r="AJ185" s="60" t="n">
        <f aca="false">M185*COMISION</f>
        <v>0</v>
      </c>
    </row>
    <row r="186" customFormat="false" ht="15" hidden="false" customHeight="false" outlineLevel="0" collapsed="false">
      <c r="A186" s="53" t="n">
        <v>46480</v>
      </c>
      <c r="B186" s="54"/>
      <c r="C186" s="54"/>
      <c r="D186" s="54"/>
      <c r="E186" s="54"/>
      <c r="F186" s="54"/>
      <c r="G186" s="54"/>
      <c r="H186" s="54"/>
      <c r="I186" s="55"/>
      <c r="J186" s="55"/>
      <c r="K186" s="55"/>
      <c r="L186" s="56"/>
      <c r="M186" s="31" t="n">
        <f aca="false">B186+C186</f>
        <v>0</v>
      </c>
      <c r="N186" s="31" t="n">
        <f aca="false">X186+Y186</f>
        <v>0</v>
      </c>
      <c r="O186" s="32" t="n">
        <f aca="false">B186*P1_PVP+C186*P2_PVP</f>
        <v>0</v>
      </c>
      <c r="P186" s="32" t="str">
        <f aca="false">IF(M186&gt;0,O186/M186,"")</f>
        <v/>
      </c>
      <c r="Q186" s="32" t="str">
        <f aca="false">IF(M186&gt;0,K186/M186,"")</f>
        <v/>
      </c>
      <c r="R186" s="57" t="str">
        <f aca="false">IF(K186&gt;0,O186/K186,"")</f>
        <v/>
      </c>
      <c r="S186" s="34" t="str">
        <f aca="false">IF(D186+E186+F186+G186&gt;0,(D186+E186)/(D186+E186+F186+G186),"")</f>
        <v/>
      </c>
      <c r="T186" s="33" t="n">
        <f aca="false">D186*(P1_PVP-P1_CPROD)+E186*(P2_PVP-P2_CPROD)-IF(ISNUMBER(I186),I186,D186*P1_LOG+E186*P2_LOG)</f>
        <v>0</v>
      </c>
      <c r="U186" s="33" t="n">
        <f aca="false">T186-(D186*P1_IVAN+E186*P2_IVAN)-(F186+G186)*(COSTE_DEV-IVA_DEV)-AH186-AJ186</f>
        <v>0</v>
      </c>
      <c r="V186" s="33" t="n">
        <f aca="false">AC186-AD186-AE186-AF186-AG186-AH186-AJ186</f>
        <v>0</v>
      </c>
      <c r="X186" s="58" t="n">
        <f aca="false">MAX(0,B186-D186-F186)</f>
        <v>0</v>
      </c>
      <c r="Y186" s="58" t="n">
        <f aca="false">MAX(0,C186-E186-G186)</f>
        <v>0</v>
      </c>
      <c r="Z186" s="59" t="n">
        <f aca="false">D186+X186*TASA_USADA</f>
        <v>0</v>
      </c>
      <c r="AA186" s="59" t="n">
        <f aca="false">E186+Y186*TASA_USADA</f>
        <v>0</v>
      </c>
      <c r="AB186" s="59" t="n">
        <f aca="false">F186+G186+(X186+Y186)*(1-TASA_USADA)</f>
        <v>0</v>
      </c>
      <c r="AC186" s="60" t="n">
        <f aca="false">Z186*P1_PVP+AA186*P2_PVP</f>
        <v>0</v>
      </c>
      <c r="AD186" s="60" t="n">
        <f aca="false">Z186*P1_CPROD+AA186*P2_CPROD</f>
        <v>0</v>
      </c>
      <c r="AE186" s="60" t="n">
        <f aca="false">IF(ISNUMBER(I186),I186,D186*P1_LOG+E186*P2_LOG)+IF(ISNUMBER(J186),J186,X186*P1_LOG+Y186*P2_LOG)*TASA_USADA</f>
        <v>0</v>
      </c>
      <c r="AF186" s="60" t="n">
        <f aca="false">AB186*COSTE_DEV</f>
        <v>0</v>
      </c>
      <c r="AG186" s="60" t="n">
        <f aca="false">Z186*P1_IVAN+AA186*P2_IVAN-AB186*IVA_DEV</f>
        <v>0</v>
      </c>
      <c r="AH186" s="60" t="n">
        <f aca="false">K186*(1+RECARGO_ADS)</f>
        <v>0</v>
      </c>
      <c r="AI186" s="58" t="n">
        <f aca="false">IF(ISNUMBER(I186),D186+E186+X186+Y186,0)</f>
        <v>0</v>
      </c>
      <c r="AJ186" s="60" t="n">
        <f aca="false">M186*COMISION</f>
        <v>0</v>
      </c>
    </row>
    <row r="187" customFormat="false" ht="15" hidden="false" customHeight="false" outlineLevel="0" collapsed="false">
      <c r="A187" s="53" t="n">
        <v>46481</v>
      </c>
      <c r="B187" s="54"/>
      <c r="C187" s="54"/>
      <c r="D187" s="54"/>
      <c r="E187" s="54"/>
      <c r="F187" s="54"/>
      <c r="G187" s="54"/>
      <c r="H187" s="54"/>
      <c r="I187" s="55"/>
      <c r="J187" s="55"/>
      <c r="K187" s="55"/>
      <c r="L187" s="56"/>
      <c r="M187" s="31" t="n">
        <f aca="false">B187+C187</f>
        <v>0</v>
      </c>
      <c r="N187" s="31" t="n">
        <f aca="false">X187+Y187</f>
        <v>0</v>
      </c>
      <c r="O187" s="32" t="n">
        <f aca="false">B187*P1_PVP+C187*P2_PVP</f>
        <v>0</v>
      </c>
      <c r="P187" s="32" t="str">
        <f aca="false">IF(M187&gt;0,O187/M187,"")</f>
        <v/>
      </c>
      <c r="Q187" s="32" t="str">
        <f aca="false">IF(M187&gt;0,K187/M187,"")</f>
        <v/>
      </c>
      <c r="R187" s="57" t="str">
        <f aca="false">IF(K187&gt;0,O187/K187,"")</f>
        <v/>
      </c>
      <c r="S187" s="34" t="str">
        <f aca="false">IF(D187+E187+F187+G187&gt;0,(D187+E187)/(D187+E187+F187+G187),"")</f>
        <v/>
      </c>
      <c r="T187" s="33" t="n">
        <f aca="false">D187*(P1_PVP-P1_CPROD)+E187*(P2_PVP-P2_CPROD)-IF(ISNUMBER(I187),I187,D187*P1_LOG+E187*P2_LOG)</f>
        <v>0</v>
      </c>
      <c r="U187" s="33" t="n">
        <f aca="false">T187-(D187*P1_IVAN+E187*P2_IVAN)-(F187+G187)*(COSTE_DEV-IVA_DEV)-AH187-AJ187</f>
        <v>0</v>
      </c>
      <c r="V187" s="33" t="n">
        <f aca="false">AC187-AD187-AE187-AF187-AG187-AH187-AJ187</f>
        <v>0</v>
      </c>
      <c r="X187" s="58" t="n">
        <f aca="false">MAX(0,B187-D187-F187)</f>
        <v>0</v>
      </c>
      <c r="Y187" s="58" t="n">
        <f aca="false">MAX(0,C187-E187-G187)</f>
        <v>0</v>
      </c>
      <c r="Z187" s="59" t="n">
        <f aca="false">D187+X187*TASA_USADA</f>
        <v>0</v>
      </c>
      <c r="AA187" s="59" t="n">
        <f aca="false">E187+Y187*TASA_USADA</f>
        <v>0</v>
      </c>
      <c r="AB187" s="59" t="n">
        <f aca="false">F187+G187+(X187+Y187)*(1-TASA_USADA)</f>
        <v>0</v>
      </c>
      <c r="AC187" s="60" t="n">
        <f aca="false">Z187*P1_PVP+AA187*P2_PVP</f>
        <v>0</v>
      </c>
      <c r="AD187" s="60" t="n">
        <f aca="false">Z187*P1_CPROD+AA187*P2_CPROD</f>
        <v>0</v>
      </c>
      <c r="AE187" s="60" t="n">
        <f aca="false">IF(ISNUMBER(I187),I187,D187*P1_LOG+E187*P2_LOG)+IF(ISNUMBER(J187),J187,X187*P1_LOG+Y187*P2_LOG)*TASA_USADA</f>
        <v>0</v>
      </c>
      <c r="AF187" s="60" t="n">
        <f aca="false">AB187*COSTE_DEV</f>
        <v>0</v>
      </c>
      <c r="AG187" s="60" t="n">
        <f aca="false">Z187*P1_IVAN+AA187*P2_IVAN-AB187*IVA_DEV</f>
        <v>0</v>
      </c>
      <c r="AH187" s="60" t="n">
        <f aca="false">K187*(1+RECARGO_ADS)</f>
        <v>0</v>
      </c>
      <c r="AI187" s="58" t="n">
        <f aca="false">IF(ISNUMBER(I187),D187+E187+X187+Y187,0)</f>
        <v>0</v>
      </c>
      <c r="AJ187" s="60" t="n">
        <f aca="false">M187*COMISION</f>
        <v>0</v>
      </c>
    </row>
    <row r="188" customFormat="false" ht="15" hidden="false" customHeight="false" outlineLevel="0" collapsed="false">
      <c r="A188" s="53" t="n">
        <v>46482</v>
      </c>
      <c r="B188" s="54"/>
      <c r="C188" s="54"/>
      <c r="D188" s="54"/>
      <c r="E188" s="54"/>
      <c r="F188" s="54"/>
      <c r="G188" s="54"/>
      <c r="H188" s="54"/>
      <c r="I188" s="55"/>
      <c r="J188" s="55"/>
      <c r="K188" s="55"/>
      <c r="L188" s="56"/>
      <c r="M188" s="31" t="n">
        <f aca="false">B188+C188</f>
        <v>0</v>
      </c>
      <c r="N188" s="31" t="n">
        <f aca="false">X188+Y188</f>
        <v>0</v>
      </c>
      <c r="O188" s="32" t="n">
        <f aca="false">B188*P1_PVP+C188*P2_PVP</f>
        <v>0</v>
      </c>
      <c r="P188" s="32" t="str">
        <f aca="false">IF(M188&gt;0,O188/M188,"")</f>
        <v/>
      </c>
      <c r="Q188" s="32" t="str">
        <f aca="false">IF(M188&gt;0,K188/M188,"")</f>
        <v/>
      </c>
      <c r="R188" s="57" t="str">
        <f aca="false">IF(K188&gt;0,O188/K188,"")</f>
        <v/>
      </c>
      <c r="S188" s="34" t="str">
        <f aca="false">IF(D188+E188+F188+G188&gt;0,(D188+E188)/(D188+E188+F188+G188),"")</f>
        <v/>
      </c>
      <c r="T188" s="33" t="n">
        <f aca="false">D188*(P1_PVP-P1_CPROD)+E188*(P2_PVP-P2_CPROD)-IF(ISNUMBER(I188),I188,D188*P1_LOG+E188*P2_LOG)</f>
        <v>0</v>
      </c>
      <c r="U188" s="33" t="n">
        <f aca="false">T188-(D188*P1_IVAN+E188*P2_IVAN)-(F188+G188)*(COSTE_DEV-IVA_DEV)-AH188-AJ188</f>
        <v>0</v>
      </c>
      <c r="V188" s="33" t="n">
        <f aca="false">AC188-AD188-AE188-AF188-AG188-AH188-AJ188</f>
        <v>0</v>
      </c>
      <c r="X188" s="58" t="n">
        <f aca="false">MAX(0,B188-D188-F188)</f>
        <v>0</v>
      </c>
      <c r="Y188" s="58" t="n">
        <f aca="false">MAX(0,C188-E188-G188)</f>
        <v>0</v>
      </c>
      <c r="Z188" s="59" t="n">
        <f aca="false">D188+X188*TASA_USADA</f>
        <v>0</v>
      </c>
      <c r="AA188" s="59" t="n">
        <f aca="false">E188+Y188*TASA_USADA</f>
        <v>0</v>
      </c>
      <c r="AB188" s="59" t="n">
        <f aca="false">F188+G188+(X188+Y188)*(1-TASA_USADA)</f>
        <v>0</v>
      </c>
      <c r="AC188" s="60" t="n">
        <f aca="false">Z188*P1_PVP+AA188*P2_PVP</f>
        <v>0</v>
      </c>
      <c r="AD188" s="60" t="n">
        <f aca="false">Z188*P1_CPROD+AA188*P2_CPROD</f>
        <v>0</v>
      </c>
      <c r="AE188" s="60" t="n">
        <f aca="false">IF(ISNUMBER(I188),I188,D188*P1_LOG+E188*P2_LOG)+IF(ISNUMBER(J188),J188,X188*P1_LOG+Y188*P2_LOG)*TASA_USADA</f>
        <v>0</v>
      </c>
      <c r="AF188" s="60" t="n">
        <f aca="false">AB188*COSTE_DEV</f>
        <v>0</v>
      </c>
      <c r="AG188" s="60" t="n">
        <f aca="false">Z188*P1_IVAN+AA188*P2_IVAN-AB188*IVA_DEV</f>
        <v>0</v>
      </c>
      <c r="AH188" s="60" t="n">
        <f aca="false">K188*(1+RECARGO_ADS)</f>
        <v>0</v>
      </c>
      <c r="AI188" s="58" t="n">
        <f aca="false">IF(ISNUMBER(I188),D188+E188+X188+Y188,0)</f>
        <v>0</v>
      </c>
      <c r="AJ188" s="60" t="n">
        <f aca="false">M188*COMISION</f>
        <v>0</v>
      </c>
    </row>
    <row r="189" customFormat="false" ht="15" hidden="false" customHeight="false" outlineLevel="0" collapsed="false">
      <c r="A189" s="53" t="n">
        <v>46483</v>
      </c>
      <c r="B189" s="54"/>
      <c r="C189" s="54"/>
      <c r="D189" s="54"/>
      <c r="E189" s="54"/>
      <c r="F189" s="54"/>
      <c r="G189" s="54"/>
      <c r="H189" s="54"/>
      <c r="I189" s="55"/>
      <c r="J189" s="55"/>
      <c r="K189" s="55"/>
      <c r="L189" s="56"/>
      <c r="M189" s="31" t="n">
        <f aca="false">B189+C189</f>
        <v>0</v>
      </c>
      <c r="N189" s="31" t="n">
        <f aca="false">X189+Y189</f>
        <v>0</v>
      </c>
      <c r="O189" s="32" t="n">
        <f aca="false">B189*P1_PVP+C189*P2_PVP</f>
        <v>0</v>
      </c>
      <c r="P189" s="32" t="str">
        <f aca="false">IF(M189&gt;0,O189/M189,"")</f>
        <v/>
      </c>
      <c r="Q189" s="32" t="str">
        <f aca="false">IF(M189&gt;0,K189/M189,"")</f>
        <v/>
      </c>
      <c r="R189" s="57" t="str">
        <f aca="false">IF(K189&gt;0,O189/K189,"")</f>
        <v/>
      </c>
      <c r="S189" s="34" t="str">
        <f aca="false">IF(D189+E189+F189+G189&gt;0,(D189+E189)/(D189+E189+F189+G189),"")</f>
        <v/>
      </c>
      <c r="T189" s="33" t="n">
        <f aca="false">D189*(P1_PVP-P1_CPROD)+E189*(P2_PVP-P2_CPROD)-IF(ISNUMBER(I189),I189,D189*P1_LOG+E189*P2_LOG)</f>
        <v>0</v>
      </c>
      <c r="U189" s="33" t="n">
        <f aca="false">T189-(D189*P1_IVAN+E189*P2_IVAN)-(F189+G189)*(COSTE_DEV-IVA_DEV)-AH189-AJ189</f>
        <v>0</v>
      </c>
      <c r="V189" s="33" t="n">
        <f aca="false">AC189-AD189-AE189-AF189-AG189-AH189-AJ189</f>
        <v>0</v>
      </c>
      <c r="X189" s="58" t="n">
        <f aca="false">MAX(0,B189-D189-F189)</f>
        <v>0</v>
      </c>
      <c r="Y189" s="58" t="n">
        <f aca="false">MAX(0,C189-E189-G189)</f>
        <v>0</v>
      </c>
      <c r="Z189" s="59" t="n">
        <f aca="false">D189+X189*TASA_USADA</f>
        <v>0</v>
      </c>
      <c r="AA189" s="59" t="n">
        <f aca="false">E189+Y189*TASA_USADA</f>
        <v>0</v>
      </c>
      <c r="AB189" s="59" t="n">
        <f aca="false">F189+G189+(X189+Y189)*(1-TASA_USADA)</f>
        <v>0</v>
      </c>
      <c r="AC189" s="60" t="n">
        <f aca="false">Z189*P1_PVP+AA189*P2_PVP</f>
        <v>0</v>
      </c>
      <c r="AD189" s="60" t="n">
        <f aca="false">Z189*P1_CPROD+AA189*P2_CPROD</f>
        <v>0</v>
      </c>
      <c r="AE189" s="60" t="n">
        <f aca="false">IF(ISNUMBER(I189),I189,D189*P1_LOG+E189*P2_LOG)+IF(ISNUMBER(J189),J189,X189*P1_LOG+Y189*P2_LOG)*TASA_USADA</f>
        <v>0</v>
      </c>
      <c r="AF189" s="60" t="n">
        <f aca="false">AB189*COSTE_DEV</f>
        <v>0</v>
      </c>
      <c r="AG189" s="60" t="n">
        <f aca="false">Z189*P1_IVAN+AA189*P2_IVAN-AB189*IVA_DEV</f>
        <v>0</v>
      </c>
      <c r="AH189" s="60" t="n">
        <f aca="false">K189*(1+RECARGO_ADS)</f>
        <v>0</v>
      </c>
      <c r="AI189" s="58" t="n">
        <f aca="false">IF(ISNUMBER(I189),D189+E189+X189+Y189,0)</f>
        <v>0</v>
      </c>
      <c r="AJ189" s="60" t="n">
        <f aca="false">M189*COMISION</f>
        <v>0</v>
      </c>
    </row>
    <row r="190" customFormat="false" ht="15" hidden="false" customHeight="false" outlineLevel="0" collapsed="false">
      <c r="A190" s="53" t="n">
        <v>46484</v>
      </c>
      <c r="B190" s="54"/>
      <c r="C190" s="54"/>
      <c r="D190" s="54"/>
      <c r="E190" s="54"/>
      <c r="F190" s="54"/>
      <c r="G190" s="54"/>
      <c r="H190" s="54"/>
      <c r="I190" s="55"/>
      <c r="J190" s="55"/>
      <c r="K190" s="55"/>
      <c r="L190" s="56"/>
      <c r="M190" s="31" t="n">
        <f aca="false">B190+C190</f>
        <v>0</v>
      </c>
      <c r="N190" s="31" t="n">
        <f aca="false">X190+Y190</f>
        <v>0</v>
      </c>
      <c r="O190" s="32" t="n">
        <f aca="false">B190*P1_PVP+C190*P2_PVP</f>
        <v>0</v>
      </c>
      <c r="P190" s="32" t="str">
        <f aca="false">IF(M190&gt;0,O190/M190,"")</f>
        <v/>
      </c>
      <c r="Q190" s="32" t="str">
        <f aca="false">IF(M190&gt;0,K190/M190,"")</f>
        <v/>
      </c>
      <c r="R190" s="57" t="str">
        <f aca="false">IF(K190&gt;0,O190/K190,"")</f>
        <v/>
      </c>
      <c r="S190" s="34" t="str">
        <f aca="false">IF(D190+E190+F190+G190&gt;0,(D190+E190)/(D190+E190+F190+G190),"")</f>
        <v/>
      </c>
      <c r="T190" s="33" t="n">
        <f aca="false">D190*(P1_PVP-P1_CPROD)+E190*(P2_PVP-P2_CPROD)-IF(ISNUMBER(I190),I190,D190*P1_LOG+E190*P2_LOG)</f>
        <v>0</v>
      </c>
      <c r="U190" s="33" t="n">
        <f aca="false">T190-(D190*P1_IVAN+E190*P2_IVAN)-(F190+G190)*(COSTE_DEV-IVA_DEV)-AH190-AJ190</f>
        <v>0</v>
      </c>
      <c r="V190" s="33" t="n">
        <f aca="false">AC190-AD190-AE190-AF190-AG190-AH190-AJ190</f>
        <v>0</v>
      </c>
      <c r="X190" s="58" t="n">
        <f aca="false">MAX(0,B190-D190-F190)</f>
        <v>0</v>
      </c>
      <c r="Y190" s="58" t="n">
        <f aca="false">MAX(0,C190-E190-G190)</f>
        <v>0</v>
      </c>
      <c r="Z190" s="59" t="n">
        <f aca="false">D190+X190*TASA_USADA</f>
        <v>0</v>
      </c>
      <c r="AA190" s="59" t="n">
        <f aca="false">E190+Y190*TASA_USADA</f>
        <v>0</v>
      </c>
      <c r="AB190" s="59" t="n">
        <f aca="false">F190+G190+(X190+Y190)*(1-TASA_USADA)</f>
        <v>0</v>
      </c>
      <c r="AC190" s="60" t="n">
        <f aca="false">Z190*P1_PVP+AA190*P2_PVP</f>
        <v>0</v>
      </c>
      <c r="AD190" s="60" t="n">
        <f aca="false">Z190*P1_CPROD+AA190*P2_CPROD</f>
        <v>0</v>
      </c>
      <c r="AE190" s="60" t="n">
        <f aca="false">IF(ISNUMBER(I190),I190,D190*P1_LOG+E190*P2_LOG)+IF(ISNUMBER(J190),J190,X190*P1_LOG+Y190*P2_LOG)*TASA_USADA</f>
        <v>0</v>
      </c>
      <c r="AF190" s="60" t="n">
        <f aca="false">AB190*COSTE_DEV</f>
        <v>0</v>
      </c>
      <c r="AG190" s="60" t="n">
        <f aca="false">Z190*P1_IVAN+AA190*P2_IVAN-AB190*IVA_DEV</f>
        <v>0</v>
      </c>
      <c r="AH190" s="60" t="n">
        <f aca="false">K190*(1+RECARGO_ADS)</f>
        <v>0</v>
      </c>
      <c r="AI190" s="58" t="n">
        <f aca="false">IF(ISNUMBER(I190),D190+E190+X190+Y190,0)</f>
        <v>0</v>
      </c>
      <c r="AJ190" s="60" t="n">
        <f aca="false">M190*COMISION</f>
        <v>0</v>
      </c>
    </row>
    <row r="191" customFormat="false" ht="15" hidden="false" customHeight="false" outlineLevel="0" collapsed="false">
      <c r="A191" s="53" t="n">
        <v>46485</v>
      </c>
      <c r="B191" s="54"/>
      <c r="C191" s="54"/>
      <c r="D191" s="54"/>
      <c r="E191" s="54"/>
      <c r="F191" s="54"/>
      <c r="G191" s="54"/>
      <c r="H191" s="54"/>
      <c r="I191" s="55"/>
      <c r="J191" s="55"/>
      <c r="K191" s="55"/>
      <c r="L191" s="56"/>
      <c r="M191" s="31" t="n">
        <f aca="false">B191+C191</f>
        <v>0</v>
      </c>
      <c r="N191" s="31" t="n">
        <f aca="false">X191+Y191</f>
        <v>0</v>
      </c>
      <c r="O191" s="32" t="n">
        <f aca="false">B191*P1_PVP+C191*P2_PVP</f>
        <v>0</v>
      </c>
      <c r="P191" s="32" t="str">
        <f aca="false">IF(M191&gt;0,O191/M191,"")</f>
        <v/>
      </c>
      <c r="Q191" s="32" t="str">
        <f aca="false">IF(M191&gt;0,K191/M191,"")</f>
        <v/>
      </c>
      <c r="R191" s="57" t="str">
        <f aca="false">IF(K191&gt;0,O191/K191,"")</f>
        <v/>
      </c>
      <c r="S191" s="34" t="str">
        <f aca="false">IF(D191+E191+F191+G191&gt;0,(D191+E191)/(D191+E191+F191+G191),"")</f>
        <v/>
      </c>
      <c r="T191" s="33" t="n">
        <f aca="false">D191*(P1_PVP-P1_CPROD)+E191*(P2_PVP-P2_CPROD)-IF(ISNUMBER(I191),I191,D191*P1_LOG+E191*P2_LOG)</f>
        <v>0</v>
      </c>
      <c r="U191" s="33" t="n">
        <f aca="false">T191-(D191*P1_IVAN+E191*P2_IVAN)-(F191+G191)*(COSTE_DEV-IVA_DEV)-AH191-AJ191</f>
        <v>0</v>
      </c>
      <c r="V191" s="33" t="n">
        <f aca="false">AC191-AD191-AE191-AF191-AG191-AH191-AJ191</f>
        <v>0</v>
      </c>
      <c r="X191" s="58" t="n">
        <f aca="false">MAX(0,B191-D191-F191)</f>
        <v>0</v>
      </c>
      <c r="Y191" s="58" t="n">
        <f aca="false">MAX(0,C191-E191-G191)</f>
        <v>0</v>
      </c>
      <c r="Z191" s="59" t="n">
        <f aca="false">D191+X191*TASA_USADA</f>
        <v>0</v>
      </c>
      <c r="AA191" s="59" t="n">
        <f aca="false">E191+Y191*TASA_USADA</f>
        <v>0</v>
      </c>
      <c r="AB191" s="59" t="n">
        <f aca="false">F191+G191+(X191+Y191)*(1-TASA_USADA)</f>
        <v>0</v>
      </c>
      <c r="AC191" s="60" t="n">
        <f aca="false">Z191*P1_PVP+AA191*P2_PVP</f>
        <v>0</v>
      </c>
      <c r="AD191" s="60" t="n">
        <f aca="false">Z191*P1_CPROD+AA191*P2_CPROD</f>
        <v>0</v>
      </c>
      <c r="AE191" s="60" t="n">
        <f aca="false">IF(ISNUMBER(I191),I191,D191*P1_LOG+E191*P2_LOG)+IF(ISNUMBER(J191),J191,X191*P1_LOG+Y191*P2_LOG)*TASA_USADA</f>
        <v>0</v>
      </c>
      <c r="AF191" s="60" t="n">
        <f aca="false">AB191*COSTE_DEV</f>
        <v>0</v>
      </c>
      <c r="AG191" s="60" t="n">
        <f aca="false">Z191*P1_IVAN+AA191*P2_IVAN-AB191*IVA_DEV</f>
        <v>0</v>
      </c>
      <c r="AH191" s="60" t="n">
        <f aca="false">K191*(1+RECARGO_ADS)</f>
        <v>0</v>
      </c>
      <c r="AI191" s="58" t="n">
        <f aca="false">IF(ISNUMBER(I191),D191+E191+X191+Y191,0)</f>
        <v>0</v>
      </c>
      <c r="AJ191" s="60" t="n">
        <f aca="false">M191*COMISION</f>
        <v>0</v>
      </c>
    </row>
    <row r="192" customFormat="false" ht="15" hidden="false" customHeight="false" outlineLevel="0" collapsed="false">
      <c r="A192" s="53" t="n">
        <v>46486</v>
      </c>
      <c r="B192" s="54"/>
      <c r="C192" s="54"/>
      <c r="D192" s="54"/>
      <c r="E192" s="54"/>
      <c r="F192" s="54"/>
      <c r="G192" s="54"/>
      <c r="H192" s="54"/>
      <c r="I192" s="55"/>
      <c r="J192" s="55"/>
      <c r="K192" s="55"/>
      <c r="L192" s="56"/>
      <c r="M192" s="31" t="n">
        <f aca="false">B192+C192</f>
        <v>0</v>
      </c>
      <c r="N192" s="31" t="n">
        <f aca="false">X192+Y192</f>
        <v>0</v>
      </c>
      <c r="O192" s="32" t="n">
        <f aca="false">B192*P1_PVP+C192*P2_PVP</f>
        <v>0</v>
      </c>
      <c r="P192" s="32" t="str">
        <f aca="false">IF(M192&gt;0,O192/M192,"")</f>
        <v/>
      </c>
      <c r="Q192" s="32" t="str">
        <f aca="false">IF(M192&gt;0,K192/M192,"")</f>
        <v/>
      </c>
      <c r="R192" s="57" t="str">
        <f aca="false">IF(K192&gt;0,O192/K192,"")</f>
        <v/>
      </c>
      <c r="S192" s="34" t="str">
        <f aca="false">IF(D192+E192+F192+G192&gt;0,(D192+E192)/(D192+E192+F192+G192),"")</f>
        <v/>
      </c>
      <c r="T192" s="33" t="n">
        <f aca="false">D192*(P1_PVP-P1_CPROD)+E192*(P2_PVP-P2_CPROD)-IF(ISNUMBER(I192),I192,D192*P1_LOG+E192*P2_LOG)</f>
        <v>0</v>
      </c>
      <c r="U192" s="33" t="n">
        <f aca="false">T192-(D192*P1_IVAN+E192*P2_IVAN)-(F192+G192)*(COSTE_DEV-IVA_DEV)-AH192-AJ192</f>
        <v>0</v>
      </c>
      <c r="V192" s="33" t="n">
        <f aca="false">AC192-AD192-AE192-AF192-AG192-AH192-AJ192</f>
        <v>0</v>
      </c>
      <c r="X192" s="58" t="n">
        <f aca="false">MAX(0,B192-D192-F192)</f>
        <v>0</v>
      </c>
      <c r="Y192" s="58" t="n">
        <f aca="false">MAX(0,C192-E192-G192)</f>
        <v>0</v>
      </c>
      <c r="Z192" s="59" t="n">
        <f aca="false">D192+X192*TASA_USADA</f>
        <v>0</v>
      </c>
      <c r="AA192" s="59" t="n">
        <f aca="false">E192+Y192*TASA_USADA</f>
        <v>0</v>
      </c>
      <c r="AB192" s="59" t="n">
        <f aca="false">F192+G192+(X192+Y192)*(1-TASA_USADA)</f>
        <v>0</v>
      </c>
      <c r="AC192" s="60" t="n">
        <f aca="false">Z192*P1_PVP+AA192*P2_PVP</f>
        <v>0</v>
      </c>
      <c r="AD192" s="60" t="n">
        <f aca="false">Z192*P1_CPROD+AA192*P2_CPROD</f>
        <v>0</v>
      </c>
      <c r="AE192" s="60" t="n">
        <f aca="false">IF(ISNUMBER(I192),I192,D192*P1_LOG+E192*P2_LOG)+IF(ISNUMBER(J192),J192,X192*P1_LOG+Y192*P2_LOG)*TASA_USADA</f>
        <v>0</v>
      </c>
      <c r="AF192" s="60" t="n">
        <f aca="false">AB192*COSTE_DEV</f>
        <v>0</v>
      </c>
      <c r="AG192" s="60" t="n">
        <f aca="false">Z192*P1_IVAN+AA192*P2_IVAN-AB192*IVA_DEV</f>
        <v>0</v>
      </c>
      <c r="AH192" s="60" t="n">
        <f aca="false">K192*(1+RECARGO_ADS)</f>
        <v>0</v>
      </c>
      <c r="AI192" s="58" t="n">
        <f aca="false">IF(ISNUMBER(I192),D192+E192+X192+Y192,0)</f>
        <v>0</v>
      </c>
      <c r="AJ192" s="60" t="n">
        <f aca="false">M192*COMISION</f>
        <v>0</v>
      </c>
    </row>
    <row r="193" customFormat="false" ht="15" hidden="false" customHeight="false" outlineLevel="0" collapsed="false">
      <c r="A193" s="53" t="n">
        <v>46487</v>
      </c>
      <c r="B193" s="54"/>
      <c r="C193" s="54"/>
      <c r="D193" s="54"/>
      <c r="E193" s="54"/>
      <c r="F193" s="54"/>
      <c r="G193" s="54"/>
      <c r="H193" s="54"/>
      <c r="I193" s="55"/>
      <c r="J193" s="55"/>
      <c r="K193" s="55"/>
      <c r="L193" s="56"/>
      <c r="M193" s="31" t="n">
        <f aca="false">B193+C193</f>
        <v>0</v>
      </c>
      <c r="N193" s="31" t="n">
        <f aca="false">X193+Y193</f>
        <v>0</v>
      </c>
      <c r="O193" s="32" t="n">
        <f aca="false">B193*P1_PVP+C193*P2_PVP</f>
        <v>0</v>
      </c>
      <c r="P193" s="32" t="str">
        <f aca="false">IF(M193&gt;0,O193/M193,"")</f>
        <v/>
      </c>
      <c r="Q193" s="32" t="str">
        <f aca="false">IF(M193&gt;0,K193/M193,"")</f>
        <v/>
      </c>
      <c r="R193" s="57" t="str">
        <f aca="false">IF(K193&gt;0,O193/K193,"")</f>
        <v/>
      </c>
      <c r="S193" s="34" t="str">
        <f aca="false">IF(D193+E193+F193+G193&gt;0,(D193+E193)/(D193+E193+F193+G193),"")</f>
        <v/>
      </c>
      <c r="T193" s="33" t="n">
        <f aca="false">D193*(P1_PVP-P1_CPROD)+E193*(P2_PVP-P2_CPROD)-IF(ISNUMBER(I193),I193,D193*P1_LOG+E193*P2_LOG)</f>
        <v>0</v>
      </c>
      <c r="U193" s="33" t="n">
        <f aca="false">T193-(D193*P1_IVAN+E193*P2_IVAN)-(F193+G193)*(COSTE_DEV-IVA_DEV)-AH193-AJ193</f>
        <v>0</v>
      </c>
      <c r="V193" s="33" t="n">
        <f aca="false">AC193-AD193-AE193-AF193-AG193-AH193-AJ193</f>
        <v>0</v>
      </c>
      <c r="X193" s="58" t="n">
        <f aca="false">MAX(0,B193-D193-F193)</f>
        <v>0</v>
      </c>
      <c r="Y193" s="58" t="n">
        <f aca="false">MAX(0,C193-E193-G193)</f>
        <v>0</v>
      </c>
      <c r="Z193" s="59" t="n">
        <f aca="false">D193+X193*TASA_USADA</f>
        <v>0</v>
      </c>
      <c r="AA193" s="59" t="n">
        <f aca="false">E193+Y193*TASA_USADA</f>
        <v>0</v>
      </c>
      <c r="AB193" s="59" t="n">
        <f aca="false">F193+G193+(X193+Y193)*(1-TASA_USADA)</f>
        <v>0</v>
      </c>
      <c r="AC193" s="60" t="n">
        <f aca="false">Z193*P1_PVP+AA193*P2_PVP</f>
        <v>0</v>
      </c>
      <c r="AD193" s="60" t="n">
        <f aca="false">Z193*P1_CPROD+AA193*P2_CPROD</f>
        <v>0</v>
      </c>
      <c r="AE193" s="60" t="n">
        <f aca="false">IF(ISNUMBER(I193),I193,D193*P1_LOG+E193*P2_LOG)+IF(ISNUMBER(J193),J193,X193*P1_LOG+Y193*P2_LOG)*TASA_USADA</f>
        <v>0</v>
      </c>
      <c r="AF193" s="60" t="n">
        <f aca="false">AB193*COSTE_DEV</f>
        <v>0</v>
      </c>
      <c r="AG193" s="60" t="n">
        <f aca="false">Z193*P1_IVAN+AA193*P2_IVAN-AB193*IVA_DEV</f>
        <v>0</v>
      </c>
      <c r="AH193" s="60" t="n">
        <f aca="false">K193*(1+RECARGO_ADS)</f>
        <v>0</v>
      </c>
      <c r="AI193" s="58" t="n">
        <f aca="false">IF(ISNUMBER(I193),D193+E193+X193+Y193,0)</f>
        <v>0</v>
      </c>
      <c r="AJ193" s="60" t="n">
        <f aca="false">M193*COMISION</f>
        <v>0</v>
      </c>
    </row>
    <row r="194" customFormat="false" ht="15" hidden="false" customHeight="false" outlineLevel="0" collapsed="false">
      <c r="A194" s="53" t="n">
        <v>46488</v>
      </c>
      <c r="B194" s="54"/>
      <c r="C194" s="54"/>
      <c r="D194" s="54"/>
      <c r="E194" s="54"/>
      <c r="F194" s="54"/>
      <c r="G194" s="54"/>
      <c r="H194" s="54"/>
      <c r="I194" s="55"/>
      <c r="J194" s="55"/>
      <c r="K194" s="55"/>
      <c r="L194" s="56"/>
      <c r="M194" s="31" t="n">
        <f aca="false">B194+C194</f>
        <v>0</v>
      </c>
      <c r="N194" s="31" t="n">
        <f aca="false">X194+Y194</f>
        <v>0</v>
      </c>
      <c r="O194" s="32" t="n">
        <f aca="false">B194*P1_PVP+C194*P2_PVP</f>
        <v>0</v>
      </c>
      <c r="P194" s="32" t="str">
        <f aca="false">IF(M194&gt;0,O194/M194,"")</f>
        <v/>
      </c>
      <c r="Q194" s="32" t="str">
        <f aca="false">IF(M194&gt;0,K194/M194,"")</f>
        <v/>
      </c>
      <c r="R194" s="57" t="str">
        <f aca="false">IF(K194&gt;0,O194/K194,"")</f>
        <v/>
      </c>
      <c r="S194" s="34" t="str">
        <f aca="false">IF(D194+E194+F194+G194&gt;0,(D194+E194)/(D194+E194+F194+G194),"")</f>
        <v/>
      </c>
      <c r="T194" s="33" t="n">
        <f aca="false">D194*(P1_PVP-P1_CPROD)+E194*(P2_PVP-P2_CPROD)-IF(ISNUMBER(I194),I194,D194*P1_LOG+E194*P2_LOG)</f>
        <v>0</v>
      </c>
      <c r="U194" s="33" t="n">
        <f aca="false">T194-(D194*P1_IVAN+E194*P2_IVAN)-(F194+G194)*(COSTE_DEV-IVA_DEV)-AH194-AJ194</f>
        <v>0</v>
      </c>
      <c r="V194" s="33" t="n">
        <f aca="false">AC194-AD194-AE194-AF194-AG194-AH194-AJ194</f>
        <v>0</v>
      </c>
      <c r="X194" s="58" t="n">
        <f aca="false">MAX(0,B194-D194-F194)</f>
        <v>0</v>
      </c>
      <c r="Y194" s="58" t="n">
        <f aca="false">MAX(0,C194-E194-G194)</f>
        <v>0</v>
      </c>
      <c r="Z194" s="59" t="n">
        <f aca="false">D194+X194*TASA_USADA</f>
        <v>0</v>
      </c>
      <c r="AA194" s="59" t="n">
        <f aca="false">E194+Y194*TASA_USADA</f>
        <v>0</v>
      </c>
      <c r="AB194" s="59" t="n">
        <f aca="false">F194+G194+(X194+Y194)*(1-TASA_USADA)</f>
        <v>0</v>
      </c>
      <c r="AC194" s="60" t="n">
        <f aca="false">Z194*P1_PVP+AA194*P2_PVP</f>
        <v>0</v>
      </c>
      <c r="AD194" s="60" t="n">
        <f aca="false">Z194*P1_CPROD+AA194*P2_CPROD</f>
        <v>0</v>
      </c>
      <c r="AE194" s="60" t="n">
        <f aca="false">IF(ISNUMBER(I194),I194,D194*P1_LOG+E194*P2_LOG)+IF(ISNUMBER(J194),J194,X194*P1_LOG+Y194*P2_LOG)*TASA_USADA</f>
        <v>0</v>
      </c>
      <c r="AF194" s="60" t="n">
        <f aca="false">AB194*COSTE_DEV</f>
        <v>0</v>
      </c>
      <c r="AG194" s="60" t="n">
        <f aca="false">Z194*P1_IVAN+AA194*P2_IVAN-AB194*IVA_DEV</f>
        <v>0</v>
      </c>
      <c r="AH194" s="60" t="n">
        <f aca="false">K194*(1+RECARGO_ADS)</f>
        <v>0</v>
      </c>
      <c r="AI194" s="58" t="n">
        <f aca="false">IF(ISNUMBER(I194),D194+E194+X194+Y194,0)</f>
        <v>0</v>
      </c>
      <c r="AJ194" s="60" t="n">
        <f aca="false">M194*COMISION</f>
        <v>0</v>
      </c>
    </row>
    <row r="195" customFormat="false" ht="15" hidden="false" customHeight="false" outlineLevel="0" collapsed="false">
      <c r="A195" s="53" t="n">
        <v>46489</v>
      </c>
      <c r="B195" s="54"/>
      <c r="C195" s="54"/>
      <c r="D195" s="54"/>
      <c r="E195" s="54"/>
      <c r="F195" s="54"/>
      <c r="G195" s="54"/>
      <c r="H195" s="54"/>
      <c r="I195" s="55"/>
      <c r="J195" s="55"/>
      <c r="K195" s="55"/>
      <c r="L195" s="56"/>
      <c r="M195" s="31" t="n">
        <f aca="false">B195+C195</f>
        <v>0</v>
      </c>
      <c r="N195" s="31" t="n">
        <f aca="false">X195+Y195</f>
        <v>0</v>
      </c>
      <c r="O195" s="32" t="n">
        <f aca="false">B195*P1_PVP+C195*P2_PVP</f>
        <v>0</v>
      </c>
      <c r="P195" s="32" t="str">
        <f aca="false">IF(M195&gt;0,O195/M195,"")</f>
        <v/>
      </c>
      <c r="Q195" s="32" t="str">
        <f aca="false">IF(M195&gt;0,K195/M195,"")</f>
        <v/>
      </c>
      <c r="R195" s="57" t="str">
        <f aca="false">IF(K195&gt;0,O195/K195,"")</f>
        <v/>
      </c>
      <c r="S195" s="34" t="str">
        <f aca="false">IF(D195+E195+F195+G195&gt;0,(D195+E195)/(D195+E195+F195+G195),"")</f>
        <v/>
      </c>
      <c r="T195" s="33" t="n">
        <f aca="false">D195*(P1_PVP-P1_CPROD)+E195*(P2_PVP-P2_CPROD)-IF(ISNUMBER(I195),I195,D195*P1_LOG+E195*P2_LOG)</f>
        <v>0</v>
      </c>
      <c r="U195" s="33" t="n">
        <f aca="false">T195-(D195*P1_IVAN+E195*P2_IVAN)-(F195+G195)*(COSTE_DEV-IVA_DEV)-AH195-AJ195</f>
        <v>0</v>
      </c>
      <c r="V195" s="33" t="n">
        <f aca="false">AC195-AD195-AE195-AF195-AG195-AH195-AJ195</f>
        <v>0</v>
      </c>
      <c r="X195" s="58" t="n">
        <f aca="false">MAX(0,B195-D195-F195)</f>
        <v>0</v>
      </c>
      <c r="Y195" s="58" t="n">
        <f aca="false">MAX(0,C195-E195-G195)</f>
        <v>0</v>
      </c>
      <c r="Z195" s="59" t="n">
        <f aca="false">D195+X195*TASA_USADA</f>
        <v>0</v>
      </c>
      <c r="AA195" s="59" t="n">
        <f aca="false">E195+Y195*TASA_USADA</f>
        <v>0</v>
      </c>
      <c r="AB195" s="59" t="n">
        <f aca="false">F195+G195+(X195+Y195)*(1-TASA_USADA)</f>
        <v>0</v>
      </c>
      <c r="AC195" s="60" t="n">
        <f aca="false">Z195*P1_PVP+AA195*P2_PVP</f>
        <v>0</v>
      </c>
      <c r="AD195" s="60" t="n">
        <f aca="false">Z195*P1_CPROD+AA195*P2_CPROD</f>
        <v>0</v>
      </c>
      <c r="AE195" s="60" t="n">
        <f aca="false">IF(ISNUMBER(I195),I195,D195*P1_LOG+E195*P2_LOG)+IF(ISNUMBER(J195),J195,X195*P1_LOG+Y195*P2_LOG)*TASA_USADA</f>
        <v>0</v>
      </c>
      <c r="AF195" s="60" t="n">
        <f aca="false">AB195*COSTE_DEV</f>
        <v>0</v>
      </c>
      <c r="AG195" s="60" t="n">
        <f aca="false">Z195*P1_IVAN+AA195*P2_IVAN-AB195*IVA_DEV</f>
        <v>0</v>
      </c>
      <c r="AH195" s="60" t="n">
        <f aca="false">K195*(1+RECARGO_ADS)</f>
        <v>0</v>
      </c>
      <c r="AI195" s="58" t="n">
        <f aca="false">IF(ISNUMBER(I195),D195+E195+X195+Y195,0)</f>
        <v>0</v>
      </c>
      <c r="AJ195" s="60" t="n">
        <f aca="false">M195*COMISION</f>
        <v>0</v>
      </c>
    </row>
    <row r="196" customFormat="false" ht="15" hidden="false" customHeight="false" outlineLevel="0" collapsed="false">
      <c r="A196" s="53" t="n">
        <v>46490</v>
      </c>
      <c r="B196" s="54"/>
      <c r="C196" s="54"/>
      <c r="D196" s="54"/>
      <c r="E196" s="54"/>
      <c r="F196" s="54"/>
      <c r="G196" s="54"/>
      <c r="H196" s="54"/>
      <c r="I196" s="55"/>
      <c r="J196" s="55"/>
      <c r="K196" s="55"/>
      <c r="L196" s="56"/>
      <c r="M196" s="31" t="n">
        <f aca="false">B196+C196</f>
        <v>0</v>
      </c>
      <c r="N196" s="31" t="n">
        <f aca="false">X196+Y196</f>
        <v>0</v>
      </c>
      <c r="O196" s="32" t="n">
        <f aca="false">B196*P1_PVP+C196*P2_PVP</f>
        <v>0</v>
      </c>
      <c r="P196" s="32" t="str">
        <f aca="false">IF(M196&gt;0,O196/M196,"")</f>
        <v/>
      </c>
      <c r="Q196" s="32" t="str">
        <f aca="false">IF(M196&gt;0,K196/M196,"")</f>
        <v/>
      </c>
      <c r="R196" s="57" t="str">
        <f aca="false">IF(K196&gt;0,O196/K196,"")</f>
        <v/>
      </c>
      <c r="S196" s="34" t="str">
        <f aca="false">IF(D196+E196+F196+G196&gt;0,(D196+E196)/(D196+E196+F196+G196),"")</f>
        <v/>
      </c>
      <c r="T196" s="33" t="n">
        <f aca="false">D196*(P1_PVP-P1_CPROD)+E196*(P2_PVP-P2_CPROD)-IF(ISNUMBER(I196),I196,D196*P1_LOG+E196*P2_LOG)</f>
        <v>0</v>
      </c>
      <c r="U196" s="33" t="n">
        <f aca="false">T196-(D196*P1_IVAN+E196*P2_IVAN)-(F196+G196)*(COSTE_DEV-IVA_DEV)-AH196-AJ196</f>
        <v>0</v>
      </c>
      <c r="V196" s="33" t="n">
        <f aca="false">AC196-AD196-AE196-AF196-AG196-AH196-AJ196</f>
        <v>0</v>
      </c>
      <c r="X196" s="58" t="n">
        <f aca="false">MAX(0,B196-D196-F196)</f>
        <v>0</v>
      </c>
      <c r="Y196" s="58" t="n">
        <f aca="false">MAX(0,C196-E196-G196)</f>
        <v>0</v>
      </c>
      <c r="Z196" s="59" t="n">
        <f aca="false">D196+X196*TASA_USADA</f>
        <v>0</v>
      </c>
      <c r="AA196" s="59" t="n">
        <f aca="false">E196+Y196*TASA_USADA</f>
        <v>0</v>
      </c>
      <c r="AB196" s="59" t="n">
        <f aca="false">F196+G196+(X196+Y196)*(1-TASA_USADA)</f>
        <v>0</v>
      </c>
      <c r="AC196" s="60" t="n">
        <f aca="false">Z196*P1_PVP+AA196*P2_PVP</f>
        <v>0</v>
      </c>
      <c r="AD196" s="60" t="n">
        <f aca="false">Z196*P1_CPROD+AA196*P2_CPROD</f>
        <v>0</v>
      </c>
      <c r="AE196" s="60" t="n">
        <f aca="false">IF(ISNUMBER(I196),I196,D196*P1_LOG+E196*P2_LOG)+IF(ISNUMBER(J196),J196,X196*P1_LOG+Y196*P2_LOG)*TASA_USADA</f>
        <v>0</v>
      </c>
      <c r="AF196" s="60" t="n">
        <f aca="false">AB196*COSTE_DEV</f>
        <v>0</v>
      </c>
      <c r="AG196" s="60" t="n">
        <f aca="false">Z196*P1_IVAN+AA196*P2_IVAN-AB196*IVA_DEV</f>
        <v>0</v>
      </c>
      <c r="AH196" s="60" t="n">
        <f aca="false">K196*(1+RECARGO_ADS)</f>
        <v>0</v>
      </c>
      <c r="AI196" s="58" t="n">
        <f aca="false">IF(ISNUMBER(I196),D196+E196+X196+Y196,0)</f>
        <v>0</v>
      </c>
      <c r="AJ196" s="60" t="n">
        <f aca="false">M196*COMISION</f>
        <v>0</v>
      </c>
    </row>
    <row r="197" customFormat="false" ht="15" hidden="false" customHeight="false" outlineLevel="0" collapsed="false">
      <c r="A197" s="53" t="n">
        <v>46491</v>
      </c>
      <c r="B197" s="54"/>
      <c r="C197" s="54"/>
      <c r="D197" s="54"/>
      <c r="E197" s="54"/>
      <c r="F197" s="54"/>
      <c r="G197" s="54"/>
      <c r="H197" s="54"/>
      <c r="I197" s="55"/>
      <c r="J197" s="55"/>
      <c r="K197" s="55"/>
      <c r="L197" s="56"/>
      <c r="M197" s="31" t="n">
        <f aca="false">B197+C197</f>
        <v>0</v>
      </c>
      <c r="N197" s="31" t="n">
        <f aca="false">X197+Y197</f>
        <v>0</v>
      </c>
      <c r="O197" s="32" t="n">
        <f aca="false">B197*P1_PVP+C197*P2_PVP</f>
        <v>0</v>
      </c>
      <c r="P197" s="32" t="str">
        <f aca="false">IF(M197&gt;0,O197/M197,"")</f>
        <v/>
      </c>
      <c r="Q197" s="32" t="str">
        <f aca="false">IF(M197&gt;0,K197/M197,"")</f>
        <v/>
      </c>
      <c r="R197" s="57" t="str">
        <f aca="false">IF(K197&gt;0,O197/K197,"")</f>
        <v/>
      </c>
      <c r="S197" s="34" t="str">
        <f aca="false">IF(D197+E197+F197+G197&gt;0,(D197+E197)/(D197+E197+F197+G197),"")</f>
        <v/>
      </c>
      <c r="T197" s="33" t="n">
        <f aca="false">D197*(P1_PVP-P1_CPROD)+E197*(P2_PVP-P2_CPROD)-IF(ISNUMBER(I197),I197,D197*P1_LOG+E197*P2_LOG)</f>
        <v>0</v>
      </c>
      <c r="U197" s="33" t="n">
        <f aca="false">T197-(D197*P1_IVAN+E197*P2_IVAN)-(F197+G197)*(COSTE_DEV-IVA_DEV)-AH197-AJ197</f>
        <v>0</v>
      </c>
      <c r="V197" s="33" t="n">
        <f aca="false">AC197-AD197-AE197-AF197-AG197-AH197-AJ197</f>
        <v>0</v>
      </c>
      <c r="X197" s="58" t="n">
        <f aca="false">MAX(0,B197-D197-F197)</f>
        <v>0</v>
      </c>
      <c r="Y197" s="58" t="n">
        <f aca="false">MAX(0,C197-E197-G197)</f>
        <v>0</v>
      </c>
      <c r="Z197" s="59" t="n">
        <f aca="false">D197+X197*TASA_USADA</f>
        <v>0</v>
      </c>
      <c r="AA197" s="59" t="n">
        <f aca="false">E197+Y197*TASA_USADA</f>
        <v>0</v>
      </c>
      <c r="AB197" s="59" t="n">
        <f aca="false">F197+G197+(X197+Y197)*(1-TASA_USADA)</f>
        <v>0</v>
      </c>
      <c r="AC197" s="60" t="n">
        <f aca="false">Z197*P1_PVP+AA197*P2_PVP</f>
        <v>0</v>
      </c>
      <c r="AD197" s="60" t="n">
        <f aca="false">Z197*P1_CPROD+AA197*P2_CPROD</f>
        <v>0</v>
      </c>
      <c r="AE197" s="60" t="n">
        <f aca="false">IF(ISNUMBER(I197),I197,D197*P1_LOG+E197*P2_LOG)+IF(ISNUMBER(J197),J197,X197*P1_LOG+Y197*P2_LOG)*TASA_USADA</f>
        <v>0</v>
      </c>
      <c r="AF197" s="60" t="n">
        <f aca="false">AB197*COSTE_DEV</f>
        <v>0</v>
      </c>
      <c r="AG197" s="60" t="n">
        <f aca="false">Z197*P1_IVAN+AA197*P2_IVAN-AB197*IVA_DEV</f>
        <v>0</v>
      </c>
      <c r="AH197" s="60" t="n">
        <f aca="false">K197*(1+RECARGO_ADS)</f>
        <v>0</v>
      </c>
      <c r="AI197" s="58" t="n">
        <f aca="false">IF(ISNUMBER(I197),D197+E197+X197+Y197,0)</f>
        <v>0</v>
      </c>
      <c r="AJ197" s="60" t="n">
        <f aca="false">M197*COMISION</f>
        <v>0</v>
      </c>
    </row>
    <row r="198" customFormat="false" ht="15" hidden="false" customHeight="false" outlineLevel="0" collapsed="false">
      <c r="A198" s="53" t="n">
        <v>46492</v>
      </c>
      <c r="B198" s="54"/>
      <c r="C198" s="54"/>
      <c r="D198" s="54"/>
      <c r="E198" s="54"/>
      <c r="F198" s="54"/>
      <c r="G198" s="54"/>
      <c r="H198" s="54"/>
      <c r="I198" s="55"/>
      <c r="J198" s="55"/>
      <c r="K198" s="55"/>
      <c r="L198" s="56"/>
      <c r="M198" s="31" t="n">
        <f aca="false">B198+C198</f>
        <v>0</v>
      </c>
      <c r="N198" s="31" t="n">
        <f aca="false">X198+Y198</f>
        <v>0</v>
      </c>
      <c r="O198" s="32" t="n">
        <f aca="false">B198*P1_PVP+C198*P2_PVP</f>
        <v>0</v>
      </c>
      <c r="P198" s="32" t="str">
        <f aca="false">IF(M198&gt;0,O198/M198,"")</f>
        <v/>
      </c>
      <c r="Q198" s="32" t="str">
        <f aca="false">IF(M198&gt;0,K198/M198,"")</f>
        <v/>
      </c>
      <c r="R198" s="57" t="str">
        <f aca="false">IF(K198&gt;0,O198/K198,"")</f>
        <v/>
      </c>
      <c r="S198" s="34" t="str">
        <f aca="false">IF(D198+E198+F198+G198&gt;0,(D198+E198)/(D198+E198+F198+G198),"")</f>
        <v/>
      </c>
      <c r="T198" s="33" t="n">
        <f aca="false">D198*(P1_PVP-P1_CPROD)+E198*(P2_PVP-P2_CPROD)-IF(ISNUMBER(I198),I198,D198*P1_LOG+E198*P2_LOG)</f>
        <v>0</v>
      </c>
      <c r="U198" s="33" t="n">
        <f aca="false">T198-(D198*P1_IVAN+E198*P2_IVAN)-(F198+G198)*(COSTE_DEV-IVA_DEV)-AH198-AJ198</f>
        <v>0</v>
      </c>
      <c r="V198" s="33" t="n">
        <f aca="false">AC198-AD198-AE198-AF198-AG198-AH198-AJ198</f>
        <v>0</v>
      </c>
      <c r="X198" s="58" t="n">
        <f aca="false">MAX(0,B198-D198-F198)</f>
        <v>0</v>
      </c>
      <c r="Y198" s="58" t="n">
        <f aca="false">MAX(0,C198-E198-G198)</f>
        <v>0</v>
      </c>
      <c r="Z198" s="59" t="n">
        <f aca="false">D198+X198*TASA_USADA</f>
        <v>0</v>
      </c>
      <c r="AA198" s="59" t="n">
        <f aca="false">E198+Y198*TASA_USADA</f>
        <v>0</v>
      </c>
      <c r="AB198" s="59" t="n">
        <f aca="false">F198+G198+(X198+Y198)*(1-TASA_USADA)</f>
        <v>0</v>
      </c>
      <c r="AC198" s="60" t="n">
        <f aca="false">Z198*P1_PVP+AA198*P2_PVP</f>
        <v>0</v>
      </c>
      <c r="AD198" s="60" t="n">
        <f aca="false">Z198*P1_CPROD+AA198*P2_CPROD</f>
        <v>0</v>
      </c>
      <c r="AE198" s="60" t="n">
        <f aca="false">IF(ISNUMBER(I198),I198,D198*P1_LOG+E198*P2_LOG)+IF(ISNUMBER(J198),J198,X198*P1_LOG+Y198*P2_LOG)*TASA_USADA</f>
        <v>0</v>
      </c>
      <c r="AF198" s="60" t="n">
        <f aca="false">AB198*COSTE_DEV</f>
        <v>0</v>
      </c>
      <c r="AG198" s="60" t="n">
        <f aca="false">Z198*P1_IVAN+AA198*P2_IVAN-AB198*IVA_DEV</f>
        <v>0</v>
      </c>
      <c r="AH198" s="60" t="n">
        <f aca="false">K198*(1+RECARGO_ADS)</f>
        <v>0</v>
      </c>
      <c r="AI198" s="58" t="n">
        <f aca="false">IF(ISNUMBER(I198),D198+E198+X198+Y198,0)</f>
        <v>0</v>
      </c>
      <c r="AJ198" s="60" t="n">
        <f aca="false">M198*COMISION</f>
        <v>0</v>
      </c>
    </row>
    <row r="199" customFormat="false" ht="15" hidden="false" customHeight="false" outlineLevel="0" collapsed="false">
      <c r="A199" s="53" t="n">
        <v>46493</v>
      </c>
      <c r="B199" s="54"/>
      <c r="C199" s="54"/>
      <c r="D199" s="54"/>
      <c r="E199" s="54"/>
      <c r="F199" s="54"/>
      <c r="G199" s="54"/>
      <c r="H199" s="54"/>
      <c r="I199" s="55"/>
      <c r="J199" s="55"/>
      <c r="K199" s="55"/>
      <c r="L199" s="56"/>
      <c r="M199" s="31" t="n">
        <f aca="false">B199+C199</f>
        <v>0</v>
      </c>
      <c r="N199" s="31" t="n">
        <f aca="false">X199+Y199</f>
        <v>0</v>
      </c>
      <c r="O199" s="32" t="n">
        <f aca="false">B199*P1_PVP+C199*P2_PVP</f>
        <v>0</v>
      </c>
      <c r="P199" s="32" t="str">
        <f aca="false">IF(M199&gt;0,O199/M199,"")</f>
        <v/>
      </c>
      <c r="Q199" s="32" t="str">
        <f aca="false">IF(M199&gt;0,K199/M199,"")</f>
        <v/>
      </c>
      <c r="R199" s="57" t="str">
        <f aca="false">IF(K199&gt;0,O199/K199,"")</f>
        <v/>
      </c>
      <c r="S199" s="34" t="str">
        <f aca="false">IF(D199+E199+F199+G199&gt;0,(D199+E199)/(D199+E199+F199+G199),"")</f>
        <v/>
      </c>
      <c r="T199" s="33" t="n">
        <f aca="false">D199*(P1_PVP-P1_CPROD)+E199*(P2_PVP-P2_CPROD)-IF(ISNUMBER(I199),I199,D199*P1_LOG+E199*P2_LOG)</f>
        <v>0</v>
      </c>
      <c r="U199" s="33" t="n">
        <f aca="false">T199-(D199*P1_IVAN+E199*P2_IVAN)-(F199+G199)*(COSTE_DEV-IVA_DEV)-AH199-AJ199</f>
        <v>0</v>
      </c>
      <c r="V199" s="33" t="n">
        <f aca="false">AC199-AD199-AE199-AF199-AG199-AH199-AJ199</f>
        <v>0</v>
      </c>
      <c r="X199" s="58" t="n">
        <f aca="false">MAX(0,B199-D199-F199)</f>
        <v>0</v>
      </c>
      <c r="Y199" s="58" t="n">
        <f aca="false">MAX(0,C199-E199-G199)</f>
        <v>0</v>
      </c>
      <c r="Z199" s="59" t="n">
        <f aca="false">D199+X199*TASA_USADA</f>
        <v>0</v>
      </c>
      <c r="AA199" s="59" t="n">
        <f aca="false">E199+Y199*TASA_USADA</f>
        <v>0</v>
      </c>
      <c r="AB199" s="59" t="n">
        <f aca="false">F199+G199+(X199+Y199)*(1-TASA_USADA)</f>
        <v>0</v>
      </c>
      <c r="AC199" s="60" t="n">
        <f aca="false">Z199*P1_PVP+AA199*P2_PVP</f>
        <v>0</v>
      </c>
      <c r="AD199" s="60" t="n">
        <f aca="false">Z199*P1_CPROD+AA199*P2_CPROD</f>
        <v>0</v>
      </c>
      <c r="AE199" s="60" t="n">
        <f aca="false">IF(ISNUMBER(I199),I199,D199*P1_LOG+E199*P2_LOG)+IF(ISNUMBER(J199),J199,X199*P1_LOG+Y199*P2_LOG)*TASA_USADA</f>
        <v>0</v>
      </c>
      <c r="AF199" s="60" t="n">
        <f aca="false">AB199*COSTE_DEV</f>
        <v>0</v>
      </c>
      <c r="AG199" s="60" t="n">
        <f aca="false">Z199*P1_IVAN+AA199*P2_IVAN-AB199*IVA_DEV</f>
        <v>0</v>
      </c>
      <c r="AH199" s="60" t="n">
        <f aca="false">K199*(1+RECARGO_ADS)</f>
        <v>0</v>
      </c>
      <c r="AI199" s="58" t="n">
        <f aca="false">IF(ISNUMBER(I199),D199+E199+X199+Y199,0)</f>
        <v>0</v>
      </c>
      <c r="AJ199" s="60" t="n">
        <f aca="false">M199*COMISION</f>
        <v>0</v>
      </c>
    </row>
    <row r="200" customFormat="false" ht="15" hidden="false" customHeight="false" outlineLevel="0" collapsed="false">
      <c r="A200" s="53" t="n">
        <v>46494</v>
      </c>
      <c r="B200" s="54"/>
      <c r="C200" s="54"/>
      <c r="D200" s="54"/>
      <c r="E200" s="54"/>
      <c r="F200" s="54"/>
      <c r="G200" s="54"/>
      <c r="H200" s="54"/>
      <c r="I200" s="55"/>
      <c r="J200" s="55"/>
      <c r="K200" s="55"/>
      <c r="L200" s="56"/>
      <c r="M200" s="31" t="n">
        <f aca="false">B200+C200</f>
        <v>0</v>
      </c>
      <c r="N200" s="31" t="n">
        <f aca="false">X200+Y200</f>
        <v>0</v>
      </c>
      <c r="O200" s="32" t="n">
        <f aca="false">B200*P1_PVP+C200*P2_PVP</f>
        <v>0</v>
      </c>
      <c r="P200" s="32" t="str">
        <f aca="false">IF(M200&gt;0,O200/M200,"")</f>
        <v/>
      </c>
      <c r="Q200" s="32" t="str">
        <f aca="false">IF(M200&gt;0,K200/M200,"")</f>
        <v/>
      </c>
      <c r="R200" s="57" t="str">
        <f aca="false">IF(K200&gt;0,O200/K200,"")</f>
        <v/>
      </c>
      <c r="S200" s="34" t="str">
        <f aca="false">IF(D200+E200+F200+G200&gt;0,(D200+E200)/(D200+E200+F200+G200),"")</f>
        <v/>
      </c>
      <c r="T200" s="33" t="n">
        <f aca="false">D200*(P1_PVP-P1_CPROD)+E200*(P2_PVP-P2_CPROD)-IF(ISNUMBER(I200),I200,D200*P1_LOG+E200*P2_LOG)</f>
        <v>0</v>
      </c>
      <c r="U200" s="33" t="n">
        <f aca="false">T200-(D200*P1_IVAN+E200*P2_IVAN)-(F200+G200)*(COSTE_DEV-IVA_DEV)-AH200-AJ200</f>
        <v>0</v>
      </c>
      <c r="V200" s="33" t="n">
        <f aca="false">AC200-AD200-AE200-AF200-AG200-AH200-AJ200</f>
        <v>0</v>
      </c>
      <c r="X200" s="58" t="n">
        <f aca="false">MAX(0,B200-D200-F200)</f>
        <v>0</v>
      </c>
      <c r="Y200" s="58" t="n">
        <f aca="false">MAX(0,C200-E200-G200)</f>
        <v>0</v>
      </c>
      <c r="Z200" s="59" t="n">
        <f aca="false">D200+X200*TASA_USADA</f>
        <v>0</v>
      </c>
      <c r="AA200" s="59" t="n">
        <f aca="false">E200+Y200*TASA_USADA</f>
        <v>0</v>
      </c>
      <c r="AB200" s="59" t="n">
        <f aca="false">F200+G200+(X200+Y200)*(1-TASA_USADA)</f>
        <v>0</v>
      </c>
      <c r="AC200" s="60" t="n">
        <f aca="false">Z200*P1_PVP+AA200*P2_PVP</f>
        <v>0</v>
      </c>
      <c r="AD200" s="60" t="n">
        <f aca="false">Z200*P1_CPROD+AA200*P2_CPROD</f>
        <v>0</v>
      </c>
      <c r="AE200" s="60" t="n">
        <f aca="false">IF(ISNUMBER(I200),I200,D200*P1_LOG+E200*P2_LOG)+IF(ISNUMBER(J200),J200,X200*P1_LOG+Y200*P2_LOG)*TASA_USADA</f>
        <v>0</v>
      </c>
      <c r="AF200" s="60" t="n">
        <f aca="false">AB200*COSTE_DEV</f>
        <v>0</v>
      </c>
      <c r="AG200" s="60" t="n">
        <f aca="false">Z200*P1_IVAN+AA200*P2_IVAN-AB200*IVA_DEV</f>
        <v>0</v>
      </c>
      <c r="AH200" s="60" t="n">
        <f aca="false">K200*(1+RECARGO_ADS)</f>
        <v>0</v>
      </c>
      <c r="AI200" s="58" t="n">
        <f aca="false">IF(ISNUMBER(I200),D200+E200+X200+Y200,0)</f>
        <v>0</v>
      </c>
      <c r="AJ200" s="60" t="n">
        <f aca="false">M200*COMISION</f>
        <v>0</v>
      </c>
    </row>
    <row r="201" customFormat="false" ht="15" hidden="false" customHeight="false" outlineLevel="0" collapsed="false">
      <c r="A201" s="53" t="n">
        <v>46495</v>
      </c>
      <c r="B201" s="54"/>
      <c r="C201" s="54"/>
      <c r="D201" s="54"/>
      <c r="E201" s="54"/>
      <c r="F201" s="54"/>
      <c r="G201" s="54"/>
      <c r="H201" s="54"/>
      <c r="I201" s="55"/>
      <c r="J201" s="55"/>
      <c r="K201" s="55"/>
      <c r="L201" s="56"/>
      <c r="M201" s="31" t="n">
        <f aca="false">B201+C201</f>
        <v>0</v>
      </c>
      <c r="N201" s="31" t="n">
        <f aca="false">X201+Y201</f>
        <v>0</v>
      </c>
      <c r="O201" s="32" t="n">
        <f aca="false">B201*P1_PVP+C201*P2_PVP</f>
        <v>0</v>
      </c>
      <c r="P201" s="32" t="str">
        <f aca="false">IF(M201&gt;0,O201/M201,"")</f>
        <v/>
      </c>
      <c r="Q201" s="32" t="str">
        <f aca="false">IF(M201&gt;0,K201/M201,"")</f>
        <v/>
      </c>
      <c r="R201" s="57" t="str">
        <f aca="false">IF(K201&gt;0,O201/K201,"")</f>
        <v/>
      </c>
      <c r="S201" s="34" t="str">
        <f aca="false">IF(D201+E201+F201+G201&gt;0,(D201+E201)/(D201+E201+F201+G201),"")</f>
        <v/>
      </c>
      <c r="T201" s="33" t="n">
        <f aca="false">D201*(P1_PVP-P1_CPROD)+E201*(P2_PVP-P2_CPROD)-IF(ISNUMBER(I201),I201,D201*P1_LOG+E201*P2_LOG)</f>
        <v>0</v>
      </c>
      <c r="U201" s="33" t="n">
        <f aca="false">T201-(D201*P1_IVAN+E201*P2_IVAN)-(F201+G201)*(COSTE_DEV-IVA_DEV)-AH201-AJ201</f>
        <v>0</v>
      </c>
      <c r="V201" s="33" t="n">
        <f aca="false">AC201-AD201-AE201-AF201-AG201-AH201-AJ201</f>
        <v>0</v>
      </c>
      <c r="X201" s="58" t="n">
        <f aca="false">MAX(0,B201-D201-F201)</f>
        <v>0</v>
      </c>
      <c r="Y201" s="58" t="n">
        <f aca="false">MAX(0,C201-E201-G201)</f>
        <v>0</v>
      </c>
      <c r="Z201" s="59" t="n">
        <f aca="false">D201+X201*TASA_USADA</f>
        <v>0</v>
      </c>
      <c r="AA201" s="59" t="n">
        <f aca="false">E201+Y201*TASA_USADA</f>
        <v>0</v>
      </c>
      <c r="AB201" s="59" t="n">
        <f aca="false">F201+G201+(X201+Y201)*(1-TASA_USADA)</f>
        <v>0</v>
      </c>
      <c r="AC201" s="60" t="n">
        <f aca="false">Z201*P1_PVP+AA201*P2_PVP</f>
        <v>0</v>
      </c>
      <c r="AD201" s="60" t="n">
        <f aca="false">Z201*P1_CPROD+AA201*P2_CPROD</f>
        <v>0</v>
      </c>
      <c r="AE201" s="60" t="n">
        <f aca="false">IF(ISNUMBER(I201),I201,D201*P1_LOG+E201*P2_LOG)+IF(ISNUMBER(J201),J201,X201*P1_LOG+Y201*P2_LOG)*TASA_USADA</f>
        <v>0</v>
      </c>
      <c r="AF201" s="60" t="n">
        <f aca="false">AB201*COSTE_DEV</f>
        <v>0</v>
      </c>
      <c r="AG201" s="60" t="n">
        <f aca="false">Z201*P1_IVAN+AA201*P2_IVAN-AB201*IVA_DEV</f>
        <v>0</v>
      </c>
      <c r="AH201" s="60" t="n">
        <f aca="false">K201*(1+RECARGO_ADS)</f>
        <v>0</v>
      </c>
      <c r="AI201" s="58" t="n">
        <f aca="false">IF(ISNUMBER(I201),D201+E201+X201+Y201,0)</f>
        <v>0</v>
      </c>
      <c r="AJ201" s="60" t="n">
        <f aca="false">M201*COMISION</f>
        <v>0</v>
      </c>
    </row>
    <row r="202" customFormat="false" ht="15" hidden="false" customHeight="false" outlineLevel="0" collapsed="false">
      <c r="A202" s="53" t="n">
        <v>46496</v>
      </c>
      <c r="B202" s="54"/>
      <c r="C202" s="54"/>
      <c r="D202" s="54"/>
      <c r="E202" s="54"/>
      <c r="F202" s="54"/>
      <c r="G202" s="54"/>
      <c r="H202" s="54"/>
      <c r="I202" s="55"/>
      <c r="J202" s="55"/>
      <c r="K202" s="55"/>
      <c r="L202" s="56"/>
      <c r="M202" s="31" t="n">
        <f aca="false">B202+C202</f>
        <v>0</v>
      </c>
      <c r="N202" s="31" t="n">
        <f aca="false">X202+Y202</f>
        <v>0</v>
      </c>
      <c r="O202" s="32" t="n">
        <f aca="false">B202*P1_PVP+C202*P2_PVP</f>
        <v>0</v>
      </c>
      <c r="P202" s="32" t="str">
        <f aca="false">IF(M202&gt;0,O202/M202,"")</f>
        <v/>
      </c>
      <c r="Q202" s="32" t="str">
        <f aca="false">IF(M202&gt;0,K202/M202,"")</f>
        <v/>
      </c>
      <c r="R202" s="57" t="str">
        <f aca="false">IF(K202&gt;0,O202/K202,"")</f>
        <v/>
      </c>
      <c r="S202" s="34" t="str">
        <f aca="false">IF(D202+E202+F202+G202&gt;0,(D202+E202)/(D202+E202+F202+G202),"")</f>
        <v/>
      </c>
      <c r="T202" s="33" t="n">
        <f aca="false">D202*(P1_PVP-P1_CPROD)+E202*(P2_PVP-P2_CPROD)-IF(ISNUMBER(I202),I202,D202*P1_LOG+E202*P2_LOG)</f>
        <v>0</v>
      </c>
      <c r="U202" s="33" t="n">
        <f aca="false">T202-(D202*P1_IVAN+E202*P2_IVAN)-(F202+G202)*(COSTE_DEV-IVA_DEV)-AH202-AJ202</f>
        <v>0</v>
      </c>
      <c r="V202" s="33" t="n">
        <f aca="false">AC202-AD202-AE202-AF202-AG202-AH202-AJ202</f>
        <v>0</v>
      </c>
      <c r="X202" s="58" t="n">
        <f aca="false">MAX(0,B202-D202-F202)</f>
        <v>0</v>
      </c>
      <c r="Y202" s="58" t="n">
        <f aca="false">MAX(0,C202-E202-G202)</f>
        <v>0</v>
      </c>
      <c r="Z202" s="59" t="n">
        <f aca="false">D202+X202*TASA_USADA</f>
        <v>0</v>
      </c>
      <c r="AA202" s="59" t="n">
        <f aca="false">E202+Y202*TASA_USADA</f>
        <v>0</v>
      </c>
      <c r="AB202" s="59" t="n">
        <f aca="false">F202+G202+(X202+Y202)*(1-TASA_USADA)</f>
        <v>0</v>
      </c>
      <c r="AC202" s="60" t="n">
        <f aca="false">Z202*P1_PVP+AA202*P2_PVP</f>
        <v>0</v>
      </c>
      <c r="AD202" s="60" t="n">
        <f aca="false">Z202*P1_CPROD+AA202*P2_CPROD</f>
        <v>0</v>
      </c>
      <c r="AE202" s="60" t="n">
        <f aca="false">IF(ISNUMBER(I202),I202,D202*P1_LOG+E202*P2_LOG)+IF(ISNUMBER(J202),J202,X202*P1_LOG+Y202*P2_LOG)*TASA_USADA</f>
        <v>0</v>
      </c>
      <c r="AF202" s="60" t="n">
        <f aca="false">AB202*COSTE_DEV</f>
        <v>0</v>
      </c>
      <c r="AG202" s="60" t="n">
        <f aca="false">Z202*P1_IVAN+AA202*P2_IVAN-AB202*IVA_DEV</f>
        <v>0</v>
      </c>
      <c r="AH202" s="60" t="n">
        <f aca="false">K202*(1+RECARGO_ADS)</f>
        <v>0</v>
      </c>
      <c r="AI202" s="58" t="n">
        <f aca="false">IF(ISNUMBER(I202),D202+E202+X202+Y202,0)</f>
        <v>0</v>
      </c>
      <c r="AJ202" s="60" t="n">
        <f aca="false">M202*COMISION</f>
        <v>0</v>
      </c>
    </row>
    <row r="203" customFormat="false" ht="15" hidden="false" customHeight="false" outlineLevel="0" collapsed="false">
      <c r="A203" s="53" t="n">
        <v>46497</v>
      </c>
      <c r="B203" s="54"/>
      <c r="C203" s="54"/>
      <c r="D203" s="54"/>
      <c r="E203" s="54"/>
      <c r="F203" s="54"/>
      <c r="G203" s="54"/>
      <c r="H203" s="54"/>
      <c r="I203" s="55"/>
      <c r="J203" s="55"/>
      <c r="K203" s="55"/>
      <c r="L203" s="56"/>
      <c r="M203" s="31" t="n">
        <f aca="false">B203+C203</f>
        <v>0</v>
      </c>
      <c r="N203" s="31" t="n">
        <f aca="false">X203+Y203</f>
        <v>0</v>
      </c>
      <c r="O203" s="32" t="n">
        <f aca="false">B203*P1_PVP+C203*P2_PVP</f>
        <v>0</v>
      </c>
      <c r="P203" s="32" t="str">
        <f aca="false">IF(M203&gt;0,O203/M203,"")</f>
        <v/>
      </c>
      <c r="Q203" s="32" t="str">
        <f aca="false">IF(M203&gt;0,K203/M203,"")</f>
        <v/>
      </c>
      <c r="R203" s="57" t="str">
        <f aca="false">IF(K203&gt;0,O203/K203,"")</f>
        <v/>
      </c>
      <c r="S203" s="34" t="str">
        <f aca="false">IF(D203+E203+F203+G203&gt;0,(D203+E203)/(D203+E203+F203+G203),"")</f>
        <v/>
      </c>
      <c r="T203" s="33" t="n">
        <f aca="false">D203*(P1_PVP-P1_CPROD)+E203*(P2_PVP-P2_CPROD)-IF(ISNUMBER(I203),I203,D203*P1_LOG+E203*P2_LOG)</f>
        <v>0</v>
      </c>
      <c r="U203" s="33" t="n">
        <f aca="false">T203-(D203*P1_IVAN+E203*P2_IVAN)-(F203+G203)*(COSTE_DEV-IVA_DEV)-AH203-AJ203</f>
        <v>0</v>
      </c>
      <c r="V203" s="33" t="n">
        <f aca="false">AC203-AD203-AE203-AF203-AG203-AH203-AJ203</f>
        <v>0</v>
      </c>
      <c r="X203" s="58" t="n">
        <f aca="false">MAX(0,B203-D203-F203)</f>
        <v>0</v>
      </c>
      <c r="Y203" s="58" t="n">
        <f aca="false">MAX(0,C203-E203-G203)</f>
        <v>0</v>
      </c>
      <c r="Z203" s="59" t="n">
        <f aca="false">D203+X203*TASA_USADA</f>
        <v>0</v>
      </c>
      <c r="AA203" s="59" t="n">
        <f aca="false">E203+Y203*TASA_USADA</f>
        <v>0</v>
      </c>
      <c r="AB203" s="59" t="n">
        <f aca="false">F203+G203+(X203+Y203)*(1-TASA_USADA)</f>
        <v>0</v>
      </c>
      <c r="AC203" s="60" t="n">
        <f aca="false">Z203*P1_PVP+AA203*P2_PVP</f>
        <v>0</v>
      </c>
      <c r="AD203" s="60" t="n">
        <f aca="false">Z203*P1_CPROD+AA203*P2_CPROD</f>
        <v>0</v>
      </c>
      <c r="AE203" s="60" t="n">
        <f aca="false">IF(ISNUMBER(I203),I203,D203*P1_LOG+E203*P2_LOG)+IF(ISNUMBER(J203),J203,X203*P1_LOG+Y203*P2_LOG)*TASA_USADA</f>
        <v>0</v>
      </c>
      <c r="AF203" s="60" t="n">
        <f aca="false">AB203*COSTE_DEV</f>
        <v>0</v>
      </c>
      <c r="AG203" s="60" t="n">
        <f aca="false">Z203*P1_IVAN+AA203*P2_IVAN-AB203*IVA_DEV</f>
        <v>0</v>
      </c>
      <c r="AH203" s="60" t="n">
        <f aca="false">K203*(1+RECARGO_ADS)</f>
        <v>0</v>
      </c>
      <c r="AI203" s="58" t="n">
        <f aca="false">IF(ISNUMBER(I203),D203+E203+X203+Y203,0)</f>
        <v>0</v>
      </c>
      <c r="AJ203" s="60" t="n">
        <f aca="false">M203*COMISION</f>
        <v>0</v>
      </c>
    </row>
    <row r="204" customFormat="false" ht="15" hidden="false" customHeight="false" outlineLevel="0" collapsed="false">
      <c r="A204" s="53" t="n">
        <v>46498</v>
      </c>
      <c r="B204" s="54"/>
      <c r="C204" s="54"/>
      <c r="D204" s="54"/>
      <c r="E204" s="54"/>
      <c r="F204" s="54"/>
      <c r="G204" s="54"/>
      <c r="H204" s="54"/>
      <c r="I204" s="55"/>
      <c r="J204" s="55"/>
      <c r="K204" s="55"/>
      <c r="L204" s="56"/>
      <c r="M204" s="31" t="n">
        <f aca="false">B204+C204</f>
        <v>0</v>
      </c>
      <c r="N204" s="31" t="n">
        <f aca="false">X204+Y204</f>
        <v>0</v>
      </c>
      <c r="O204" s="32" t="n">
        <f aca="false">B204*P1_PVP+C204*P2_PVP</f>
        <v>0</v>
      </c>
      <c r="P204" s="32" t="str">
        <f aca="false">IF(M204&gt;0,O204/M204,"")</f>
        <v/>
      </c>
      <c r="Q204" s="32" t="str">
        <f aca="false">IF(M204&gt;0,K204/M204,"")</f>
        <v/>
      </c>
      <c r="R204" s="57" t="str">
        <f aca="false">IF(K204&gt;0,O204/K204,"")</f>
        <v/>
      </c>
      <c r="S204" s="34" t="str">
        <f aca="false">IF(D204+E204+F204+G204&gt;0,(D204+E204)/(D204+E204+F204+G204),"")</f>
        <v/>
      </c>
      <c r="T204" s="33" t="n">
        <f aca="false">D204*(P1_PVP-P1_CPROD)+E204*(P2_PVP-P2_CPROD)-IF(ISNUMBER(I204),I204,D204*P1_LOG+E204*P2_LOG)</f>
        <v>0</v>
      </c>
      <c r="U204" s="33" t="n">
        <f aca="false">T204-(D204*P1_IVAN+E204*P2_IVAN)-(F204+G204)*(COSTE_DEV-IVA_DEV)-AH204-AJ204</f>
        <v>0</v>
      </c>
      <c r="V204" s="33" t="n">
        <f aca="false">AC204-AD204-AE204-AF204-AG204-AH204-AJ204</f>
        <v>0</v>
      </c>
      <c r="X204" s="58" t="n">
        <f aca="false">MAX(0,B204-D204-F204)</f>
        <v>0</v>
      </c>
      <c r="Y204" s="58" t="n">
        <f aca="false">MAX(0,C204-E204-G204)</f>
        <v>0</v>
      </c>
      <c r="Z204" s="59" t="n">
        <f aca="false">D204+X204*TASA_USADA</f>
        <v>0</v>
      </c>
      <c r="AA204" s="59" t="n">
        <f aca="false">E204+Y204*TASA_USADA</f>
        <v>0</v>
      </c>
      <c r="AB204" s="59" t="n">
        <f aca="false">F204+G204+(X204+Y204)*(1-TASA_USADA)</f>
        <v>0</v>
      </c>
      <c r="AC204" s="60" t="n">
        <f aca="false">Z204*P1_PVP+AA204*P2_PVP</f>
        <v>0</v>
      </c>
      <c r="AD204" s="60" t="n">
        <f aca="false">Z204*P1_CPROD+AA204*P2_CPROD</f>
        <v>0</v>
      </c>
      <c r="AE204" s="60" t="n">
        <f aca="false">IF(ISNUMBER(I204),I204,D204*P1_LOG+E204*P2_LOG)+IF(ISNUMBER(J204),J204,X204*P1_LOG+Y204*P2_LOG)*TASA_USADA</f>
        <v>0</v>
      </c>
      <c r="AF204" s="60" t="n">
        <f aca="false">AB204*COSTE_DEV</f>
        <v>0</v>
      </c>
      <c r="AG204" s="60" t="n">
        <f aca="false">Z204*P1_IVAN+AA204*P2_IVAN-AB204*IVA_DEV</f>
        <v>0</v>
      </c>
      <c r="AH204" s="60" t="n">
        <f aca="false">K204*(1+RECARGO_ADS)</f>
        <v>0</v>
      </c>
      <c r="AI204" s="58" t="n">
        <f aca="false">IF(ISNUMBER(I204),D204+E204+X204+Y204,0)</f>
        <v>0</v>
      </c>
      <c r="AJ204" s="60" t="n">
        <f aca="false">M204*COMISION</f>
        <v>0</v>
      </c>
    </row>
    <row r="205" customFormat="false" ht="15" hidden="false" customHeight="false" outlineLevel="0" collapsed="false">
      <c r="A205" s="53" t="n">
        <v>46499</v>
      </c>
      <c r="B205" s="54"/>
      <c r="C205" s="54"/>
      <c r="D205" s="54"/>
      <c r="E205" s="54"/>
      <c r="F205" s="54"/>
      <c r="G205" s="54"/>
      <c r="H205" s="54"/>
      <c r="I205" s="55"/>
      <c r="J205" s="55"/>
      <c r="K205" s="55"/>
      <c r="L205" s="56"/>
      <c r="M205" s="31" t="n">
        <f aca="false">B205+C205</f>
        <v>0</v>
      </c>
      <c r="N205" s="31" t="n">
        <f aca="false">X205+Y205</f>
        <v>0</v>
      </c>
      <c r="O205" s="32" t="n">
        <f aca="false">B205*P1_PVP+C205*P2_PVP</f>
        <v>0</v>
      </c>
      <c r="P205" s="32" t="str">
        <f aca="false">IF(M205&gt;0,O205/M205,"")</f>
        <v/>
      </c>
      <c r="Q205" s="32" t="str">
        <f aca="false">IF(M205&gt;0,K205/M205,"")</f>
        <v/>
      </c>
      <c r="R205" s="57" t="str">
        <f aca="false">IF(K205&gt;0,O205/K205,"")</f>
        <v/>
      </c>
      <c r="S205" s="34" t="str">
        <f aca="false">IF(D205+E205+F205+G205&gt;0,(D205+E205)/(D205+E205+F205+G205),"")</f>
        <v/>
      </c>
      <c r="T205" s="33" t="n">
        <f aca="false">D205*(P1_PVP-P1_CPROD)+E205*(P2_PVP-P2_CPROD)-IF(ISNUMBER(I205),I205,D205*P1_LOG+E205*P2_LOG)</f>
        <v>0</v>
      </c>
      <c r="U205" s="33" t="n">
        <f aca="false">T205-(D205*P1_IVAN+E205*P2_IVAN)-(F205+G205)*(COSTE_DEV-IVA_DEV)-AH205-AJ205</f>
        <v>0</v>
      </c>
      <c r="V205" s="33" t="n">
        <f aca="false">AC205-AD205-AE205-AF205-AG205-AH205-AJ205</f>
        <v>0</v>
      </c>
      <c r="X205" s="58" t="n">
        <f aca="false">MAX(0,B205-D205-F205)</f>
        <v>0</v>
      </c>
      <c r="Y205" s="58" t="n">
        <f aca="false">MAX(0,C205-E205-G205)</f>
        <v>0</v>
      </c>
      <c r="Z205" s="59" t="n">
        <f aca="false">D205+X205*TASA_USADA</f>
        <v>0</v>
      </c>
      <c r="AA205" s="59" t="n">
        <f aca="false">E205+Y205*TASA_USADA</f>
        <v>0</v>
      </c>
      <c r="AB205" s="59" t="n">
        <f aca="false">F205+G205+(X205+Y205)*(1-TASA_USADA)</f>
        <v>0</v>
      </c>
      <c r="AC205" s="60" t="n">
        <f aca="false">Z205*P1_PVP+AA205*P2_PVP</f>
        <v>0</v>
      </c>
      <c r="AD205" s="60" t="n">
        <f aca="false">Z205*P1_CPROD+AA205*P2_CPROD</f>
        <v>0</v>
      </c>
      <c r="AE205" s="60" t="n">
        <f aca="false">IF(ISNUMBER(I205),I205,D205*P1_LOG+E205*P2_LOG)+IF(ISNUMBER(J205),J205,X205*P1_LOG+Y205*P2_LOG)*TASA_USADA</f>
        <v>0</v>
      </c>
      <c r="AF205" s="60" t="n">
        <f aca="false">AB205*COSTE_DEV</f>
        <v>0</v>
      </c>
      <c r="AG205" s="60" t="n">
        <f aca="false">Z205*P1_IVAN+AA205*P2_IVAN-AB205*IVA_DEV</f>
        <v>0</v>
      </c>
      <c r="AH205" s="60" t="n">
        <f aca="false">K205*(1+RECARGO_ADS)</f>
        <v>0</v>
      </c>
      <c r="AI205" s="58" t="n">
        <f aca="false">IF(ISNUMBER(I205),D205+E205+X205+Y205,0)</f>
        <v>0</v>
      </c>
      <c r="AJ205" s="60" t="n">
        <f aca="false">M205*COMISION</f>
        <v>0</v>
      </c>
    </row>
    <row r="206" customFormat="false" ht="15" hidden="false" customHeight="false" outlineLevel="0" collapsed="false">
      <c r="A206" s="53" t="n">
        <v>46500</v>
      </c>
      <c r="B206" s="54"/>
      <c r="C206" s="54"/>
      <c r="D206" s="54"/>
      <c r="E206" s="54"/>
      <c r="F206" s="54"/>
      <c r="G206" s="54"/>
      <c r="H206" s="54"/>
      <c r="I206" s="55"/>
      <c r="J206" s="55"/>
      <c r="K206" s="55"/>
      <c r="L206" s="56"/>
      <c r="M206" s="31" t="n">
        <f aca="false">B206+C206</f>
        <v>0</v>
      </c>
      <c r="N206" s="31" t="n">
        <f aca="false">X206+Y206</f>
        <v>0</v>
      </c>
      <c r="O206" s="32" t="n">
        <f aca="false">B206*P1_PVP+C206*P2_PVP</f>
        <v>0</v>
      </c>
      <c r="P206" s="32" t="str">
        <f aca="false">IF(M206&gt;0,O206/M206,"")</f>
        <v/>
      </c>
      <c r="Q206" s="32" t="str">
        <f aca="false">IF(M206&gt;0,K206/M206,"")</f>
        <v/>
      </c>
      <c r="R206" s="57" t="str">
        <f aca="false">IF(K206&gt;0,O206/K206,"")</f>
        <v/>
      </c>
      <c r="S206" s="34" t="str">
        <f aca="false">IF(D206+E206+F206+G206&gt;0,(D206+E206)/(D206+E206+F206+G206),"")</f>
        <v/>
      </c>
      <c r="T206" s="33" t="n">
        <f aca="false">D206*(P1_PVP-P1_CPROD)+E206*(P2_PVP-P2_CPROD)-IF(ISNUMBER(I206),I206,D206*P1_LOG+E206*P2_LOG)</f>
        <v>0</v>
      </c>
      <c r="U206" s="33" t="n">
        <f aca="false">T206-(D206*P1_IVAN+E206*P2_IVAN)-(F206+G206)*(COSTE_DEV-IVA_DEV)-AH206-AJ206</f>
        <v>0</v>
      </c>
      <c r="V206" s="33" t="n">
        <f aca="false">AC206-AD206-AE206-AF206-AG206-AH206-AJ206</f>
        <v>0</v>
      </c>
      <c r="X206" s="58" t="n">
        <f aca="false">MAX(0,B206-D206-F206)</f>
        <v>0</v>
      </c>
      <c r="Y206" s="58" t="n">
        <f aca="false">MAX(0,C206-E206-G206)</f>
        <v>0</v>
      </c>
      <c r="Z206" s="59" t="n">
        <f aca="false">D206+X206*TASA_USADA</f>
        <v>0</v>
      </c>
      <c r="AA206" s="59" t="n">
        <f aca="false">E206+Y206*TASA_USADA</f>
        <v>0</v>
      </c>
      <c r="AB206" s="59" t="n">
        <f aca="false">F206+G206+(X206+Y206)*(1-TASA_USADA)</f>
        <v>0</v>
      </c>
      <c r="AC206" s="60" t="n">
        <f aca="false">Z206*P1_PVP+AA206*P2_PVP</f>
        <v>0</v>
      </c>
      <c r="AD206" s="60" t="n">
        <f aca="false">Z206*P1_CPROD+AA206*P2_CPROD</f>
        <v>0</v>
      </c>
      <c r="AE206" s="60" t="n">
        <f aca="false">IF(ISNUMBER(I206),I206,D206*P1_LOG+E206*P2_LOG)+IF(ISNUMBER(J206),J206,X206*P1_LOG+Y206*P2_LOG)*TASA_USADA</f>
        <v>0</v>
      </c>
      <c r="AF206" s="60" t="n">
        <f aca="false">AB206*COSTE_DEV</f>
        <v>0</v>
      </c>
      <c r="AG206" s="60" t="n">
        <f aca="false">Z206*P1_IVAN+AA206*P2_IVAN-AB206*IVA_DEV</f>
        <v>0</v>
      </c>
      <c r="AH206" s="60" t="n">
        <f aca="false">K206*(1+RECARGO_ADS)</f>
        <v>0</v>
      </c>
      <c r="AI206" s="58" t="n">
        <f aca="false">IF(ISNUMBER(I206),D206+E206+X206+Y206,0)</f>
        <v>0</v>
      </c>
      <c r="AJ206" s="60" t="n">
        <f aca="false">M206*COMISION</f>
        <v>0</v>
      </c>
    </row>
    <row r="207" customFormat="false" ht="15" hidden="false" customHeight="false" outlineLevel="0" collapsed="false">
      <c r="A207" s="53" t="n">
        <v>46501</v>
      </c>
      <c r="B207" s="54"/>
      <c r="C207" s="54"/>
      <c r="D207" s="54"/>
      <c r="E207" s="54"/>
      <c r="F207" s="54"/>
      <c r="G207" s="54"/>
      <c r="H207" s="54"/>
      <c r="I207" s="55"/>
      <c r="J207" s="55"/>
      <c r="K207" s="55"/>
      <c r="L207" s="56"/>
      <c r="M207" s="31" t="n">
        <f aca="false">B207+C207</f>
        <v>0</v>
      </c>
      <c r="N207" s="31" t="n">
        <f aca="false">X207+Y207</f>
        <v>0</v>
      </c>
      <c r="O207" s="32" t="n">
        <f aca="false">B207*P1_PVP+C207*P2_PVP</f>
        <v>0</v>
      </c>
      <c r="P207" s="32" t="str">
        <f aca="false">IF(M207&gt;0,O207/M207,"")</f>
        <v/>
      </c>
      <c r="Q207" s="32" t="str">
        <f aca="false">IF(M207&gt;0,K207/M207,"")</f>
        <v/>
      </c>
      <c r="R207" s="57" t="str">
        <f aca="false">IF(K207&gt;0,O207/K207,"")</f>
        <v/>
      </c>
      <c r="S207" s="34" t="str">
        <f aca="false">IF(D207+E207+F207+G207&gt;0,(D207+E207)/(D207+E207+F207+G207),"")</f>
        <v/>
      </c>
      <c r="T207" s="33" t="n">
        <f aca="false">D207*(P1_PVP-P1_CPROD)+E207*(P2_PVP-P2_CPROD)-IF(ISNUMBER(I207),I207,D207*P1_LOG+E207*P2_LOG)</f>
        <v>0</v>
      </c>
      <c r="U207" s="33" t="n">
        <f aca="false">T207-(D207*P1_IVAN+E207*P2_IVAN)-(F207+G207)*(COSTE_DEV-IVA_DEV)-AH207-AJ207</f>
        <v>0</v>
      </c>
      <c r="V207" s="33" t="n">
        <f aca="false">AC207-AD207-AE207-AF207-AG207-AH207-AJ207</f>
        <v>0</v>
      </c>
      <c r="X207" s="58" t="n">
        <f aca="false">MAX(0,B207-D207-F207)</f>
        <v>0</v>
      </c>
      <c r="Y207" s="58" t="n">
        <f aca="false">MAX(0,C207-E207-G207)</f>
        <v>0</v>
      </c>
      <c r="Z207" s="59" t="n">
        <f aca="false">D207+X207*TASA_USADA</f>
        <v>0</v>
      </c>
      <c r="AA207" s="59" t="n">
        <f aca="false">E207+Y207*TASA_USADA</f>
        <v>0</v>
      </c>
      <c r="AB207" s="59" t="n">
        <f aca="false">F207+G207+(X207+Y207)*(1-TASA_USADA)</f>
        <v>0</v>
      </c>
      <c r="AC207" s="60" t="n">
        <f aca="false">Z207*P1_PVP+AA207*P2_PVP</f>
        <v>0</v>
      </c>
      <c r="AD207" s="60" t="n">
        <f aca="false">Z207*P1_CPROD+AA207*P2_CPROD</f>
        <v>0</v>
      </c>
      <c r="AE207" s="60" t="n">
        <f aca="false">IF(ISNUMBER(I207),I207,D207*P1_LOG+E207*P2_LOG)+IF(ISNUMBER(J207),J207,X207*P1_LOG+Y207*P2_LOG)*TASA_USADA</f>
        <v>0</v>
      </c>
      <c r="AF207" s="60" t="n">
        <f aca="false">AB207*COSTE_DEV</f>
        <v>0</v>
      </c>
      <c r="AG207" s="60" t="n">
        <f aca="false">Z207*P1_IVAN+AA207*P2_IVAN-AB207*IVA_DEV</f>
        <v>0</v>
      </c>
      <c r="AH207" s="60" t="n">
        <f aca="false">K207*(1+RECARGO_ADS)</f>
        <v>0</v>
      </c>
      <c r="AI207" s="58" t="n">
        <f aca="false">IF(ISNUMBER(I207),D207+E207+X207+Y207,0)</f>
        <v>0</v>
      </c>
      <c r="AJ207" s="60" t="n">
        <f aca="false">M207*COMISION</f>
        <v>0</v>
      </c>
    </row>
    <row r="208" customFormat="false" ht="15" hidden="false" customHeight="false" outlineLevel="0" collapsed="false">
      <c r="A208" s="53" t="n">
        <v>46502</v>
      </c>
      <c r="B208" s="54"/>
      <c r="C208" s="54"/>
      <c r="D208" s="54"/>
      <c r="E208" s="54"/>
      <c r="F208" s="54"/>
      <c r="G208" s="54"/>
      <c r="H208" s="54"/>
      <c r="I208" s="55"/>
      <c r="J208" s="55"/>
      <c r="K208" s="55"/>
      <c r="L208" s="56"/>
      <c r="M208" s="31" t="n">
        <f aca="false">B208+C208</f>
        <v>0</v>
      </c>
      <c r="N208" s="31" t="n">
        <f aca="false">X208+Y208</f>
        <v>0</v>
      </c>
      <c r="O208" s="32" t="n">
        <f aca="false">B208*P1_PVP+C208*P2_PVP</f>
        <v>0</v>
      </c>
      <c r="P208" s="32" t="str">
        <f aca="false">IF(M208&gt;0,O208/M208,"")</f>
        <v/>
      </c>
      <c r="Q208" s="32" t="str">
        <f aca="false">IF(M208&gt;0,K208/M208,"")</f>
        <v/>
      </c>
      <c r="R208" s="57" t="str">
        <f aca="false">IF(K208&gt;0,O208/K208,"")</f>
        <v/>
      </c>
      <c r="S208" s="34" t="str">
        <f aca="false">IF(D208+E208+F208+G208&gt;0,(D208+E208)/(D208+E208+F208+G208),"")</f>
        <v/>
      </c>
      <c r="T208" s="33" t="n">
        <f aca="false">D208*(P1_PVP-P1_CPROD)+E208*(P2_PVP-P2_CPROD)-IF(ISNUMBER(I208),I208,D208*P1_LOG+E208*P2_LOG)</f>
        <v>0</v>
      </c>
      <c r="U208" s="33" t="n">
        <f aca="false">T208-(D208*P1_IVAN+E208*P2_IVAN)-(F208+G208)*(COSTE_DEV-IVA_DEV)-AH208-AJ208</f>
        <v>0</v>
      </c>
      <c r="V208" s="33" t="n">
        <f aca="false">AC208-AD208-AE208-AF208-AG208-AH208-AJ208</f>
        <v>0</v>
      </c>
      <c r="X208" s="58" t="n">
        <f aca="false">MAX(0,B208-D208-F208)</f>
        <v>0</v>
      </c>
      <c r="Y208" s="58" t="n">
        <f aca="false">MAX(0,C208-E208-G208)</f>
        <v>0</v>
      </c>
      <c r="Z208" s="59" t="n">
        <f aca="false">D208+X208*TASA_USADA</f>
        <v>0</v>
      </c>
      <c r="AA208" s="59" t="n">
        <f aca="false">E208+Y208*TASA_USADA</f>
        <v>0</v>
      </c>
      <c r="AB208" s="59" t="n">
        <f aca="false">F208+G208+(X208+Y208)*(1-TASA_USADA)</f>
        <v>0</v>
      </c>
      <c r="AC208" s="60" t="n">
        <f aca="false">Z208*P1_PVP+AA208*P2_PVP</f>
        <v>0</v>
      </c>
      <c r="AD208" s="60" t="n">
        <f aca="false">Z208*P1_CPROD+AA208*P2_CPROD</f>
        <v>0</v>
      </c>
      <c r="AE208" s="60" t="n">
        <f aca="false">IF(ISNUMBER(I208),I208,D208*P1_LOG+E208*P2_LOG)+IF(ISNUMBER(J208),J208,X208*P1_LOG+Y208*P2_LOG)*TASA_USADA</f>
        <v>0</v>
      </c>
      <c r="AF208" s="60" t="n">
        <f aca="false">AB208*COSTE_DEV</f>
        <v>0</v>
      </c>
      <c r="AG208" s="60" t="n">
        <f aca="false">Z208*P1_IVAN+AA208*P2_IVAN-AB208*IVA_DEV</f>
        <v>0</v>
      </c>
      <c r="AH208" s="60" t="n">
        <f aca="false">K208*(1+RECARGO_ADS)</f>
        <v>0</v>
      </c>
      <c r="AI208" s="58" t="n">
        <f aca="false">IF(ISNUMBER(I208),D208+E208+X208+Y208,0)</f>
        <v>0</v>
      </c>
      <c r="AJ208" s="60" t="n">
        <f aca="false">M208*COMISION</f>
        <v>0</v>
      </c>
    </row>
    <row r="209" customFormat="false" ht="15" hidden="false" customHeight="false" outlineLevel="0" collapsed="false">
      <c r="A209" s="53" t="n">
        <v>46503</v>
      </c>
      <c r="B209" s="54"/>
      <c r="C209" s="54"/>
      <c r="D209" s="54"/>
      <c r="E209" s="54"/>
      <c r="F209" s="54"/>
      <c r="G209" s="54"/>
      <c r="H209" s="54"/>
      <c r="I209" s="55"/>
      <c r="J209" s="55"/>
      <c r="K209" s="55"/>
      <c r="L209" s="56"/>
      <c r="M209" s="31" t="n">
        <f aca="false">B209+C209</f>
        <v>0</v>
      </c>
      <c r="N209" s="31" t="n">
        <f aca="false">X209+Y209</f>
        <v>0</v>
      </c>
      <c r="O209" s="32" t="n">
        <f aca="false">B209*P1_PVP+C209*P2_PVP</f>
        <v>0</v>
      </c>
      <c r="P209" s="32" t="str">
        <f aca="false">IF(M209&gt;0,O209/M209,"")</f>
        <v/>
      </c>
      <c r="Q209" s="32" t="str">
        <f aca="false">IF(M209&gt;0,K209/M209,"")</f>
        <v/>
      </c>
      <c r="R209" s="57" t="str">
        <f aca="false">IF(K209&gt;0,O209/K209,"")</f>
        <v/>
      </c>
      <c r="S209" s="34" t="str">
        <f aca="false">IF(D209+E209+F209+G209&gt;0,(D209+E209)/(D209+E209+F209+G209),"")</f>
        <v/>
      </c>
      <c r="T209" s="33" t="n">
        <f aca="false">D209*(P1_PVP-P1_CPROD)+E209*(P2_PVP-P2_CPROD)-IF(ISNUMBER(I209),I209,D209*P1_LOG+E209*P2_LOG)</f>
        <v>0</v>
      </c>
      <c r="U209" s="33" t="n">
        <f aca="false">T209-(D209*P1_IVAN+E209*P2_IVAN)-(F209+G209)*(COSTE_DEV-IVA_DEV)-AH209-AJ209</f>
        <v>0</v>
      </c>
      <c r="V209" s="33" t="n">
        <f aca="false">AC209-AD209-AE209-AF209-AG209-AH209-AJ209</f>
        <v>0</v>
      </c>
      <c r="X209" s="58" t="n">
        <f aca="false">MAX(0,B209-D209-F209)</f>
        <v>0</v>
      </c>
      <c r="Y209" s="58" t="n">
        <f aca="false">MAX(0,C209-E209-G209)</f>
        <v>0</v>
      </c>
      <c r="Z209" s="59" t="n">
        <f aca="false">D209+X209*TASA_USADA</f>
        <v>0</v>
      </c>
      <c r="AA209" s="59" t="n">
        <f aca="false">E209+Y209*TASA_USADA</f>
        <v>0</v>
      </c>
      <c r="AB209" s="59" t="n">
        <f aca="false">F209+G209+(X209+Y209)*(1-TASA_USADA)</f>
        <v>0</v>
      </c>
      <c r="AC209" s="60" t="n">
        <f aca="false">Z209*P1_PVP+AA209*P2_PVP</f>
        <v>0</v>
      </c>
      <c r="AD209" s="60" t="n">
        <f aca="false">Z209*P1_CPROD+AA209*P2_CPROD</f>
        <v>0</v>
      </c>
      <c r="AE209" s="60" t="n">
        <f aca="false">IF(ISNUMBER(I209),I209,D209*P1_LOG+E209*P2_LOG)+IF(ISNUMBER(J209),J209,X209*P1_LOG+Y209*P2_LOG)*TASA_USADA</f>
        <v>0</v>
      </c>
      <c r="AF209" s="60" t="n">
        <f aca="false">AB209*COSTE_DEV</f>
        <v>0</v>
      </c>
      <c r="AG209" s="60" t="n">
        <f aca="false">Z209*P1_IVAN+AA209*P2_IVAN-AB209*IVA_DEV</f>
        <v>0</v>
      </c>
      <c r="AH209" s="60" t="n">
        <f aca="false">K209*(1+RECARGO_ADS)</f>
        <v>0</v>
      </c>
      <c r="AI209" s="58" t="n">
        <f aca="false">IF(ISNUMBER(I209),D209+E209+X209+Y209,0)</f>
        <v>0</v>
      </c>
      <c r="AJ209" s="60" t="n">
        <f aca="false">M209*COMISION</f>
        <v>0</v>
      </c>
    </row>
    <row r="210" customFormat="false" ht="15" hidden="false" customHeight="false" outlineLevel="0" collapsed="false">
      <c r="A210" s="53" t="n">
        <v>46504</v>
      </c>
      <c r="B210" s="54"/>
      <c r="C210" s="54"/>
      <c r="D210" s="54"/>
      <c r="E210" s="54"/>
      <c r="F210" s="54"/>
      <c r="G210" s="54"/>
      <c r="H210" s="54"/>
      <c r="I210" s="55"/>
      <c r="J210" s="55"/>
      <c r="K210" s="55"/>
      <c r="L210" s="56"/>
      <c r="M210" s="31" t="n">
        <f aca="false">B210+C210</f>
        <v>0</v>
      </c>
      <c r="N210" s="31" t="n">
        <f aca="false">X210+Y210</f>
        <v>0</v>
      </c>
      <c r="O210" s="32" t="n">
        <f aca="false">B210*P1_PVP+C210*P2_PVP</f>
        <v>0</v>
      </c>
      <c r="P210" s="32" t="str">
        <f aca="false">IF(M210&gt;0,O210/M210,"")</f>
        <v/>
      </c>
      <c r="Q210" s="32" t="str">
        <f aca="false">IF(M210&gt;0,K210/M210,"")</f>
        <v/>
      </c>
      <c r="R210" s="57" t="str">
        <f aca="false">IF(K210&gt;0,O210/K210,"")</f>
        <v/>
      </c>
      <c r="S210" s="34" t="str">
        <f aca="false">IF(D210+E210+F210+G210&gt;0,(D210+E210)/(D210+E210+F210+G210),"")</f>
        <v/>
      </c>
      <c r="T210" s="33" t="n">
        <f aca="false">D210*(P1_PVP-P1_CPROD)+E210*(P2_PVP-P2_CPROD)-IF(ISNUMBER(I210),I210,D210*P1_LOG+E210*P2_LOG)</f>
        <v>0</v>
      </c>
      <c r="U210" s="33" t="n">
        <f aca="false">T210-(D210*P1_IVAN+E210*P2_IVAN)-(F210+G210)*(COSTE_DEV-IVA_DEV)-AH210-AJ210</f>
        <v>0</v>
      </c>
      <c r="V210" s="33" t="n">
        <f aca="false">AC210-AD210-AE210-AF210-AG210-AH210-AJ210</f>
        <v>0</v>
      </c>
      <c r="X210" s="58" t="n">
        <f aca="false">MAX(0,B210-D210-F210)</f>
        <v>0</v>
      </c>
      <c r="Y210" s="58" t="n">
        <f aca="false">MAX(0,C210-E210-G210)</f>
        <v>0</v>
      </c>
      <c r="Z210" s="59" t="n">
        <f aca="false">D210+X210*TASA_USADA</f>
        <v>0</v>
      </c>
      <c r="AA210" s="59" t="n">
        <f aca="false">E210+Y210*TASA_USADA</f>
        <v>0</v>
      </c>
      <c r="AB210" s="59" t="n">
        <f aca="false">F210+G210+(X210+Y210)*(1-TASA_USADA)</f>
        <v>0</v>
      </c>
      <c r="AC210" s="60" t="n">
        <f aca="false">Z210*P1_PVP+AA210*P2_PVP</f>
        <v>0</v>
      </c>
      <c r="AD210" s="60" t="n">
        <f aca="false">Z210*P1_CPROD+AA210*P2_CPROD</f>
        <v>0</v>
      </c>
      <c r="AE210" s="60" t="n">
        <f aca="false">IF(ISNUMBER(I210),I210,D210*P1_LOG+E210*P2_LOG)+IF(ISNUMBER(J210),J210,X210*P1_LOG+Y210*P2_LOG)*TASA_USADA</f>
        <v>0</v>
      </c>
      <c r="AF210" s="60" t="n">
        <f aca="false">AB210*COSTE_DEV</f>
        <v>0</v>
      </c>
      <c r="AG210" s="60" t="n">
        <f aca="false">Z210*P1_IVAN+AA210*P2_IVAN-AB210*IVA_DEV</f>
        <v>0</v>
      </c>
      <c r="AH210" s="60" t="n">
        <f aca="false">K210*(1+RECARGO_ADS)</f>
        <v>0</v>
      </c>
      <c r="AI210" s="58" t="n">
        <f aca="false">IF(ISNUMBER(I210),D210+E210+X210+Y210,0)</f>
        <v>0</v>
      </c>
      <c r="AJ210" s="60" t="n">
        <f aca="false">M210*COMISION</f>
        <v>0</v>
      </c>
    </row>
    <row r="211" customFormat="false" ht="15" hidden="false" customHeight="false" outlineLevel="0" collapsed="false">
      <c r="A211" s="53" t="n">
        <v>46505</v>
      </c>
      <c r="B211" s="54"/>
      <c r="C211" s="54"/>
      <c r="D211" s="54"/>
      <c r="E211" s="54"/>
      <c r="F211" s="54"/>
      <c r="G211" s="54"/>
      <c r="H211" s="54"/>
      <c r="I211" s="55"/>
      <c r="J211" s="55"/>
      <c r="K211" s="55"/>
      <c r="L211" s="56"/>
      <c r="M211" s="31" t="n">
        <f aca="false">B211+C211</f>
        <v>0</v>
      </c>
      <c r="N211" s="31" t="n">
        <f aca="false">X211+Y211</f>
        <v>0</v>
      </c>
      <c r="O211" s="32" t="n">
        <f aca="false">B211*P1_PVP+C211*P2_PVP</f>
        <v>0</v>
      </c>
      <c r="P211" s="32" t="str">
        <f aca="false">IF(M211&gt;0,O211/M211,"")</f>
        <v/>
      </c>
      <c r="Q211" s="32" t="str">
        <f aca="false">IF(M211&gt;0,K211/M211,"")</f>
        <v/>
      </c>
      <c r="R211" s="57" t="str">
        <f aca="false">IF(K211&gt;0,O211/K211,"")</f>
        <v/>
      </c>
      <c r="S211" s="34" t="str">
        <f aca="false">IF(D211+E211+F211+G211&gt;0,(D211+E211)/(D211+E211+F211+G211),"")</f>
        <v/>
      </c>
      <c r="T211" s="33" t="n">
        <f aca="false">D211*(P1_PVP-P1_CPROD)+E211*(P2_PVP-P2_CPROD)-IF(ISNUMBER(I211),I211,D211*P1_LOG+E211*P2_LOG)</f>
        <v>0</v>
      </c>
      <c r="U211" s="33" t="n">
        <f aca="false">T211-(D211*P1_IVAN+E211*P2_IVAN)-(F211+G211)*(COSTE_DEV-IVA_DEV)-AH211-AJ211</f>
        <v>0</v>
      </c>
      <c r="V211" s="33" t="n">
        <f aca="false">AC211-AD211-AE211-AF211-AG211-AH211-AJ211</f>
        <v>0</v>
      </c>
      <c r="X211" s="58" t="n">
        <f aca="false">MAX(0,B211-D211-F211)</f>
        <v>0</v>
      </c>
      <c r="Y211" s="58" t="n">
        <f aca="false">MAX(0,C211-E211-G211)</f>
        <v>0</v>
      </c>
      <c r="Z211" s="59" t="n">
        <f aca="false">D211+X211*TASA_USADA</f>
        <v>0</v>
      </c>
      <c r="AA211" s="59" t="n">
        <f aca="false">E211+Y211*TASA_USADA</f>
        <v>0</v>
      </c>
      <c r="AB211" s="59" t="n">
        <f aca="false">F211+G211+(X211+Y211)*(1-TASA_USADA)</f>
        <v>0</v>
      </c>
      <c r="AC211" s="60" t="n">
        <f aca="false">Z211*P1_PVP+AA211*P2_PVP</f>
        <v>0</v>
      </c>
      <c r="AD211" s="60" t="n">
        <f aca="false">Z211*P1_CPROD+AA211*P2_CPROD</f>
        <v>0</v>
      </c>
      <c r="AE211" s="60" t="n">
        <f aca="false">IF(ISNUMBER(I211),I211,D211*P1_LOG+E211*P2_LOG)+IF(ISNUMBER(J211),J211,X211*P1_LOG+Y211*P2_LOG)*TASA_USADA</f>
        <v>0</v>
      </c>
      <c r="AF211" s="60" t="n">
        <f aca="false">AB211*COSTE_DEV</f>
        <v>0</v>
      </c>
      <c r="AG211" s="60" t="n">
        <f aca="false">Z211*P1_IVAN+AA211*P2_IVAN-AB211*IVA_DEV</f>
        <v>0</v>
      </c>
      <c r="AH211" s="60" t="n">
        <f aca="false">K211*(1+RECARGO_ADS)</f>
        <v>0</v>
      </c>
      <c r="AI211" s="58" t="n">
        <f aca="false">IF(ISNUMBER(I211),D211+E211+X211+Y211,0)</f>
        <v>0</v>
      </c>
      <c r="AJ211" s="60" t="n">
        <f aca="false">M211*COMISION</f>
        <v>0</v>
      </c>
    </row>
    <row r="212" customFormat="false" ht="15" hidden="false" customHeight="false" outlineLevel="0" collapsed="false">
      <c r="A212" s="53" t="n">
        <v>46506</v>
      </c>
      <c r="B212" s="54"/>
      <c r="C212" s="54"/>
      <c r="D212" s="54"/>
      <c r="E212" s="54"/>
      <c r="F212" s="54"/>
      <c r="G212" s="54"/>
      <c r="H212" s="54"/>
      <c r="I212" s="55"/>
      <c r="J212" s="55"/>
      <c r="K212" s="55"/>
      <c r="L212" s="56"/>
      <c r="M212" s="31" t="n">
        <f aca="false">B212+C212</f>
        <v>0</v>
      </c>
      <c r="N212" s="31" t="n">
        <f aca="false">X212+Y212</f>
        <v>0</v>
      </c>
      <c r="O212" s="32" t="n">
        <f aca="false">B212*P1_PVP+C212*P2_PVP</f>
        <v>0</v>
      </c>
      <c r="P212" s="32" t="str">
        <f aca="false">IF(M212&gt;0,O212/M212,"")</f>
        <v/>
      </c>
      <c r="Q212" s="32" t="str">
        <f aca="false">IF(M212&gt;0,K212/M212,"")</f>
        <v/>
      </c>
      <c r="R212" s="57" t="str">
        <f aca="false">IF(K212&gt;0,O212/K212,"")</f>
        <v/>
      </c>
      <c r="S212" s="34" t="str">
        <f aca="false">IF(D212+E212+F212+G212&gt;0,(D212+E212)/(D212+E212+F212+G212),"")</f>
        <v/>
      </c>
      <c r="T212" s="33" t="n">
        <f aca="false">D212*(P1_PVP-P1_CPROD)+E212*(P2_PVP-P2_CPROD)-IF(ISNUMBER(I212),I212,D212*P1_LOG+E212*P2_LOG)</f>
        <v>0</v>
      </c>
      <c r="U212" s="33" t="n">
        <f aca="false">T212-(D212*P1_IVAN+E212*P2_IVAN)-(F212+G212)*(COSTE_DEV-IVA_DEV)-AH212-AJ212</f>
        <v>0</v>
      </c>
      <c r="V212" s="33" t="n">
        <f aca="false">AC212-AD212-AE212-AF212-AG212-AH212-AJ212</f>
        <v>0</v>
      </c>
      <c r="X212" s="58" t="n">
        <f aca="false">MAX(0,B212-D212-F212)</f>
        <v>0</v>
      </c>
      <c r="Y212" s="58" t="n">
        <f aca="false">MAX(0,C212-E212-G212)</f>
        <v>0</v>
      </c>
      <c r="Z212" s="59" t="n">
        <f aca="false">D212+X212*TASA_USADA</f>
        <v>0</v>
      </c>
      <c r="AA212" s="59" t="n">
        <f aca="false">E212+Y212*TASA_USADA</f>
        <v>0</v>
      </c>
      <c r="AB212" s="59" t="n">
        <f aca="false">F212+G212+(X212+Y212)*(1-TASA_USADA)</f>
        <v>0</v>
      </c>
      <c r="AC212" s="60" t="n">
        <f aca="false">Z212*P1_PVP+AA212*P2_PVP</f>
        <v>0</v>
      </c>
      <c r="AD212" s="60" t="n">
        <f aca="false">Z212*P1_CPROD+AA212*P2_CPROD</f>
        <v>0</v>
      </c>
      <c r="AE212" s="60" t="n">
        <f aca="false">IF(ISNUMBER(I212),I212,D212*P1_LOG+E212*P2_LOG)+IF(ISNUMBER(J212),J212,X212*P1_LOG+Y212*P2_LOG)*TASA_USADA</f>
        <v>0</v>
      </c>
      <c r="AF212" s="60" t="n">
        <f aca="false">AB212*COSTE_DEV</f>
        <v>0</v>
      </c>
      <c r="AG212" s="60" t="n">
        <f aca="false">Z212*P1_IVAN+AA212*P2_IVAN-AB212*IVA_DEV</f>
        <v>0</v>
      </c>
      <c r="AH212" s="60" t="n">
        <f aca="false">K212*(1+RECARGO_ADS)</f>
        <v>0</v>
      </c>
      <c r="AI212" s="58" t="n">
        <f aca="false">IF(ISNUMBER(I212),D212+E212+X212+Y212,0)</f>
        <v>0</v>
      </c>
      <c r="AJ212" s="60" t="n">
        <f aca="false">M212*COMISION</f>
        <v>0</v>
      </c>
    </row>
    <row r="213" customFormat="false" ht="15" hidden="false" customHeight="false" outlineLevel="0" collapsed="false">
      <c r="A213" s="53" t="n">
        <v>46507</v>
      </c>
      <c r="B213" s="54"/>
      <c r="C213" s="54"/>
      <c r="D213" s="54"/>
      <c r="E213" s="54"/>
      <c r="F213" s="54"/>
      <c r="G213" s="54"/>
      <c r="H213" s="54"/>
      <c r="I213" s="55"/>
      <c r="J213" s="55"/>
      <c r="K213" s="55"/>
      <c r="L213" s="56"/>
      <c r="M213" s="31" t="n">
        <f aca="false">B213+C213</f>
        <v>0</v>
      </c>
      <c r="N213" s="31" t="n">
        <f aca="false">X213+Y213</f>
        <v>0</v>
      </c>
      <c r="O213" s="32" t="n">
        <f aca="false">B213*P1_PVP+C213*P2_PVP</f>
        <v>0</v>
      </c>
      <c r="P213" s="32" t="str">
        <f aca="false">IF(M213&gt;0,O213/M213,"")</f>
        <v/>
      </c>
      <c r="Q213" s="32" t="str">
        <f aca="false">IF(M213&gt;0,K213/M213,"")</f>
        <v/>
      </c>
      <c r="R213" s="57" t="str">
        <f aca="false">IF(K213&gt;0,O213/K213,"")</f>
        <v/>
      </c>
      <c r="S213" s="34" t="str">
        <f aca="false">IF(D213+E213+F213+G213&gt;0,(D213+E213)/(D213+E213+F213+G213),"")</f>
        <v/>
      </c>
      <c r="T213" s="33" t="n">
        <f aca="false">D213*(P1_PVP-P1_CPROD)+E213*(P2_PVP-P2_CPROD)-IF(ISNUMBER(I213),I213,D213*P1_LOG+E213*P2_LOG)</f>
        <v>0</v>
      </c>
      <c r="U213" s="33" t="n">
        <f aca="false">T213-(D213*P1_IVAN+E213*P2_IVAN)-(F213+G213)*(COSTE_DEV-IVA_DEV)-AH213-AJ213</f>
        <v>0</v>
      </c>
      <c r="V213" s="33" t="n">
        <f aca="false">AC213-AD213-AE213-AF213-AG213-AH213-AJ213</f>
        <v>0</v>
      </c>
      <c r="X213" s="58" t="n">
        <f aca="false">MAX(0,B213-D213-F213)</f>
        <v>0</v>
      </c>
      <c r="Y213" s="58" t="n">
        <f aca="false">MAX(0,C213-E213-G213)</f>
        <v>0</v>
      </c>
      <c r="Z213" s="59" t="n">
        <f aca="false">D213+X213*TASA_USADA</f>
        <v>0</v>
      </c>
      <c r="AA213" s="59" t="n">
        <f aca="false">E213+Y213*TASA_USADA</f>
        <v>0</v>
      </c>
      <c r="AB213" s="59" t="n">
        <f aca="false">F213+G213+(X213+Y213)*(1-TASA_USADA)</f>
        <v>0</v>
      </c>
      <c r="AC213" s="60" t="n">
        <f aca="false">Z213*P1_PVP+AA213*P2_PVP</f>
        <v>0</v>
      </c>
      <c r="AD213" s="60" t="n">
        <f aca="false">Z213*P1_CPROD+AA213*P2_CPROD</f>
        <v>0</v>
      </c>
      <c r="AE213" s="60" t="n">
        <f aca="false">IF(ISNUMBER(I213),I213,D213*P1_LOG+E213*P2_LOG)+IF(ISNUMBER(J213),J213,X213*P1_LOG+Y213*P2_LOG)*TASA_USADA</f>
        <v>0</v>
      </c>
      <c r="AF213" s="60" t="n">
        <f aca="false">AB213*COSTE_DEV</f>
        <v>0</v>
      </c>
      <c r="AG213" s="60" t="n">
        <f aca="false">Z213*P1_IVAN+AA213*P2_IVAN-AB213*IVA_DEV</f>
        <v>0</v>
      </c>
      <c r="AH213" s="60" t="n">
        <f aca="false">K213*(1+RECARGO_ADS)</f>
        <v>0</v>
      </c>
      <c r="AI213" s="58" t="n">
        <f aca="false">IF(ISNUMBER(I213),D213+E213+X213+Y213,0)</f>
        <v>0</v>
      </c>
      <c r="AJ213" s="60" t="n">
        <f aca="false">M213*COMISION</f>
        <v>0</v>
      </c>
    </row>
    <row r="214" customFormat="false" ht="15" hidden="false" customHeight="false" outlineLevel="0" collapsed="false">
      <c r="A214" s="53" t="n">
        <v>46508</v>
      </c>
      <c r="B214" s="54"/>
      <c r="C214" s="54"/>
      <c r="D214" s="54"/>
      <c r="E214" s="54"/>
      <c r="F214" s="54"/>
      <c r="G214" s="54"/>
      <c r="H214" s="54"/>
      <c r="I214" s="55"/>
      <c r="J214" s="55"/>
      <c r="K214" s="55"/>
      <c r="L214" s="56"/>
      <c r="M214" s="31" t="n">
        <f aca="false">B214+C214</f>
        <v>0</v>
      </c>
      <c r="N214" s="31" t="n">
        <f aca="false">X214+Y214</f>
        <v>0</v>
      </c>
      <c r="O214" s="32" t="n">
        <f aca="false">B214*P1_PVP+C214*P2_PVP</f>
        <v>0</v>
      </c>
      <c r="P214" s="32" t="str">
        <f aca="false">IF(M214&gt;0,O214/M214,"")</f>
        <v/>
      </c>
      <c r="Q214" s="32" t="str">
        <f aca="false">IF(M214&gt;0,K214/M214,"")</f>
        <v/>
      </c>
      <c r="R214" s="57" t="str">
        <f aca="false">IF(K214&gt;0,O214/K214,"")</f>
        <v/>
      </c>
      <c r="S214" s="34" t="str">
        <f aca="false">IF(D214+E214+F214+G214&gt;0,(D214+E214)/(D214+E214+F214+G214),"")</f>
        <v/>
      </c>
      <c r="T214" s="33" t="n">
        <f aca="false">D214*(P1_PVP-P1_CPROD)+E214*(P2_PVP-P2_CPROD)-IF(ISNUMBER(I214),I214,D214*P1_LOG+E214*P2_LOG)</f>
        <v>0</v>
      </c>
      <c r="U214" s="33" t="n">
        <f aca="false">T214-(D214*P1_IVAN+E214*P2_IVAN)-(F214+G214)*(COSTE_DEV-IVA_DEV)-AH214-AJ214</f>
        <v>0</v>
      </c>
      <c r="V214" s="33" t="n">
        <f aca="false">AC214-AD214-AE214-AF214-AG214-AH214-AJ214</f>
        <v>0</v>
      </c>
      <c r="X214" s="58" t="n">
        <f aca="false">MAX(0,B214-D214-F214)</f>
        <v>0</v>
      </c>
      <c r="Y214" s="58" t="n">
        <f aca="false">MAX(0,C214-E214-G214)</f>
        <v>0</v>
      </c>
      <c r="Z214" s="59" t="n">
        <f aca="false">D214+X214*TASA_USADA</f>
        <v>0</v>
      </c>
      <c r="AA214" s="59" t="n">
        <f aca="false">E214+Y214*TASA_USADA</f>
        <v>0</v>
      </c>
      <c r="AB214" s="59" t="n">
        <f aca="false">F214+G214+(X214+Y214)*(1-TASA_USADA)</f>
        <v>0</v>
      </c>
      <c r="AC214" s="60" t="n">
        <f aca="false">Z214*P1_PVP+AA214*P2_PVP</f>
        <v>0</v>
      </c>
      <c r="AD214" s="60" t="n">
        <f aca="false">Z214*P1_CPROD+AA214*P2_CPROD</f>
        <v>0</v>
      </c>
      <c r="AE214" s="60" t="n">
        <f aca="false">IF(ISNUMBER(I214),I214,D214*P1_LOG+E214*P2_LOG)+IF(ISNUMBER(J214),J214,X214*P1_LOG+Y214*P2_LOG)*TASA_USADA</f>
        <v>0</v>
      </c>
      <c r="AF214" s="60" t="n">
        <f aca="false">AB214*COSTE_DEV</f>
        <v>0</v>
      </c>
      <c r="AG214" s="60" t="n">
        <f aca="false">Z214*P1_IVAN+AA214*P2_IVAN-AB214*IVA_DEV</f>
        <v>0</v>
      </c>
      <c r="AH214" s="60" t="n">
        <f aca="false">K214*(1+RECARGO_ADS)</f>
        <v>0</v>
      </c>
      <c r="AI214" s="58" t="n">
        <f aca="false">IF(ISNUMBER(I214),D214+E214+X214+Y214,0)</f>
        <v>0</v>
      </c>
      <c r="AJ214" s="60" t="n">
        <f aca="false">M214*COMISION</f>
        <v>0</v>
      </c>
    </row>
    <row r="215" customFormat="false" ht="15" hidden="false" customHeight="false" outlineLevel="0" collapsed="false">
      <c r="A215" s="53" t="n">
        <v>46509</v>
      </c>
      <c r="B215" s="54"/>
      <c r="C215" s="54"/>
      <c r="D215" s="54"/>
      <c r="E215" s="54"/>
      <c r="F215" s="54"/>
      <c r="G215" s="54"/>
      <c r="H215" s="54"/>
      <c r="I215" s="55"/>
      <c r="J215" s="55"/>
      <c r="K215" s="55"/>
      <c r="L215" s="56"/>
      <c r="M215" s="31" t="n">
        <f aca="false">B215+C215</f>
        <v>0</v>
      </c>
      <c r="N215" s="31" t="n">
        <f aca="false">X215+Y215</f>
        <v>0</v>
      </c>
      <c r="O215" s="32" t="n">
        <f aca="false">B215*P1_PVP+C215*P2_PVP</f>
        <v>0</v>
      </c>
      <c r="P215" s="32" t="str">
        <f aca="false">IF(M215&gt;0,O215/M215,"")</f>
        <v/>
      </c>
      <c r="Q215" s="32" t="str">
        <f aca="false">IF(M215&gt;0,K215/M215,"")</f>
        <v/>
      </c>
      <c r="R215" s="57" t="str">
        <f aca="false">IF(K215&gt;0,O215/K215,"")</f>
        <v/>
      </c>
      <c r="S215" s="34" t="str">
        <f aca="false">IF(D215+E215+F215+G215&gt;0,(D215+E215)/(D215+E215+F215+G215),"")</f>
        <v/>
      </c>
      <c r="T215" s="33" t="n">
        <f aca="false">D215*(P1_PVP-P1_CPROD)+E215*(P2_PVP-P2_CPROD)-IF(ISNUMBER(I215),I215,D215*P1_LOG+E215*P2_LOG)</f>
        <v>0</v>
      </c>
      <c r="U215" s="33" t="n">
        <f aca="false">T215-(D215*P1_IVAN+E215*P2_IVAN)-(F215+G215)*(COSTE_DEV-IVA_DEV)-AH215-AJ215</f>
        <v>0</v>
      </c>
      <c r="V215" s="33" t="n">
        <f aca="false">AC215-AD215-AE215-AF215-AG215-AH215-AJ215</f>
        <v>0</v>
      </c>
      <c r="X215" s="58" t="n">
        <f aca="false">MAX(0,B215-D215-F215)</f>
        <v>0</v>
      </c>
      <c r="Y215" s="58" t="n">
        <f aca="false">MAX(0,C215-E215-G215)</f>
        <v>0</v>
      </c>
      <c r="Z215" s="59" t="n">
        <f aca="false">D215+X215*TASA_USADA</f>
        <v>0</v>
      </c>
      <c r="AA215" s="59" t="n">
        <f aca="false">E215+Y215*TASA_USADA</f>
        <v>0</v>
      </c>
      <c r="AB215" s="59" t="n">
        <f aca="false">F215+G215+(X215+Y215)*(1-TASA_USADA)</f>
        <v>0</v>
      </c>
      <c r="AC215" s="60" t="n">
        <f aca="false">Z215*P1_PVP+AA215*P2_PVP</f>
        <v>0</v>
      </c>
      <c r="AD215" s="60" t="n">
        <f aca="false">Z215*P1_CPROD+AA215*P2_CPROD</f>
        <v>0</v>
      </c>
      <c r="AE215" s="60" t="n">
        <f aca="false">IF(ISNUMBER(I215),I215,D215*P1_LOG+E215*P2_LOG)+IF(ISNUMBER(J215),J215,X215*P1_LOG+Y215*P2_LOG)*TASA_USADA</f>
        <v>0</v>
      </c>
      <c r="AF215" s="60" t="n">
        <f aca="false">AB215*COSTE_DEV</f>
        <v>0</v>
      </c>
      <c r="AG215" s="60" t="n">
        <f aca="false">Z215*P1_IVAN+AA215*P2_IVAN-AB215*IVA_DEV</f>
        <v>0</v>
      </c>
      <c r="AH215" s="60" t="n">
        <f aca="false">K215*(1+RECARGO_ADS)</f>
        <v>0</v>
      </c>
      <c r="AI215" s="58" t="n">
        <f aca="false">IF(ISNUMBER(I215),D215+E215+X215+Y215,0)</f>
        <v>0</v>
      </c>
      <c r="AJ215" s="60" t="n">
        <f aca="false">M215*COMISION</f>
        <v>0</v>
      </c>
    </row>
    <row r="216" customFormat="false" ht="15" hidden="false" customHeight="false" outlineLevel="0" collapsed="false">
      <c r="A216" s="53" t="n">
        <v>46510</v>
      </c>
      <c r="B216" s="54"/>
      <c r="C216" s="54"/>
      <c r="D216" s="54"/>
      <c r="E216" s="54"/>
      <c r="F216" s="54"/>
      <c r="G216" s="54"/>
      <c r="H216" s="54"/>
      <c r="I216" s="55"/>
      <c r="J216" s="55"/>
      <c r="K216" s="55"/>
      <c r="L216" s="56"/>
      <c r="M216" s="31" t="n">
        <f aca="false">B216+C216</f>
        <v>0</v>
      </c>
      <c r="N216" s="31" t="n">
        <f aca="false">X216+Y216</f>
        <v>0</v>
      </c>
      <c r="O216" s="32" t="n">
        <f aca="false">B216*P1_PVP+C216*P2_PVP</f>
        <v>0</v>
      </c>
      <c r="P216" s="32" t="str">
        <f aca="false">IF(M216&gt;0,O216/M216,"")</f>
        <v/>
      </c>
      <c r="Q216" s="32" t="str">
        <f aca="false">IF(M216&gt;0,K216/M216,"")</f>
        <v/>
      </c>
      <c r="R216" s="57" t="str">
        <f aca="false">IF(K216&gt;0,O216/K216,"")</f>
        <v/>
      </c>
      <c r="S216" s="34" t="str">
        <f aca="false">IF(D216+E216+F216+G216&gt;0,(D216+E216)/(D216+E216+F216+G216),"")</f>
        <v/>
      </c>
      <c r="T216" s="33" t="n">
        <f aca="false">D216*(P1_PVP-P1_CPROD)+E216*(P2_PVP-P2_CPROD)-IF(ISNUMBER(I216),I216,D216*P1_LOG+E216*P2_LOG)</f>
        <v>0</v>
      </c>
      <c r="U216" s="33" t="n">
        <f aca="false">T216-(D216*P1_IVAN+E216*P2_IVAN)-(F216+G216)*(COSTE_DEV-IVA_DEV)-AH216-AJ216</f>
        <v>0</v>
      </c>
      <c r="V216" s="33" t="n">
        <f aca="false">AC216-AD216-AE216-AF216-AG216-AH216-AJ216</f>
        <v>0</v>
      </c>
      <c r="X216" s="58" t="n">
        <f aca="false">MAX(0,B216-D216-F216)</f>
        <v>0</v>
      </c>
      <c r="Y216" s="58" t="n">
        <f aca="false">MAX(0,C216-E216-G216)</f>
        <v>0</v>
      </c>
      <c r="Z216" s="59" t="n">
        <f aca="false">D216+X216*TASA_USADA</f>
        <v>0</v>
      </c>
      <c r="AA216" s="59" t="n">
        <f aca="false">E216+Y216*TASA_USADA</f>
        <v>0</v>
      </c>
      <c r="AB216" s="59" t="n">
        <f aca="false">F216+G216+(X216+Y216)*(1-TASA_USADA)</f>
        <v>0</v>
      </c>
      <c r="AC216" s="60" t="n">
        <f aca="false">Z216*P1_PVP+AA216*P2_PVP</f>
        <v>0</v>
      </c>
      <c r="AD216" s="60" t="n">
        <f aca="false">Z216*P1_CPROD+AA216*P2_CPROD</f>
        <v>0</v>
      </c>
      <c r="AE216" s="60" t="n">
        <f aca="false">IF(ISNUMBER(I216),I216,D216*P1_LOG+E216*P2_LOG)+IF(ISNUMBER(J216),J216,X216*P1_LOG+Y216*P2_LOG)*TASA_USADA</f>
        <v>0</v>
      </c>
      <c r="AF216" s="60" t="n">
        <f aca="false">AB216*COSTE_DEV</f>
        <v>0</v>
      </c>
      <c r="AG216" s="60" t="n">
        <f aca="false">Z216*P1_IVAN+AA216*P2_IVAN-AB216*IVA_DEV</f>
        <v>0</v>
      </c>
      <c r="AH216" s="60" t="n">
        <f aca="false">K216*(1+RECARGO_ADS)</f>
        <v>0</v>
      </c>
      <c r="AI216" s="58" t="n">
        <f aca="false">IF(ISNUMBER(I216),D216+E216+X216+Y216,0)</f>
        <v>0</v>
      </c>
      <c r="AJ216" s="60" t="n">
        <f aca="false">M216*COMISION</f>
        <v>0</v>
      </c>
    </row>
    <row r="217" customFormat="false" ht="15" hidden="false" customHeight="false" outlineLevel="0" collapsed="false">
      <c r="A217" s="53" t="n">
        <v>46511</v>
      </c>
      <c r="B217" s="54"/>
      <c r="C217" s="54"/>
      <c r="D217" s="54"/>
      <c r="E217" s="54"/>
      <c r="F217" s="54"/>
      <c r="G217" s="54"/>
      <c r="H217" s="54"/>
      <c r="I217" s="55"/>
      <c r="J217" s="55"/>
      <c r="K217" s="55"/>
      <c r="L217" s="56"/>
      <c r="M217" s="31" t="n">
        <f aca="false">B217+C217</f>
        <v>0</v>
      </c>
      <c r="N217" s="31" t="n">
        <f aca="false">X217+Y217</f>
        <v>0</v>
      </c>
      <c r="O217" s="32" t="n">
        <f aca="false">B217*P1_PVP+C217*P2_PVP</f>
        <v>0</v>
      </c>
      <c r="P217" s="32" t="str">
        <f aca="false">IF(M217&gt;0,O217/M217,"")</f>
        <v/>
      </c>
      <c r="Q217" s="32" t="str">
        <f aca="false">IF(M217&gt;0,K217/M217,"")</f>
        <v/>
      </c>
      <c r="R217" s="57" t="str">
        <f aca="false">IF(K217&gt;0,O217/K217,"")</f>
        <v/>
      </c>
      <c r="S217" s="34" t="str">
        <f aca="false">IF(D217+E217+F217+G217&gt;0,(D217+E217)/(D217+E217+F217+G217),"")</f>
        <v/>
      </c>
      <c r="T217" s="33" t="n">
        <f aca="false">D217*(P1_PVP-P1_CPROD)+E217*(P2_PVP-P2_CPROD)-IF(ISNUMBER(I217),I217,D217*P1_LOG+E217*P2_LOG)</f>
        <v>0</v>
      </c>
      <c r="U217" s="33" t="n">
        <f aca="false">T217-(D217*P1_IVAN+E217*P2_IVAN)-(F217+G217)*(COSTE_DEV-IVA_DEV)-AH217-AJ217</f>
        <v>0</v>
      </c>
      <c r="V217" s="33" t="n">
        <f aca="false">AC217-AD217-AE217-AF217-AG217-AH217-AJ217</f>
        <v>0</v>
      </c>
      <c r="X217" s="58" t="n">
        <f aca="false">MAX(0,B217-D217-F217)</f>
        <v>0</v>
      </c>
      <c r="Y217" s="58" t="n">
        <f aca="false">MAX(0,C217-E217-G217)</f>
        <v>0</v>
      </c>
      <c r="Z217" s="59" t="n">
        <f aca="false">D217+X217*TASA_USADA</f>
        <v>0</v>
      </c>
      <c r="AA217" s="59" t="n">
        <f aca="false">E217+Y217*TASA_USADA</f>
        <v>0</v>
      </c>
      <c r="AB217" s="59" t="n">
        <f aca="false">F217+G217+(X217+Y217)*(1-TASA_USADA)</f>
        <v>0</v>
      </c>
      <c r="AC217" s="60" t="n">
        <f aca="false">Z217*P1_PVP+AA217*P2_PVP</f>
        <v>0</v>
      </c>
      <c r="AD217" s="60" t="n">
        <f aca="false">Z217*P1_CPROD+AA217*P2_CPROD</f>
        <v>0</v>
      </c>
      <c r="AE217" s="60" t="n">
        <f aca="false">IF(ISNUMBER(I217),I217,D217*P1_LOG+E217*P2_LOG)+IF(ISNUMBER(J217),J217,X217*P1_LOG+Y217*P2_LOG)*TASA_USADA</f>
        <v>0</v>
      </c>
      <c r="AF217" s="60" t="n">
        <f aca="false">AB217*COSTE_DEV</f>
        <v>0</v>
      </c>
      <c r="AG217" s="60" t="n">
        <f aca="false">Z217*P1_IVAN+AA217*P2_IVAN-AB217*IVA_DEV</f>
        <v>0</v>
      </c>
      <c r="AH217" s="60" t="n">
        <f aca="false">K217*(1+RECARGO_ADS)</f>
        <v>0</v>
      </c>
      <c r="AI217" s="58" t="n">
        <f aca="false">IF(ISNUMBER(I217),D217+E217+X217+Y217,0)</f>
        <v>0</v>
      </c>
      <c r="AJ217" s="60" t="n">
        <f aca="false">M217*COMISION</f>
        <v>0</v>
      </c>
    </row>
    <row r="218" customFormat="false" ht="15" hidden="false" customHeight="false" outlineLevel="0" collapsed="false">
      <c r="A218" s="53" t="n">
        <v>46512</v>
      </c>
      <c r="B218" s="54"/>
      <c r="C218" s="54"/>
      <c r="D218" s="54"/>
      <c r="E218" s="54"/>
      <c r="F218" s="54"/>
      <c r="G218" s="54"/>
      <c r="H218" s="54"/>
      <c r="I218" s="55"/>
      <c r="J218" s="55"/>
      <c r="K218" s="55"/>
      <c r="L218" s="56"/>
      <c r="M218" s="31" t="n">
        <f aca="false">B218+C218</f>
        <v>0</v>
      </c>
      <c r="N218" s="31" t="n">
        <f aca="false">X218+Y218</f>
        <v>0</v>
      </c>
      <c r="O218" s="32" t="n">
        <f aca="false">B218*P1_PVP+C218*P2_PVP</f>
        <v>0</v>
      </c>
      <c r="P218" s="32" t="str">
        <f aca="false">IF(M218&gt;0,O218/M218,"")</f>
        <v/>
      </c>
      <c r="Q218" s="32" t="str">
        <f aca="false">IF(M218&gt;0,K218/M218,"")</f>
        <v/>
      </c>
      <c r="R218" s="57" t="str">
        <f aca="false">IF(K218&gt;0,O218/K218,"")</f>
        <v/>
      </c>
      <c r="S218" s="34" t="str">
        <f aca="false">IF(D218+E218+F218+G218&gt;0,(D218+E218)/(D218+E218+F218+G218),"")</f>
        <v/>
      </c>
      <c r="T218" s="33" t="n">
        <f aca="false">D218*(P1_PVP-P1_CPROD)+E218*(P2_PVP-P2_CPROD)-IF(ISNUMBER(I218),I218,D218*P1_LOG+E218*P2_LOG)</f>
        <v>0</v>
      </c>
      <c r="U218" s="33" t="n">
        <f aca="false">T218-(D218*P1_IVAN+E218*P2_IVAN)-(F218+G218)*(COSTE_DEV-IVA_DEV)-AH218-AJ218</f>
        <v>0</v>
      </c>
      <c r="V218" s="33" t="n">
        <f aca="false">AC218-AD218-AE218-AF218-AG218-AH218-AJ218</f>
        <v>0</v>
      </c>
      <c r="X218" s="58" t="n">
        <f aca="false">MAX(0,B218-D218-F218)</f>
        <v>0</v>
      </c>
      <c r="Y218" s="58" t="n">
        <f aca="false">MAX(0,C218-E218-G218)</f>
        <v>0</v>
      </c>
      <c r="Z218" s="59" t="n">
        <f aca="false">D218+X218*TASA_USADA</f>
        <v>0</v>
      </c>
      <c r="AA218" s="59" t="n">
        <f aca="false">E218+Y218*TASA_USADA</f>
        <v>0</v>
      </c>
      <c r="AB218" s="59" t="n">
        <f aca="false">F218+G218+(X218+Y218)*(1-TASA_USADA)</f>
        <v>0</v>
      </c>
      <c r="AC218" s="60" t="n">
        <f aca="false">Z218*P1_PVP+AA218*P2_PVP</f>
        <v>0</v>
      </c>
      <c r="AD218" s="60" t="n">
        <f aca="false">Z218*P1_CPROD+AA218*P2_CPROD</f>
        <v>0</v>
      </c>
      <c r="AE218" s="60" t="n">
        <f aca="false">IF(ISNUMBER(I218),I218,D218*P1_LOG+E218*P2_LOG)+IF(ISNUMBER(J218),J218,X218*P1_LOG+Y218*P2_LOG)*TASA_USADA</f>
        <v>0</v>
      </c>
      <c r="AF218" s="60" t="n">
        <f aca="false">AB218*COSTE_DEV</f>
        <v>0</v>
      </c>
      <c r="AG218" s="60" t="n">
        <f aca="false">Z218*P1_IVAN+AA218*P2_IVAN-AB218*IVA_DEV</f>
        <v>0</v>
      </c>
      <c r="AH218" s="60" t="n">
        <f aca="false">K218*(1+RECARGO_ADS)</f>
        <v>0</v>
      </c>
      <c r="AI218" s="58" t="n">
        <f aca="false">IF(ISNUMBER(I218),D218+E218+X218+Y218,0)</f>
        <v>0</v>
      </c>
      <c r="AJ218" s="60" t="n">
        <f aca="false">M218*COMISION</f>
        <v>0</v>
      </c>
    </row>
    <row r="219" customFormat="false" ht="15" hidden="false" customHeight="false" outlineLevel="0" collapsed="false">
      <c r="A219" s="53" t="n">
        <v>46513</v>
      </c>
      <c r="B219" s="54"/>
      <c r="C219" s="54"/>
      <c r="D219" s="54"/>
      <c r="E219" s="54"/>
      <c r="F219" s="54"/>
      <c r="G219" s="54"/>
      <c r="H219" s="54"/>
      <c r="I219" s="55"/>
      <c r="J219" s="55"/>
      <c r="K219" s="55"/>
      <c r="L219" s="56"/>
      <c r="M219" s="31" t="n">
        <f aca="false">B219+C219</f>
        <v>0</v>
      </c>
      <c r="N219" s="31" t="n">
        <f aca="false">X219+Y219</f>
        <v>0</v>
      </c>
      <c r="O219" s="32" t="n">
        <f aca="false">B219*P1_PVP+C219*P2_PVP</f>
        <v>0</v>
      </c>
      <c r="P219" s="32" t="str">
        <f aca="false">IF(M219&gt;0,O219/M219,"")</f>
        <v/>
      </c>
      <c r="Q219" s="32" t="str">
        <f aca="false">IF(M219&gt;0,K219/M219,"")</f>
        <v/>
      </c>
      <c r="R219" s="57" t="str">
        <f aca="false">IF(K219&gt;0,O219/K219,"")</f>
        <v/>
      </c>
      <c r="S219" s="34" t="str">
        <f aca="false">IF(D219+E219+F219+G219&gt;0,(D219+E219)/(D219+E219+F219+G219),"")</f>
        <v/>
      </c>
      <c r="T219" s="33" t="n">
        <f aca="false">D219*(P1_PVP-P1_CPROD)+E219*(P2_PVP-P2_CPROD)-IF(ISNUMBER(I219),I219,D219*P1_LOG+E219*P2_LOG)</f>
        <v>0</v>
      </c>
      <c r="U219" s="33" t="n">
        <f aca="false">T219-(D219*P1_IVAN+E219*P2_IVAN)-(F219+G219)*(COSTE_DEV-IVA_DEV)-AH219-AJ219</f>
        <v>0</v>
      </c>
      <c r="V219" s="33" t="n">
        <f aca="false">AC219-AD219-AE219-AF219-AG219-AH219-AJ219</f>
        <v>0</v>
      </c>
      <c r="X219" s="58" t="n">
        <f aca="false">MAX(0,B219-D219-F219)</f>
        <v>0</v>
      </c>
      <c r="Y219" s="58" t="n">
        <f aca="false">MAX(0,C219-E219-G219)</f>
        <v>0</v>
      </c>
      <c r="Z219" s="59" t="n">
        <f aca="false">D219+X219*TASA_USADA</f>
        <v>0</v>
      </c>
      <c r="AA219" s="59" t="n">
        <f aca="false">E219+Y219*TASA_USADA</f>
        <v>0</v>
      </c>
      <c r="AB219" s="59" t="n">
        <f aca="false">F219+G219+(X219+Y219)*(1-TASA_USADA)</f>
        <v>0</v>
      </c>
      <c r="AC219" s="60" t="n">
        <f aca="false">Z219*P1_PVP+AA219*P2_PVP</f>
        <v>0</v>
      </c>
      <c r="AD219" s="60" t="n">
        <f aca="false">Z219*P1_CPROD+AA219*P2_CPROD</f>
        <v>0</v>
      </c>
      <c r="AE219" s="60" t="n">
        <f aca="false">IF(ISNUMBER(I219),I219,D219*P1_LOG+E219*P2_LOG)+IF(ISNUMBER(J219),J219,X219*P1_LOG+Y219*P2_LOG)*TASA_USADA</f>
        <v>0</v>
      </c>
      <c r="AF219" s="60" t="n">
        <f aca="false">AB219*COSTE_DEV</f>
        <v>0</v>
      </c>
      <c r="AG219" s="60" t="n">
        <f aca="false">Z219*P1_IVAN+AA219*P2_IVAN-AB219*IVA_DEV</f>
        <v>0</v>
      </c>
      <c r="AH219" s="60" t="n">
        <f aca="false">K219*(1+RECARGO_ADS)</f>
        <v>0</v>
      </c>
      <c r="AI219" s="58" t="n">
        <f aca="false">IF(ISNUMBER(I219),D219+E219+X219+Y219,0)</f>
        <v>0</v>
      </c>
      <c r="AJ219" s="60" t="n">
        <f aca="false">M219*COMISION</f>
        <v>0</v>
      </c>
    </row>
    <row r="220" customFormat="false" ht="15" hidden="false" customHeight="false" outlineLevel="0" collapsed="false">
      <c r="A220" s="53" t="n">
        <v>46514</v>
      </c>
      <c r="B220" s="54"/>
      <c r="C220" s="54"/>
      <c r="D220" s="54"/>
      <c r="E220" s="54"/>
      <c r="F220" s="54"/>
      <c r="G220" s="54"/>
      <c r="H220" s="54"/>
      <c r="I220" s="55"/>
      <c r="J220" s="55"/>
      <c r="K220" s="55"/>
      <c r="L220" s="56"/>
      <c r="M220" s="31" t="n">
        <f aca="false">B220+C220</f>
        <v>0</v>
      </c>
      <c r="N220" s="31" t="n">
        <f aca="false">X220+Y220</f>
        <v>0</v>
      </c>
      <c r="O220" s="32" t="n">
        <f aca="false">B220*P1_PVP+C220*P2_PVP</f>
        <v>0</v>
      </c>
      <c r="P220" s="32" t="str">
        <f aca="false">IF(M220&gt;0,O220/M220,"")</f>
        <v/>
      </c>
      <c r="Q220" s="32" t="str">
        <f aca="false">IF(M220&gt;0,K220/M220,"")</f>
        <v/>
      </c>
      <c r="R220" s="57" t="str">
        <f aca="false">IF(K220&gt;0,O220/K220,"")</f>
        <v/>
      </c>
      <c r="S220" s="34" t="str">
        <f aca="false">IF(D220+E220+F220+G220&gt;0,(D220+E220)/(D220+E220+F220+G220),"")</f>
        <v/>
      </c>
      <c r="T220" s="33" t="n">
        <f aca="false">D220*(P1_PVP-P1_CPROD)+E220*(P2_PVP-P2_CPROD)-IF(ISNUMBER(I220),I220,D220*P1_LOG+E220*P2_LOG)</f>
        <v>0</v>
      </c>
      <c r="U220" s="33" t="n">
        <f aca="false">T220-(D220*P1_IVAN+E220*P2_IVAN)-(F220+G220)*(COSTE_DEV-IVA_DEV)-AH220-AJ220</f>
        <v>0</v>
      </c>
      <c r="V220" s="33" t="n">
        <f aca="false">AC220-AD220-AE220-AF220-AG220-AH220-AJ220</f>
        <v>0</v>
      </c>
      <c r="X220" s="58" t="n">
        <f aca="false">MAX(0,B220-D220-F220)</f>
        <v>0</v>
      </c>
      <c r="Y220" s="58" t="n">
        <f aca="false">MAX(0,C220-E220-G220)</f>
        <v>0</v>
      </c>
      <c r="Z220" s="59" t="n">
        <f aca="false">D220+X220*TASA_USADA</f>
        <v>0</v>
      </c>
      <c r="AA220" s="59" t="n">
        <f aca="false">E220+Y220*TASA_USADA</f>
        <v>0</v>
      </c>
      <c r="AB220" s="59" t="n">
        <f aca="false">F220+G220+(X220+Y220)*(1-TASA_USADA)</f>
        <v>0</v>
      </c>
      <c r="AC220" s="60" t="n">
        <f aca="false">Z220*P1_PVP+AA220*P2_PVP</f>
        <v>0</v>
      </c>
      <c r="AD220" s="60" t="n">
        <f aca="false">Z220*P1_CPROD+AA220*P2_CPROD</f>
        <v>0</v>
      </c>
      <c r="AE220" s="60" t="n">
        <f aca="false">IF(ISNUMBER(I220),I220,D220*P1_LOG+E220*P2_LOG)+IF(ISNUMBER(J220),J220,X220*P1_LOG+Y220*P2_LOG)*TASA_USADA</f>
        <v>0</v>
      </c>
      <c r="AF220" s="60" t="n">
        <f aca="false">AB220*COSTE_DEV</f>
        <v>0</v>
      </c>
      <c r="AG220" s="60" t="n">
        <f aca="false">Z220*P1_IVAN+AA220*P2_IVAN-AB220*IVA_DEV</f>
        <v>0</v>
      </c>
      <c r="AH220" s="60" t="n">
        <f aca="false">K220*(1+RECARGO_ADS)</f>
        <v>0</v>
      </c>
      <c r="AI220" s="58" t="n">
        <f aca="false">IF(ISNUMBER(I220),D220+E220+X220+Y220,0)</f>
        <v>0</v>
      </c>
      <c r="AJ220" s="60" t="n">
        <f aca="false">M220*COMISION</f>
        <v>0</v>
      </c>
    </row>
    <row r="221" customFormat="false" ht="15" hidden="false" customHeight="false" outlineLevel="0" collapsed="false">
      <c r="A221" s="53" t="n">
        <v>46515</v>
      </c>
      <c r="B221" s="54"/>
      <c r="C221" s="54"/>
      <c r="D221" s="54"/>
      <c r="E221" s="54"/>
      <c r="F221" s="54"/>
      <c r="G221" s="54"/>
      <c r="H221" s="54"/>
      <c r="I221" s="55"/>
      <c r="J221" s="55"/>
      <c r="K221" s="55"/>
      <c r="L221" s="56"/>
      <c r="M221" s="31" t="n">
        <f aca="false">B221+C221</f>
        <v>0</v>
      </c>
      <c r="N221" s="31" t="n">
        <f aca="false">X221+Y221</f>
        <v>0</v>
      </c>
      <c r="O221" s="32" t="n">
        <f aca="false">B221*P1_PVP+C221*P2_PVP</f>
        <v>0</v>
      </c>
      <c r="P221" s="32" t="str">
        <f aca="false">IF(M221&gt;0,O221/M221,"")</f>
        <v/>
      </c>
      <c r="Q221" s="32" t="str">
        <f aca="false">IF(M221&gt;0,K221/M221,"")</f>
        <v/>
      </c>
      <c r="R221" s="57" t="str">
        <f aca="false">IF(K221&gt;0,O221/K221,"")</f>
        <v/>
      </c>
      <c r="S221" s="34" t="str">
        <f aca="false">IF(D221+E221+F221+G221&gt;0,(D221+E221)/(D221+E221+F221+G221),"")</f>
        <v/>
      </c>
      <c r="T221" s="33" t="n">
        <f aca="false">D221*(P1_PVP-P1_CPROD)+E221*(P2_PVP-P2_CPROD)-IF(ISNUMBER(I221),I221,D221*P1_LOG+E221*P2_LOG)</f>
        <v>0</v>
      </c>
      <c r="U221" s="33" t="n">
        <f aca="false">T221-(D221*P1_IVAN+E221*P2_IVAN)-(F221+G221)*(COSTE_DEV-IVA_DEV)-AH221-AJ221</f>
        <v>0</v>
      </c>
      <c r="V221" s="33" t="n">
        <f aca="false">AC221-AD221-AE221-AF221-AG221-AH221-AJ221</f>
        <v>0</v>
      </c>
      <c r="X221" s="58" t="n">
        <f aca="false">MAX(0,B221-D221-F221)</f>
        <v>0</v>
      </c>
      <c r="Y221" s="58" t="n">
        <f aca="false">MAX(0,C221-E221-G221)</f>
        <v>0</v>
      </c>
      <c r="Z221" s="59" t="n">
        <f aca="false">D221+X221*TASA_USADA</f>
        <v>0</v>
      </c>
      <c r="AA221" s="59" t="n">
        <f aca="false">E221+Y221*TASA_USADA</f>
        <v>0</v>
      </c>
      <c r="AB221" s="59" t="n">
        <f aca="false">F221+G221+(X221+Y221)*(1-TASA_USADA)</f>
        <v>0</v>
      </c>
      <c r="AC221" s="60" t="n">
        <f aca="false">Z221*P1_PVP+AA221*P2_PVP</f>
        <v>0</v>
      </c>
      <c r="AD221" s="60" t="n">
        <f aca="false">Z221*P1_CPROD+AA221*P2_CPROD</f>
        <v>0</v>
      </c>
      <c r="AE221" s="60" t="n">
        <f aca="false">IF(ISNUMBER(I221),I221,D221*P1_LOG+E221*P2_LOG)+IF(ISNUMBER(J221),J221,X221*P1_LOG+Y221*P2_LOG)*TASA_USADA</f>
        <v>0</v>
      </c>
      <c r="AF221" s="60" t="n">
        <f aca="false">AB221*COSTE_DEV</f>
        <v>0</v>
      </c>
      <c r="AG221" s="60" t="n">
        <f aca="false">Z221*P1_IVAN+AA221*P2_IVAN-AB221*IVA_DEV</f>
        <v>0</v>
      </c>
      <c r="AH221" s="60" t="n">
        <f aca="false">K221*(1+RECARGO_ADS)</f>
        <v>0</v>
      </c>
      <c r="AI221" s="58" t="n">
        <f aca="false">IF(ISNUMBER(I221),D221+E221+X221+Y221,0)</f>
        <v>0</v>
      </c>
      <c r="AJ221" s="60" t="n">
        <f aca="false">M221*COMISION</f>
        <v>0</v>
      </c>
    </row>
    <row r="222" customFormat="false" ht="15" hidden="false" customHeight="false" outlineLevel="0" collapsed="false">
      <c r="A222" s="53" t="n">
        <v>46516</v>
      </c>
      <c r="B222" s="54"/>
      <c r="C222" s="54"/>
      <c r="D222" s="54"/>
      <c r="E222" s="54"/>
      <c r="F222" s="54"/>
      <c r="G222" s="54"/>
      <c r="H222" s="54"/>
      <c r="I222" s="55"/>
      <c r="J222" s="55"/>
      <c r="K222" s="55"/>
      <c r="L222" s="56"/>
      <c r="M222" s="31" t="n">
        <f aca="false">B222+C222</f>
        <v>0</v>
      </c>
      <c r="N222" s="31" t="n">
        <f aca="false">X222+Y222</f>
        <v>0</v>
      </c>
      <c r="O222" s="32" t="n">
        <f aca="false">B222*P1_PVP+C222*P2_PVP</f>
        <v>0</v>
      </c>
      <c r="P222" s="32" t="str">
        <f aca="false">IF(M222&gt;0,O222/M222,"")</f>
        <v/>
      </c>
      <c r="Q222" s="32" t="str">
        <f aca="false">IF(M222&gt;0,K222/M222,"")</f>
        <v/>
      </c>
      <c r="R222" s="57" t="str">
        <f aca="false">IF(K222&gt;0,O222/K222,"")</f>
        <v/>
      </c>
      <c r="S222" s="34" t="str">
        <f aca="false">IF(D222+E222+F222+G222&gt;0,(D222+E222)/(D222+E222+F222+G222),"")</f>
        <v/>
      </c>
      <c r="T222" s="33" t="n">
        <f aca="false">D222*(P1_PVP-P1_CPROD)+E222*(P2_PVP-P2_CPROD)-IF(ISNUMBER(I222),I222,D222*P1_LOG+E222*P2_LOG)</f>
        <v>0</v>
      </c>
      <c r="U222" s="33" t="n">
        <f aca="false">T222-(D222*P1_IVAN+E222*P2_IVAN)-(F222+G222)*(COSTE_DEV-IVA_DEV)-AH222-AJ222</f>
        <v>0</v>
      </c>
      <c r="V222" s="33" t="n">
        <f aca="false">AC222-AD222-AE222-AF222-AG222-AH222-AJ222</f>
        <v>0</v>
      </c>
      <c r="X222" s="58" t="n">
        <f aca="false">MAX(0,B222-D222-F222)</f>
        <v>0</v>
      </c>
      <c r="Y222" s="58" t="n">
        <f aca="false">MAX(0,C222-E222-G222)</f>
        <v>0</v>
      </c>
      <c r="Z222" s="59" t="n">
        <f aca="false">D222+X222*TASA_USADA</f>
        <v>0</v>
      </c>
      <c r="AA222" s="59" t="n">
        <f aca="false">E222+Y222*TASA_USADA</f>
        <v>0</v>
      </c>
      <c r="AB222" s="59" t="n">
        <f aca="false">F222+G222+(X222+Y222)*(1-TASA_USADA)</f>
        <v>0</v>
      </c>
      <c r="AC222" s="60" t="n">
        <f aca="false">Z222*P1_PVP+AA222*P2_PVP</f>
        <v>0</v>
      </c>
      <c r="AD222" s="60" t="n">
        <f aca="false">Z222*P1_CPROD+AA222*P2_CPROD</f>
        <v>0</v>
      </c>
      <c r="AE222" s="60" t="n">
        <f aca="false">IF(ISNUMBER(I222),I222,D222*P1_LOG+E222*P2_LOG)+IF(ISNUMBER(J222),J222,X222*P1_LOG+Y222*P2_LOG)*TASA_USADA</f>
        <v>0</v>
      </c>
      <c r="AF222" s="60" t="n">
        <f aca="false">AB222*COSTE_DEV</f>
        <v>0</v>
      </c>
      <c r="AG222" s="60" t="n">
        <f aca="false">Z222*P1_IVAN+AA222*P2_IVAN-AB222*IVA_DEV</f>
        <v>0</v>
      </c>
      <c r="AH222" s="60" t="n">
        <f aca="false">K222*(1+RECARGO_ADS)</f>
        <v>0</v>
      </c>
      <c r="AI222" s="58" t="n">
        <f aca="false">IF(ISNUMBER(I222),D222+E222+X222+Y222,0)</f>
        <v>0</v>
      </c>
      <c r="AJ222" s="60" t="n">
        <f aca="false">M222*COMISION</f>
        <v>0</v>
      </c>
    </row>
    <row r="223" customFormat="false" ht="15" hidden="false" customHeight="false" outlineLevel="0" collapsed="false">
      <c r="A223" s="53" t="n">
        <v>46517</v>
      </c>
      <c r="B223" s="54"/>
      <c r="C223" s="54"/>
      <c r="D223" s="54"/>
      <c r="E223" s="54"/>
      <c r="F223" s="54"/>
      <c r="G223" s="54"/>
      <c r="H223" s="54"/>
      <c r="I223" s="55"/>
      <c r="J223" s="55"/>
      <c r="K223" s="55"/>
      <c r="L223" s="56"/>
      <c r="M223" s="31" t="n">
        <f aca="false">B223+C223</f>
        <v>0</v>
      </c>
      <c r="N223" s="31" t="n">
        <f aca="false">X223+Y223</f>
        <v>0</v>
      </c>
      <c r="O223" s="32" t="n">
        <f aca="false">B223*P1_PVP+C223*P2_PVP</f>
        <v>0</v>
      </c>
      <c r="P223" s="32" t="str">
        <f aca="false">IF(M223&gt;0,O223/M223,"")</f>
        <v/>
      </c>
      <c r="Q223" s="32" t="str">
        <f aca="false">IF(M223&gt;0,K223/M223,"")</f>
        <v/>
      </c>
      <c r="R223" s="57" t="str">
        <f aca="false">IF(K223&gt;0,O223/K223,"")</f>
        <v/>
      </c>
      <c r="S223" s="34" t="str">
        <f aca="false">IF(D223+E223+F223+G223&gt;0,(D223+E223)/(D223+E223+F223+G223),"")</f>
        <v/>
      </c>
      <c r="T223" s="33" t="n">
        <f aca="false">D223*(P1_PVP-P1_CPROD)+E223*(P2_PVP-P2_CPROD)-IF(ISNUMBER(I223),I223,D223*P1_LOG+E223*P2_LOG)</f>
        <v>0</v>
      </c>
      <c r="U223" s="33" t="n">
        <f aca="false">T223-(D223*P1_IVAN+E223*P2_IVAN)-(F223+G223)*(COSTE_DEV-IVA_DEV)-AH223-AJ223</f>
        <v>0</v>
      </c>
      <c r="V223" s="33" t="n">
        <f aca="false">AC223-AD223-AE223-AF223-AG223-AH223-AJ223</f>
        <v>0</v>
      </c>
      <c r="X223" s="58" t="n">
        <f aca="false">MAX(0,B223-D223-F223)</f>
        <v>0</v>
      </c>
      <c r="Y223" s="58" t="n">
        <f aca="false">MAX(0,C223-E223-G223)</f>
        <v>0</v>
      </c>
      <c r="Z223" s="59" t="n">
        <f aca="false">D223+X223*TASA_USADA</f>
        <v>0</v>
      </c>
      <c r="AA223" s="59" t="n">
        <f aca="false">E223+Y223*TASA_USADA</f>
        <v>0</v>
      </c>
      <c r="AB223" s="59" t="n">
        <f aca="false">F223+G223+(X223+Y223)*(1-TASA_USADA)</f>
        <v>0</v>
      </c>
      <c r="AC223" s="60" t="n">
        <f aca="false">Z223*P1_PVP+AA223*P2_PVP</f>
        <v>0</v>
      </c>
      <c r="AD223" s="60" t="n">
        <f aca="false">Z223*P1_CPROD+AA223*P2_CPROD</f>
        <v>0</v>
      </c>
      <c r="AE223" s="60" t="n">
        <f aca="false">IF(ISNUMBER(I223),I223,D223*P1_LOG+E223*P2_LOG)+IF(ISNUMBER(J223),J223,X223*P1_LOG+Y223*P2_LOG)*TASA_USADA</f>
        <v>0</v>
      </c>
      <c r="AF223" s="60" t="n">
        <f aca="false">AB223*COSTE_DEV</f>
        <v>0</v>
      </c>
      <c r="AG223" s="60" t="n">
        <f aca="false">Z223*P1_IVAN+AA223*P2_IVAN-AB223*IVA_DEV</f>
        <v>0</v>
      </c>
      <c r="AH223" s="60" t="n">
        <f aca="false">K223*(1+RECARGO_ADS)</f>
        <v>0</v>
      </c>
      <c r="AI223" s="58" t="n">
        <f aca="false">IF(ISNUMBER(I223),D223+E223+X223+Y223,0)</f>
        <v>0</v>
      </c>
      <c r="AJ223" s="60" t="n">
        <f aca="false">M223*COMISION</f>
        <v>0</v>
      </c>
    </row>
    <row r="224" customFormat="false" ht="15" hidden="false" customHeight="false" outlineLevel="0" collapsed="false">
      <c r="A224" s="53" t="n">
        <v>46518</v>
      </c>
      <c r="B224" s="54"/>
      <c r="C224" s="54"/>
      <c r="D224" s="54"/>
      <c r="E224" s="54"/>
      <c r="F224" s="54"/>
      <c r="G224" s="54"/>
      <c r="H224" s="54"/>
      <c r="I224" s="55"/>
      <c r="J224" s="55"/>
      <c r="K224" s="55"/>
      <c r="L224" s="56"/>
      <c r="M224" s="31" t="n">
        <f aca="false">B224+C224</f>
        <v>0</v>
      </c>
      <c r="N224" s="31" t="n">
        <f aca="false">X224+Y224</f>
        <v>0</v>
      </c>
      <c r="O224" s="32" t="n">
        <f aca="false">B224*P1_PVP+C224*P2_PVP</f>
        <v>0</v>
      </c>
      <c r="P224" s="32" t="str">
        <f aca="false">IF(M224&gt;0,O224/M224,"")</f>
        <v/>
      </c>
      <c r="Q224" s="32" t="str">
        <f aca="false">IF(M224&gt;0,K224/M224,"")</f>
        <v/>
      </c>
      <c r="R224" s="57" t="str">
        <f aca="false">IF(K224&gt;0,O224/K224,"")</f>
        <v/>
      </c>
      <c r="S224" s="34" t="str">
        <f aca="false">IF(D224+E224+F224+G224&gt;0,(D224+E224)/(D224+E224+F224+G224),"")</f>
        <v/>
      </c>
      <c r="T224" s="33" t="n">
        <f aca="false">D224*(P1_PVP-P1_CPROD)+E224*(P2_PVP-P2_CPROD)-IF(ISNUMBER(I224),I224,D224*P1_LOG+E224*P2_LOG)</f>
        <v>0</v>
      </c>
      <c r="U224" s="33" t="n">
        <f aca="false">T224-(D224*P1_IVAN+E224*P2_IVAN)-(F224+G224)*(COSTE_DEV-IVA_DEV)-AH224-AJ224</f>
        <v>0</v>
      </c>
      <c r="V224" s="33" t="n">
        <f aca="false">AC224-AD224-AE224-AF224-AG224-AH224-AJ224</f>
        <v>0</v>
      </c>
      <c r="X224" s="58" t="n">
        <f aca="false">MAX(0,B224-D224-F224)</f>
        <v>0</v>
      </c>
      <c r="Y224" s="58" t="n">
        <f aca="false">MAX(0,C224-E224-G224)</f>
        <v>0</v>
      </c>
      <c r="Z224" s="59" t="n">
        <f aca="false">D224+X224*TASA_USADA</f>
        <v>0</v>
      </c>
      <c r="AA224" s="59" t="n">
        <f aca="false">E224+Y224*TASA_USADA</f>
        <v>0</v>
      </c>
      <c r="AB224" s="59" t="n">
        <f aca="false">F224+G224+(X224+Y224)*(1-TASA_USADA)</f>
        <v>0</v>
      </c>
      <c r="AC224" s="60" t="n">
        <f aca="false">Z224*P1_PVP+AA224*P2_PVP</f>
        <v>0</v>
      </c>
      <c r="AD224" s="60" t="n">
        <f aca="false">Z224*P1_CPROD+AA224*P2_CPROD</f>
        <v>0</v>
      </c>
      <c r="AE224" s="60" t="n">
        <f aca="false">IF(ISNUMBER(I224),I224,D224*P1_LOG+E224*P2_LOG)+IF(ISNUMBER(J224),J224,X224*P1_LOG+Y224*P2_LOG)*TASA_USADA</f>
        <v>0</v>
      </c>
      <c r="AF224" s="60" t="n">
        <f aca="false">AB224*COSTE_DEV</f>
        <v>0</v>
      </c>
      <c r="AG224" s="60" t="n">
        <f aca="false">Z224*P1_IVAN+AA224*P2_IVAN-AB224*IVA_DEV</f>
        <v>0</v>
      </c>
      <c r="AH224" s="60" t="n">
        <f aca="false">K224*(1+RECARGO_ADS)</f>
        <v>0</v>
      </c>
      <c r="AI224" s="58" t="n">
        <f aca="false">IF(ISNUMBER(I224),D224+E224+X224+Y224,0)</f>
        <v>0</v>
      </c>
      <c r="AJ224" s="60" t="n">
        <f aca="false">M224*COMISION</f>
        <v>0</v>
      </c>
    </row>
    <row r="225" customFormat="false" ht="15" hidden="false" customHeight="false" outlineLevel="0" collapsed="false">
      <c r="A225" s="53" t="n">
        <v>46519</v>
      </c>
      <c r="B225" s="54"/>
      <c r="C225" s="54"/>
      <c r="D225" s="54"/>
      <c r="E225" s="54"/>
      <c r="F225" s="54"/>
      <c r="G225" s="54"/>
      <c r="H225" s="54"/>
      <c r="I225" s="55"/>
      <c r="J225" s="55"/>
      <c r="K225" s="55"/>
      <c r="L225" s="56"/>
      <c r="M225" s="31" t="n">
        <f aca="false">B225+C225</f>
        <v>0</v>
      </c>
      <c r="N225" s="31" t="n">
        <f aca="false">X225+Y225</f>
        <v>0</v>
      </c>
      <c r="O225" s="32" t="n">
        <f aca="false">B225*P1_PVP+C225*P2_PVP</f>
        <v>0</v>
      </c>
      <c r="P225" s="32" t="str">
        <f aca="false">IF(M225&gt;0,O225/M225,"")</f>
        <v/>
      </c>
      <c r="Q225" s="32" t="str">
        <f aca="false">IF(M225&gt;0,K225/M225,"")</f>
        <v/>
      </c>
      <c r="R225" s="57" t="str">
        <f aca="false">IF(K225&gt;0,O225/K225,"")</f>
        <v/>
      </c>
      <c r="S225" s="34" t="str">
        <f aca="false">IF(D225+E225+F225+G225&gt;0,(D225+E225)/(D225+E225+F225+G225),"")</f>
        <v/>
      </c>
      <c r="T225" s="33" t="n">
        <f aca="false">D225*(P1_PVP-P1_CPROD)+E225*(P2_PVP-P2_CPROD)-IF(ISNUMBER(I225),I225,D225*P1_LOG+E225*P2_LOG)</f>
        <v>0</v>
      </c>
      <c r="U225" s="33" t="n">
        <f aca="false">T225-(D225*P1_IVAN+E225*P2_IVAN)-(F225+G225)*(COSTE_DEV-IVA_DEV)-AH225-AJ225</f>
        <v>0</v>
      </c>
      <c r="V225" s="33" t="n">
        <f aca="false">AC225-AD225-AE225-AF225-AG225-AH225-AJ225</f>
        <v>0</v>
      </c>
      <c r="X225" s="58" t="n">
        <f aca="false">MAX(0,B225-D225-F225)</f>
        <v>0</v>
      </c>
      <c r="Y225" s="58" t="n">
        <f aca="false">MAX(0,C225-E225-G225)</f>
        <v>0</v>
      </c>
      <c r="Z225" s="59" t="n">
        <f aca="false">D225+X225*TASA_USADA</f>
        <v>0</v>
      </c>
      <c r="AA225" s="59" t="n">
        <f aca="false">E225+Y225*TASA_USADA</f>
        <v>0</v>
      </c>
      <c r="AB225" s="59" t="n">
        <f aca="false">F225+G225+(X225+Y225)*(1-TASA_USADA)</f>
        <v>0</v>
      </c>
      <c r="AC225" s="60" t="n">
        <f aca="false">Z225*P1_PVP+AA225*P2_PVP</f>
        <v>0</v>
      </c>
      <c r="AD225" s="60" t="n">
        <f aca="false">Z225*P1_CPROD+AA225*P2_CPROD</f>
        <v>0</v>
      </c>
      <c r="AE225" s="60" t="n">
        <f aca="false">IF(ISNUMBER(I225),I225,D225*P1_LOG+E225*P2_LOG)+IF(ISNUMBER(J225),J225,X225*P1_LOG+Y225*P2_LOG)*TASA_USADA</f>
        <v>0</v>
      </c>
      <c r="AF225" s="60" t="n">
        <f aca="false">AB225*COSTE_DEV</f>
        <v>0</v>
      </c>
      <c r="AG225" s="60" t="n">
        <f aca="false">Z225*P1_IVAN+AA225*P2_IVAN-AB225*IVA_DEV</f>
        <v>0</v>
      </c>
      <c r="AH225" s="60" t="n">
        <f aca="false">K225*(1+RECARGO_ADS)</f>
        <v>0</v>
      </c>
      <c r="AI225" s="58" t="n">
        <f aca="false">IF(ISNUMBER(I225),D225+E225+X225+Y225,0)</f>
        <v>0</v>
      </c>
      <c r="AJ225" s="60" t="n">
        <f aca="false">M225*COMISION</f>
        <v>0</v>
      </c>
    </row>
    <row r="226" customFormat="false" ht="15" hidden="false" customHeight="false" outlineLevel="0" collapsed="false">
      <c r="A226" s="53" t="n">
        <v>46520</v>
      </c>
      <c r="B226" s="54"/>
      <c r="C226" s="54"/>
      <c r="D226" s="54"/>
      <c r="E226" s="54"/>
      <c r="F226" s="54"/>
      <c r="G226" s="54"/>
      <c r="H226" s="54"/>
      <c r="I226" s="55"/>
      <c r="J226" s="55"/>
      <c r="K226" s="55"/>
      <c r="L226" s="56"/>
      <c r="M226" s="31" t="n">
        <f aca="false">B226+C226</f>
        <v>0</v>
      </c>
      <c r="N226" s="31" t="n">
        <f aca="false">X226+Y226</f>
        <v>0</v>
      </c>
      <c r="O226" s="32" t="n">
        <f aca="false">B226*P1_PVP+C226*P2_PVP</f>
        <v>0</v>
      </c>
      <c r="P226" s="32" t="str">
        <f aca="false">IF(M226&gt;0,O226/M226,"")</f>
        <v/>
      </c>
      <c r="Q226" s="32" t="str">
        <f aca="false">IF(M226&gt;0,K226/M226,"")</f>
        <v/>
      </c>
      <c r="R226" s="57" t="str">
        <f aca="false">IF(K226&gt;0,O226/K226,"")</f>
        <v/>
      </c>
      <c r="S226" s="34" t="str">
        <f aca="false">IF(D226+E226+F226+G226&gt;0,(D226+E226)/(D226+E226+F226+G226),"")</f>
        <v/>
      </c>
      <c r="T226" s="33" t="n">
        <f aca="false">D226*(P1_PVP-P1_CPROD)+E226*(P2_PVP-P2_CPROD)-IF(ISNUMBER(I226),I226,D226*P1_LOG+E226*P2_LOG)</f>
        <v>0</v>
      </c>
      <c r="U226" s="33" t="n">
        <f aca="false">T226-(D226*P1_IVAN+E226*P2_IVAN)-(F226+G226)*(COSTE_DEV-IVA_DEV)-AH226-AJ226</f>
        <v>0</v>
      </c>
      <c r="V226" s="33" t="n">
        <f aca="false">AC226-AD226-AE226-AF226-AG226-AH226-AJ226</f>
        <v>0</v>
      </c>
      <c r="X226" s="58" t="n">
        <f aca="false">MAX(0,B226-D226-F226)</f>
        <v>0</v>
      </c>
      <c r="Y226" s="58" t="n">
        <f aca="false">MAX(0,C226-E226-G226)</f>
        <v>0</v>
      </c>
      <c r="Z226" s="59" t="n">
        <f aca="false">D226+X226*TASA_USADA</f>
        <v>0</v>
      </c>
      <c r="AA226" s="59" t="n">
        <f aca="false">E226+Y226*TASA_USADA</f>
        <v>0</v>
      </c>
      <c r="AB226" s="59" t="n">
        <f aca="false">F226+G226+(X226+Y226)*(1-TASA_USADA)</f>
        <v>0</v>
      </c>
      <c r="AC226" s="60" t="n">
        <f aca="false">Z226*P1_PVP+AA226*P2_PVP</f>
        <v>0</v>
      </c>
      <c r="AD226" s="60" t="n">
        <f aca="false">Z226*P1_CPROD+AA226*P2_CPROD</f>
        <v>0</v>
      </c>
      <c r="AE226" s="60" t="n">
        <f aca="false">IF(ISNUMBER(I226),I226,D226*P1_LOG+E226*P2_LOG)+IF(ISNUMBER(J226),J226,X226*P1_LOG+Y226*P2_LOG)*TASA_USADA</f>
        <v>0</v>
      </c>
      <c r="AF226" s="60" t="n">
        <f aca="false">AB226*COSTE_DEV</f>
        <v>0</v>
      </c>
      <c r="AG226" s="60" t="n">
        <f aca="false">Z226*P1_IVAN+AA226*P2_IVAN-AB226*IVA_DEV</f>
        <v>0</v>
      </c>
      <c r="AH226" s="60" t="n">
        <f aca="false">K226*(1+RECARGO_ADS)</f>
        <v>0</v>
      </c>
      <c r="AI226" s="58" t="n">
        <f aca="false">IF(ISNUMBER(I226),D226+E226+X226+Y226,0)</f>
        <v>0</v>
      </c>
      <c r="AJ226" s="60" t="n">
        <f aca="false">M226*COMISION</f>
        <v>0</v>
      </c>
    </row>
    <row r="227" customFormat="false" ht="15" hidden="false" customHeight="false" outlineLevel="0" collapsed="false">
      <c r="A227" s="53" t="n">
        <v>46521</v>
      </c>
      <c r="B227" s="54"/>
      <c r="C227" s="54"/>
      <c r="D227" s="54"/>
      <c r="E227" s="54"/>
      <c r="F227" s="54"/>
      <c r="G227" s="54"/>
      <c r="H227" s="54"/>
      <c r="I227" s="55"/>
      <c r="J227" s="55"/>
      <c r="K227" s="55"/>
      <c r="L227" s="56"/>
      <c r="M227" s="31" t="n">
        <f aca="false">B227+C227</f>
        <v>0</v>
      </c>
      <c r="N227" s="31" t="n">
        <f aca="false">X227+Y227</f>
        <v>0</v>
      </c>
      <c r="O227" s="32" t="n">
        <f aca="false">B227*P1_PVP+C227*P2_PVP</f>
        <v>0</v>
      </c>
      <c r="P227" s="32" t="str">
        <f aca="false">IF(M227&gt;0,O227/M227,"")</f>
        <v/>
      </c>
      <c r="Q227" s="32" t="str">
        <f aca="false">IF(M227&gt;0,K227/M227,"")</f>
        <v/>
      </c>
      <c r="R227" s="57" t="str">
        <f aca="false">IF(K227&gt;0,O227/K227,"")</f>
        <v/>
      </c>
      <c r="S227" s="34" t="str">
        <f aca="false">IF(D227+E227+F227+G227&gt;0,(D227+E227)/(D227+E227+F227+G227),"")</f>
        <v/>
      </c>
      <c r="T227" s="33" t="n">
        <f aca="false">D227*(P1_PVP-P1_CPROD)+E227*(P2_PVP-P2_CPROD)-IF(ISNUMBER(I227),I227,D227*P1_LOG+E227*P2_LOG)</f>
        <v>0</v>
      </c>
      <c r="U227" s="33" t="n">
        <f aca="false">T227-(D227*P1_IVAN+E227*P2_IVAN)-(F227+G227)*(COSTE_DEV-IVA_DEV)-AH227-AJ227</f>
        <v>0</v>
      </c>
      <c r="V227" s="33" t="n">
        <f aca="false">AC227-AD227-AE227-AF227-AG227-AH227-AJ227</f>
        <v>0</v>
      </c>
      <c r="X227" s="58" t="n">
        <f aca="false">MAX(0,B227-D227-F227)</f>
        <v>0</v>
      </c>
      <c r="Y227" s="58" t="n">
        <f aca="false">MAX(0,C227-E227-G227)</f>
        <v>0</v>
      </c>
      <c r="Z227" s="59" t="n">
        <f aca="false">D227+X227*TASA_USADA</f>
        <v>0</v>
      </c>
      <c r="AA227" s="59" t="n">
        <f aca="false">E227+Y227*TASA_USADA</f>
        <v>0</v>
      </c>
      <c r="AB227" s="59" t="n">
        <f aca="false">F227+G227+(X227+Y227)*(1-TASA_USADA)</f>
        <v>0</v>
      </c>
      <c r="AC227" s="60" t="n">
        <f aca="false">Z227*P1_PVP+AA227*P2_PVP</f>
        <v>0</v>
      </c>
      <c r="AD227" s="60" t="n">
        <f aca="false">Z227*P1_CPROD+AA227*P2_CPROD</f>
        <v>0</v>
      </c>
      <c r="AE227" s="60" t="n">
        <f aca="false">IF(ISNUMBER(I227),I227,D227*P1_LOG+E227*P2_LOG)+IF(ISNUMBER(J227),J227,X227*P1_LOG+Y227*P2_LOG)*TASA_USADA</f>
        <v>0</v>
      </c>
      <c r="AF227" s="60" t="n">
        <f aca="false">AB227*COSTE_DEV</f>
        <v>0</v>
      </c>
      <c r="AG227" s="60" t="n">
        <f aca="false">Z227*P1_IVAN+AA227*P2_IVAN-AB227*IVA_DEV</f>
        <v>0</v>
      </c>
      <c r="AH227" s="60" t="n">
        <f aca="false">K227*(1+RECARGO_ADS)</f>
        <v>0</v>
      </c>
      <c r="AI227" s="58" t="n">
        <f aca="false">IF(ISNUMBER(I227),D227+E227+X227+Y227,0)</f>
        <v>0</v>
      </c>
      <c r="AJ227" s="60" t="n">
        <f aca="false">M227*COMISION</f>
        <v>0</v>
      </c>
    </row>
    <row r="228" customFormat="false" ht="15" hidden="false" customHeight="false" outlineLevel="0" collapsed="false">
      <c r="A228" s="53" t="n">
        <v>46522</v>
      </c>
      <c r="B228" s="54"/>
      <c r="C228" s="54"/>
      <c r="D228" s="54"/>
      <c r="E228" s="54"/>
      <c r="F228" s="54"/>
      <c r="G228" s="54"/>
      <c r="H228" s="54"/>
      <c r="I228" s="55"/>
      <c r="J228" s="55"/>
      <c r="K228" s="55"/>
      <c r="L228" s="56"/>
      <c r="M228" s="31" t="n">
        <f aca="false">B228+C228</f>
        <v>0</v>
      </c>
      <c r="N228" s="31" t="n">
        <f aca="false">X228+Y228</f>
        <v>0</v>
      </c>
      <c r="O228" s="32" t="n">
        <f aca="false">B228*P1_PVP+C228*P2_PVP</f>
        <v>0</v>
      </c>
      <c r="P228" s="32" t="str">
        <f aca="false">IF(M228&gt;0,O228/M228,"")</f>
        <v/>
      </c>
      <c r="Q228" s="32" t="str">
        <f aca="false">IF(M228&gt;0,K228/M228,"")</f>
        <v/>
      </c>
      <c r="R228" s="57" t="str">
        <f aca="false">IF(K228&gt;0,O228/K228,"")</f>
        <v/>
      </c>
      <c r="S228" s="34" t="str">
        <f aca="false">IF(D228+E228+F228+G228&gt;0,(D228+E228)/(D228+E228+F228+G228),"")</f>
        <v/>
      </c>
      <c r="T228" s="33" t="n">
        <f aca="false">D228*(P1_PVP-P1_CPROD)+E228*(P2_PVP-P2_CPROD)-IF(ISNUMBER(I228),I228,D228*P1_LOG+E228*P2_LOG)</f>
        <v>0</v>
      </c>
      <c r="U228" s="33" t="n">
        <f aca="false">T228-(D228*P1_IVAN+E228*P2_IVAN)-(F228+G228)*(COSTE_DEV-IVA_DEV)-AH228-AJ228</f>
        <v>0</v>
      </c>
      <c r="V228" s="33" t="n">
        <f aca="false">AC228-AD228-AE228-AF228-AG228-AH228-AJ228</f>
        <v>0</v>
      </c>
      <c r="X228" s="58" t="n">
        <f aca="false">MAX(0,B228-D228-F228)</f>
        <v>0</v>
      </c>
      <c r="Y228" s="58" t="n">
        <f aca="false">MAX(0,C228-E228-G228)</f>
        <v>0</v>
      </c>
      <c r="Z228" s="59" t="n">
        <f aca="false">D228+X228*TASA_USADA</f>
        <v>0</v>
      </c>
      <c r="AA228" s="59" t="n">
        <f aca="false">E228+Y228*TASA_USADA</f>
        <v>0</v>
      </c>
      <c r="AB228" s="59" t="n">
        <f aca="false">F228+G228+(X228+Y228)*(1-TASA_USADA)</f>
        <v>0</v>
      </c>
      <c r="AC228" s="60" t="n">
        <f aca="false">Z228*P1_PVP+AA228*P2_PVP</f>
        <v>0</v>
      </c>
      <c r="AD228" s="60" t="n">
        <f aca="false">Z228*P1_CPROD+AA228*P2_CPROD</f>
        <v>0</v>
      </c>
      <c r="AE228" s="60" t="n">
        <f aca="false">IF(ISNUMBER(I228),I228,D228*P1_LOG+E228*P2_LOG)+IF(ISNUMBER(J228),J228,X228*P1_LOG+Y228*P2_LOG)*TASA_USADA</f>
        <v>0</v>
      </c>
      <c r="AF228" s="60" t="n">
        <f aca="false">AB228*COSTE_DEV</f>
        <v>0</v>
      </c>
      <c r="AG228" s="60" t="n">
        <f aca="false">Z228*P1_IVAN+AA228*P2_IVAN-AB228*IVA_DEV</f>
        <v>0</v>
      </c>
      <c r="AH228" s="60" t="n">
        <f aca="false">K228*(1+RECARGO_ADS)</f>
        <v>0</v>
      </c>
      <c r="AI228" s="58" t="n">
        <f aca="false">IF(ISNUMBER(I228),D228+E228+X228+Y228,0)</f>
        <v>0</v>
      </c>
      <c r="AJ228" s="60" t="n">
        <f aca="false">M228*COMISION</f>
        <v>0</v>
      </c>
    </row>
    <row r="229" customFormat="false" ht="15" hidden="false" customHeight="false" outlineLevel="0" collapsed="false">
      <c r="A229" s="53" t="n">
        <v>46523</v>
      </c>
      <c r="B229" s="54"/>
      <c r="C229" s="54"/>
      <c r="D229" s="54"/>
      <c r="E229" s="54"/>
      <c r="F229" s="54"/>
      <c r="G229" s="54"/>
      <c r="H229" s="54"/>
      <c r="I229" s="55"/>
      <c r="J229" s="55"/>
      <c r="K229" s="55"/>
      <c r="L229" s="56"/>
      <c r="M229" s="31" t="n">
        <f aca="false">B229+C229</f>
        <v>0</v>
      </c>
      <c r="N229" s="31" t="n">
        <f aca="false">X229+Y229</f>
        <v>0</v>
      </c>
      <c r="O229" s="32" t="n">
        <f aca="false">B229*P1_PVP+C229*P2_PVP</f>
        <v>0</v>
      </c>
      <c r="P229" s="32" t="str">
        <f aca="false">IF(M229&gt;0,O229/M229,"")</f>
        <v/>
      </c>
      <c r="Q229" s="32" t="str">
        <f aca="false">IF(M229&gt;0,K229/M229,"")</f>
        <v/>
      </c>
      <c r="R229" s="57" t="str">
        <f aca="false">IF(K229&gt;0,O229/K229,"")</f>
        <v/>
      </c>
      <c r="S229" s="34" t="str">
        <f aca="false">IF(D229+E229+F229+G229&gt;0,(D229+E229)/(D229+E229+F229+G229),"")</f>
        <v/>
      </c>
      <c r="T229" s="33" t="n">
        <f aca="false">D229*(P1_PVP-P1_CPROD)+E229*(P2_PVP-P2_CPROD)-IF(ISNUMBER(I229),I229,D229*P1_LOG+E229*P2_LOG)</f>
        <v>0</v>
      </c>
      <c r="U229" s="33" t="n">
        <f aca="false">T229-(D229*P1_IVAN+E229*P2_IVAN)-(F229+G229)*(COSTE_DEV-IVA_DEV)-AH229-AJ229</f>
        <v>0</v>
      </c>
      <c r="V229" s="33" t="n">
        <f aca="false">AC229-AD229-AE229-AF229-AG229-AH229-AJ229</f>
        <v>0</v>
      </c>
      <c r="X229" s="58" t="n">
        <f aca="false">MAX(0,B229-D229-F229)</f>
        <v>0</v>
      </c>
      <c r="Y229" s="58" t="n">
        <f aca="false">MAX(0,C229-E229-G229)</f>
        <v>0</v>
      </c>
      <c r="Z229" s="59" t="n">
        <f aca="false">D229+X229*TASA_USADA</f>
        <v>0</v>
      </c>
      <c r="AA229" s="59" t="n">
        <f aca="false">E229+Y229*TASA_USADA</f>
        <v>0</v>
      </c>
      <c r="AB229" s="59" t="n">
        <f aca="false">F229+G229+(X229+Y229)*(1-TASA_USADA)</f>
        <v>0</v>
      </c>
      <c r="AC229" s="60" t="n">
        <f aca="false">Z229*P1_PVP+AA229*P2_PVP</f>
        <v>0</v>
      </c>
      <c r="AD229" s="60" t="n">
        <f aca="false">Z229*P1_CPROD+AA229*P2_CPROD</f>
        <v>0</v>
      </c>
      <c r="AE229" s="60" t="n">
        <f aca="false">IF(ISNUMBER(I229),I229,D229*P1_LOG+E229*P2_LOG)+IF(ISNUMBER(J229),J229,X229*P1_LOG+Y229*P2_LOG)*TASA_USADA</f>
        <v>0</v>
      </c>
      <c r="AF229" s="60" t="n">
        <f aca="false">AB229*COSTE_DEV</f>
        <v>0</v>
      </c>
      <c r="AG229" s="60" t="n">
        <f aca="false">Z229*P1_IVAN+AA229*P2_IVAN-AB229*IVA_DEV</f>
        <v>0</v>
      </c>
      <c r="AH229" s="60" t="n">
        <f aca="false">K229*(1+RECARGO_ADS)</f>
        <v>0</v>
      </c>
      <c r="AI229" s="58" t="n">
        <f aca="false">IF(ISNUMBER(I229),D229+E229+X229+Y229,0)</f>
        <v>0</v>
      </c>
      <c r="AJ229" s="60" t="n">
        <f aca="false">M229*COMISION</f>
        <v>0</v>
      </c>
    </row>
    <row r="230" customFormat="false" ht="15" hidden="false" customHeight="false" outlineLevel="0" collapsed="false">
      <c r="A230" s="53" t="n">
        <v>46524</v>
      </c>
      <c r="B230" s="54"/>
      <c r="C230" s="54"/>
      <c r="D230" s="54"/>
      <c r="E230" s="54"/>
      <c r="F230" s="54"/>
      <c r="G230" s="54"/>
      <c r="H230" s="54"/>
      <c r="I230" s="55"/>
      <c r="J230" s="55"/>
      <c r="K230" s="55"/>
      <c r="L230" s="56"/>
      <c r="M230" s="31" t="n">
        <f aca="false">B230+C230</f>
        <v>0</v>
      </c>
      <c r="N230" s="31" t="n">
        <f aca="false">X230+Y230</f>
        <v>0</v>
      </c>
      <c r="O230" s="32" t="n">
        <f aca="false">B230*P1_PVP+C230*P2_PVP</f>
        <v>0</v>
      </c>
      <c r="P230" s="32" t="str">
        <f aca="false">IF(M230&gt;0,O230/M230,"")</f>
        <v/>
      </c>
      <c r="Q230" s="32" t="str">
        <f aca="false">IF(M230&gt;0,K230/M230,"")</f>
        <v/>
      </c>
      <c r="R230" s="57" t="str">
        <f aca="false">IF(K230&gt;0,O230/K230,"")</f>
        <v/>
      </c>
      <c r="S230" s="34" t="str">
        <f aca="false">IF(D230+E230+F230+G230&gt;0,(D230+E230)/(D230+E230+F230+G230),"")</f>
        <v/>
      </c>
      <c r="T230" s="33" t="n">
        <f aca="false">D230*(P1_PVP-P1_CPROD)+E230*(P2_PVP-P2_CPROD)-IF(ISNUMBER(I230),I230,D230*P1_LOG+E230*P2_LOG)</f>
        <v>0</v>
      </c>
      <c r="U230" s="33" t="n">
        <f aca="false">T230-(D230*P1_IVAN+E230*P2_IVAN)-(F230+G230)*(COSTE_DEV-IVA_DEV)-AH230-AJ230</f>
        <v>0</v>
      </c>
      <c r="V230" s="33" t="n">
        <f aca="false">AC230-AD230-AE230-AF230-AG230-AH230-AJ230</f>
        <v>0</v>
      </c>
      <c r="X230" s="58" t="n">
        <f aca="false">MAX(0,B230-D230-F230)</f>
        <v>0</v>
      </c>
      <c r="Y230" s="58" t="n">
        <f aca="false">MAX(0,C230-E230-G230)</f>
        <v>0</v>
      </c>
      <c r="Z230" s="59" t="n">
        <f aca="false">D230+X230*TASA_USADA</f>
        <v>0</v>
      </c>
      <c r="AA230" s="59" t="n">
        <f aca="false">E230+Y230*TASA_USADA</f>
        <v>0</v>
      </c>
      <c r="AB230" s="59" t="n">
        <f aca="false">F230+G230+(X230+Y230)*(1-TASA_USADA)</f>
        <v>0</v>
      </c>
      <c r="AC230" s="60" t="n">
        <f aca="false">Z230*P1_PVP+AA230*P2_PVP</f>
        <v>0</v>
      </c>
      <c r="AD230" s="60" t="n">
        <f aca="false">Z230*P1_CPROD+AA230*P2_CPROD</f>
        <v>0</v>
      </c>
      <c r="AE230" s="60" t="n">
        <f aca="false">IF(ISNUMBER(I230),I230,D230*P1_LOG+E230*P2_LOG)+IF(ISNUMBER(J230),J230,X230*P1_LOG+Y230*P2_LOG)*TASA_USADA</f>
        <v>0</v>
      </c>
      <c r="AF230" s="60" t="n">
        <f aca="false">AB230*COSTE_DEV</f>
        <v>0</v>
      </c>
      <c r="AG230" s="60" t="n">
        <f aca="false">Z230*P1_IVAN+AA230*P2_IVAN-AB230*IVA_DEV</f>
        <v>0</v>
      </c>
      <c r="AH230" s="60" t="n">
        <f aca="false">K230*(1+RECARGO_ADS)</f>
        <v>0</v>
      </c>
      <c r="AI230" s="58" t="n">
        <f aca="false">IF(ISNUMBER(I230),D230+E230+X230+Y230,0)</f>
        <v>0</v>
      </c>
      <c r="AJ230" s="60" t="n">
        <f aca="false">M230*COMISION</f>
        <v>0</v>
      </c>
    </row>
    <row r="231" customFormat="false" ht="15" hidden="false" customHeight="false" outlineLevel="0" collapsed="false">
      <c r="A231" s="53" t="n">
        <v>46525</v>
      </c>
      <c r="B231" s="54"/>
      <c r="C231" s="54"/>
      <c r="D231" s="54"/>
      <c r="E231" s="54"/>
      <c r="F231" s="54"/>
      <c r="G231" s="54"/>
      <c r="H231" s="54"/>
      <c r="I231" s="55"/>
      <c r="J231" s="55"/>
      <c r="K231" s="55"/>
      <c r="L231" s="56"/>
      <c r="M231" s="31" t="n">
        <f aca="false">B231+C231</f>
        <v>0</v>
      </c>
      <c r="N231" s="31" t="n">
        <f aca="false">X231+Y231</f>
        <v>0</v>
      </c>
      <c r="O231" s="32" t="n">
        <f aca="false">B231*P1_PVP+C231*P2_PVP</f>
        <v>0</v>
      </c>
      <c r="P231" s="32" t="str">
        <f aca="false">IF(M231&gt;0,O231/M231,"")</f>
        <v/>
      </c>
      <c r="Q231" s="32" t="str">
        <f aca="false">IF(M231&gt;0,K231/M231,"")</f>
        <v/>
      </c>
      <c r="R231" s="57" t="str">
        <f aca="false">IF(K231&gt;0,O231/K231,"")</f>
        <v/>
      </c>
      <c r="S231" s="34" t="str">
        <f aca="false">IF(D231+E231+F231+G231&gt;0,(D231+E231)/(D231+E231+F231+G231),"")</f>
        <v/>
      </c>
      <c r="T231" s="33" t="n">
        <f aca="false">D231*(P1_PVP-P1_CPROD)+E231*(P2_PVP-P2_CPROD)-IF(ISNUMBER(I231),I231,D231*P1_LOG+E231*P2_LOG)</f>
        <v>0</v>
      </c>
      <c r="U231" s="33" t="n">
        <f aca="false">T231-(D231*P1_IVAN+E231*P2_IVAN)-(F231+G231)*(COSTE_DEV-IVA_DEV)-AH231-AJ231</f>
        <v>0</v>
      </c>
      <c r="V231" s="33" t="n">
        <f aca="false">AC231-AD231-AE231-AF231-AG231-AH231-AJ231</f>
        <v>0</v>
      </c>
      <c r="X231" s="58" t="n">
        <f aca="false">MAX(0,B231-D231-F231)</f>
        <v>0</v>
      </c>
      <c r="Y231" s="58" t="n">
        <f aca="false">MAX(0,C231-E231-G231)</f>
        <v>0</v>
      </c>
      <c r="Z231" s="59" t="n">
        <f aca="false">D231+X231*TASA_USADA</f>
        <v>0</v>
      </c>
      <c r="AA231" s="59" t="n">
        <f aca="false">E231+Y231*TASA_USADA</f>
        <v>0</v>
      </c>
      <c r="AB231" s="59" t="n">
        <f aca="false">F231+G231+(X231+Y231)*(1-TASA_USADA)</f>
        <v>0</v>
      </c>
      <c r="AC231" s="60" t="n">
        <f aca="false">Z231*P1_PVP+AA231*P2_PVP</f>
        <v>0</v>
      </c>
      <c r="AD231" s="60" t="n">
        <f aca="false">Z231*P1_CPROD+AA231*P2_CPROD</f>
        <v>0</v>
      </c>
      <c r="AE231" s="60" t="n">
        <f aca="false">IF(ISNUMBER(I231),I231,D231*P1_LOG+E231*P2_LOG)+IF(ISNUMBER(J231),J231,X231*P1_LOG+Y231*P2_LOG)*TASA_USADA</f>
        <v>0</v>
      </c>
      <c r="AF231" s="60" t="n">
        <f aca="false">AB231*COSTE_DEV</f>
        <v>0</v>
      </c>
      <c r="AG231" s="60" t="n">
        <f aca="false">Z231*P1_IVAN+AA231*P2_IVAN-AB231*IVA_DEV</f>
        <v>0</v>
      </c>
      <c r="AH231" s="60" t="n">
        <f aca="false">K231*(1+RECARGO_ADS)</f>
        <v>0</v>
      </c>
      <c r="AI231" s="58" t="n">
        <f aca="false">IF(ISNUMBER(I231),D231+E231+X231+Y231,0)</f>
        <v>0</v>
      </c>
      <c r="AJ231" s="60" t="n">
        <f aca="false">M231*COMISION</f>
        <v>0</v>
      </c>
    </row>
    <row r="232" customFormat="false" ht="15" hidden="false" customHeight="false" outlineLevel="0" collapsed="false">
      <c r="A232" s="53" t="n">
        <v>46526</v>
      </c>
      <c r="B232" s="54"/>
      <c r="C232" s="54"/>
      <c r="D232" s="54"/>
      <c r="E232" s="54"/>
      <c r="F232" s="54"/>
      <c r="G232" s="54"/>
      <c r="H232" s="54"/>
      <c r="I232" s="55"/>
      <c r="J232" s="55"/>
      <c r="K232" s="55"/>
      <c r="L232" s="56"/>
      <c r="M232" s="31" t="n">
        <f aca="false">B232+C232</f>
        <v>0</v>
      </c>
      <c r="N232" s="31" t="n">
        <f aca="false">X232+Y232</f>
        <v>0</v>
      </c>
      <c r="O232" s="32" t="n">
        <f aca="false">B232*P1_PVP+C232*P2_PVP</f>
        <v>0</v>
      </c>
      <c r="P232" s="32" t="str">
        <f aca="false">IF(M232&gt;0,O232/M232,"")</f>
        <v/>
      </c>
      <c r="Q232" s="32" t="str">
        <f aca="false">IF(M232&gt;0,K232/M232,"")</f>
        <v/>
      </c>
      <c r="R232" s="57" t="str">
        <f aca="false">IF(K232&gt;0,O232/K232,"")</f>
        <v/>
      </c>
      <c r="S232" s="34" t="str">
        <f aca="false">IF(D232+E232+F232+G232&gt;0,(D232+E232)/(D232+E232+F232+G232),"")</f>
        <v/>
      </c>
      <c r="T232" s="33" t="n">
        <f aca="false">D232*(P1_PVP-P1_CPROD)+E232*(P2_PVP-P2_CPROD)-IF(ISNUMBER(I232),I232,D232*P1_LOG+E232*P2_LOG)</f>
        <v>0</v>
      </c>
      <c r="U232" s="33" t="n">
        <f aca="false">T232-(D232*P1_IVAN+E232*P2_IVAN)-(F232+G232)*(COSTE_DEV-IVA_DEV)-AH232-AJ232</f>
        <v>0</v>
      </c>
      <c r="V232" s="33" t="n">
        <f aca="false">AC232-AD232-AE232-AF232-AG232-AH232-AJ232</f>
        <v>0</v>
      </c>
      <c r="X232" s="58" t="n">
        <f aca="false">MAX(0,B232-D232-F232)</f>
        <v>0</v>
      </c>
      <c r="Y232" s="58" t="n">
        <f aca="false">MAX(0,C232-E232-G232)</f>
        <v>0</v>
      </c>
      <c r="Z232" s="59" t="n">
        <f aca="false">D232+X232*TASA_USADA</f>
        <v>0</v>
      </c>
      <c r="AA232" s="59" t="n">
        <f aca="false">E232+Y232*TASA_USADA</f>
        <v>0</v>
      </c>
      <c r="AB232" s="59" t="n">
        <f aca="false">F232+G232+(X232+Y232)*(1-TASA_USADA)</f>
        <v>0</v>
      </c>
      <c r="AC232" s="60" t="n">
        <f aca="false">Z232*P1_PVP+AA232*P2_PVP</f>
        <v>0</v>
      </c>
      <c r="AD232" s="60" t="n">
        <f aca="false">Z232*P1_CPROD+AA232*P2_CPROD</f>
        <v>0</v>
      </c>
      <c r="AE232" s="60" t="n">
        <f aca="false">IF(ISNUMBER(I232),I232,D232*P1_LOG+E232*P2_LOG)+IF(ISNUMBER(J232),J232,X232*P1_LOG+Y232*P2_LOG)*TASA_USADA</f>
        <v>0</v>
      </c>
      <c r="AF232" s="60" t="n">
        <f aca="false">AB232*COSTE_DEV</f>
        <v>0</v>
      </c>
      <c r="AG232" s="60" t="n">
        <f aca="false">Z232*P1_IVAN+AA232*P2_IVAN-AB232*IVA_DEV</f>
        <v>0</v>
      </c>
      <c r="AH232" s="60" t="n">
        <f aca="false">K232*(1+RECARGO_ADS)</f>
        <v>0</v>
      </c>
      <c r="AI232" s="58" t="n">
        <f aca="false">IF(ISNUMBER(I232),D232+E232+X232+Y232,0)</f>
        <v>0</v>
      </c>
      <c r="AJ232" s="60" t="n">
        <f aca="false">M232*COMISION</f>
        <v>0</v>
      </c>
    </row>
    <row r="233" customFormat="false" ht="15" hidden="false" customHeight="false" outlineLevel="0" collapsed="false">
      <c r="A233" s="53" t="n">
        <v>46527</v>
      </c>
      <c r="B233" s="54"/>
      <c r="C233" s="54"/>
      <c r="D233" s="54"/>
      <c r="E233" s="54"/>
      <c r="F233" s="54"/>
      <c r="G233" s="54"/>
      <c r="H233" s="54"/>
      <c r="I233" s="55"/>
      <c r="J233" s="55"/>
      <c r="K233" s="55"/>
      <c r="L233" s="56"/>
      <c r="M233" s="31" t="n">
        <f aca="false">B233+C233</f>
        <v>0</v>
      </c>
      <c r="N233" s="31" t="n">
        <f aca="false">X233+Y233</f>
        <v>0</v>
      </c>
      <c r="O233" s="32" t="n">
        <f aca="false">B233*P1_PVP+C233*P2_PVP</f>
        <v>0</v>
      </c>
      <c r="P233" s="32" t="str">
        <f aca="false">IF(M233&gt;0,O233/M233,"")</f>
        <v/>
      </c>
      <c r="Q233" s="32" t="str">
        <f aca="false">IF(M233&gt;0,K233/M233,"")</f>
        <v/>
      </c>
      <c r="R233" s="57" t="str">
        <f aca="false">IF(K233&gt;0,O233/K233,"")</f>
        <v/>
      </c>
      <c r="S233" s="34" t="str">
        <f aca="false">IF(D233+E233+F233+G233&gt;0,(D233+E233)/(D233+E233+F233+G233),"")</f>
        <v/>
      </c>
      <c r="T233" s="33" t="n">
        <f aca="false">D233*(P1_PVP-P1_CPROD)+E233*(P2_PVP-P2_CPROD)-IF(ISNUMBER(I233),I233,D233*P1_LOG+E233*P2_LOG)</f>
        <v>0</v>
      </c>
      <c r="U233" s="33" t="n">
        <f aca="false">T233-(D233*P1_IVAN+E233*P2_IVAN)-(F233+G233)*(COSTE_DEV-IVA_DEV)-AH233-AJ233</f>
        <v>0</v>
      </c>
      <c r="V233" s="33" t="n">
        <f aca="false">AC233-AD233-AE233-AF233-AG233-AH233-AJ233</f>
        <v>0</v>
      </c>
      <c r="X233" s="58" t="n">
        <f aca="false">MAX(0,B233-D233-F233)</f>
        <v>0</v>
      </c>
      <c r="Y233" s="58" t="n">
        <f aca="false">MAX(0,C233-E233-G233)</f>
        <v>0</v>
      </c>
      <c r="Z233" s="59" t="n">
        <f aca="false">D233+X233*TASA_USADA</f>
        <v>0</v>
      </c>
      <c r="AA233" s="59" t="n">
        <f aca="false">E233+Y233*TASA_USADA</f>
        <v>0</v>
      </c>
      <c r="AB233" s="59" t="n">
        <f aca="false">F233+G233+(X233+Y233)*(1-TASA_USADA)</f>
        <v>0</v>
      </c>
      <c r="AC233" s="60" t="n">
        <f aca="false">Z233*P1_PVP+AA233*P2_PVP</f>
        <v>0</v>
      </c>
      <c r="AD233" s="60" t="n">
        <f aca="false">Z233*P1_CPROD+AA233*P2_CPROD</f>
        <v>0</v>
      </c>
      <c r="AE233" s="60" t="n">
        <f aca="false">IF(ISNUMBER(I233),I233,D233*P1_LOG+E233*P2_LOG)+IF(ISNUMBER(J233),J233,X233*P1_LOG+Y233*P2_LOG)*TASA_USADA</f>
        <v>0</v>
      </c>
      <c r="AF233" s="60" t="n">
        <f aca="false">AB233*COSTE_DEV</f>
        <v>0</v>
      </c>
      <c r="AG233" s="60" t="n">
        <f aca="false">Z233*P1_IVAN+AA233*P2_IVAN-AB233*IVA_DEV</f>
        <v>0</v>
      </c>
      <c r="AH233" s="60" t="n">
        <f aca="false">K233*(1+RECARGO_ADS)</f>
        <v>0</v>
      </c>
      <c r="AI233" s="58" t="n">
        <f aca="false">IF(ISNUMBER(I233),D233+E233+X233+Y233,0)</f>
        <v>0</v>
      </c>
      <c r="AJ233" s="60" t="n">
        <f aca="false">M233*COMISION</f>
        <v>0</v>
      </c>
    </row>
    <row r="234" customFormat="false" ht="15" hidden="false" customHeight="false" outlineLevel="0" collapsed="false">
      <c r="A234" s="53" t="n">
        <v>46528</v>
      </c>
      <c r="B234" s="54"/>
      <c r="C234" s="54"/>
      <c r="D234" s="54"/>
      <c r="E234" s="54"/>
      <c r="F234" s="54"/>
      <c r="G234" s="54"/>
      <c r="H234" s="54"/>
      <c r="I234" s="55"/>
      <c r="J234" s="55"/>
      <c r="K234" s="55"/>
      <c r="L234" s="56"/>
      <c r="M234" s="31" t="n">
        <f aca="false">B234+C234</f>
        <v>0</v>
      </c>
      <c r="N234" s="31" t="n">
        <f aca="false">X234+Y234</f>
        <v>0</v>
      </c>
      <c r="O234" s="32" t="n">
        <f aca="false">B234*P1_PVP+C234*P2_PVP</f>
        <v>0</v>
      </c>
      <c r="P234" s="32" t="str">
        <f aca="false">IF(M234&gt;0,O234/M234,"")</f>
        <v/>
      </c>
      <c r="Q234" s="32" t="str">
        <f aca="false">IF(M234&gt;0,K234/M234,"")</f>
        <v/>
      </c>
      <c r="R234" s="57" t="str">
        <f aca="false">IF(K234&gt;0,O234/K234,"")</f>
        <v/>
      </c>
      <c r="S234" s="34" t="str">
        <f aca="false">IF(D234+E234+F234+G234&gt;0,(D234+E234)/(D234+E234+F234+G234),"")</f>
        <v/>
      </c>
      <c r="T234" s="33" t="n">
        <f aca="false">D234*(P1_PVP-P1_CPROD)+E234*(P2_PVP-P2_CPROD)-IF(ISNUMBER(I234),I234,D234*P1_LOG+E234*P2_LOG)</f>
        <v>0</v>
      </c>
      <c r="U234" s="33" t="n">
        <f aca="false">T234-(D234*P1_IVAN+E234*P2_IVAN)-(F234+G234)*(COSTE_DEV-IVA_DEV)-AH234-AJ234</f>
        <v>0</v>
      </c>
      <c r="V234" s="33" t="n">
        <f aca="false">AC234-AD234-AE234-AF234-AG234-AH234-AJ234</f>
        <v>0</v>
      </c>
      <c r="X234" s="58" t="n">
        <f aca="false">MAX(0,B234-D234-F234)</f>
        <v>0</v>
      </c>
      <c r="Y234" s="58" t="n">
        <f aca="false">MAX(0,C234-E234-G234)</f>
        <v>0</v>
      </c>
      <c r="Z234" s="59" t="n">
        <f aca="false">D234+X234*TASA_USADA</f>
        <v>0</v>
      </c>
      <c r="AA234" s="59" t="n">
        <f aca="false">E234+Y234*TASA_USADA</f>
        <v>0</v>
      </c>
      <c r="AB234" s="59" t="n">
        <f aca="false">F234+G234+(X234+Y234)*(1-TASA_USADA)</f>
        <v>0</v>
      </c>
      <c r="AC234" s="60" t="n">
        <f aca="false">Z234*P1_PVP+AA234*P2_PVP</f>
        <v>0</v>
      </c>
      <c r="AD234" s="60" t="n">
        <f aca="false">Z234*P1_CPROD+AA234*P2_CPROD</f>
        <v>0</v>
      </c>
      <c r="AE234" s="60" t="n">
        <f aca="false">IF(ISNUMBER(I234),I234,D234*P1_LOG+E234*P2_LOG)+IF(ISNUMBER(J234),J234,X234*P1_LOG+Y234*P2_LOG)*TASA_USADA</f>
        <v>0</v>
      </c>
      <c r="AF234" s="60" t="n">
        <f aca="false">AB234*COSTE_DEV</f>
        <v>0</v>
      </c>
      <c r="AG234" s="60" t="n">
        <f aca="false">Z234*P1_IVAN+AA234*P2_IVAN-AB234*IVA_DEV</f>
        <v>0</v>
      </c>
      <c r="AH234" s="60" t="n">
        <f aca="false">K234*(1+RECARGO_ADS)</f>
        <v>0</v>
      </c>
      <c r="AI234" s="58" t="n">
        <f aca="false">IF(ISNUMBER(I234),D234+E234+X234+Y234,0)</f>
        <v>0</v>
      </c>
      <c r="AJ234" s="60" t="n">
        <f aca="false">M234*COMISION</f>
        <v>0</v>
      </c>
    </row>
    <row r="235" customFormat="false" ht="15" hidden="false" customHeight="false" outlineLevel="0" collapsed="false">
      <c r="A235" s="53" t="n">
        <v>46529</v>
      </c>
      <c r="B235" s="54"/>
      <c r="C235" s="54"/>
      <c r="D235" s="54"/>
      <c r="E235" s="54"/>
      <c r="F235" s="54"/>
      <c r="G235" s="54"/>
      <c r="H235" s="54"/>
      <c r="I235" s="55"/>
      <c r="J235" s="55"/>
      <c r="K235" s="55"/>
      <c r="L235" s="56"/>
      <c r="M235" s="31" t="n">
        <f aca="false">B235+C235</f>
        <v>0</v>
      </c>
      <c r="N235" s="31" t="n">
        <f aca="false">X235+Y235</f>
        <v>0</v>
      </c>
      <c r="O235" s="32" t="n">
        <f aca="false">B235*P1_PVP+C235*P2_PVP</f>
        <v>0</v>
      </c>
      <c r="P235" s="32" t="str">
        <f aca="false">IF(M235&gt;0,O235/M235,"")</f>
        <v/>
      </c>
      <c r="Q235" s="32" t="str">
        <f aca="false">IF(M235&gt;0,K235/M235,"")</f>
        <v/>
      </c>
      <c r="R235" s="57" t="str">
        <f aca="false">IF(K235&gt;0,O235/K235,"")</f>
        <v/>
      </c>
      <c r="S235" s="34" t="str">
        <f aca="false">IF(D235+E235+F235+G235&gt;0,(D235+E235)/(D235+E235+F235+G235),"")</f>
        <v/>
      </c>
      <c r="T235" s="33" t="n">
        <f aca="false">D235*(P1_PVP-P1_CPROD)+E235*(P2_PVP-P2_CPROD)-IF(ISNUMBER(I235),I235,D235*P1_LOG+E235*P2_LOG)</f>
        <v>0</v>
      </c>
      <c r="U235" s="33" t="n">
        <f aca="false">T235-(D235*P1_IVAN+E235*P2_IVAN)-(F235+G235)*(COSTE_DEV-IVA_DEV)-AH235-AJ235</f>
        <v>0</v>
      </c>
      <c r="V235" s="33" t="n">
        <f aca="false">AC235-AD235-AE235-AF235-AG235-AH235-AJ235</f>
        <v>0</v>
      </c>
      <c r="X235" s="58" t="n">
        <f aca="false">MAX(0,B235-D235-F235)</f>
        <v>0</v>
      </c>
      <c r="Y235" s="58" t="n">
        <f aca="false">MAX(0,C235-E235-G235)</f>
        <v>0</v>
      </c>
      <c r="Z235" s="59" t="n">
        <f aca="false">D235+X235*TASA_USADA</f>
        <v>0</v>
      </c>
      <c r="AA235" s="59" t="n">
        <f aca="false">E235+Y235*TASA_USADA</f>
        <v>0</v>
      </c>
      <c r="AB235" s="59" t="n">
        <f aca="false">F235+G235+(X235+Y235)*(1-TASA_USADA)</f>
        <v>0</v>
      </c>
      <c r="AC235" s="60" t="n">
        <f aca="false">Z235*P1_PVP+AA235*P2_PVP</f>
        <v>0</v>
      </c>
      <c r="AD235" s="60" t="n">
        <f aca="false">Z235*P1_CPROD+AA235*P2_CPROD</f>
        <v>0</v>
      </c>
      <c r="AE235" s="60" t="n">
        <f aca="false">IF(ISNUMBER(I235),I235,D235*P1_LOG+E235*P2_LOG)+IF(ISNUMBER(J235),J235,X235*P1_LOG+Y235*P2_LOG)*TASA_USADA</f>
        <v>0</v>
      </c>
      <c r="AF235" s="60" t="n">
        <f aca="false">AB235*COSTE_DEV</f>
        <v>0</v>
      </c>
      <c r="AG235" s="60" t="n">
        <f aca="false">Z235*P1_IVAN+AA235*P2_IVAN-AB235*IVA_DEV</f>
        <v>0</v>
      </c>
      <c r="AH235" s="60" t="n">
        <f aca="false">K235*(1+RECARGO_ADS)</f>
        <v>0</v>
      </c>
      <c r="AI235" s="58" t="n">
        <f aca="false">IF(ISNUMBER(I235),D235+E235+X235+Y235,0)</f>
        <v>0</v>
      </c>
      <c r="AJ235" s="60" t="n">
        <f aca="false">M235*COMISION</f>
        <v>0</v>
      </c>
    </row>
    <row r="236" customFormat="false" ht="15" hidden="false" customHeight="false" outlineLevel="0" collapsed="false">
      <c r="A236" s="53" t="n">
        <v>46530</v>
      </c>
      <c r="B236" s="54"/>
      <c r="C236" s="54"/>
      <c r="D236" s="54"/>
      <c r="E236" s="54"/>
      <c r="F236" s="54"/>
      <c r="G236" s="54"/>
      <c r="H236" s="54"/>
      <c r="I236" s="55"/>
      <c r="J236" s="55"/>
      <c r="K236" s="55"/>
      <c r="L236" s="56"/>
      <c r="M236" s="31" t="n">
        <f aca="false">B236+C236</f>
        <v>0</v>
      </c>
      <c r="N236" s="31" t="n">
        <f aca="false">X236+Y236</f>
        <v>0</v>
      </c>
      <c r="O236" s="32" t="n">
        <f aca="false">B236*P1_PVP+C236*P2_PVP</f>
        <v>0</v>
      </c>
      <c r="P236" s="32" t="str">
        <f aca="false">IF(M236&gt;0,O236/M236,"")</f>
        <v/>
      </c>
      <c r="Q236" s="32" t="str">
        <f aca="false">IF(M236&gt;0,K236/M236,"")</f>
        <v/>
      </c>
      <c r="R236" s="57" t="str">
        <f aca="false">IF(K236&gt;0,O236/K236,"")</f>
        <v/>
      </c>
      <c r="S236" s="34" t="str">
        <f aca="false">IF(D236+E236+F236+G236&gt;0,(D236+E236)/(D236+E236+F236+G236),"")</f>
        <v/>
      </c>
      <c r="T236" s="33" t="n">
        <f aca="false">D236*(P1_PVP-P1_CPROD)+E236*(P2_PVP-P2_CPROD)-IF(ISNUMBER(I236),I236,D236*P1_LOG+E236*P2_LOG)</f>
        <v>0</v>
      </c>
      <c r="U236" s="33" t="n">
        <f aca="false">T236-(D236*P1_IVAN+E236*P2_IVAN)-(F236+G236)*(COSTE_DEV-IVA_DEV)-AH236-AJ236</f>
        <v>0</v>
      </c>
      <c r="V236" s="33" t="n">
        <f aca="false">AC236-AD236-AE236-AF236-AG236-AH236-AJ236</f>
        <v>0</v>
      </c>
      <c r="X236" s="58" t="n">
        <f aca="false">MAX(0,B236-D236-F236)</f>
        <v>0</v>
      </c>
      <c r="Y236" s="58" t="n">
        <f aca="false">MAX(0,C236-E236-G236)</f>
        <v>0</v>
      </c>
      <c r="Z236" s="59" t="n">
        <f aca="false">D236+X236*TASA_USADA</f>
        <v>0</v>
      </c>
      <c r="AA236" s="59" t="n">
        <f aca="false">E236+Y236*TASA_USADA</f>
        <v>0</v>
      </c>
      <c r="AB236" s="59" t="n">
        <f aca="false">F236+G236+(X236+Y236)*(1-TASA_USADA)</f>
        <v>0</v>
      </c>
      <c r="AC236" s="60" t="n">
        <f aca="false">Z236*P1_PVP+AA236*P2_PVP</f>
        <v>0</v>
      </c>
      <c r="AD236" s="60" t="n">
        <f aca="false">Z236*P1_CPROD+AA236*P2_CPROD</f>
        <v>0</v>
      </c>
      <c r="AE236" s="60" t="n">
        <f aca="false">IF(ISNUMBER(I236),I236,D236*P1_LOG+E236*P2_LOG)+IF(ISNUMBER(J236),J236,X236*P1_LOG+Y236*P2_LOG)*TASA_USADA</f>
        <v>0</v>
      </c>
      <c r="AF236" s="60" t="n">
        <f aca="false">AB236*COSTE_DEV</f>
        <v>0</v>
      </c>
      <c r="AG236" s="60" t="n">
        <f aca="false">Z236*P1_IVAN+AA236*P2_IVAN-AB236*IVA_DEV</f>
        <v>0</v>
      </c>
      <c r="AH236" s="60" t="n">
        <f aca="false">K236*(1+RECARGO_ADS)</f>
        <v>0</v>
      </c>
      <c r="AI236" s="58" t="n">
        <f aca="false">IF(ISNUMBER(I236),D236+E236+X236+Y236,0)</f>
        <v>0</v>
      </c>
      <c r="AJ236" s="60" t="n">
        <f aca="false">M236*COMISION</f>
        <v>0</v>
      </c>
    </row>
    <row r="237" customFormat="false" ht="15" hidden="false" customHeight="false" outlineLevel="0" collapsed="false">
      <c r="A237" s="53" t="n">
        <v>46531</v>
      </c>
      <c r="B237" s="54"/>
      <c r="C237" s="54"/>
      <c r="D237" s="54"/>
      <c r="E237" s="54"/>
      <c r="F237" s="54"/>
      <c r="G237" s="54"/>
      <c r="H237" s="54"/>
      <c r="I237" s="55"/>
      <c r="J237" s="55"/>
      <c r="K237" s="55"/>
      <c r="L237" s="56"/>
      <c r="M237" s="31" t="n">
        <f aca="false">B237+C237</f>
        <v>0</v>
      </c>
      <c r="N237" s="31" t="n">
        <f aca="false">X237+Y237</f>
        <v>0</v>
      </c>
      <c r="O237" s="32" t="n">
        <f aca="false">B237*P1_PVP+C237*P2_PVP</f>
        <v>0</v>
      </c>
      <c r="P237" s="32" t="str">
        <f aca="false">IF(M237&gt;0,O237/M237,"")</f>
        <v/>
      </c>
      <c r="Q237" s="32" t="str">
        <f aca="false">IF(M237&gt;0,K237/M237,"")</f>
        <v/>
      </c>
      <c r="R237" s="57" t="str">
        <f aca="false">IF(K237&gt;0,O237/K237,"")</f>
        <v/>
      </c>
      <c r="S237" s="34" t="str">
        <f aca="false">IF(D237+E237+F237+G237&gt;0,(D237+E237)/(D237+E237+F237+G237),"")</f>
        <v/>
      </c>
      <c r="T237" s="33" t="n">
        <f aca="false">D237*(P1_PVP-P1_CPROD)+E237*(P2_PVP-P2_CPROD)-IF(ISNUMBER(I237),I237,D237*P1_LOG+E237*P2_LOG)</f>
        <v>0</v>
      </c>
      <c r="U237" s="33" t="n">
        <f aca="false">T237-(D237*P1_IVAN+E237*P2_IVAN)-(F237+G237)*(COSTE_DEV-IVA_DEV)-AH237-AJ237</f>
        <v>0</v>
      </c>
      <c r="V237" s="33" t="n">
        <f aca="false">AC237-AD237-AE237-AF237-AG237-AH237-AJ237</f>
        <v>0</v>
      </c>
      <c r="X237" s="58" t="n">
        <f aca="false">MAX(0,B237-D237-F237)</f>
        <v>0</v>
      </c>
      <c r="Y237" s="58" t="n">
        <f aca="false">MAX(0,C237-E237-G237)</f>
        <v>0</v>
      </c>
      <c r="Z237" s="59" t="n">
        <f aca="false">D237+X237*TASA_USADA</f>
        <v>0</v>
      </c>
      <c r="AA237" s="59" t="n">
        <f aca="false">E237+Y237*TASA_USADA</f>
        <v>0</v>
      </c>
      <c r="AB237" s="59" t="n">
        <f aca="false">F237+G237+(X237+Y237)*(1-TASA_USADA)</f>
        <v>0</v>
      </c>
      <c r="AC237" s="60" t="n">
        <f aca="false">Z237*P1_PVP+AA237*P2_PVP</f>
        <v>0</v>
      </c>
      <c r="AD237" s="60" t="n">
        <f aca="false">Z237*P1_CPROD+AA237*P2_CPROD</f>
        <v>0</v>
      </c>
      <c r="AE237" s="60" t="n">
        <f aca="false">IF(ISNUMBER(I237),I237,D237*P1_LOG+E237*P2_LOG)+IF(ISNUMBER(J237),J237,X237*P1_LOG+Y237*P2_LOG)*TASA_USADA</f>
        <v>0</v>
      </c>
      <c r="AF237" s="60" t="n">
        <f aca="false">AB237*COSTE_DEV</f>
        <v>0</v>
      </c>
      <c r="AG237" s="60" t="n">
        <f aca="false">Z237*P1_IVAN+AA237*P2_IVAN-AB237*IVA_DEV</f>
        <v>0</v>
      </c>
      <c r="AH237" s="60" t="n">
        <f aca="false">K237*(1+RECARGO_ADS)</f>
        <v>0</v>
      </c>
      <c r="AI237" s="58" t="n">
        <f aca="false">IF(ISNUMBER(I237),D237+E237+X237+Y237,0)</f>
        <v>0</v>
      </c>
      <c r="AJ237" s="60" t="n">
        <f aca="false">M237*COMISION</f>
        <v>0</v>
      </c>
    </row>
    <row r="238" customFormat="false" ht="15" hidden="false" customHeight="false" outlineLevel="0" collapsed="false">
      <c r="A238" s="53" t="n">
        <v>46532</v>
      </c>
      <c r="B238" s="54"/>
      <c r="C238" s="54"/>
      <c r="D238" s="54"/>
      <c r="E238" s="54"/>
      <c r="F238" s="54"/>
      <c r="G238" s="54"/>
      <c r="H238" s="54"/>
      <c r="I238" s="55"/>
      <c r="J238" s="55"/>
      <c r="K238" s="55"/>
      <c r="L238" s="56"/>
      <c r="M238" s="31" t="n">
        <f aca="false">B238+C238</f>
        <v>0</v>
      </c>
      <c r="N238" s="31" t="n">
        <f aca="false">X238+Y238</f>
        <v>0</v>
      </c>
      <c r="O238" s="32" t="n">
        <f aca="false">B238*P1_PVP+C238*P2_PVP</f>
        <v>0</v>
      </c>
      <c r="P238" s="32" t="str">
        <f aca="false">IF(M238&gt;0,O238/M238,"")</f>
        <v/>
      </c>
      <c r="Q238" s="32" t="str">
        <f aca="false">IF(M238&gt;0,K238/M238,"")</f>
        <v/>
      </c>
      <c r="R238" s="57" t="str">
        <f aca="false">IF(K238&gt;0,O238/K238,"")</f>
        <v/>
      </c>
      <c r="S238" s="34" t="str">
        <f aca="false">IF(D238+E238+F238+G238&gt;0,(D238+E238)/(D238+E238+F238+G238),"")</f>
        <v/>
      </c>
      <c r="T238" s="33" t="n">
        <f aca="false">D238*(P1_PVP-P1_CPROD)+E238*(P2_PVP-P2_CPROD)-IF(ISNUMBER(I238),I238,D238*P1_LOG+E238*P2_LOG)</f>
        <v>0</v>
      </c>
      <c r="U238" s="33" t="n">
        <f aca="false">T238-(D238*P1_IVAN+E238*P2_IVAN)-(F238+G238)*(COSTE_DEV-IVA_DEV)-AH238-AJ238</f>
        <v>0</v>
      </c>
      <c r="V238" s="33" t="n">
        <f aca="false">AC238-AD238-AE238-AF238-AG238-AH238-AJ238</f>
        <v>0</v>
      </c>
      <c r="X238" s="58" t="n">
        <f aca="false">MAX(0,B238-D238-F238)</f>
        <v>0</v>
      </c>
      <c r="Y238" s="58" t="n">
        <f aca="false">MAX(0,C238-E238-G238)</f>
        <v>0</v>
      </c>
      <c r="Z238" s="59" t="n">
        <f aca="false">D238+X238*TASA_USADA</f>
        <v>0</v>
      </c>
      <c r="AA238" s="59" t="n">
        <f aca="false">E238+Y238*TASA_USADA</f>
        <v>0</v>
      </c>
      <c r="AB238" s="59" t="n">
        <f aca="false">F238+G238+(X238+Y238)*(1-TASA_USADA)</f>
        <v>0</v>
      </c>
      <c r="AC238" s="60" t="n">
        <f aca="false">Z238*P1_PVP+AA238*P2_PVP</f>
        <v>0</v>
      </c>
      <c r="AD238" s="60" t="n">
        <f aca="false">Z238*P1_CPROD+AA238*P2_CPROD</f>
        <v>0</v>
      </c>
      <c r="AE238" s="60" t="n">
        <f aca="false">IF(ISNUMBER(I238),I238,D238*P1_LOG+E238*P2_LOG)+IF(ISNUMBER(J238),J238,X238*P1_LOG+Y238*P2_LOG)*TASA_USADA</f>
        <v>0</v>
      </c>
      <c r="AF238" s="60" t="n">
        <f aca="false">AB238*COSTE_DEV</f>
        <v>0</v>
      </c>
      <c r="AG238" s="60" t="n">
        <f aca="false">Z238*P1_IVAN+AA238*P2_IVAN-AB238*IVA_DEV</f>
        <v>0</v>
      </c>
      <c r="AH238" s="60" t="n">
        <f aca="false">K238*(1+RECARGO_ADS)</f>
        <v>0</v>
      </c>
      <c r="AI238" s="58" t="n">
        <f aca="false">IF(ISNUMBER(I238),D238+E238+X238+Y238,0)</f>
        <v>0</v>
      </c>
      <c r="AJ238" s="60" t="n">
        <f aca="false">M238*COMISION</f>
        <v>0</v>
      </c>
    </row>
    <row r="239" customFormat="false" ht="15" hidden="false" customHeight="false" outlineLevel="0" collapsed="false">
      <c r="A239" s="53" t="n">
        <v>46533</v>
      </c>
      <c r="B239" s="54"/>
      <c r="C239" s="54"/>
      <c r="D239" s="54"/>
      <c r="E239" s="54"/>
      <c r="F239" s="54"/>
      <c r="G239" s="54"/>
      <c r="H239" s="54"/>
      <c r="I239" s="55"/>
      <c r="J239" s="55"/>
      <c r="K239" s="55"/>
      <c r="L239" s="56"/>
      <c r="M239" s="31" t="n">
        <f aca="false">B239+C239</f>
        <v>0</v>
      </c>
      <c r="N239" s="31" t="n">
        <f aca="false">X239+Y239</f>
        <v>0</v>
      </c>
      <c r="O239" s="32" t="n">
        <f aca="false">B239*P1_PVP+C239*P2_PVP</f>
        <v>0</v>
      </c>
      <c r="P239" s="32" t="str">
        <f aca="false">IF(M239&gt;0,O239/M239,"")</f>
        <v/>
      </c>
      <c r="Q239" s="32" t="str">
        <f aca="false">IF(M239&gt;0,K239/M239,"")</f>
        <v/>
      </c>
      <c r="R239" s="57" t="str">
        <f aca="false">IF(K239&gt;0,O239/K239,"")</f>
        <v/>
      </c>
      <c r="S239" s="34" t="str">
        <f aca="false">IF(D239+E239+F239+G239&gt;0,(D239+E239)/(D239+E239+F239+G239),"")</f>
        <v/>
      </c>
      <c r="T239" s="33" t="n">
        <f aca="false">D239*(P1_PVP-P1_CPROD)+E239*(P2_PVP-P2_CPROD)-IF(ISNUMBER(I239),I239,D239*P1_LOG+E239*P2_LOG)</f>
        <v>0</v>
      </c>
      <c r="U239" s="33" t="n">
        <f aca="false">T239-(D239*P1_IVAN+E239*P2_IVAN)-(F239+G239)*(COSTE_DEV-IVA_DEV)-AH239-AJ239</f>
        <v>0</v>
      </c>
      <c r="V239" s="33" t="n">
        <f aca="false">AC239-AD239-AE239-AF239-AG239-AH239-AJ239</f>
        <v>0</v>
      </c>
      <c r="X239" s="58" t="n">
        <f aca="false">MAX(0,B239-D239-F239)</f>
        <v>0</v>
      </c>
      <c r="Y239" s="58" t="n">
        <f aca="false">MAX(0,C239-E239-G239)</f>
        <v>0</v>
      </c>
      <c r="Z239" s="59" t="n">
        <f aca="false">D239+X239*TASA_USADA</f>
        <v>0</v>
      </c>
      <c r="AA239" s="59" t="n">
        <f aca="false">E239+Y239*TASA_USADA</f>
        <v>0</v>
      </c>
      <c r="AB239" s="59" t="n">
        <f aca="false">F239+G239+(X239+Y239)*(1-TASA_USADA)</f>
        <v>0</v>
      </c>
      <c r="AC239" s="60" t="n">
        <f aca="false">Z239*P1_PVP+AA239*P2_PVP</f>
        <v>0</v>
      </c>
      <c r="AD239" s="60" t="n">
        <f aca="false">Z239*P1_CPROD+AA239*P2_CPROD</f>
        <v>0</v>
      </c>
      <c r="AE239" s="60" t="n">
        <f aca="false">IF(ISNUMBER(I239),I239,D239*P1_LOG+E239*P2_LOG)+IF(ISNUMBER(J239),J239,X239*P1_LOG+Y239*P2_LOG)*TASA_USADA</f>
        <v>0</v>
      </c>
      <c r="AF239" s="60" t="n">
        <f aca="false">AB239*COSTE_DEV</f>
        <v>0</v>
      </c>
      <c r="AG239" s="60" t="n">
        <f aca="false">Z239*P1_IVAN+AA239*P2_IVAN-AB239*IVA_DEV</f>
        <v>0</v>
      </c>
      <c r="AH239" s="60" t="n">
        <f aca="false">K239*(1+RECARGO_ADS)</f>
        <v>0</v>
      </c>
      <c r="AI239" s="58" t="n">
        <f aca="false">IF(ISNUMBER(I239),D239+E239+X239+Y239,0)</f>
        <v>0</v>
      </c>
      <c r="AJ239" s="60" t="n">
        <f aca="false">M239*COMISION</f>
        <v>0</v>
      </c>
    </row>
    <row r="240" customFormat="false" ht="15" hidden="false" customHeight="false" outlineLevel="0" collapsed="false">
      <c r="A240" s="53" t="n">
        <v>46534</v>
      </c>
      <c r="B240" s="54"/>
      <c r="C240" s="54"/>
      <c r="D240" s="54"/>
      <c r="E240" s="54"/>
      <c r="F240" s="54"/>
      <c r="G240" s="54"/>
      <c r="H240" s="54"/>
      <c r="I240" s="55"/>
      <c r="J240" s="55"/>
      <c r="K240" s="55"/>
      <c r="L240" s="56"/>
      <c r="M240" s="31" t="n">
        <f aca="false">B240+C240</f>
        <v>0</v>
      </c>
      <c r="N240" s="31" t="n">
        <f aca="false">X240+Y240</f>
        <v>0</v>
      </c>
      <c r="O240" s="32" t="n">
        <f aca="false">B240*P1_PVP+C240*P2_PVP</f>
        <v>0</v>
      </c>
      <c r="P240" s="32" t="str">
        <f aca="false">IF(M240&gt;0,O240/M240,"")</f>
        <v/>
      </c>
      <c r="Q240" s="32" t="str">
        <f aca="false">IF(M240&gt;0,K240/M240,"")</f>
        <v/>
      </c>
      <c r="R240" s="57" t="str">
        <f aca="false">IF(K240&gt;0,O240/K240,"")</f>
        <v/>
      </c>
      <c r="S240" s="34" t="str">
        <f aca="false">IF(D240+E240+F240+G240&gt;0,(D240+E240)/(D240+E240+F240+G240),"")</f>
        <v/>
      </c>
      <c r="T240" s="33" t="n">
        <f aca="false">D240*(P1_PVP-P1_CPROD)+E240*(P2_PVP-P2_CPROD)-IF(ISNUMBER(I240),I240,D240*P1_LOG+E240*P2_LOG)</f>
        <v>0</v>
      </c>
      <c r="U240" s="33" t="n">
        <f aca="false">T240-(D240*P1_IVAN+E240*P2_IVAN)-(F240+G240)*(COSTE_DEV-IVA_DEV)-AH240-AJ240</f>
        <v>0</v>
      </c>
      <c r="V240" s="33" t="n">
        <f aca="false">AC240-AD240-AE240-AF240-AG240-AH240-AJ240</f>
        <v>0</v>
      </c>
      <c r="X240" s="58" t="n">
        <f aca="false">MAX(0,B240-D240-F240)</f>
        <v>0</v>
      </c>
      <c r="Y240" s="58" t="n">
        <f aca="false">MAX(0,C240-E240-G240)</f>
        <v>0</v>
      </c>
      <c r="Z240" s="59" t="n">
        <f aca="false">D240+X240*TASA_USADA</f>
        <v>0</v>
      </c>
      <c r="AA240" s="59" t="n">
        <f aca="false">E240+Y240*TASA_USADA</f>
        <v>0</v>
      </c>
      <c r="AB240" s="59" t="n">
        <f aca="false">F240+G240+(X240+Y240)*(1-TASA_USADA)</f>
        <v>0</v>
      </c>
      <c r="AC240" s="60" t="n">
        <f aca="false">Z240*P1_PVP+AA240*P2_PVP</f>
        <v>0</v>
      </c>
      <c r="AD240" s="60" t="n">
        <f aca="false">Z240*P1_CPROD+AA240*P2_CPROD</f>
        <v>0</v>
      </c>
      <c r="AE240" s="60" t="n">
        <f aca="false">IF(ISNUMBER(I240),I240,D240*P1_LOG+E240*P2_LOG)+IF(ISNUMBER(J240),J240,X240*P1_LOG+Y240*P2_LOG)*TASA_USADA</f>
        <v>0</v>
      </c>
      <c r="AF240" s="60" t="n">
        <f aca="false">AB240*COSTE_DEV</f>
        <v>0</v>
      </c>
      <c r="AG240" s="60" t="n">
        <f aca="false">Z240*P1_IVAN+AA240*P2_IVAN-AB240*IVA_DEV</f>
        <v>0</v>
      </c>
      <c r="AH240" s="60" t="n">
        <f aca="false">K240*(1+RECARGO_ADS)</f>
        <v>0</v>
      </c>
      <c r="AI240" s="58" t="n">
        <f aca="false">IF(ISNUMBER(I240),D240+E240+X240+Y240,0)</f>
        <v>0</v>
      </c>
      <c r="AJ240" s="60" t="n">
        <f aca="false">M240*COMISION</f>
        <v>0</v>
      </c>
    </row>
    <row r="241" customFormat="false" ht="15" hidden="false" customHeight="false" outlineLevel="0" collapsed="false">
      <c r="A241" s="53" t="n">
        <v>46535</v>
      </c>
      <c r="B241" s="54"/>
      <c r="C241" s="54"/>
      <c r="D241" s="54"/>
      <c r="E241" s="54"/>
      <c r="F241" s="54"/>
      <c r="G241" s="54"/>
      <c r="H241" s="54"/>
      <c r="I241" s="55"/>
      <c r="J241" s="55"/>
      <c r="K241" s="55"/>
      <c r="L241" s="56"/>
      <c r="M241" s="31" t="n">
        <f aca="false">B241+C241</f>
        <v>0</v>
      </c>
      <c r="N241" s="31" t="n">
        <f aca="false">X241+Y241</f>
        <v>0</v>
      </c>
      <c r="O241" s="32" t="n">
        <f aca="false">B241*P1_PVP+C241*P2_PVP</f>
        <v>0</v>
      </c>
      <c r="P241" s="32" t="str">
        <f aca="false">IF(M241&gt;0,O241/M241,"")</f>
        <v/>
      </c>
      <c r="Q241" s="32" t="str">
        <f aca="false">IF(M241&gt;0,K241/M241,"")</f>
        <v/>
      </c>
      <c r="R241" s="57" t="str">
        <f aca="false">IF(K241&gt;0,O241/K241,"")</f>
        <v/>
      </c>
      <c r="S241" s="34" t="str">
        <f aca="false">IF(D241+E241+F241+G241&gt;0,(D241+E241)/(D241+E241+F241+G241),"")</f>
        <v/>
      </c>
      <c r="T241" s="33" t="n">
        <f aca="false">D241*(P1_PVP-P1_CPROD)+E241*(P2_PVP-P2_CPROD)-IF(ISNUMBER(I241),I241,D241*P1_LOG+E241*P2_LOG)</f>
        <v>0</v>
      </c>
      <c r="U241" s="33" t="n">
        <f aca="false">T241-(D241*P1_IVAN+E241*P2_IVAN)-(F241+G241)*(COSTE_DEV-IVA_DEV)-AH241-AJ241</f>
        <v>0</v>
      </c>
      <c r="V241" s="33" t="n">
        <f aca="false">AC241-AD241-AE241-AF241-AG241-AH241-AJ241</f>
        <v>0</v>
      </c>
      <c r="X241" s="58" t="n">
        <f aca="false">MAX(0,B241-D241-F241)</f>
        <v>0</v>
      </c>
      <c r="Y241" s="58" t="n">
        <f aca="false">MAX(0,C241-E241-G241)</f>
        <v>0</v>
      </c>
      <c r="Z241" s="59" t="n">
        <f aca="false">D241+X241*TASA_USADA</f>
        <v>0</v>
      </c>
      <c r="AA241" s="59" t="n">
        <f aca="false">E241+Y241*TASA_USADA</f>
        <v>0</v>
      </c>
      <c r="AB241" s="59" t="n">
        <f aca="false">F241+G241+(X241+Y241)*(1-TASA_USADA)</f>
        <v>0</v>
      </c>
      <c r="AC241" s="60" t="n">
        <f aca="false">Z241*P1_PVP+AA241*P2_PVP</f>
        <v>0</v>
      </c>
      <c r="AD241" s="60" t="n">
        <f aca="false">Z241*P1_CPROD+AA241*P2_CPROD</f>
        <v>0</v>
      </c>
      <c r="AE241" s="60" t="n">
        <f aca="false">IF(ISNUMBER(I241),I241,D241*P1_LOG+E241*P2_LOG)+IF(ISNUMBER(J241),J241,X241*P1_LOG+Y241*P2_LOG)*TASA_USADA</f>
        <v>0</v>
      </c>
      <c r="AF241" s="60" t="n">
        <f aca="false">AB241*COSTE_DEV</f>
        <v>0</v>
      </c>
      <c r="AG241" s="60" t="n">
        <f aca="false">Z241*P1_IVAN+AA241*P2_IVAN-AB241*IVA_DEV</f>
        <v>0</v>
      </c>
      <c r="AH241" s="60" t="n">
        <f aca="false">K241*(1+RECARGO_ADS)</f>
        <v>0</v>
      </c>
      <c r="AI241" s="58" t="n">
        <f aca="false">IF(ISNUMBER(I241),D241+E241+X241+Y241,0)</f>
        <v>0</v>
      </c>
      <c r="AJ241" s="60" t="n">
        <f aca="false">M241*COMISION</f>
        <v>0</v>
      </c>
    </row>
    <row r="242" customFormat="false" ht="15" hidden="false" customHeight="false" outlineLevel="0" collapsed="false">
      <c r="A242" s="53" t="n">
        <v>46536</v>
      </c>
      <c r="B242" s="54"/>
      <c r="C242" s="54"/>
      <c r="D242" s="54"/>
      <c r="E242" s="54"/>
      <c r="F242" s="54"/>
      <c r="G242" s="54"/>
      <c r="H242" s="54"/>
      <c r="I242" s="55"/>
      <c r="J242" s="55"/>
      <c r="K242" s="55"/>
      <c r="L242" s="56"/>
      <c r="M242" s="31" t="n">
        <f aca="false">B242+C242</f>
        <v>0</v>
      </c>
      <c r="N242" s="31" t="n">
        <f aca="false">X242+Y242</f>
        <v>0</v>
      </c>
      <c r="O242" s="32" t="n">
        <f aca="false">B242*P1_PVP+C242*P2_PVP</f>
        <v>0</v>
      </c>
      <c r="P242" s="32" t="str">
        <f aca="false">IF(M242&gt;0,O242/M242,"")</f>
        <v/>
      </c>
      <c r="Q242" s="32" t="str">
        <f aca="false">IF(M242&gt;0,K242/M242,"")</f>
        <v/>
      </c>
      <c r="R242" s="57" t="str">
        <f aca="false">IF(K242&gt;0,O242/K242,"")</f>
        <v/>
      </c>
      <c r="S242" s="34" t="str">
        <f aca="false">IF(D242+E242+F242+G242&gt;0,(D242+E242)/(D242+E242+F242+G242),"")</f>
        <v/>
      </c>
      <c r="T242" s="33" t="n">
        <f aca="false">D242*(P1_PVP-P1_CPROD)+E242*(P2_PVP-P2_CPROD)-IF(ISNUMBER(I242),I242,D242*P1_LOG+E242*P2_LOG)</f>
        <v>0</v>
      </c>
      <c r="U242" s="33" t="n">
        <f aca="false">T242-(D242*P1_IVAN+E242*P2_IVAN)-(F242+G242)*(COSTE_DEV-IVA_DEV)-AH242-AJ242</f>
        <v>0</v>
      </c>
      <c r="V242" s="33" t="n">
        <f aca="false">AC242-AD242-AE242-AF242-AG242-AH242-AJ242</f>
        <v>0</v>
      </c>
      <c r="X242" s="58" t="n">
        <f aca="false">MAX(0,B242-D242-F242)</f>
        <v>0</v>
      </c>
      <c r="Y242" s="58" t="n">
        <f aca="false">MAX(0,C242-E242-G242)</f>
        <v>0</v>
      </c>
      <c r="Z242" s="59" t="n">
        <f aca="false">D242+X242*TASA_USADA</f>
        <v>0</v>
      </c>
      <c r="AA242" s="59" t="n">
        <f aca="false">E242+Y242*TASA_USADA</f>
        <v>0</v>
      </c>
      <c r="AB242" s="59" t="n">
        <f aca="false">F242+G242+(X242+Y242)*(1-TASA_USADA)</f>
        <v>0</v>
      </c>
      <c r="AC242" s="60" t="n">
        <f aca="false">Z242*P1_PVP+AA242*P2_PVP</f>
        <v>0</v>
      </c>
      <c r="AD242" s="60" t="n">
        <f aca="false">Z242*P1_CPROD+AA242*P2_CPROD</f>
        <v>0</v>
      </c>
      <c r="AE242" s="60" t="n">
        <f aca="false">IF(ISNUMBER(I242),I242,D242*P1_LOG+E242*P2_LOG)+IF(ISNUMBER(J242),J242,X242*P1_LOG+Y242*P2_LOG)*TASA_USADA</f>
        <v>0</v>
      </c>
      <c r="AF242" s="60" t="n">
        <f aca="false">AB242*COSTE_DEV</f>
        <v>0</v>
      </c>
      <c r="AG242" s="60" t="n">
        <f aca="false">Z242*P1_IVAN+AA242*P2_IVAN-AB242*IVA_DEV</f>
        <v>0</v>
      </c>
      <c r="AH242" s="60" t="n">
        <f aca="false">K242*(1+RECARGO_ADS)</f>
        <v>0</v>
      </c>
      <c r="AI242" s="58" t="n">
        <f aca="false">IF(ISNUMBER(I242),D242+E242+X242+Y242,0)</f>
        <v>0</v>
      </c>
      <c r="AJ242" s="60" t="n">
        <f aca="false">M242*COMISION</f>
        <v>0</v>
      </c>
    </row>
    <row r="243" customFormat="false" ht="15" hidden="false" customHeight="false" outlineLevel="0" collapsed="false">
      <c r="A243" s="53" t="n">
        <v>46537</v>
      </c>
      <c r="B243" s="54"/>
      <c r="C243" s="54"/>
      <c r="D243" s="54"/>
      <c r="E243" s="54"/>
      <c r="F243" s="54"/>
      <c r="G243" s="54"/>
      <c r="H243" s="54"/>
      <c r="I243" s="55"/>
      <c r="J243" s="55"/>
      <c r="K243" s="55"/>
      <c r="L243" s="56"/>
      <c r="M243" s="31" t="n">
        <f aca="false">B243+C243</f>
        <v>0</v>
      </c>
      <c r="N243" s="31" t="n">
        <f aca="false">X243+Y243</f>
        <v>0</v>
      </c>
      <c r="O243" s="32" t="n">
        <f aca="false">B243*P1_PVP+C243*P2_PVP</f>
        <v>0</v>
      </c>
      <c r="P243" s="32" t="str">
        <f aca="false">IF(M243&gt;0,O243/M243,"")</f>
        <v/>
      </c>
      <c r="Q243" s="32" t="str">
        <f aca="false">IF(M243&gt;0,K243/M243,"")</f>
        <v/>
      </c>
      <c r="R243" s="57" t="str">
        <f aca="false">IF(K243&gt;0,O243/K243,"")</f>
        <v/>
      </c>
      <c r="S243" s="34" t="str">
        <f aca="false">IF(D243+E243+F243+G243&gt;0,(D243+E243)/(D243+E243+F243+G243),"")</f>
        <v/>
      </c>
      <c r="T243" s="33" t="n">
        <f aca="false">D243*(P1_PVP-P1_CPROD)+E243*(P2_PVP-P2_CPROD)-IF(ISNUMBER(I243),I243,D243*P1_LOG+E243*P2_LOG)</f>
        <v>0</v>
      </c>
      <c r="U243" s="33" t="n">
        <f aca="false">T243-(D243*P1_IVAN+E243*P2_IVAN)-(F243+G243)*(COSTE_DEV-IVA_DEV)-AH243-AJ243</f>
        <v>0</v>
      </c>
      <c r="V243" s="33" t="n">
        <f aca="false">AC243-AD243-AE243-AF243-AG243-AH243-AJ243</f>
        <v>0</v>
      </c>
      <c r="X243" s="58" t="n">
        <f aca="false">MAX(0,B243-D243-F243)</f>
        <v>0</v>
      </c>
      <c r="Y243" s="58" t="n">
        <f aca="false">MAX(0,C243-E243-G243)</f>
        <v>0</v>
      </c>
      <c r="Z243" s="59" t="n">
        <f aca="false">D243+X243*TASA_USADA</f>
        <v>0</v>
      </c>
      <c r="AA243" s="59" t="n">
        <f aca="false">E243+Y243*TASA_USADA</f>
        <v>0</v>
      </c>
      <c r="AB243" s="59" t="n">
        <f aca="false">F243+G243+(X243+Y243)*(1-TASA_USADA)</f>
        <v>0</v>
      </c>
      <c r="AC243" s="60" t="n">
        <f aca="false">Z243*P1_PVP+AA243*P2_PVP</f>
        <v>0</v>
      </c>
      <c r="AD243" s="60" t="n">
        <f aca="false">Z243*P1_CPROD+AA243*P2_CPROD</f>
        <v>0</v>
      </c>
      <c r="AE243" s="60" t="n">
        <f aca="false">IF(ISNUMBER(I243),I243,D243*P1_LOG+E243*P2_LOG)+IF(ISNUMBER(J243),J243,X243*P1_LOG+Y243*P2_LOG)*TASA_USADA</f>
        <v>0</v>
      </c>
      <c r="AF243" s="60" t="n">
        <f aca="false">AB243*COSTE_DEV</f>
        <v>0</v>
      </c>
      <c r="AG243" s="60" t="n">
        <f aca="false">Z243*P1_IVAN+AA243*P2_IVAN-AB243*IVA_DEV</f>
        <v>0</v>
      </c>
      <c r="AH243" s="60" t="n">
        <f aca="false">K243*(1+RECARGO_ADS)</f>
        <v>0</v>
      </c>
      <c r="AI243" s="58" t="n">
        <f aca="false">IF(ISNUMBER(I243),D243+E243+X243+Y243,0)</f>
        <v>0</v>
      </c>
      <c r="AJ243" s="60" t="n">
        <f aca="false">M243*COMISION</f>
        <v>0</v>
      </c>
    </row>
    <row r="244" customFormat="false" ht="15" hidden="false" customHeight="false" outlineLevel="0" collapsed="false">
      <c r="A244" s="53" t="n">
        <v>46538</v>
      </c>
      <c r="B244" s="54"/>
      <c r="C244" s="54"/>
      <c r="D244" s="54"/>
      <c r="E244" s="54"/>
      <c r="F244" s="54"/>
      <c r="G244" s="54"/>
      <c r="H244" s="54"/>
      <c r="I244" s="55"/>
      <c r="J244" s="55"/>
      <c r="K244" s="55"/>
      <c r="L244" s="56"/>
      <c r="M244" s="31" t="n">
        <f aca="false">B244+C244</f>
        <v>0</v>
      </c>
      <c r="N244" s="31" t="n">
        <f aca="false">X244+Y244</f>
        <v>0</v>
      </c>
      <c r="O244" s="32" t="n">
        <f aca="false">B244*P1_PVP+C244*P2_PVP</f>
        <v>0</v>
      </c>
      <c r="P244" s="32" t="str">
        <f aca="false">IF(M244&gt;0,O244/M244,"")</f>
        <v/>
      </c>
      <c r="Q244" s="32" t="str">
        <f aca="false">IF(M244&gt;0,K244/M244,"")</f>
        <v/>
      </c>
      <c r="R244" s="57" t="str">
        <f aca="false">IF(K244&gt;0,O244/K244,"")</f>
        <v/>
      </c>
      <c r="S244" s="34" t="str">
        <f aca="false">IF(D244+E244+F244+G244&gt;0,(D244+E244)/(D244+E244+F244+G244),"")</f>
        <v/>
      </c>
      <c r="T244" s="33" t="n">
        <f aca="false">D244*(P1_PVP-P1_CPROD)+E244*(P2_PVP-P2_CPROD)-IF(ISNUMBER(I244),I244,D244*P1_LOG+E244*P2_LOG)</f>
        <v>0</v>
      </c>
      <c r="U244" s="33" t="n">
        <f aca="false">T244-(D244*P1_IVAN+E244*P2_IVAN)-(F244+G244)*(COSTE_DEV-IVA_DEV)-AH244-AJ244</f>
        <v>0</v>
      </c>
      <c r="V244" s="33" t="n">
        <f aca="false">AC244-AD244-AE244-AF244-AG244-AH244-AJ244</f>
        <v>0</v>
      </c>
      <c r="X244" s="58" t="n">
        <f aca="false">MAX(0,B244-D244-F244)</f>
        <v>0</v>
      </c>
      <c r="Y244" s="58" t="n">
        <f aca="false">MAX(0,C244-E244-G244)</f>
        <v>0</v>
      </c>
      <c r="Z244" s="59" t="n">
        <f aca="false">D244+X244*TASA_USADA</f>
        <v>0</v>
      </c>
      <c r="AA244" s="59" t="n">
        <f aca="false">E244+Y244*TASA_USADA</f>
        <v>0</v>
      </c>
      <c r="AB244" s="59" t="n">
        <f aca="false">F244+G244+(X244+Y244)*(1-TASA_USADA)</f>
        <v>0</v>
      </c>
      <c r="AC244" s="60" t="n">
        <f aca="false">Z244*P1_PVP+AA244*P2_PVP</f>
        <v>0</v>
      </c>
      <c r="AD244" s="60" t="n">
        <f aca="false">Z244*P1_CPROD+AA244*P2_CPROD</f>
        <v>0</v>
      </c>
      <c r="AE244" s="60" t="n">
        <f aca="false">IF(ISNUMBER(I244),I244,D244*P1_LOG+E244*P2_LOG)+IF(ISNUMBER(J244),J244,X244*P1_LOG+Y244*P2_LOG)*TASA_USADA</f>
        <v>0</v>
      </c>
      <c r="AF244" s="60" t="n">
        <f aca="false">AB244*COSTE_DEV</f>
        <v>0</v>
      </c>
      <c r="AG244" s="60" t="n">
        <f aca="false">Z244*P1_IVAN+AA244*P2_IVAN-AB244*IVA_DEV</f>
        <v>0</v>
      </c>
      <c r="AH244" s="60" t="n">
        <f aca="false">K244*(1+RECARGO_ADS)</f>
        <v>0</v>
      </c>
      <c r="AI244" s="58" t="n">
        <f aca="false">IF(ISNUMBER(I244),D244+E244+X244+Y244,0)</f>
        <v>0</v>
      </c>
      <c r="AJ244" s="60" t="n">
        <f aca="false">M244*COMISION</f>
        <v>0</v>
      </c>
    </row>
    <row r="245" customFormat="false" ht="15" hidden="false" customHeight="false" outlineLevel="0" collapsed="false">
      <c r="A245" s="53" t="n">
        <v>46539</v>
      </c>
      <c r="B245" s="54"/>
      <c r="C245" s="54"/>
      <c r="D245" s="54"/>
      <c r="E245" s="54"/>
      <c r="F245" s="54"/>
      <c r="G245" s="54"/>
      <c r="H245" s="54"/>
      <c r="I245" s="55"/>
      <c r="J245" s="55"/>
      <c r="K245" s="55"/>
      <c r="L245" s="56"/>
      <c r="M245" s="31" t="n">
        <f aca="false">B245+C245</f>
        <v>0</v>
      </c>
      <c r="N245" s="31" t="n">
        <f aca="false">X245+Y245</f>
        <v>0</v>
      </c>
      <c r="O245" s="32" t="n">
        <f aca="false">B245*P1_PVP+C245*P2_PVP</f>
        <v>0</v>
      </c>
      <c r="P245" s="32" t="str">
        <f aca="false">IF(M245&gt;0,O245/M245,"")</f>
        <v/>
      </c>
      <c r="Q245" s="32" t="str">
        <f aca="false">IF(M245&gt;0,K245/M245,"")</f>
        <v/>
      </c>
      <c r="R245" s="57" t="str">
        <f aca="false">IF(K245&gt;0,O245/K245,"")</f>
        <v/>
      </c>
      <c r="S245" s="34" t="str">
        <f aca="false">IF(D245+E245+F245+G245&gt;0,(D245+E245)/(D245+E245+F245+G245),"")</f>
        <v/>
      </c>
      <c r="T245" s="33" t="n">
        <f aca="false">D245*(P1_PVP-P1_CPROD)+E245*(P2_PVP-P2_CPROD)-IF(ISNUMBER(I245),I245,D245*P1_LOG+E245*P2_LOG)</f>
        <v>0</v>
      </c>
      <c r="U245" s="33" t="n">
        <f aca="false">T245-(D245*P1_IVAN+E245*P2_IVAN)-(F245+G245)*(COSTE_DEV-IVA_DEV)-AH245-AJ245</f>
        <v>0</v>
      </c>
      <c r="V245" s="33" t="n">
        <f aca="false">AC245-AD245-AE245-AF245-AG245-AH245-AJ245</f>
        <v>0</v>
      </c>
      <c r="X245" s="58" t="n">
        <f aca="false">MAX(0,B245-D245-F245)</f>
        <v>0</v>
      </c>
      <c r="Y245" s="58" t="n">
        <f aca="false">MAX(0,C245-E245-G245)</f>
        <v>0</v>
      </c>
      <c r="Z245" s="59" t="n">
        <f aca="false">D245+X245*TASA_USADA</f>
        <v>0</v>
      </c>
      <c r="AA245" s="59" t="n">
        <f aca="false">E245+Y245*TASA_USADA</f>
        <v>0</v>
      </c>
      <c r="AB245" s="59" t="n">
        <f aca="false">F245+G245+(X245+Y245)*(1-TASA_USADA)</f>
        <v>0</v>
      </c>
      <c r="AC245" s="60" t="n">
        <f aca="false">Z245*P1_PVP+AA245*P2_PVP</f>
        <v>0</v>
      </c>
      <c r="AD245" s="60" t="n">
        <f aca="false">Z245*P1_CPROD+AA245*P2_CPROD</f>
        <v>0</v>
      </c>
      <c r="AE245" s="60" t="n">
        <f aca="false">IF(ISNUMBER(I245),I245,D245*P1_LOG+E245*P2_LOG)+IF(ISNUMBER(J245),J245,X245*P1_LOG+Y245*P2_LOG)*TASA_USADA</f>
        <v>0</v>
      </c>
      <c r="AF245" s="60" t="n">
        <f aca="false">AB245*COSTE_DEV</f>
        <v>0</v>
      </c>
      <c r="AG245" s="60" t="n">
        <f aca="false">Z245*P1_IVAN+AA245*P2_IVAN-AB245*IVA_DEV</f>
        <v>0</v>
      </c>
      <c r="AH245" s="60" t="n">
        <f aca="false">K245*(1+RECARGO_ADS)</f>
        <v>0</v>
      </c>
      <c r="AI245" s="58" t="n">
        <f aca="false">IF(ISNUMBER(I245),D245+E245+X245+Y245,0)</f>
        <v>0</v>
      </c>
      <c r="AJ245" s="60" t="n">
        <f aca="false">M245*COMISION</f>
        <v>0</v>
      </c>
    </row>
    <row r="246" customFormat="false" ht="15" hidden="false" customHeight="false" outlineLevel="0" collapsed="false">
      <c r="A246" s="53" t="n">
        <v>46540</v>
      </c>
      <c r="B246" s="54"/>
      <c r="C246" s="54"/>
      <c r="D246" s="54"/>
      <c r="E246" s="54"/>
      <c r="F246" s="54"/>
      <c r="G246" s="54"/>
      <c r="H246" s="54"/>
      <c r="I246" s="55"/>
      <c r="J246" s="55"/>
      <c r="K246" s="55"/>
      <c r="L246" s="56"/>
      <c r="M246" s="31" t="n">
        <f aca="false">B246+C246</f>
        <v>0</v>
      </c>
      <c r="N246" s="31" t="n">
        <f aca="false">X246+Y246</f>
        <v>0</v>
      </c>
      <c r="O246" s="32" t="n">
        <f aca="false">B246*P1_PVP+C246*P2_PVP</f>
        <v>0</v>
      </c>
      <c r="P246" s="32" t="str">
        <f aca="false">IF(M246&gt;0,O246/M246,"")</f>
        <v/>
      </c>
      <c r="Q246" s="32" t="str">
        <f aca="false">IF(M246&gt;0,K246/M246,"")</f>
        <v/>
      </c>
      <c r="R246" s="57" t="str">
        <f aca="false">IF(K246&gt;0,O246/K246,"")</f>
        <v/>
      </c>
      <c r="S246" s="34" t="str">
        <f aca="false">IF(D246+E246+F246+G246&gt;0,(D246+E246)/(D246+E246+F246+G246),"")</f>
        <v/>
      </c>
      <c r="T246" s="33" t="n">
        <f aca="false">D246*(P1_PVP-P1_CPROD)+E246*(P2_PVP-P2_CPROD)-IF(ISNUMBER(I246),I246,D246*P1_LOG+E246*P2_LOG)</f>
        <v>0</v>
      </c>
      <c r="U246" s="33" t="n">
        <f aca="false">T246-(D246*P1_IVAN+E246*P2_IVAN)-(F246+G246)*(COSTE_DEV-IVA_DEV)-AH246-AJ246</f>
        <v>0</v>
      </c>
      <c r="V246" s="33" t="n">
        <f aca="false">AC246-AD246-AE246-AF246-AG246-AH246-AJ246</f>
        <v>0</v>
      </c>
      <c r="X246" s="58" t="n">
        <f aca="false">MAX(0,B246-D246-F246)</f>
        <v>0</v>
      </c>
      <c r="Y246" s="58" t="n">
        <f aca="false">MAX(0,C246-E246-G246)</f>
        <v>0</v>
      </c>
      <c r="Z246" s="59" t="n">
        <f aca="false">D246+X246*TASA_USADA</f>
        <v>0</v>
      </c>
      <c r="AA246" s="59" t="n">
        <f aca="false">E246+Y246*TASA_USADA</f>
        <v>0</v>
      </c>
      <c r="AB246" s="59" t="n">
        <f aca="false">F246+G246+(X246+Y246)*(1-TASA_USADA)</f>
        <v>0</v>
      </c>
      <c r="AC246" s="60" t="n">
        <f aca="false">Z246*P1_PVP+AA246*P2_PVP</f>
        <v>0</v>
      </c>
      <c r="AD246" s="60" t="n">
        <f aca="false">Z246*P1_CPROD+AA246*P2_CPROD</f>
        <v>0</v>
      </c>
      <c r="AE246" s="60" t="n">
        <f aca="false">IF(ISNUMBER(I246),I246,D246*P1_LOG+E246*P2_LOG)+IF(ISNUMBER(J246),J246,X246*P1_LOG+Y246*P2_LOG)*TASA_USADA</f>
        <v>0</v>
      </c>
      <c r="AF246" s="60" t="n">
        <f aca="false">AB246*COSTE_DEV</f>
        <v>0</v>
      </c>
      <c r="AG246" s="60" t="n">
        <f aca="false">Z246*P1_IVAN+AA246*P2_IVAN-AB246*IVA_DEV</f>
        <v>0</v>
      </c>
      <c r="AH246" s="60" t="n">
        <f aca="false">K246*(1+RECARGO_ADS)</f>
        <v>0</v>
      </c>
      <c r="AI246" s="58" t="n">
        <f aca="false">IF(ISNUMBER(I246),D246+E246+X246+Y246,0)</f>
        <v>0</v>
      </c>
      <c r="AJ246" s="60" t="n">
        <f aca="false">M246*COMISION</f>
        <v>0</v>
      </c>
    </row>
    <row r="247" customFormat="false" ht="15" hidden="false" customHeight="false" outlineLevel="0" collapsed="false">
      <c r="A247" s="53" t="n">
        <v>46541</v>
      </c>
      <c r="B247" s="54"/>
      <c r="C247" s="54"/>
      <c r="D247" s="54"/>
      <c r="E247" s="54"/>
      <c r="F247" s="54"/>
      <c r="G247" s="54"/>
      <c r="H247" s="54"/>
      <c r="I247" s="55"/>
      <c r="J247" s="55"/>
      <c r="K247" s="55"/>
      <c r="L247" s="56"/>
      <c r="M247" s="31" t="n">
        <f aca="false">B247+C247</f>
        <v>0</v>
      </c>
      <c r="N247" s="31" t="n">
        <f aca="false">X247+Y247</f>
        <v>0</v>
      </c>
      <c r="O247" s="32" t="n">
        <f aca="false">B247*P1_PVP+C247*P2_PVP</f>
        <v>0</v>
      </c>
      <c r="P247" s="32" t="str">
        <f aca="false">IF(M247&gt;0,O247/M247,"")</f>
        <v/>
      </c>
      <c r="Q247" s="32" t="str">
        <f aca="false">IF(M247&gt;0,K247/M247,"")</f>
        <v/>
      </c>
      <c r="R247" s="57" t="str">
        <f aca="false">IF(K247&gt;0,O247/K247,"")</f>
        <v/>
      </c>
      <c r="S247" s="34" t="str">
        <f aca="false">IF(D247+E247+F247+G247&gt;0,(D247+E247)/(D247+E247+F247+G247),"")</f>
        <v/>
      </c>
      <c r="T247" s="33" t="n">
        <f aca="false">D247*(P1_PVP-P1_CPROD)+E247*(P2_PVP-P2_CPROD)-IF(ISNUMBER(I247),I247,D247*P1_LOG+E247*P2_LOG)</f>
        <v>0</v>
      </c>
      <c r="U247" s="33" t="n">
        <f aca="false">T247-(D247*P1_IVAN+E247*P2_IVAN)-(F247+G247)*(COSTE_DEV-IVA_DEV)-AH247-AJ247</f>
        <v>0</v>
      </c>
      <c r="V247" s="33" t="n">
        <f aca="false">AC247-AD247-AE247-AF247-AG247-AH247-AJ247</f>
        <v>0</v>
      </c>
      <c r="X247" s="58" t="n">
        <f aca="false">MAX(0,B247-D247-F247)</f>
        <v>0</v>
      </c>
      <c r="Y247" s="58" t="n">
        <f aca="false">MAX(0,C247-E247-G247)</f>
        <v>0</v>
      </c>
      <c r="Z247" s="59" t="n">
        <f aca="false">D247+X247*TASA_USADA</f>
        <v>0</v>
      </c>
      <c r="AA247" s="59" t="n">
        <f aca="false">E247+Y247*TASA_USADA</f>
        <v>0</v>
      </c>
      <c r="AB247" s="59" t="n">
        <f aca="false">F247+G247+(X247+Y247)*(1-TASA_USADA)</f>
        <v>0</v>
      </c>
      <c r="AC247" s="60" t="n">
        <f aca="false">Z247*P1_PVP+AA247*P2_PVP</f>
        <v>0</v>
      </c>
      <c r="AD247" s="60" t="n">
        <f aca="false">Z247*P1_CPROD+AA247*P2_CPROD</f>
        <v>0</v>
      </c>
      <c r="AE247" s="60" t="n">
        <f aca="false">IF(ISNUMBER(I247),I247,D247*P1_LOG+E247*P2_LOG)+IF(ISNUMBER(J247),J247,X247*P1_LOG+Y247*P2_LOG)*TASA_USADA</f>
        <v>0</v>
      </c>
      <c r="AF247" s="60" t="n">
        <f aca="false">AB247*COSTE_DEV</f>
        <v>0</v>
      </c>
      <c r="AG247" s="60" t="n">
        <f aca="false">Z247*P1_IVAN+AA247*P2_IVAN-AB247*IVA_DEV</f>
        <v>0</v>
      </c>
      <c r="AH247" s="60" t="n">
        <f aca="false">K247*(1+RECARGO_ADS)</f>
        <v>0</v>
      </c>
      <c r="AI247" s="58" t="n">
        <f aca="false">IF(ISNUMBER(I247),D247+E247+X247+Y247,0)</f>
        <v>0</v>
      </c>
      <c r="AJ247" s="60" t="n">
        <f aca="false">M247*COMISION</f>
        <v>0</v>
      </c>
    </row>
    <row r="248" customFormat="false" ht="15" hidden="false" customHeight="false" outlineLevel="0" collapsed="false">
      <c r="A248" s="53" t="n">
        <v>46542</v>
      </c>
      <c r="B248" s="54"/>
      <c r="C248" s="54"/>
      <c r="D248" s="54"/>
      <c r="E248" s="54"/>
      <c r="F248" s="54"/>
      <c r="G248" s="54"/>
      <c r="H248" s="54"/>
      <c r="I248" s="55"/>
      <c r="J248" s="55"/>
      <c r="K248" s="55"/>
      <c r="L248" s="56"/>
      <c r="M248" s="31" t="n">
        <f aca="false">B248+C248</f>
        <v>0</v>
      </c>
      <c r="N248" s="31" t="n">
        <f aca="false">X248+Y248</f>
        <v>0</v>
      </c>
      <c r="O248" s="32" t="n">
        <f aca="false">B248*P1_PVP+C248*P2_PVP</f>
        <v>0</v>
      </c>
      <c r="P248" s="32" t="str">
        <f aca="false">IF(M248&gt;0,O248/M248,"")</f>
        <v/>
      </c>
      <c r="Q248" s="32" t="str">
        <f aca="false">IF(M248&gt;0,K248/M248,"")</f>
        <v/>
      </c>
      <c r="R248" s="57" t="str">
        <f aca="false">IF(K248&gt;0,O248/K248,"")</f>
        <v/>
      </c>
      <c r="S248" s="34" t="str">
        <f aca="false">IF(D248+E248+F248+G248&gt;0,(D248+E248)/(D248+E248+F248+G248),"")</f>
        <v/>
      </c>
      <c r="T248" s="33" t="n">
        <f aca="false">D248*(P1_PVP-P1_CPROD)+E248*(P2_PVP-P2_CPROD)-IF(ISNUMBER(I248),I248,D248*P1_LOG+E248*P2_LOG)</f>
        <v>0</v>
      </c>
      <c r="U248" s="33" t="n">
        <f aca="false">T248-(D248*P1_IVAN+E248*P2_IVAN)-(F248+G248)*(COSTE_DEV-IVA_DEV)-AH248-AJ248</f>
        <v>0</v>
      </c>
      <c r="V248" s="33" t="n">
        <f aca="false">AC248-AD248-AE248-AF248-AG248-AH248-AJ248</f>
        <v>0</v>
      </c>
      <c r="X248" s="58" t="n">
        <f aca="false">MAX(0,B248-D248-F248)</f>
        <v>0</v>
      </c>
      <c r="Y248" s="58" t="n">
        <f aca="false">MAX(0,C248-E248-G248)</f>
        <v>0</v>
      </c>
      <c r="Z248" s="59" t="n">
        <f aca="false">D248+X248*TASA_USADA</f>
        <v>0</v>
      </c>
      <c r="AA248" s="59" t="n">
        <f aca="false">E248+Y248*TASA_USADA</f>
        <v>0</v>
      </c>
      <c r="AB248" s="59" t="n">
        <f aca="false">F248+G248+(X248+Y248)*(1-TASA_USADA)</f>
        <v>0</v>
      </c>
      <c r="AC248" s="60" t="n">
        <f aca="false">Z248*P1_PVP+AA248*P2_PVP</f>
        <v>0</v>
      </c>
      <c r="AD248" s="60" t="n">
        <f aca="false">Z248*P1_CPROD+AA248*P2_CPROD</f>
        <v>0</v>
      </c>
      <c r="AE248" s="60" t="n">
        <f aca="false">IF(ISNUMBER(I248),I248,D248*P1_LOG+E248*P2_LOG)+IF(ISNUMBER(J248),J248,X248*P1_LOG+Y248*P2_LOG)*TASA_USADA</f>
        <v>0</v>
      </c>
      <c r="AF248" s="60" t="n">
        <f aca="false">AB248*COSTE_DEV</f>
        <v>0</v>
      </c>
      <c r="AG248" s="60" t="n">
        <f aca="false">Z248*P1_IVAN+AA248*P2_IVAN-AB248*IVA_DEV</f>
        <v>0</v>
      </c>
      <c r="AH248" s="60" t="n">
        <f aca="false">K248*(1+RECARGO_ADS)</f>
        <v>0</v>
      </c>
      <c r="AI248" s="58" t="n">
        <f aca="false">IF(ISNUMBER(I248),D248+E248+X248+Y248,0)</f>
        <v>0</v>
      </c>
      <c r="AJ248" s="60" t="n">
        <f aca="false">M248*COMISION</f>
        <v>0</v>
      </c>
    </row>
    <row r="249" customFormat="false" ht="15" hidden="false" customHeight="false" outlineLevel="0" collapsed="false">
      <c r="A249" s="53" t="n">
        <v>46543</v>
      </c>
      <c r="B249" s="54"/>
      <c r="C249" s="54"/>
      <c r="D249" s="54"/>
      <c r="E249" s="54"/>
      <c r="F249" s="54"/>
      <c r="G249" s="54"/>
      <c r="H249" s="54"/>
      <c r="I249" s="55"/>
      <c r="J249" s="55"/>
      <c r="K249" s="55"/>
      <c r="L249" s="56"/>
      <c r="M249" s="31" t="n">
        <f aca="false">B249+C249</f>
        <v>0</v>
      </c>
      <c r="N249" s="31" t="n">
        <f aca="false">X249+Y249</f>
        <v>0</v>
      </c>
      <c r="O249" s="32" t="n">
        <f aca="false">B249*P1_PVP+C249*P2_PVP</f>
        <v>0</v>
      </c>
      <c r="P249" s="32" t="str">
        <f aca="false">IF(M249&gt;0,O249/M249,"")</f>
        <v/>
      </c>
      <c r="Q249" s="32" t="str">
        <f aca="false">IF(M249&gt;0,K249/M249,"")</f>
        <v/>
      </c>
      <c r="R249" s="57" t="str">
        <f aca="false">IF(K249&gt;0,O249/K249,"")</f>
        <v/>
      </c>
      <c r="S249" s="34" t="str">
        <f aca="false">IF(D249+E249+F249+G249&gt;0,(D249+E249)/(D249+E249+F249+G249),"")</f>
        <v/>
      </c>
      <c r="T249" s="33" t="n">
        <f aca="false">D249*(P1_PVP-P1_CPROD)+E249*(P2_PVP-P2_CPROD)-IF(ISNUMBER(I249),I249,D249*P1_LOG+E249*P2_LOG)</f>
        <v>0</v>
      </c>
      <c r="U249" s="33" t="n">
        <f aca="false">T249-(D249*P1_IVAN+E249*P2_IVAN)-(F249+G249)*(COSTE_DEV-IVA_DEV)-AH249-AJ249</f>
        <v>0</v>
      </c>
      <c r="V249" s="33" t="n">
        <f aca="false">AC249-AD249-AE249-AF249-AG249-AH249-AJ249</f>
        <v>0</v>
      </c>
      <c r="X249" s="58" t="n">
        <f aca="false">MAX(0,B249-D249-F249)</f>
        <v>0</v>
      </c>
      <c r="Y249" s="58" t="n">
        <f aca="false">MAX(0,C249-E249-G249)</f>
        <v>0</v>
      </c>
      <c r="Z249" s="59" t="n">
        <f aca="false">D249+X249*TASA_USADA</f>
        <v>0</v>
      </c>
      <c r="AA249" s="59" t="n">
        <f aca="false">E249+Y249*TASA_USADA</f>
        <v>0</v>
      </c>
      <c r="AB249" s="59" t="n">
        <f aca="false">F249+G249+(X249+Y249)*(1-TASA_USADA)</f>
        <v>0</v>
      </c>
      <c r="AC249" s="60" t="n">
        <f aca="false">Z249*P1_PVP+AA249*P2_PVP</f>
        <v>0</v>
      </c>
      <c r="AD249" s="60" t="n">
        <f aca="false">Z249*P1_CPROD+AA249*P2_CPROD</f>
        <v>0</v>
      </c>
      <c r="AE249" s="60" t="n">
        <f aca="false">IF(ISNUMBER(I249),I249,D249*P1_LOG+E249*P2_LOG)+IF(ISNUMBER(J249),J249,X249*P1_LOG+Y249*P2_LOG)*TASA_USADA</f>
        <v>0</v>
      </c>
      <c r="AF249" s="60" t="n">
        <f aca="false">AB249*COSTE_DEV</f>
        <v>0</v>
      </c>
      <c r="AG249" s="60" t="n">
        <f aca="false">Z249*P1_IVAN+AA249*P2_IVAN-AB249*IVA_DEV</f>
        <v>0</v>
      </c>
      <c r="AH249" s="60" t="n">
        <f aca="false">K249*(1+RECARGO_ADS)</f>
        <v>0</v>
      </c>
      <c r="AI249" s="58" t="n">
        <f aca="false">IF(ISNUMBER(I249),D249+E249+X249+Y249,0)</f>
        <v>0</v>
      </c>
      <c r="AJ249" s="60" t="n">
        <f aca="false">M249*COMISION</f>
        <v>0</v>
      </c>
    </row>
    <row r="250" customFormat="false" ht="15" hidden="false" customHeight="false" outlineLevel="0" collapsed="false">
      <c r="A250" s="53" t="n">
        <v>46544</v>
      </c>
      <c r="B250" s="54"/>
      <c r="C250" s="54"/>
      <c r="D250" s="54"/>
      <c r="E250" s="54"/>
      <c r="F250" s="54"/>
      <c r="G250" s="54"/>
      <c r="H250" s="54"/>
      <c r="I250" s="55"/>
      <c r="J250" s="55"/>
      <c r="K250" s="55"/>
      <c r="L250" s="56"/>
      <c r="M250" s="31" t="n">
        <f aca="false">B250+C250</f>
        <v>0</v>
      </c>
      <c r="N250" s="31" t="n">
        <f aca="false">X250+Y250</f>
        <v>0</v>
      </c>
      <c r="O250" s="32" t="n">
        <f aca="false">B250*P1_PVP+C250*P2_PVP</f>
        <v>0</v>
      </c>
      <c r="P250" s="32" t="str">
        <f aca="false">IF(M250&gt;0,O250/M250,"")</f>
        <v/>
      </c>
      <c r="Q250" s="32" t="str">
        <f aca="false">IF(M250&gt;0,K250/M250,"")</f>
        <v/>
      </c>
      <c r="R250" s="57" t="str">
        <f aca="false">IF(K250&gt;0,O250/K250,"")</f>
        <v/>
      </c>
      <c r="S250" s="34" t="str">
        <f aca="false">IF(D250+E250+F250+G250&gt;0,(D250+E250)/(D250+E250+F250+G250),"")</f>
        <v/>
      </c>
      <c r="T250" s="33" t="n">
        <f aca="false">D250*(P1_PVP-P1_CPROD)+E250*(P2_PVP-P2_CPROD)-IF(ISNUMBER(I250),I250,D250*P1_LOG+E250*P2_LOG)</f>
        <v>0</v>
      </c>
      <c r="U250" s="33" t="n">
        <f aca="false">T250-(D250*P1_IVAN+E250*P2_IVAN)-(F250+G250)*(COSTE_DEV-IVA_DEV)-AH250-AJ250</f>
        <v>0</v>
      </c>
      <c r="V250" s="33" t="n">
        <f aca="false">AC250-AD250-AE250-AF250-AG250-AH250-AJ250</f>
        <v>0</v>
      </c>
      <c r="X250" s="58" t="n">
        <f aca="false">MAX(0,B250-D250-F250)</f>
        <v>0</v>
      </c>
      <c r="Y250" s="58" t="n">
        <f aca="false">MAX(0,C250-E250-G250)</f>
        <v>0</v>
      </c>
      <c r="Z250" s="59" t="n">
        <f aca="false">D250+X250*TASA_USADA</f>
        <v>0</v>
      </c>
      <c r="AA250" s="59" t="n">
        <f aca="false">E250+Y250*TASA_USADA</f>
        <v>0</v>
      </c>
      <c r="AB250" s="59" t="n">
        <f aca="false">F250+G250+(X250+Y250)*(1-TASA_USADA)</f>
        <v>0</v>
      </c>
      <c r="AC250" s="60" t="n">
        <f aca="false">Z250*P1_PVP+AA250*P2_PVP</f>
        <v>0</v>
      </c>
      <c r="AD250" s="60" t="n">
        <f aca="false">Z250*P1_CPROD+AA250*P2_CPROD</f>
        <v>0</v>
      </c>
      <c r="AE250" s="60" t="n">
        <f aca="false">IF(ISNUMBER(I250),I250,D250*P1_LOG+E250*P2_LOG)+IF(ISNUMBER(J250),J250,X250*P1_LOG+Y250*P2_LOG)*TASA_USADA</f>
        <v>0</v>
      </c>
      <c r="AF250" s="60" t="n">
        <f aca="false">AB250*COSTE_DEV</f>
        <v>0</v>
      </c>
      <c r="AG250" s="60" t="n">
        <f aca="false">Z250*P1_IVAN+AA250*P2_IVAN-AB250*IVA_DEV</f>
        <v>0</v>
      </c>
      <c r="AH250" s="60" t="n">
        <f aca="false">K250*(1+RECARGO_ADS)</f>
        <v>0</v>
      </c>
      <c r="AI250" s="58" t="n">
        <f aca="false">IF(ISNUMBER(I250),D250+E250+X250+Y250,0)</f>
        <v>0</v>
      </c>
      <c r="AJ250" s="60" t="n">
        <f aca="false">M250*COMISION</f>
        <v>0</v>
      </c>
    </row>
    <row r="251" customFormat="false" ht="15" hidden="false" customHeight="false" outlineLevel="0" collapsed="false">
      <c r="A251" s="53" t="n">
        <v>46545</v>
      </c>
      <c r="B251" s="54"/>
      <c r="C251" s="54"/>
      <c r="D251" s="54"/>
      <c r="E251" s="54"/>
      <c r="F251" s="54"/>
      <c r="G251" s="54"/>
      <c r="H251" s="54"/>
      <c r="I251" s="55"/>
      <c r="J251" s="55"/>
      <c r="K251" s="55"/>
      <c r="L251" s="56"/>
      <c r="M251" s="31" t="n">
        <f aca="false">B251+C251</f>
        <v>0</v>
      </c>
      <c r="N251" s="31" t="n">
        <f aca="false">X251+Y251</f>
        <v>0</v>
      </c>
      <c r="O251" s="32" t="n">
        <f aca="false">B251*P1_PVP+C251*P2_PVP</f>
        <v>0</v>
      </c>
      <c r="P251" s="32" t="str">
        <f aca="false">IF(M251&gt;0,O251/M251,"")</f>
        <v/>
      </c>
      <c r="Q251" s="32" t="str">
        <f aca="false">IF(M251&gt;0,K251/M251,"")</f>
        <v/>
      </c>
      <c r="R251" s="57" t="str">
        <f aca="false">IF(K251&gt;0,O251/K251,"")</f>
        <v/>
      </c>
      <c r="S251" s="34" t="str">
        <f aca="false">IF(D251+E251+F251+G251&gt;0,(D251+E251)/(D251+E251+F251+G251),"")</f>
        <v/>
      </c>
      <c r="T251" s="33" t="n">
        <f aca="false">D251*(P1_PVP-P1_CPROD)+E251*(P2_PVP-P2_CPROD)-IF(ISNUMBER(I251),I251,D251*P1_LOG+E251*P2_LOG)</f>
        <v>0</v>
      </c>
      <c r="U251" s="33" t="n">
        <f aca="false">T251-(D251*P1_IVAN+E251*P2_IVAN)-(F251+G251)*(COSTE_DEV-IVA_DEV)-AH251-AJ251</f>
        <v>0</v>
      </c>
      <c r="V251" s="33" t="n">
        <f aca="false">AC251-AD251-AE251-AF251-AG251-AH251-AJ251</f>
        <v>0</v>
      </c>
      <c r="X251" s="58" t="n">
        <f aca="false">MAX(0,B251-D251-F251)</f>
        <v>0</v>
      </c>
      <c r="Y251" s="58" t="n">
        <f aca="false">MAX(0,C251-E251-G251)</f>
        <v>0</v>
      </c>
      <c r="Z251" s="59" t="n">
        <f aca="false">D251+X251*TASA_USADA</f>
        <v>0</v>
      </c>
      <c r="AA251" s="59" t="n">
        <f aca="false">E251+Y251*TASA_USADA</f>
        <v>0</v>
      </c>
      <c r="AB251" s="59" t="n">
        <f aca="false">F251+G251+(X251+Y251)*(1-TASA_USADA)</f>
        <v>0</v>
      </c>
      <c r="AC251" s="60" t="n">
        <f aca="false">Z251*P1_PVP+AA251*P2_PVP</f>
        <v>0</v>
      </c>
      <c r="AD251" s="60" t="n">
        <f aca="false">Z251*P1_CPROD+AA251*P2_CPROD</f>
        <v>0</v>
      </c>
      <c r="AE251" s="60" t="n">
        <f aca="false">IF(ISNUMBER(I251),I251,D251*P1_LOG+E251*P2_LOG)+IF(ISNUMBER(J251),J251,X251*P1_LOG+Y251*P2_LOG)*TASA_USADA</f>
        <v>0</v>
      </c>
      <c r="AF251" s="60" t="n">
        <f aca="false">AB251*COSTE_DEV</f>
        <v>0</v>
      </c>
      <c r="AG251" s="60" t="n">
        <f aca="false">Z251*P1_IVAN+AA251*P2_IVAN-AB251*IVA_DEV</f>
        <v>0</v>
      </c>
      <c r="AH251" s="60" t="n">
        <f aca="false">K251*(1+RECARGO_ADS)</f>
        <v>0</v>
      </c>
      <c r="AI251" s="58" t="n">
        <f aca="false">IF(ISNUMBER(I251),D251+E251+X251+Y251,0)</f>
        <v>0</v>
      </c>
      <c r="AJ251" s="60" t="n">
        <f aca="false">M251*COMISION</f>
        <v>0</v>
      </c>
    </row>
    <row r="252" customFormat="false" ht="15" hidden="false" customHeight="false" outlineLevel="0" collapsed="false">
      <c r="A252" s="53" t="n">
        <v>46546</v>
      </c>
      <c r="B252" s="54"/>
      <c r="C252" s="54"/>
      <c r="D252" s="54"/>
      <c r="E252" s="54"/>
      <c r="F252" s="54"/>
      <c r="G252" s="54"/>
      <c r="H252" s="54"/>
      <c r="I252" s="55"/>
      <c r="J252" s="55"/>
      <c r="K252" s="55"/>
      <c r="L252" s="56"/>
      <c r="M252" s="31" t="n">
        <f aca="false">B252+C252</f>
        <v>0</v>
      </c>
      <c r="N252" s="31" t="n">
        <f aca="false">X252+Y252</f>
        <v>0</v>
      </c>
      <c r="O252" s="32" t="n">
        <f aca="false">B252*P1_PVP+C252*P2_PVP</f>
        <v>0</v>
      </c>
      <c r="P252" s="32" t="str">
        <f aca="false">IF(M252&gt;0,O252/M252,"")</f>
        <v/>
      </c>
      <c r="Q252" s="32" t="str">
        <f aca="false">IF(M252&gt;0,K252/M252,"")</f>
        <v/>
      </c>
      <c r="R252" s="57" t="str">
        <f aca="false">IF(K252&gt;0,O252/K252,"")</f>
        <v/>
      </c>
      <c r="S252" s="34" t="str">
        <f aca="false">IF(D252+E252+F252+G252&gt;0,(D252+E252)/(D252+E252+F252+G252),"")</f>
        <v/>
      </c>
      <c r="T252" s="33" t="n">
        <f aca="false">D252*(P1_PVP-P1_CPROD)+E252*(P2_PVP-P2_CPROD)-IF(ISNUMBER(I252),I252,D252*P1_LOG+E252*P2_LOG)</f>
        <v>0</v>
      </c>
      <c r="U252" s="33" t="n">
        <f aca="false">T252-(D252*P1_IVAN+E252*P2_IVAN)-(F252+G252)*(COSTE_DEV-IVA_DEV)-AH252-AJ252</f>
        <v>0</v>
      </c>
      <c r="V252" s="33" t="n">
        <f aca="false">AC252-AD252-AE252-AF252-AG252-AH252-AJ252</f>
        <v>0</v>
      </c>
      <c r="X252" s="58" t="n">
        <f aca="false">MAX(0,B252-D252-F252)</f>
        <v>0</v>
      </c>
      <c r="Y252" s="58" t="n">
        <f aca="false">MAX(0,C252-E252-G252)</f>
        <v>0</v>
      </c>
      <c r="Z252" s="59" t="n">
        <f aca="false">D252+X252*TASA_USADA</f>
        <v>0</v>
      </c>
      <c r="AA252" s="59" t="n">
        <f aca="false">E252+Y252*TASA_USADA</f>
        <v>0</v>
      </c>
      <c r="AB252" s="59" t="n">
        <f aca="false">F252+G252+(X252+Y252)*(1-TASA_USADA)</f>
        <v>0</v>
      </c>
      <c r="AC252" s="60" t="n">
        <f aca="false">Z252*P1_PVP+AA252*P2_PVP</f>
        <v>0</v>
      </c>
      <c r="AD252" s="60" t="n">
        <f aca="false">Z252*P1_CPROD+AA252*P2_CPROD</f>
        <v>0</v>
      </c>
      <c r="AE252" s="60" t="n">
        <f aca="false">IF(ISNUMBER(I252),I252,D252*P1_LOG+E252*P2_LOG)+IF(ISNUMBER(J252),J252,X252*P1_LOG+Y252*P2_LOG)*TASA_USADA</f>
        <v>0</v>
      </c>
      <c r="AF252" s="60" t="n">
        <f aca="false">AB252*COSTE_DEV</f>
        <v>0</v>
      </c>
      <c r="AG252" s="60" t="n">
        <f aca="false">Z252*P1_IVAN+AA252*P2_IVAN-AB252*IVA_DEV</f>
        <v>0</v>
      </c>
      <c r="AH252" s="60" t="n">
        <f aca="false">K252*(1+RECARGO_ADS)</f>
        <v>0</v>
      </c>
      <c r="AI252" s="58" t="n">
        <f aca="false">IF(ISNUMBER(I252),D252+E252+X252+Y252,0)</f>
        <v>0</v>
      </c>
      <c r="AJ252" s="60" t="n">
        <f aca="false">M252*COMISION</f>
        <v>0</v>
      </c>
    </row>
    <row r="253" customFormat="false" ht="15" hidden="false" customHeight="false" outlineLevel="0" collapsed="false">
      <c r="A253" s="53" t="n">
        <v>46547</v>
      </c>
      <c r="B253" s="54"/>
      <c r="C253" s="54"/>
      <c r="D253" s="54"/>
      <c r="E253" s="54"/>
      <c r="F253" s="54"/>
      <c r="G253" s="54"/>
      <c r="H253" s="54"/>
      <c r="I253" s="55"/>
      <c r="J253" s="55"/>
      <c r="K253" s="55"/>
      <c r="L253" s="56"/>
      <c r="M253" s="31" t="n">
        <f aca="false">B253+C253</f>
        <v>0</v>
      </c>
      <c r="N253" s="31" t="n">
        <f aca="false">X253+Y253</f>
        <v>0</v>
      </c>
      <c r="O253" s="32" t="n">
        <f aca="false">B253*P1_PVP+C253*P2_PVP</f>
        <v>0</v>
      </c>
      <c r="P253" s="32" t="str">
        <f aca="false">IF(M253&gt;0,O253/M253,"")</f>
        <v/>
      </c>
      <c r="Q253" s="32" t="str">
        <f aca="false">IF(M253&gt;0,K253/M253,"")</f>
        <v/>
      </c>
      <c r="R253" s="57" t="str">
        <f aca="false">IF(K253&gt;0,O253/K253,"")</f>
        <v/>
      </c>
      <c r="S253" s="34" t="str">
        <f aca="false">IF(D253+E253+F253+G253&gt;0,(D253+E253)/(D253+E253+F253+G253),"")</f>
        <v/>
      </c>
      <c r="T253" s="33" t="n">
        <f aca="false">D253*(P1_PVP-P1_CPROD)+E253*(P2_PVP-P2_CPROD)-IF(ISNUMBER(I253),I253,D253*P1_LOG+E253*P2_LOG)</f>
        <v>0</v>
      </c>
      <c r="U253" s="33" t="n">
        <f aca="false">T253-(D253*P1_IVAN+E253*P2_IVAN)-(F253+G253)*(COSTE_DEV-IVA_DEV)-AH253-AJ253</f>
        <v>0</v>
      </c>
      <c r="V253" s="33" t="n">
        <f aca="false">AC253-AD253-AE253-AF253-AG253-AH253-AJ253</f>
        <v>0</v>
      </c>
      <c r="X253" s="58" t="n">
        <f aca="false">MAX(0,B253-D253-F253)</f>
        <v>0</v>
      </c>
      <c r="Y253" s="58" t="n">
        <f aca="false">MAX(0,C253-E253-G253)</f>
        <v>0</v>
      </c>
      <c r="Z253" s="59" t="n">
        <f aca="false">D253+X253*TASA_USADA</f>
        <v>0</v>
      </c>
      <c r="AA253" s="59" t="n">
        <f aca="false">E253+Y253*TASA_USADA</f>
        <v>0</v>
      </c>
      <c r="AB253" s="59" t="n">
        <f aca="false">F253+G253+(X253+Y253)*(1-TASA_USADA)</f>
        <v>0</v>
      </c>
      <c r="AC253" s="60" t="n">
        <f aca="false">Z253*P1_PVP+AA253*P2_PVP</f>
        <v>0</v>
      </c>
      <c r="AD253" s="60" t="n">
        <f aca="false">Z253*P1_CPROD+AA253*P2_CPROD</f>
        <v>0</v>
      </c>
      <c r="AE253" s="60" t="n">
        <f aca="false">IF(ISNUMBER(I253),I253,D253*P1_LOG+E253*P2_LOG)+IF(ISNUMBER(J253),J253,X253*P1_LOG+Y253*P2_LOG)*TASA_USADA</f>
        <v>0</v>
      </c>
      <c r="AF253" s="60" t="n">
        <f aca="false">AB253*COSTE_DEV</f>
        <v>0</v>
      </c>
      <c r="AG253" s="60" t="n">
        <f aca="false">Z253*P1_IVAN+AA253*P2_IVAN-AB253*IVA_DEV</f>
        <v>0</v>
      </c>
      <c r="AH253" s="60" t="n">
        <f aca="false">K253*(1+RECARGO_ADS)</f>
        <v>0</v>
      </c>
      <c r="AI253" s="58" t="n">
        <f aca="false">IF(ISNUMBER(I253),D253+E253+X253+Y253,0)</f>
        <v>0</v>
      </c>
      <c r="AJ253" s="60" t="n">
        <f aca="false">M253*COMISION</f>
        <v>0</v>
      </c>
    </row>
    <row r="254" customFormat="false" ht="15" hidden="false" customHeight="false" outlineLevel="0" collapsed="false">
      <c r="A254" s="53" t="n">
        <v>46548</v>
      </c>
      <c r="B254" s="54"/>
      <c r="C254" s="54"/>
      <c r="D254" s="54"/>
      <c r="E254" s="54"/>
      <c r="F254" s="54"/>
      <c r="G254" s="54"/>
      <c r="H254" s="54"/>
      <c r="I254" s="55"/>
      <c r="J254" s="55"/>
      <c r="K254" s="55"/>
      <c r="L254" s="56"/>
      <c r="M254" s="31" t="n">
        <f aca="false">B254+C254</f>
        <v>0</v>
      </c>
      <c r="N254" s="31" t="n">
        <f aca="false">X254+Y254</f>
        <v>0</v>
      </c>
      <c r="O254" s="32" t="n">
        <f aca="false">B254*P1_PVP+C254*P2_PVP</f>
        <v>0</v>
      </c>
      <c r="P254" s="32" t="str">
        <f aca="false">IF(M254&gt;0,O254/M254,"")</f>
        <v/>
      </c>
      <c r="Q254" s="32" t="str">
        <f aca="false">IF(M254&gt;0,K254/M254,"")</f>
        <v/>
      </c>
      <c r="R254" s="57" t="str">
        <f aca="false">IF(K254&gt;0,O254/K254,"")</f>
        <v/>
      </c>
      <c r="S254" s="34" t="str">
        <f aca="false">IF(D254+E254+F254+G254&gt;0,(D254+E254)/(D254+E254+F254+G254),"")</f>
        <v/>
      </c>
      <c r="T254" s="33" t="n">
        <f aca="false">D254*(P1_PVP-P1_CPROD)+E254*(P2_PVP-P2_CPROD)-IF(ISNUMBER(I254),I254,D254*P1_LOG+E254*P2_LOG)</f>
        <v>0</v>
      </c>
      <c r="U254" s="33" t="n">
        <f aca="false">T254-(D254*P1_IVAN+E254*P2_IVAN)-(F254+G254)*(COSTE_DEV-IVA_DEV)-AH254-AJ254</f>
        <v>0</v>
      </c>
      <c r="V254" s="33" t="n">
        <f aca="false">AC254-AD254-AE254-AF254-AG254-AH254-AJ254</f>
        <v>0</v>
      </c>
      <c r="X254" s="58" t="n">
        <f aca="false">MAX(0,B254-D254-F254)</f>
        <v>0</v>
      </c>
      <c r="Y254" s="58" t="n">
        <f aca="false">MAX(0,C254-E254-G254)</f>
        <v>0</v>
      </c>
      <c r="Z254" s="59" t="n">
        <f aca="false">D254+X254*TASA_USADA</f>
        <v>0</v>
      </c>
      <c r="AA254" s="59" t="n">
        <f aca="false">E254+Y254*TASA_USADA</f>
        <v>0</v>
      </c>
      <c r="AB254" s="59" t="n">
        <f aca="false">F254+G254+(X254+Y254)*(1-TASA_USADA)</f>
        <v>0</v>
      </c>
      <c r="AC254" s="60" t="n">
        <f aca="false">Z254*P1_PVP+AA254*P2_PVP</f>
        <v>0</v>
      </c>
      <c r="AD254" s="60" t="n">
        <f aca="false">Z254*P1_CPROD+AA254*P2_CPROD</f>
        <v>0</v>
      </c>
      <c r="AE254" s="60" t="n">
        <f aca="false">IF(ISNUMBER(I254),I254,D254*P1_LOG+E254*P2_LOG)+IF(ISNUMBER(J254),J254,X254*P1_LOG+Y254*P2_LOG)*TASA_USADA</f>
        <v>0</v>
      </c>
      <c r="AF254" s="60" t="n">
        <f aca="false">AB254*COSTE_DEV</f>
        <v>0</v>
      </c>
      <c r="AG254" s="60" t="n">
        <f aca="false">Z254*P1_IVAN+AA254*P2_IVAN-AB254*IVA_DEV</f>
        <v>0</v>
      </c>
      <c r="AH254" s="60" t="n">
        <f aca="false">K254*(1+RECARGO_ADS)</f>
        <v>0</v>
      </c>
      <c r="AI254" s="58" t="n">
        <f aca="false">IF(ISNUMBER(I254),D254+E254+X254+Y254,0)</f>
        <v>0</v>
      </c>
      <c r="AJ254" s="60" t="n">
        <f aca="false">M254*COMISION</f>
        <v>0</v>
      </c>
    </row>
    <row r="255" customFormat="false" ht="15" hidden="false" customHeight="false" outlineLevel="0" collapsed="false">
      <c r="A255" s="53" t="n">
        <v>46549</v>
      </c>
      <c r="B255" s="54"/>
      <c r="C255" s="54"/>
      <c r="D255" s="54"/>
      <c r="E255" s="54"/>
      <c r="F255" s="54"/>
      <c r="G255" s="54"/>
      <c r="H255" s="54"/>
      <c r="I255" s="55"/>
      <c r="J255" s="55"/>
      <c r="K255" s="55"/>
      <c r="L255" s="56"/>
      <c r="M255" s="31" t="n">
        <f aca="false">B255+C255</f>
        <v>0</v>
      </c>
      <c r="N255" s="31" t="n">
        <f aca="false">X255+Y255</f>
        <v>0</v>
      </c>
      <c r="O255" s="32" t="n">
        <f aca="false">B255*P1_PVP+C255*P2_PVP</f>
        <v>0</v>
      </c>
      <c r="P255" s="32" t="str">
        <f aca="false">IF(M255&gt;0,O255/M255,"")</f>
        <v/>
      </c>
      <c r="Q255" s="32" t="str">
        <f aca="false">IF(M255&gt;0,K255/M255,"")</f>
        <v/>
      </c>
      <c r="R255" s="57" t="str">
        <f aca="false">IF(K255&gt;0,O255/K255,"")</f>
        <v/>
      </c>
      <c r="S255" s="34" t="str">
        <f aca="false">IF(D255+E255+F255+G255&gt;0,(D255+E255)/(D255+E255+F255+G255),"")</f>
        <v/>
      </c>
      <c r="T255" s="33" t="n">
        <f aca="false">D255*(P1_PVP-P1_CPROD)+E255*(P2_PVP-P2_CPROD)-IF(ISNUMBER(I255),I255,D255*P1_LOG+E255*P2_LOG)</f>
        <v>0</v>
      </c>
      <c r="U255" s="33" t="n">
        <f aca="false">T255-(D255*P1_IVAN+E255*P2_IVAN)-(F255+G255)*(COSTE_DEV-IVA_DEV)-AH255-AJ255</f>
        <v>0</v>
      </c>
      <c r="V255" s="33" t="n">
        <f aca="false">AC255-AD255-AE255-AF255-AG255-AH255-AJ255</f>
        <v>0</v>
      </c>
      <c r="X255" s="58" t="n">
        <f aca="false">MAX(0,B255-D255-F255)</f>
        <v>0</v>
      </c>
      <c r="Y255" s="58" t="n">
        <f aca="false">MAX(0,C255-E255-G255)</f>
        <v>0</v>
      </c>
      <c r="Z255" s="59" t="n">
        <f aca="false">D255+X255*TASA_USADA</f>
        <v>0</v>
      </c>
      <c r="AA255" s="59" t="n">
        <f aca="false">E255+Y255*TASA_USADA</f>
        <v>0</v>
      </c>
      <c r="AB255" s="59" t="n">
        <f aca="false">F255+G255+(X255+Y255)*(1-TASA_USADA)</f>
        <v>0</v>
      </c>
      <c r="AC255" s="60" t="n">
        <f aca="false">Z255*P1_PVP+AA255*P2_PVP</f>
        <v>0</v>
      </c>
      <c r="AD255" s="60" t="n">
        <f aca="false">Z255*P1_CPROD+AA255*P2_CPROD</f>
        <v>0</v>
      </c>
      <c r="AE255" s="60" t="n">
        <f aca="false">IF(ISNUMBER(I255),I255,D255*P1_LOG+E255*P2_LOG)+IF(ISNUMBER(J255),J255,X255*P1_LOG+Y255*P2_LOG)*TASA_USADA</f>
        <v>0</v>
      </c>
      <c r="AF255" s="60" t="n">
        <f aca="false">AB255*COSTE_DEV</f>
        <v>0</v>
      </c>
      <c r="AG255" s="60" t="n">
        <f aca="false">Z255*P1_IVAN+AA255*P2_IVAN-AB255*IVA_DEV</f>
        <v>0</v>
      </c>
      <c r="AH255" s="60" t="n">
        <f aca="false">K255*(1+RECARGO_ADS)</f>
        <v>0</v>
      </c>
      <c r="AI255" s="58" t="n">
        <f aca="false">IF(ISNUMBER(I255),D255+E255+X255+Y255,0)</f>
        <v>0</v>
      </c>
      <c r="AJ255" s="60" t="n">
        <f aca="false">M255*COMISION</f>
        <v>0</v>
      </c>
    </row>
    <row r="256" customFormat="false" ht="15" hidden="false" customHeight="false" outlineLevel="0" collapsed="false">
      <c r="A256" s="53" t="n">
        <v>46550</v>
      </c>
      <c r="B256" s="54"/>
      <c r="C256" s="54"/>
      <c r="D256" s="54"/>
      <c r="E256" s="54"/>
      <c r="F256" s="54"/>
      <c r="G256" s="54"/>
      <c r="H256" s="54"/>
      <c r="I256" s="55"/>
      <c r="J256" s="55"/>
      <c r="K256" s="55"/>
      <c r="L256" s="56"/>
      <c r="M256" s="31" t="n">
        <f aca="false">B256+C256</f>
        <v>0</v>
      </c>
      <c r="N256" s="31" t="n">
        <f aca="false">X256+Y256</f>
        <v>0</v>
      </c>
      <c r="O256" s="32" t="n">
        <f aca="false">B256*P1_PVP+C256*P2_PVP</f>
        <v>0</v>
      </c>
      <c r="P256" s="32" t="str">
        <f aca="false">IF(M256&gt;0,O256/M256,"")</f>
        <v/>
      </c>
      <c r="Q256" s="32" t="str">
        <f aca="false">IF(M256&gt;0,K256/M256,"")</f>
        <v/>
      </c>
      <c r="R256" s="57" t="str">
        <f aca="false">IF(K256&gt;0,O256/K256,"")</f>
        <v/>
      </c>
      <c r="S256" s="34" t="str">
        <f aca="false">IF(D256+E256+F256+G256&gt;0,(D256+E256)/(D256+E256+F256+G256),"")</f>
        <v/>
      </c>
      <c r="T256" s="33" t="n">
        <f aca="false">D256*(P1_PVP-P1_CPROD)+E256*(P2_PVP-P2_CPROD)-IF(ISNUMBER(I256),I256,D256*P1_LOG+E256*P2_LOG)</f>
        <v>0</v>
      </c>
      <c r="U256" s="33" t="n">
        <f aca="false">T256-(D256*P1_IVAN+E256*P2_IVAN)-(F256+G256)*(COSTE_DEV-IVA_DEV)-AH256-AJ256</f>
        <v>0</v>
      </c>
      <c r="V256" s="33" t="n">
        <f aca="false">AC256-AD256-AE256-AF256-AG256-AH256-AJ256</f>
        <v>0</v>
      </c>
      <c r="X256" s="58" t="n">
        <f aca="false">MAX(0,B256-D256-F256)</f>
        <v>0</v>
      </c>
      <c r="Y256" s="58" t="n">
        <f aca="false">MAX(0,C256-E256-G256)</f>
        <v>0</v>
      </c>
      <c r="Z256" s="59" t="n">
        <f aca="false">D256+X256*TASA_USADA</f>
        <v>0</v>
      </c>
      <c r="AA256" s="59" t="n">
        <f aca="false">E256+Y256*TASA_USADA</f>
        <v>0</v>
      </c>
      <c r="AB256" s="59" t="n">
        <f aca="false">F256+G256+(X256+Y256)*(1-TASA_USADA)</f>
        <v>0</v>
      </c>
      <c r="AC256" s="60" t="n">
        <f aca="false">Z256*P1_PVP+AA256*P2_PVP</f>
        <v>0</v>
      </c>
      <c r="AD256" s="60" t="n">
        <f aca="false">Z256*P1_CPROD+AA256*P2_CPROD</f>
        <v>0</v>
      </c>
      <c r="AE256" s="60" t="n">
        <f aca="false">IF(ISNUMBER(I256),I256,D256*P1_LOG+E256*P2_LOG)+IF(ISNUMBER(J256),J256,X256*P1_LOG+Y256*P2_LOG)*TASA_USADA</f>
        <v>0</v>
      </c>
      <c r="AF256" s="60" t="n">
        <f aca="false">AB256*COSTE_DEV</f>
        <v>0</v>
      </c>
      <c r="AG256" s="60" t="n">
        <f aca="false">Z256*P1_IVAN+AA256*P2_IVAN-AB256*IVA_DEV</f>
        <v>0</v>
      </c>
      <c r="AH256" s="60" t="n">
        <f aca="false">K256*(1+RECARGO_ADS)</f>
        <v>0</v>
      </c>
      <c r="AI256" s="58" t="n">
        <f aca="false">IF(ISNUMBER(I256),D256+E256+X256+Y256,0)</f>
        <v>0</v>
      </c>
      <c r="AJ256" s="60" t="n">
        <f aca="false">M256*COMISION</f>
        <v>0</v>
      </c>
    </row>
    <row r="257" customFormat="false" ht="15" hidden="false" customHeight="false" outlineLevel="0" collapsed="false">
      <c r="A257" s="53" t="n">
        <v>46551</v>
      </c>
      <c r="B257" s="54"/>
      <c r="C257" s="54"/>
      <c r="D257" s="54"/>
      <c r="E257" s="54"/>
      <c r="F257" s="54"/>
      <c r="G257" s="54"/>
      <c r="H257" s="54"/>
      <c r="I257" s="55"/>
      <c r="J257" s="55"/>
      <c r="K257" s="55"/>
      <c r="L257" s="56"/>
      <c r="M257" s="31" t="n">
        <f aca="false">B257+C257</f>
        <v>0</v>
      </c>
      <c r="N257" s="31" t="n">
        <f aca="false">X257+Y257</f>
        <v>0</v>
      </c>
      <c r="O257" s="32" t="n">
        <f aca="false">B257*P1_PVP+C257*P2_PVP</f>
        <v>0</v>
      </c>
      <c r="P257" s="32" t="str">
        <f aca="false">IF(M257&gt;0,O257/M257,"")</f>
        <v/>
      </c>
      <c r="Q257" s="32" t="str">
        <f aca="false">IF(M257&gt;0,K257/M257,"")</f>
        <v/>
      </c>
      <c r="R257" s="57" t="str">
        <f aca="false">IF(K257&gt;0,O257/K257,"")</f>
        <v/>
      </c>
      <c r="S257" s="34" t="str">
        <f aca="false">IF(D257+E257+F257+G257&gt;0,(D257+E257)/(D257+E257+F257+G257),"")</f>
        <v/>
      </c>
      <c r="T257" s="33" t="n">
        <f aca="false">D257*(P1_PVP-P1_CPROD)+E257*(P2_PVP-P2_CPROD)-IF(ISNUMBER(I257),I257,D257*P1_LOG+E257*P2_LOG)</f>
        <v>0</v>
      </c>
      <c r="U257" s="33" t="n">
        <f aca="false">T257-(D257*P1_IVAN+E257*P2_IVAN)-(F257+G257)*(COSTE_DEV-IVA_DEV)-AH257-AJ257</f>
        <v>0</v>
      </c>
      <c r="V257" s="33" t="n">
        <f aca="false">AC257-AD257-AE257-AF257-AG257-AH257-AJ257</f>
        <v>0</v>
      </c>
      <c r="X257" s="58" t="n">
        <f aca="false">MAX(0,B257-D257-F257)</f>
        <v>0</v>
      </c>
      <c r="Y257" s="58" t="n">
        <f aca="false">MAX(0,C257-E257-G257)</f>
        <v>0</v>
      </c>
      <c r="Z257" s="59" t="n">
        <f aca="false">D257+X257*TASA_USADA</f>
        <v>0</v>
      </c>
      <c r="AA257" s="59" t="n">
        <f aca="false">E257+Y257*TASA_USADA</f>
        <v>0</v>
      </c>
      <c r="AB257" s="59" t="n">
        <f aca="false">F257+G257+(X257+Y257)*(1-TASA_USADA)</f>
        <v>0</v>
      </c>
      <c r="AC257" s="60" t="n">
        <f aca="false">Z257*P1_PVP+AA257*P2_PVP</f>
        <v>0</v>
      </c>
      <c r="AD257" s="60" t="n">
        <f aca="false">Z257*P1_CPROD+AA257*P2_CPROD</f>
        <v>0</v>
      </c>
      <c r="AE257" s="60" t="n">
        <f aca="false">IF(ISNUMBER(I257),I257,D257*P1_LOG+E257*P2_LOG)+IF(ISNUMBER(J257),J257,X257*P1_LOG+Y257*P2_LOG)*TASA_USADA</f>
        <v>0</v>
      </c>
      <c r="AF257" s="60" t="n">
        <f aca="false">AB257*COSTE_DEV</f>
        <v>0</v>
      </c>
      <c r="AG257" s="60" t="n">
        <f aca="false">Z257*P1_IVAN+AA257*P2_IVAN-AB257*IVA_DEV</f>
        <v>0</v>
      </c>
      <c r="AH257" s="60" t="n">
        <f aca="false">K257*(1+RECARGO_ADS)</f>
        <v>0</v>
      </c>
      <c r="AI257" s="58" t="n">
        <f aca="false">IF(ISNUMBER(I257),D257+E257+X257+Y257,0)</f>
        <v>0</v>
      </c>
      <c r="AJ257" s="60" t="n">
        <f aca="false">M257*COMISION</f>
        <v>0</v>
      </c>
    </row>
    <row r="258" customFormat="false" ht="15" hidden="false" customHeight="false" outlineLevel="0" collapsed="false">
      <c r="A258" s="53" t="n">
        <v>46552</v>
      </c>
      <c r="B258" s="54"/>
      <c r="C258" s="54"/>
      <c r="D258" s="54"/>
      <c r="E258" s="54"/>
      <c r="F258" s="54"/>
      <c r="G258" s="54"/>
      <c r="H258" s="54"/>
      <c r="I258" s="55"/>
      <c r="J258" s="55"/>
      <c r="K258" s="55"/>
      <c r="L258" s="56"/>
      <c r="M258" s="31" t="n">
        <f aca="false">B258+C258</f>
        <v>0</v>
      </c>
      <c r="N258" s="31" t="n">
        <f aca="false">X258+Y258</f>
        <v>0</v>
      </c>
      <c r="O258" s="32" t="n">
        <f aca="false">B258*P1_PVP+C258*P2_PVP</f>
        <v>0</v>
      </c>
      <c r="P258" s="32" t="str">
        <f aca="false">IF(M258&gt;0,O258/M258,"")</f>
        <v/>
      </c>
      <c r="Q258" s="32" t="str">
        <f aca="false">IF(M258&gt;0,K258/M258,"")</f>
        <v/>
      </c>
      <c r="R258" s="57" t="str">
        <f aca="false">IF(K258&gt;0,O258/K258,"")</f>
        <v/>
      </c>
      <c r="S258" s="34" t="str">
        <f aca="false">IF(D258+E258+F258+G258&gt;0,(D258+E258)/(D258+E258+F258+G258),"")</f>
        <v/>
      </c>
      <c r="T258" s="33" t="n">
        <f aca="false">D258*(P1_PVP-P1_CPROD)+E258*(P2_PVP-P2_CPROD)-IF(ISNUMBER(I258),I258,D258*P1_LOG+E258*P2_LOG)</f>
        <v>0</v>
      </c>
      <c r="U258" s="33" t="n">
        <f aca="false">T258-(D258*P1_IVAN+E258*P2_IVAN)-(F258+G258)*(COSTE_DEV-IVA_DEV)-AH258-AJ258</f>
        <v>0</v>
      </c>
      <c r="V258" s="33" t="n">
        <f aca="false">AC258-AD258-AE258-AF258-AG258-AH258-AJ258</f>
        <v>0</v>
      </c>
      <c r="X258" s="58" t="n">
        <f aca="false">MAX(0,B258-D258-F258)</f>
        <v>0</v>
      </c>
      <c r="Y258" s="58" t="n">
        <f aca="false">MAX(0,C258-E258-G258)</f>
        <v>0</v>
      </c>
      <c r="Z258" s="59" t="n">
        <f aca="false">D258+X258*TASA_USADA</f>
        <v>0</v>
      </c>
      <c r="AA258" s="59" t="n">
        <f aca="false">E258+Y258*TASA_USADA</f>
        <v>0</v>
      </c>
      <c r="AB258" s="59" t="n">
        <f aca="false">F258+G258+(X258+Y258)*(1-TASA_USADA)</f>
        <v>0</v>
      </c>
      <c r="AC258" s="60" t="n">
        <f aca="false">Z258*P1_PVP+AA258*P2_PVP</f>
        <v>0</v>
      </c>
      <c r="AD258" s="60" t="n">
        <f aca="false">Z258*P1_CPROD+AA258*P2_CPROD</f>
        <v>0</v>
      </c>
      <c r="AE258" s="60" t="n">
        <f aca="false">IF(ISNUMBER(I258),I258,D258*P1_LOG+E258*P2_LOG)+IF(ISNUMBER(J258),J258,X258*P1_LOG+Y258*P2_LOG)*TASA_USADA</f>
        <v>0</v>
      </c>
      <c r="AF258" s="60" t="n">
        <f aca="false">AB258*COSTE_DEV</f>
        <v>0</v>
      </c>
      <c r="AG258" s="60" t="n">
        <f aca="false">Z258*P1_IVAN+AA258*P2_IVAN-AB258*IVA_DEV</f>
        <v>0</v>
      </c>
      <c r="AH258" s="60" t="n">
        <f aca="false">K258*(1+RECARGO_ADS)</f>
        <v>0</v>
      </c>
      <c r="AI258" s="58" t="n">
        <f aca="false">IF(ISNUMBER(I258),D258+E258+X258+Y258,0)</f>
        <v>0</v>
      </c>
      <c r="AJ258" s="60" t="n">
        <f aca="false">M258*COMISION</f>
        <v>0</v>
      </c>
    </row>
    <row r="259" customFormat="false" ht="15" hidden="false" customHeight="false" outlineLevel="0" collapsed="false">
      <c r="A259" s="53" t="n">
        <v>46553</v>
      </c>
      <c r="B259" s="54"/>
      <c r="C259" s="54"/>
      <c r="D259" s="54"/>
      <c r="E259" s="54"/>
      <c r="F259" s="54"/>
      <c r="G259" s="54"/>
      <c r="H259" s="54"/>
      <c r="I259" s="55"/>
      <c r="J259" s="55"/>
      <c r="K259" s="55"/>
      <c r="L259" s="56"/>
      <c r="M259" s="31" t="n">
        <f aca="false">B259+C259</f>
        <v>0</v>
      </c>
      <c r="N259" s="31" t="n">
        <f aca="false">X259+Y259</f>
        <v>0</v>
      </c>
      <c r="O259" s="32" t="n">
        <f aca="false">B259*P1_PVP+C259*P2_PVP</f>
        <v>0</v>
      </c>
      <c r="P259" s="32" t="str">
        <f aca="false">IF(M259&gt;0,O259/M259,"")</f>
        <v/>
      </c>
      <c r="Q259" s="32" t="str">
        <f aca="false">IF(M259&gt;0,K259/M259,"")</f>
        <v/>
      </c>
      <c r="R259" s="57" t="str">
        <f aca="false">IF(K259&gt;0,O259/K259,"")</f>
        <v/>
      </c>
      <c r="S259" s="34" t="str">
        <f aca="false">IF(D259+E259+F259+G259&gt;0,(D259+E259)/(D259+E259+F259+G259),"")</f>
        <v/>
      </c>
      <c r="T259" s="33" t="n">
        <f aca="false">D259*(P1_PVP-P1_CPROD)+E259*(P2_PVP-P2_CPROD)-IF(ISNUMBER(I259),I259,D259*P1_LOG+E259*P2_LOG)</f>
        <v>0</v>
      </c>
      <c r="U259" s="33" t="n">
        <f aca="false">T259-(D259*P1_IVAN+E259*P2_IVAN)-(F259+G259)*(COSTE_DEV-IVA_DEV)-AH259-AJ259</f>
        <v>0</v>
      </c>
      <c r="V259" s="33" t="n">
        <f aca="false">AC259-AD259-AE259-AF259-AG259-AH259-AJ259</f>
        <v>0</v>
      </c>
      <c r="X259" s="58" t="n">
        <f aca="false">MAX(0,B259-D259-F259)</f>
        <v>0</v>
      </c>
      <c r="Y259" s="58" t="n">
        <f aca="false">MAX(0,C259-E259-G259)</f>
        <v>0</v>
      </c>
      <c r="Z259" s="59" t="n">
        <f aca="false">D259+X259*TASA_USADA</f>
        <v>0</v>
      </c>
      <c r="AA259" s="59" t="n">
        <f aca="false">E259+Y259*TASA_USADA</f>
        <v>0</v>
      </c>
      <c r="AB259" s="59" t="n">
        <f aca="false">F259+G259+(X259+Y259)*(1-TASA_USADA)</f>
        <v>0</v>
      </c>
      <c r="AC259" s="60" t="n">
        <f aca="false">Z259*P1_PVP+AA259*P2_PVP</f>
        <v>0</v>
      </c>
      <c r="AD259" s="60" t="n">
        <f aca="false">Z259*P1_CPROD+AA259*P2_CPROD</f>
        <v>0</v>
      </c>
      <c r="AE259" s="60" t="n">
        <f aca="false">IF(ISNUMBER(I259),I259,D259*P1_LOG+E259*P2_LOG)+IF(ISNUMBER(J259),J259,X259*P1_LOG+Y259*P2_LOG)*TASA_USADA</f>
        <v>0</v>
      </c>
      <c r="AF259" s="60" t="n">
        <f aca="false">AB259*COSTE_DEV</f>
        <v>0</v>
      </c>
      <c r="AG259" s="60" t="n">
        <f aca="false">Z259*P1_IVAN+AA259*P2_IVAN-AB259*IVA_DEV</f>
        <v>0</v>
      </c>
      <c r="AH259" s="60" t="n">
        <f aca="false">K259*(1+RECARGO_ADS)</f>
        <v>0</v>
      </c>
      <c r="AI259" s="58" t="n">
        <f aca="false">IF(ISNUMBER(I259),D259+E259+X259+Y259,0)</f>
        <v>0</v>
      </c>
      <c r="AJ259" s="60" t="n">
        <f aca="false">M259*COMISION</f>
        <v>0</v>
      </c>
    </row>
    <row r="260" customFormat="false" ht="15" hidden="false" customHeight="false" outlineLevel="0" collapsed="false">
      <c r="A260" s="53" t="n">
        <v>46554</v>
      </c>
      <c r="B260" s="54"/>
      <c r="C260" s="54"/>
      <c r="D260" s="54"/>
      <c r="E260" s="54"/>
      <c r="F260" s="54"/>
      <c r="G260" s="54"/>
      <c r="H260" s="54"/>
      <c r="I260" s="55"/>
      <c r="J260" s="55"/>
      <c r="K260" s="55"/>
      <c r="L260" s="56"/>
      <c r="M260" s="31" t="n">
        <f aca="false">B260+C260</f>
        <v>0</v>
      </c>
      <c r="N260" s="31" t="n">
        <f aca="false">X260+Y260</f>
        <v>0</v>
      </c>
      <c r="O260" s="32" t="n">
        <f aca="false">B260*P1_PVP+C260*P2_PVP</f>
        <v>0</v>
      </c>
      <c r="P260" s="32" t="str">
        <f aca="false">IF(M260&gt;0,O260/M260,"")</f>
        <v/>
      </c>
      <c r="Q260" s="32" t="str">
        <f aca="false">IF(M260&gt;0,K260/M260,"")</f>
        <v/>
      </c>
      <c r="R260" s="57" t="str">
        <f aca="false">IF(K260&gt;0,O260/K260,"")</f>
        <v/>
      </c>
      <c r="S260" s="34" t="str">
        <f aca="false">IF(D260+E260+F260+G260&gt;0,(D260+E260)/(D260+E260+F260+G260),"")</f>
        <v/>
      </c>
      <c r="T260" s="33" t="n">
        <f aca="false">D260*(P1_PVP-P1_CPROD)+E260*(P2_PVP-P2_CPROD)-IF(ISNUMBER(I260),I260,D260*P1_LOG+E260*P2_LOG)</f>
        <v>0</v>
      </c>
      <c r="U260" s="33" t="n">
        <f aca="false">T260-(D260*P1_IVAN+E260*P2_IVAN)-(F260+G260)*(COSTE_DEV-IVA_DEV)-AH260-AJ260</f>
        <v>0</v>
      </c>
      <c r="V260" s="33" t="n">
        <f aca="false">AC260-AD260-AE260-AF260-AG260-AH260-AJ260</f>
        <v>0</v>
      </c>
      <c r="X260" s="58" t="n">
        <f aca="false">MAX(0,B260-D260-F260)</f>
        <v>0</v>
      </c>
      <c r="Y260" s="58" t="n">
        <f aca="false">MAX(0,C260-E260-G260)</f>
        <v>0</v>
      </c>
      <c r="Z260" s="59" t="n">
        <f aca="false">D260+X260*TASA_USADA</f>
        <v>0</v>
      </c>
      <c r="AA260" s="59" t="n">
        <f aca="false">E260+Y260*TASA_USADA</f>
        <v>0</v>
      </c>
      <c r="AB260" s="59" t="n">
        <f aca="false">F260+G260+(X260+Y260)*(1-TASA_USADA)</f>
        <v>0</v>
      </c>
      <c r="AC260" s="60" t="n">
        <f aca="false">Z260*P1_PVP+AA260*P2_PVP</f>
        <v>0</v>
      </c>
      <c r="AD260" s="60" t="n">
        <f aca="false">Z260*P1_CPROD+AA260*P2_CPROD</f>
        <v>0</v>
      </c>
      <c r="AE260" s="60" t="n">
        <f aca="false">IF(ISNUMBER(I260),I260,D260*P1_LOG+E260*P2_LOG)+IF(ISNUMBER(J260),J260,X260*P1_LOG+Y260*P2_LOG)*TASA_USADA</f>
        <v>0</v>
      </c>
      <c r="AF260" s="60" t="n">
        <f aca="false">AB260*COSTE_DEV</f>
        <v>0</v>
      </c>
      <c r="AG260" s="60" t="n">
        <f aca="false">Z260*P1_IVAN+AA260*P2_IVAN-AB260*IVA_DEV</f>
        <v>0</v>
      </c>
      <c r="AH260" s="60" t="n">
        <f aca="false">K260*(1+RECARGO_ADS)</f>
        <v>0</v>
      </c>
      <c r="AI260" s="58" t="n">
        <f aca="false">IF(ISNUMBER(I260),D260+E260+X260+Y260,0)</f>
        <v>0</v>
      </c>
      <c r="AJ260" s="60" t="n">
        <f aca="false">M260*COMISION</f>
        <v>0</v>
      </c>
    </row>
    <row r="261" customFormat="false" ht="15" hidden="false" customHeight="false" outlineLevel="0" collapsed="false">
      <c r="A261" s="53" t="n">
        <v>46555</v>
      </c>
      <c r="B261" s="54"/>
      <c r="C261" s="54"/>
      <c r="D261" s="54"/>
      <c r="E261" s="54"/>
      <c r="F261" s="54"/>
      <c r="G261" s="54"/>
      <c r="H261" s="54"/>
      <c r="I261" s="55"/>
      <c r="J261" s="55"/>
      <c r="K261" s="55"/>
      <c r="L261" s="56"/>
      <c r="M261" s="31" t="n">
        <f aca="false">B261+C261</f>
        <v>0</v>
      </c>
      <c r="N261" s="31" t="n">
        <f aca="false">X261+Y261</f>
        <v>0</v>
      </c>
      <c r="O261" s="32" t="n">
        <f aca="false">B261*P1_PVP+C261*P2_PVP</f>
        <v>0</v>
      </c>
      <c r="P261" s="32" t="str">
        <f aca="false">IF(M261&gt;0,O261/M261,"")</f>
        <v/>
      </c>
      <c r="Q261" s="32" t="str">
        <f aca="false">IF(M261&gt;0,K261/M261,"")</f>
        <v/>
      </c>
      <c r="R261" s="57" t="str">
        <f aca="false">IF(K261&gt;0,O261/K261,"")</f>
        <v/>
      </c>
      <c r="S261" s="34" t="str">
        <f aca="false">IF(D261+E261+F261+G261&gt;0,(D261+E261)/(D261+E261+F261+G261),"")</f>
        <v/>
      </c>
      <c r="T261" s="33" t="n">
        <f aca="false">D261*(P1_PVP-P1_CPROD)+E261*(P2_PVP-P2_CPROD)-IF(ISNUMBER(I261),I261,D261*P1_LOG+E261*P2_LOG)</f>
        <v>0</v>
      </c>
      <c r="U261" s="33" t="n">
        <f aca="false">T261-(D261*P1_IVAN+E261*P2_IVAN)-(F261+G261)*(COSTE_DEV-IVA_DEV)-AH261-AJ261</f>
        <v>0</v>
      </c>
      <c r="V261" s="33" t="n">
        <f aca="false">AC261-AD261-AE261-AF261-AG261-AH261-AJ261</f>
        <v>0</v>
      </c>
      <c r="X261" s="58" t="n">
        <f aca="false">MAX(0,B261-D261-F261)</f>
        <v>0</v>
      </c>
      <c r="Y261" s="58" t="n">
        <f aca="false">MAX(0,C261-E261-G261)</f>
        <v>0</v>
      </c>
      <c r="Z261" s="59" t="n">
        <f aca="false">D261+X261*TASA_USADA</f>
        <v>0</v>
      </c>
      <c r="AA261" s="59" t="n">
        <f aca="false">E261+Y261*TASA_USADA</f>
        <v>0</v>
      </c>
      <c r="AB261" s="59" t="n">
        <f aca="false">F261+G261+(X261+Y261)*(1-TASA_USADA)</f>
        <v>0</v>
      </c>
      <c r="AC261" s="60" t="n">
        <f aca="false">Z261*P1_PVP+AA261*P2_PVP</f>
        <v>0</v>
      </c>
      <c r="AD261" s="60" t="n">
        <f aca="false">Z261*P1_CPROD+AA261*P2_CPROD</f>
        <v>0</v>
      </c>
      <c r="AE261" s="60" t="n">
        <f aca="false">IF(ISNUMBER(I261),I261,D261*P1_LOG+E261*P2_LOG)+IF(ISNUMBER(J261),J261,X261*P1_LOG+Y261*P2_LOG)*TASA_USADA</f>
        <v>0</v>
      </c>
      <c r="AF261" s="60" t="n">
        <f aca="false">AB261*COSTE_DEV</f>
        <v>0</v>
      </c>
      <c r="AG261" s="60" t="n">
        <f aca="false">Z261*P1_IVAN+AA261*P2_IVAN-AB261*IVA_DEV</f>
        <v>0</v>
      </c>
      <c r="AH261" s="60" t="n">
        <f aca="false">K261*(1+RECARGO_ADS)</f>
        <v>0</v>
      </c>
      <c r="AI261" s="58" t="n">
        <f aca="false">IF(ISNUMBER(I261),D261+E261+X261+Y261,0)</f>
        <v>0</v>
      </c>
      <c r="AJ261" s="60" t="n">
        <f aca="false">M261*COMISION</f>
        <v>0</v>
      </c>
    </row>
    <row r="262" customFormat="false" ht="15" hidden="false" customHeight="false" outlineLevel="0" collapsed="false">
      <c r="A262" s="53" t="n">
        <v>46556</v>
      </c>
      <c r="B262" s="54"/>
      <c r="C262" s="54"/>
      <c r="D262" s="54"/>
      <c r="E262" s="54"/>
      <c r="F262" s="54"/>
      <c r="G262" s="54"/>
      <c r="H262" s="54"/>
      <c r="I262" s="55"/>
      <c r="J262" s="55"/>
      <c r="K262" s="55"/>
      <c r="L262" s="56"/>
      <c r="M262" s="31" t="n">
        <f aca="false">B262+C262</f>
        <v>0</v>
      </c>
      <c r="N262" s="31" t="n">
        <f aca="false">X262+Y262</f>
        <v>0</v>
      </c>
      <c r="O262" s="32" t="n">
        <f aca="false">B262*P1_PVP+C262*P2_PVP</f>
        <v>0</v>
      </c>
      <c r="P262" s="32" t="str">
        <f aca="false">IF(M262&gt;0,O262/M262,"")</f>
        <v/>
      </c>
      <c r="Q262" s="32" t="str">
        <f aca="false">IF(M262&gt;0,K262/M262,"")</f>
        <v/>
      </c>
      <c r="R262" s="57" t="str">
        <f aca="false">IF(K262&gt;0,O262/K262,"")</f>
        <v/>
      </c>
      <c r="S262" s="34" t="str">
        <f aca="false">IF(D262+E262+F262+G262&gt;0,(D262+E262)/(D262+E262+F262+G262),"")</f>
        <v/>
      </c>
      <c r="T262" s="33" t="n">
        <f aca="false">D262*(P1_PVP-P1_CPROD)+E262*(P2_PVP-P2_CPROD)-IF(ISNUMBER(I262),I262,D262*P1_LOG+E262*P2_LOG)</f>
        <v>0</v>
      </c>
      <c r="U262" s="33" t="n">
        <f aca="false">T262-(D262*P1_IVAN+E262*P2_IVAN)-(F262+G262)*(COSTE_DEV-IVA_DEV)-AH262-AJ262</f>
        <v>0</v>
      </c>
      <c r="V262" s="33" t="n">
        <f aca="false">AC262-AD262-AE262-AF262-AG262-AH262-AJ262</f>
        <v>0</v>
      </c>
      <c r="X262" s="58" t="n">
        <f aca="false">MAX(0,B262-D262-F262)</f>
        <v>0</v>
      </c>
      <c r="Y262" s="58" t="n">
        <f aca="false">MAX(0,C262-E262-G262)</f>
        <v>0</v>
      </c>
      <c r="Z262" s="59" t="n">
        <f aca="false">D262+X262*TASA_USADA</f>
        <v>0</v>
      </c>
      <c r="AA262" s="59" t="n">
        <f aca="false">E262+Y262*TASA_USADA</f>
        <v>0</v>
      </c>
      <c r="AB262" s="59" t="n">
        <f aca="false">F262+G262+(X262+Y262)*(1-TASA_USADA)</f>
        <v>0</v>
      </c>
      <c r="AC262" s="60" t="n">
        <f aca="false">Z262*P1_PVP+AA262*P2_PVP</f>
        <v>0</v>
      </c>
      <c r="AD262" s="60" t="n">
        <f aca="false">Z262*P1_CPROD+AA262*P2_CPROD</f>
        <v>0</v>
      </c>
      <c r="AE262" s="60" t="n">
        <f aca="false">IF(ISNUMBER(I262),I262,D262*P1_LOG+E262*P2_LOG)+IF(ISNUMBER(J262),J262,X262*P1_LOG+Y262*P2_LOG)*TASA_USADA</f>
        <v>0</v>
      </c>
      <c r="AF262" s="60" t="n">
        <f aca="false">AB262*COSTE_DEV</f>
        <v>0</v>
      </c>
      <c r="AG262" s="60" t="n">
        <f aca="false">Z262*P1_IVAN+AA262*P2_IVAN-AB262*IVA_DEV</f>
        <v>0</v>
      </c>
      <c r="AH262" s="60" t="n">
        <f aca="false">K262*(1+RECARGO_ADS)</f>
        <v>0</v>
      </c>
      <c r="AI262" s="58" t="n">
        <f aca="false">IF(ISNUMBER(I262),D262+E262+X262+Y262,0)</f>
        <v>0</v>
      </c>
      <c r="AJ262" s="60" t="n">
        <f aca="false">M262*COMISION</f>
        <v>0</v>
      </c>
    </row>
    <row r="263" customFormat="false" ht="15" hidden="false" customHeight="false" outlineLevel="0" collapsed="false">
      <c r="A263" s="53" t="n">
        <v>46557</v>
      </c>
      <c r="B263" s="54"/>
      <c r="C263" s="54"/>
      <c r="D263" s="54"/>
      <c r="E263" s="54"/>
      <c r="F263" s="54"/>
      <c r="G263" s="54"/>
      <c r="H263" s="54"/>
      <c r="I263" s="55"/>
      <c r="J263" s="55"/>
      <c r="K263" s="55"/>
      <c r="L263" s="56"/>
      <c r="M263" s="31" t="n">
        <f aca="false">B263+C263</f>
        <v>0</v>
      </c>
      <c r="N263" s="31" t="n">
        <f aca="false">X263+Y263</f>
        <v>0</v>
      </c>
      <c r="O263" s="32" t="n">
        <f aca="false">B263*P1_PVP+C263*P2_PVP</f>
        <v>0</v>
      </c>
      <c r="P263" s="32" t="str">
        <f aca="false">IF(M263&gt;0,O263/M263,"")</f>
        <v/>
      </c>
      <c r="Q263" s="32" t="str">
        <f aca="false">IF(M263&gt;0,K263/M263,"")</f>
        <v/>
      </c>
      <c r="R263" s="57" t="str">
        <f aca="false">IF(K263&gt;0,O263/K263,"")</f>
        <v/>
      </c>
      <c r="S263" s="34" t="str">
        <f aca="false">IF(D263+E263+F263+G263&gt;0,(D263+E263)/(D263+E263+F263+G263),"")</f>
        <v/>
      </c>
      <c r="T263" s="33" t="n">
        <f aca="false">D263*(P1_PVP-P1_CPROD)+E263*(P2_PVP-P2_CPROD)-IF(ISNUMBER(I263),I263,D263*P1_LOG+E263*P2_LOG)</f>
        <v>0</v>
      </c>
      <c r="U263" s="33" t="n">
        <f aca="false">T263-(D263*P1_IVAN+E263*P2_IVAN)-(F263+G263)*(COSTE_DEV-IVA_DEV)-AH263-AJ263</f>
        <v>0</v>
      </c>
      <c r="V263" s="33" t="n">
        <f aca="false">AC263-AD263-AE263-AF263-AG263-AH263-AJ263</f>
        <v>0</v>
      </c>
      <c r="X263" s="58" t="n">
        <f aca="false">MAX(0,B263-D263-F263)</f>
        <v>0</v>
      </c>
      <c r="Y263" s="58" t="n">
        <f aca="false">MAX(0,C263-E263-G263)</f>
        <v>0</v>
      </c>
      <c r="Z263" s="59" t="n">
        <f aca="false">D263+X263*TASA_USADA</f>
        <v>0</v>
      </c>
      <c r="AA263" s="59" t="n">
        <f aca="false">E263+Y263*TASA_USADA</f>
        <v>0</v>
      </c>
      <c r="AB263" s="59" t="n">
        <f aca="false">F263+G263+(X263+Y263)*(1-TASA_USADA)</f>
        <v>0</v>
      </c>
      <c r="AC263" s="60" t="n">
        <f aca="false">Z263*P1_PVP+AA263*P2_PVP</f>
        <v>0</v>
      </c>
      <c r="AD263" s="60" t="n">
        <f aca="false">Z263*P1_CPROD+AA263*P2_CPROD</f>
        <v>0</v>
      </c>
      <c r="AE263" s="60" t="n">
        <f aca="false">IF(ISNUMBER(I263),I263,D263*P1_LOG+E263*P2_LOG)+IF(ISNUMBER(J263),J263,X263*P1_LOG+Y263*P2_LOG)*TASA_USADA</f>
        <v>0</v>
      </c>
      <c r="AF263" s="60" t="n">
        <f aca="false">AB263*COSTE_DEV</f>
        <v>0</v>
      </c>
      <c r="AG263" s="60" t="n">
        <f aca="false">Z263*P1_IVAN+AA263*P2_IVAN-AB263*IVA_DEV</f>
        <v>0</v>
      </c>
      <c r="AH263" s="60" t="n">
        <f aca="false">K263*(1+RECARGO_ADS)</f>
        <v>0</v>
      </c>
      <c r="AI263" s="58" t="n">
        <f aca="false">IF(ISNUMBER(I263),D263+E263+X263+Y263,0)</f>
        <v>0</v>
      </c>
      <c r="AJ263" s="60" t="n">
        <f aca="false">M263*COMISION</f>
        <v>0</v>
      </c>
    </row>
    <row r="264" customFormat="false" ht="15" hidden="false" customHeight="false" outlineLevel="0" collapsed="false">
      <c r="A264" s="53" t="n">
        <v>46558</v>
      </c>
      <c r="B264" s="54"/>
      <c r="C264" s="54"/>
      <c r="D264" s="54"/>
      <c r="E264" s="54"/>
      <c r="F264" s="54"/>
      <c r="G264" s="54"/>
      <c r="H264" s="54"/>
      <c r="I264" s="55"/>
      <c r="J264" s="55"/>
      <c r="K264" s="55"/>
      <c r="L264" s="56"/>
      <c r="M264" s="31" t="n">
        <f aca="false">B264+C264</f>
        <v>0</v>
      </c>
      <c r="N264" s="31" t="n">
        <f aca="false">X264+Y264</f>
        <v>0</v>
      </c>
      <c r="O264" s="32" t="n">
        <f aca="false">B264*P1_PVP+C264*P2_PVP</f>
        <v>0</v>
      </c>
      <c r="P264" s="32" t="str">
        <f aca="false">IF(M264&gt;0,O264/M264,"")</f>
        <v/>
      </c>
      <c r="Q264" s="32" t="str">
        <f aca="false">IF(M264&gt;0,K264/M264,"")</f>
        <v/>
      </c>
      <c r="R264" s="57" t="str">
        <f aca="false">IF(K264&gt;0,O264/K264,"")</f>
        <v/>
      </c>
      <c r="S264" s="34" t="str">
        <f aca="false">IF(D264+E264+F264+G264&gt;0,(D264+E264)/(D264+E264+F264+G264),"")</f>
        <v/>
      </c>
      <c r="T264" s="33" t="n">
        <f aca="false">D264*(P1_PVP-P1_CPROD)+E264*(P2_PVP-P2_CPROD)-IF(ISNUMBER(I264),I264,D264*P1_LOG+E264*P2_LOG)</f>
        <v>0</v>
      </c>
      <c r="U264" s="33" t="n">
        <f aca="false">T264-(D264*P1_IVAN+E264*P2_IVAN)-(F264+G264)*(COSTE_DEV-IVA_DEV)-AH264-AJ264</f>
        <v>0</v>
      </c>
      <c r="V264" s="33" t="n">
        <f aca="false">AC264-AD264-AE264-AF264-AG264-AH264-AJ264</f>
        <v>0</v>
      </c>
      <c r="X264" s="58" t="n">
        <f aca="false">MAX(0,B264-D264-F264)</f>
        <v>0</v>
      </c>
      <c r="Y264" s="58" t="n">
        <f aca="false">MAX(0,C264-E264-G264)</f>
        <v>0</v>
      </c>
      <c r="Z264" s="59" t="n">
        <f aca="false">D264+X264*TASA_USADA</f>
        <v>0</v>
      </c>
      <c r="AA264" s="59" t="n">
        <f aca="false">E264+Y264*TASA_USADA</f>
        <v>0</v>
      </c>
      <c r="AB264" s="59" t="n">
        <f aca="false">F264+G264+(X264+Y264)*(1-TASA_USADA)</f>
        <v>0</v>
      </c>
      <c r="AC264" s="60" t="n">
        <f aca="false">Z264*P1_PVP+AA264*P2_PVP</f>
        <v>0</v>
      </c>
      <c r="AD264" s="60" t="n">
        <f aca="false">Z264*P1_CPROD+AA264*P2_CPROD</f>
        <v>0</v>
      </c>
      <c r="AE264" s="60" t="n">
        <f aca="false">IF(ISNUMBER(I264),I264,D264*P1_LOG+E264*P2_LOG)+IF(ISNUMBER(J264),J264,X264*P1_LOG+Y264*P2_LOG)*TASA_USADA</f>
        <v>0</v>
      </c>
      <c r="AF264" s="60" t="n">
        <f aca="false">AB264*COSTE_DEV</f>
        <v>0</v>
      </c>
      <c r="AG264" s="60" t="n">
        <f aca="false">Z264*P1_IVAN+AA264*P2_IVAN-AB264*IVA_DEV</f>
        <v>0</v>
      </c>
      <c r="AH264" s="60" t="n">
        <f aca="false">K264*(1+RECARGO_ADS)</f>
        <v>0</v>
      </c>
      <c r="AI264" s="58" t="n">
        <f aca="false">IF(ISNUMBER(I264),D264+E264+X264+Y264,0)</f>
        <v>0</v>
      </c>
      <c r="AJ264" s="60" t="n">
        <f aca="false">M264*COMISION</f>
        <v>0</v>
      </c>
    </row>
    <row r="265" customFormat="false" ht="15" hidden="false" customHeight="false" outlineLevel="0" collapsed="false">
      <c r="A265" s="53" t="n">
        <v>46559</v>
      </c>
      <c r="B265" s="54"/>
      <c r="C265" s="54"/>
      <c r="D265" s="54"/>
      <c r="E265" s="54"/>
      <c r="F265" s="54"/>
      <c r="G265" s="54"/>
      <c r="H265" s="54"/>
      <c r="I265" s="55"/>
      <c r="J265" s="55"/>
      <c r="K265" s="55"/>
      <c r="L265" s="56"/>
      <c r="M265" s="31" t="n">
        <f aca="false">B265+C265</f>
        <v>0</v>
      </c>
      <c r="N265" s="31" t="n">
        <f aca="false">X265+Y265</f>
        <v>0</v>
      </c>
      <c r="O265" s="32" t="n">
        <f aca="false">B265*P1_PVP+C265*P2_PVP</f>
        <v>0</v>
      </c>
      <c r="P265" s="32" t="str">
        <f aca="false">IF(M265&gt;0,O265/M265,"")</f>
        <v/>
      </c>
      <c r="Q265" s="32" t="str">
        <f aca="false">IF(M265&gt;0,K265/M265,"")</f>
        <v/>
      </c>
      <c r="R265" s="57" t="str">
        <f aca="false">IF(K265&gt;0,O265/K265,"")</f>
        <v/>
      </c>
      <c r="S265" s="34" t="str">
        <f aca="false">IF(D265+E265+F265+G265&gt;0,(D265+E265)/(D265+E265+F265+G265),"")</f>
        <v/>
      </c>
      <c r="T265" s="33" t="n">
        <f aca="false">D265*(P1_PVP-P1_CPROD)+E265*(P2_PVP-P2_CPROD)-IF(ISNUMBER(I265),I265,D265*P1_LOG+E265*P2_LOG)</f>
        <v>0</v>
      </c>
      <c r="U265" s="33" t="n">
        <f aca="false">T265-(D265*P1_IVAN+E265*P2_IVAN)-(F265+G265)*(COSTE_DEV-IVA_DEV)-AH265-AJ265</f>
        <v>0</v>
      </c>
      <c r="V265" s="33" t="n">
        <f aca="false">AC265-AD265-AE265-AF265-AG265-AH265-AJ265</f>
        <v>0</v>
      </c>
      <c r="X265" s="58" t="n">
        <f aca="false">MAX(0,B265-D265-F265)</f>
        <v>0</v>
      </c>
      <c r="Y265" s="58" t="n">
        <f aca="false">MAX(0,C265-E265-G265)</f>
        <v>0</v>
      </c>
      <c r="Z265" s="59" t="n">
        <f aca="false">D265+X265*TASA_USADA</f>
        <v>0</v>
      </c>
      <c r="AA265" s="59" t="n">
        <f aca="false">E265+Y265*TASA_USADA</f>
        <v>0</v>
      </c>
      <c r="AB265" s="59" t="n">
        <f aca="false">F265+G265+(X265+Y265)*(1-TASA_USADA)</f>
        <v>0</v>
      </c>
      <c r="AC265" s="60" t="n">
        <f aca="false">Z265*P1_PVP+AA265*P2_PVP</f>
        <v>0</v>
      </c>
      <c r="AD265" s="60" t="n">
        <f aca="false">Z265*P1_CPROD+AA265*P2_CPROD</f>
        <v>0</v>
      </c>
      <c r="AE265" s="60" t="n">
        <f aca="false">IF(ISNUMBER(I265),I265,D265*P1_LOG+E265*P2_LOG)+IF(ISNUMBER(J265),J265,X265*P1_LOG+Y265*P2_LOG)*TASA_USADA</f>
        <v>0</v>
      </c>
      <c r="AF265" s="60" t="n">
        <f aca="false">AB265*COSTE_DEV</f>
        <v>0</v>
      </c>
      <c r="AG265" s="60" t="n">
        <f aca="false">Z265*P1_IVAN+AA265*P2_IVAN-AB265*IVA_DEV</f>
        <v>0</v>
      </c>
      <c r="AH265" s="60" t="n">
        <f aca="false">K265*(1+RECARGO_ADS)</f>
        <v>0</v>
      </c>
      <c r="AI265" s="58" t="n">
        <f aca="false">IF(ISNUMBER(I265),D265+E265+X265+Y265,0)</f>
        <v>0</v>
      </c>
      <c r="AJ265" s="60" t="n">
        <f aca="false">M265*COMISION</f>
        <v>0</v>
      </c>
    </row>
    <row r="266" customFormat="false" ht="15" hidden="false" customHeight="false" outlineLevel="0" collapsed="false">
      <c r="A266" s="53" t="n">
        <v>46560</v>
      </c>
      <c r="B266" s="54"/>
      <c r="C266" s="54"/>
      <c r="D266" s="54"/>
      <c r="E266" s="54"/>
      <c r="F266" s="54"/>
      <c r="G266" s="54"/>
      <c r="H266" s="54"/>
      <c r="I266" s="55"/>
      <c r="J266" s="55"/>
      <c r="K266" s="55"/>
      <c r="L266" s="56"/>
      <c r="M266" s="31" t="n">
        <f aca="false">B266+C266</f>
        <v>0</v>
      </c>
      <c r="N266" s="31" t="n">
        <f aca="false">X266+Y266</f>
        <v>0</v>
      </c>
      <c r="O266" s="32" t="n">
        <f aca="false">B266*P1_PVP+C266*P2_PVP</f>
        <v>0</v>
      </c>
      <c r="P266" s="32" t="str">
        <f aca="false">IF(M266&gt;0,O266/M266,"")</f>
        <v/>
      </c>
      <c r="Q266" s="32" t="str">
        <f aca="false">IF(M266&gt;0,K266/M266,"")</f>
        <v/>
      </c>
      <c r="R266" s="57" t="str">
        <f aca="false">IF(K266&gt;0,O266/K266,"")</f>
        <v/>
      </c>
      <c r="S266" s="34" t="str">
        <f aca="false">IF(D266+E266+F266+G266&gt;0,(D266+E266)/(D266+E266+F266+G266),"")</f>
        <v/>
      </c>
      <c r="T266" s="33" t="n">
        <f aca="false">D266*(P1_PVP-P1_CPROD)+E266*(P2_PVP-P2_CPROD)-IF(ISNUMBER(I266),I266,D266*P1_LOG+E266*P2_LOG)</f>
        <v>0</v>
      </c>
      <c r="U266" s="33" t="n">
        <f aca="false">T266-(D266*P1_IVAN+E266*P2_IVAN)-(F266+G266)*(COSTE_DEV-IVA_DEV)-AH266-AJ266</f>
        <v>0</v>
      </c>
      <c r="V266" s="33" t="n">
        <f aca="false">AC266-AD266-AE266-AF266-AG266-AH266-AJ266</f>
        <v>0</v>
      </c>
      <c r="X266" s="58" t="n">
        <f aca="false">MAX(0,B266-D266-F266)</f>
        <v>0</v>
      </c>
      <c r="Y266" s="58" t="n">
        <f aca="false">MAX(0,C266-E266-G266)</f>
        <v>0</v>
      </c>
      <c r="Z266" s="59" t="n">
        <f aca="false">D266+X266*TASA_USADA</f>
        <v>0</v>
      </c>
      <c r="AA266" s="59" t="n">
        <f aca="false">E266+Y266*TASA_USADA</f>
        <v>0</v>
      </c>
      <c r="AB266" s="59" t="n">
        <f aca="false">F266+G266+(X266+Y266)*(1-TASA_USADA)</f>
        <v>0</v>
      </c>
      <c r="AC266" s="60" t="n">
        <f aca="false">Z266*P1_PVP+AA266*P2_PVP</f>
        <v>0</v>
      </c>
      <c r="AD266" s="60" t="n">
        <f aca="false">Z266*P1_CPROD+AA266*P2_CPROD</f>
        <v>0</v>
      </c>
      <c r="AE266" s="60" t="n">
        <f aca="false">IF(ISNUMBER(I266),I266,D266*P1_LOG+E266*P2_LOG)+IF(ISNUMBER(J266),J266,X266*P1_LOG+Y266*P2_LOG)*TASA_USADA</f>
        <v>0</v>
      </c>
      <c r="AF266" s="60" t="n">
        <f aca="false">AB266*COSTE_DEV</f>
        <v>0</v>
      </c>
      <c r="AG266" s="60" t="n">
        <f aca="false">Z266*P1_IVAN+AA266*P2_IVAN-AB266*IVA_DEV</f>
        <v>0</v>
      </c>
      <c r="AH266" s="60" t="n">
        <f aca="false">K266*(1+RECARGO_ADS)</f>
        <v>0</v>
      </c>
      <c r="AI266" s="58" t="n">
        <f aca="false">IF(ISNUMBER(I266),D266+E266+X266+Y266,0)</f>
        <v>0</v>
      </c>
      <c r="AJ266" s="60" t="n">
        <f aca="false">M266*COMISION</f>
        <v>0</v>
      </c>
    </row>
    <row r="267" customFormat="false" ht="15" hidden="false" customHeight="false" outlineLevel="0" collapsed="false">
      <c r="A267" s="53" t="n">
        <v>46561</v>
      </c>
      <c r="B267" s="54"/>
      <c r="C267" s="54"/>
      <c r="D267" s="54"/>
      <c r="E267" s="54"/>
      <c r="F267" s="54"/>
      <c r="G267" s="54"/>
      <c r="H267" s="54"/>
      <c r="I267" s="55"/>
      <c r="J267" s="55"/>
      <c r="K267" s="55"/>
      <c r="L267" s="56"/>
      <c r="M267" s="31" t="n">
        <f aca="false">B267+C267</f>
        <v>0</v>
      </c>
      <c r="N267" s="31" t="n">
        <f aca="false">X267+Y267</f>
        <v>0</v>
      </c>
      <c r="O267" s="32" t="n">
        <f aca="false">B267*P1_PVP+C267*P2_PVP</f>
        <v>0</v>
      </c>
      <c r="P267" s="32" t="str">
        <f aca="false">IF(M267&gt;0,O267/M267,"")</f>
        <v/>
      </c>
      <c r="Q267" s="32" t="str">
        <f aca="false">IF(M267&gt;0,K267/M267,"")</f>
        <v/>
      </c>
      <c r="R267" s="57" t="str">
        <f aca="false">IF(K267&gt;0,O267/K267,"")</f>
        <v/>
      </c>
      <c r="S267" s="34" t="str">
        <f aca="false">IF(D267+E267+F267+G267&gt;0,(D267+E267)/(D267+E267+F267+G267),"")</f>
        <v/>
      </c>
      <c r="T267" s="33" t="n">
        <f aca="false">D267*(P1_PVP-P1_CPROD)+E267*(P2_PVP-P2_CPROD)-IF(ISNUMBER(I267),I267,D267*P1_LOG+E267*P2_LOG)</f>
        <v>0</v>
      </c>
      <c r="U267" s="33" t="n">
        <f aca="false">T267-(D267*P1_IVAN+E267*P2_IVAN)-(F267+G267)*(COSTE_DEV-IVA_DEV)-AH267-AJ267</f>
        <v>0</v>
      </c>
      <c r="V267" s="33" t="n">
        <f aca="false">AC267-AD267-AE267-AF267-AG267-AH267-AJ267</f>
        <v>0</v>
      </c>
      <c r="X267" s="58" t="n">
        <f aca="false">MAX(0,B267-D267-F267)</f>
        <v>0</v>
      </c>
      <c r="Y267" s="58" t="n">
        <f aca="false">MAX(0,C267-E267-G267)</f>
        <v>0</v>
      </c>
      <c r="Z267" s="59" t="n">
        <f aca="false">D267+X267*TASA_USADA</f>
        <v>0</v>
      </c>
      <c r="AA267" s="59" t="n">
        <f aca="false">E267+Y267*TASA_USADA</f>
        <v>0</v>
      </c>
      <c r="AB267" s="59" t="n">
        <f aca="false">F267+G267+(X267+Y267)*(1-TASA_USADA)</f>
        <v>0</v>
      </c>
      <c r="AC267" s="60" t="n">
        <f aca="false">Z267*P1_PVP+AA267*P2_PVP</f>
        <v>0</v>
      </c>
      <c r="AD267" s="60" t="n">
        <f aca="false">Z267*P1_CPROD+AA267*P2_CPROD</f>
        <v>0</v>
      </c>
      <c r="AE267" s="60" t="n">
        <f aca="false">IF(ISNUMBER(I267),I267,D267*P1_LOG+E267*P2_LOG)+IF(ISNUMBER(J267),J267,X267*P1_LOG+Y267*P2_LOG)*TASA_USADA</f>
        <v>0</v>
      </c>
      <c r="AF267" s="60" t="n">
        <f aca="false">AB267*COSTE_DEV</f>
        <v>0</v>
      </c>
      <c r="AG267" s="60" t="n">
        <f aca="false">Z267*P1_IVAN+AA267*P2_IVAN-AB267*IVA_DEV</f>
        <v>0</v>
      </c>
      <c r="AH267" s="60" t="n">
        <f aca="false">K267*(1+RECARGO_ADS)</f>
        <v>0</v>
      </c>
      <c r="AI267" s="58" t="n">
        <f aca="false">IF(ISNUMBER(I267),D267+E267+X267+Y267,0)</f>
        <v>0</v>
      </c>
      <c r="AJ267" s="60" t="n">
        <f aca="false">M267*COMISION</f>
        <v>0</v>
      </c>
    </row>
    <row r="268" customFormat="false" ht="15" hidden="false" customHeight="false" outlineLevel="0" collapsed="false">
      <c r="A268" s="53" t="n">
        <v>46562</v>
      </c>
      <c r="B268" s="54"/>
      <c r="C268" s="54"/>
      <c r="D268" s="54"/>
      <c r="E268" s="54"/>
      <c r="F268" s="54"/>
      <c r="G268" s="54"/>
      <c r="H268" s="54"/>
      <c r="I268" s="55"/>
      <c r="J268" s="55"/>
      <c r="K268" s="55"/>
      <c r="L268" s="56"/>
      <c r="M268" s="31" t="n">
        <f aca="false">B268+C268</f>
        <v>0</v>
      </c>
      <c r="N268" s="31" t="n">
        <f aca="false">X268+Y268</f>
        <v>0</v>
      </c>
      <c r="O268" s="32" t="n">
        <f aca="false">B268*P1_PVP+C268*P2_PVP</f>
        <v>0</v>
      </c>
      <c r="P268" s="32" t="str">
        <f aca="false">IF(M268&gt;0,O268/M268,"")</f>
        <v/>
      </c>
      <c r="Q268" s="32" t="str">
        <f aca="false">IF(M268&gt;0,K268/M268,"")</f>
        <v/>
      </c>
      <c r="R268" s="57" t="str">
        <f aca="false">IF(K268&gt;0,O268/K268,"")</f>
        <v/>
      </c>
      <c r="S268" s="34" t="str">
        <f aca="false">IF(D268+E268+F268+G268&gt;0,(D268+E268)/(D268+E268+F268+G268),"")</f>
        <v/>
      </c>
      <c r="T268" s="33" t="n">
        <f aca="false">D268*(P1_PVP-P1_CPROD)+E268*(P2_PVP-P2_CPROD)-IF(ISNUMBER(I268),I268,D268*P1_LOG+E268*P2_LOG)</f>
        <v>0</v>
      </c>
      <c r="U268" s="33" t="n">
        <f aca="false">T268-(D268*P1_IVAN+E268*P2_IVAN)-(F268+G268)*(COSTE_DEV-IVA_DEV)-AH268-AJ268</f>
        <v>0</v>
      </c>
      <c r="V268" s="33" t="n">
        <f aca="false">AC268-AD268-AE268-AF268-AG268-AH268-AJ268</f>
        <v>0</v>
      </c>
      <c r="X268" s="58" t="n">
        <f aca="false">MAX(0,B268-D268-F268)</f>
        <v>0</v>
      </c>
      <c r="Y268" s="58" t="n">
        <f aca="false">MAX(0,C268-E268-G268)</f>
        <v>0</v>
      </c>
      <c r="Z268" s="59" t="n">
        <f aca="false">D268+X268*TASA_USADA</f>
        <v>0</v>
      </c>
      <c r="AA268" s="59" t="n">
        <f aca="false">E268+Y268*TASA_USADA</f>
        <v>0</v>
      </c>
      <c r="AB268" s="59" t="n">
        <f aca="false">F268+G268+(X268+Y268)*(1-TASA_USADA)</f>
        <v>0</v>
      </c>
      <c r="AC268" s="60" t="n">
        <f aca="false">Z268*P1_PVP+AA268*P2_PVP</f>
        <v>0</v>
      </c>
      <c r="AD268" s="60" t="n">
        <f aca="false">Z268*P1_CPROD+AA268*P2_CPROD</f>
        <v>0</v>
      </c>
      <c r="AE268" s="60" t="n">
        <f aca="false">IF(ISNUMBER(I268),I268,D268*P1_LOG+E268*P2_LOG)+IF(ISNUMBER(J268),J268,X268*P1_LOG+Y268*P2_LOG)*TASA_USADA</f>
        <v>0</v>
      </c>
      <c r="AF268" s="60" t="n">
        <f aca="false">AB268*COSTE_DEV</f>
        <v>0</v>
      </c>
      <c r="AG268" s="60" t="n">
        <f aca="false">Z268*P1_IVAN+AA268*P2_IVAN-AB268*IVA_DEV</f>
        <v>0</v>
      </c>
      <c r="AH268" s="60" t="n">
        <f aca="false">K268*(1+RECARGO_ADS)</f>
        <v>0</v>
      </c>
      <c r="AI268" s="58" t="n">
        <f aca="false">IF(ISNUMBER(I268),D268+E268+X268+Y268,0)</f>
        <v>0</v>
      </c>
      <c r="AJ268" s="60" t="n">
        <f aca="false">M268*COMISION</f>
        <v>0</v>
      </c>
    </row>
    <row r="269" customFormat="false" ht="15" hidden="false" customHeight="false" outlineLevel="0" collapsed="false">
      <c r="A269" s="53" t="n">
        <v>46563</v>
      </c>
      <c r="B269" s="54"/>
      <c r="C269" s="54"/>
      <c r="D269" s="54"/>
      <c r="E269" s="54"/>
      <c r="F269" s="54"/>
      <c r="G269" s="54"/>
      <c r="H269" s="54"/>
      <c r="I269" s="55"/>
      <c r="J269" s="55"/>
      <c r="K269" s="55"/>
      <c r="L269" s="56"/>
      <c r="M269" s="31" t="n">
        <f aca="false">B269+C269</f>
        <v>0</v>
      </c>
      <c r="N269" s="31" t="n">
        <f aca="false">X269+Y269</f>
        <v>0</v>
      </c>
      <c r="O269" s="32" t="n">
        <f aca="false">B269*P1_PVP+C269*P2_PVP</f>
        <v>0</v>
      </c>
      <c r="P269" s="32" t="str">
        <f aca="false">IF(M269&gt;0,O269/M269,"")</f>
        <v/>
      </c>
      <c r="Q269" s="32" t="str">
        <f aca="false">IF(M269&gt;0,K269/M269,"")</f>
        <v/>
      </c>
      <c r="R269" s="57" t="str">
        <f aca="false">IF(K269&gt;0,O269/K269,"")</f>
        <v/>
      </c>
      <c r="S269" s="34" t="str">
        <f aca="false">IF(D269+E269+F269+G269&gt;0,(D269+E269)/(D269+E269+F269+G269),"")</f>
        <v/>
      </c>
      <c r="T269" s="33" t="n">
        <f aca="false">D269*(P1_PVP-P1_CPROD)+E269*(P2_PVP-P2_CPROD)-IF(ISNUMBER(I269),I269,D269*P1_LOG+E269*P2_LOG)</f>
        <v>0</v>
      </c>
      <c r="U269" s="33" t="n">
        <f aca="false">T269-(D269*P1_IVAN+E269*P2_IVAN)-(F269+G269)*(COSTE_DEV-IVA_DEV)-AH269-AJ269</f>
        <v>0</v>
      </c>
      <c r="V269" s="33" t="n">
        <f aca="false">AC269-AD269-AE269-AF269-AG269-AH269-AJ269</f>
        <v>0</v>
      </c>
      <c r="X269" s="58" t="n">
        <f aca="false">MAX(0,B269-D269-F269)</f>
        <v>0</v>
      </c>
      <c r="Y269" s="58" t="n">
        <f aca="false">MAX(0,C269-E269-G269)</f>
        <v>0</v>
      </c>
      <c r="Z269" s="59" t="n">
        <f aca="false">D269+X269*TASA_USADA</f>
        <v>0</v>
      </c>
      <c r="AA269" s="59" t="n">
        <f aca="false">E269+Y269*TASA_USADA</f>
        <v>0</v>
      </c>
      <c r="AB269" s="59" t="n">
        <f aca="false">F269+G269+(X269+Y269)*(1-TASA_USADA)</f>
        <v>0</v>
      </c>
      <c r="AC269" s="60" t="n">
        <f aca="false">Z269*P1_PVP+AA269*P2_PVP</f>
        <v>0</v>
      </c>
      <c r="AD269" s="60" t="n">
        <f aca="false">Z269*P1_CPROD+AA269*P2_CPROD</f>
        <v>0</v>
      </c>
      <c r="AE269" s="60" t="n">
        <f aca="false">IF(ISNUMBER(I269),I269,D269*P1_LOG+E269*P2_LOG)+IF(ISNUMBER(J269),J269,X269*P1_LOG+Y269*P2_LOG)*TASA_USADA</f>
        <v>0</v>
      </c>
      <c r="AF269" s="60" t="n">
        <f aca="false">AB269*COSTE_DEV</f>
        <v>0</v>
      </c>
      <c r="AG269" s="60" t="n">
        <f aca="false">Z269*P1_IVAN+AA269*P2_IVAN-AB269*IVA_DEV</f>
        <v>0</v>
      </c>
      <c r="AH269" s="60" t="n">
        <f aca="false">K269*(1+RECARGO_ADS)</f>
        <v>0</v>
      </c>
      <c r="AI269" s="58" t="n">
        <f aca="false">IF(ISNUMBER(I269),D269+E269+X269+Y269,0)</f>
        <v>0</v>
      </c>
      <c r="AJ269" s="60" t="n">
        <f aca="false">M269*COMISION</f>
        <v>0</v>
      </c>
    </row>
    <row r="270" customFormat="false" ht="15" hidden="false" customHeight="false" outlineLevel="0" collapsed="false">
      <c r="A270" s="53" t="n">
        <v>46564</v>
      </c>
      <c r="B270" s="54"/>
      <c r="C270" s="54"/>
      <c r="D270" s="54"/>
      <c r="E270" s="54"/>
      <c r="F270" s="54"/>
      <c r="G270" s="54"/>
      <c r="H270" s="54"/>
      <c r="I270" s="55"/>
      <c r="J270" s="55"/>
      <c r="K270" s="55"/>
      <c r="L270" s="56"/>
      <c r="M270" s="31" t="n">
        <f aca="false">B270+C270</f>
        <v>0</v>
      </c>
      <c r="N270" s="31" t="n">
        <f aca="false">X270+Y270</f>
        <v>0</v>
      </c>
      <c r="O270" s="32" t="n">
        <f aca="false">B270*P1_PVP+C270*P2_PVP</f>
        <v>0</v>
      </c>
      <c r="P270" s="32" t="str">
        <f aca="false">IF(M270&gt;0,O270/M270,"")</f>
        <v/>
      </c>
      <c r="Q270" s="32" t="str">
        <f aca="false">IF(M270&gt;0,K270/M270,"")</f>
        <v/>
      </c>
      <c r="R270" s="57" t="str">
        <f aca="false">IF(K270&gt;0,O270/K270,"")</f>
        <v/>
      </c>
      <c r="S270" s="34" t="str">
        <f aca="false">IF(D270+E270+F270+G270&gt;0,(D270+E270)/(D270+E270+F270+G270),"")</f>
        <v/>
      </c>
      <c r="T270" s="33" t="n">
        <f aca="false">D270*(P1_PVP-P1_CPROD)+E270*(P2_PVP-P2_CPROD)-IF(ISNUMBER(I270),I270,D270*P1_LOG+E270*P2_LOG)</f>
        <v>0</v>
      </c>
      <c r="U270" s="33" t="n">
        <f aca="false">T270-(D270*P1_IVAN+E270*P2_IVAN)-(F270+G270)*(COSTE_DEV-IVA_DEV)-AH270-AJ270</f>
        <v>0</v>
      </c>
      <c r="V270" s="33" t="n">
        <f aca="false">AC270-AD270-AE270-AF270-AG270-AH270-AJ270</f>
        <v>0</v>
      </c>
      <c r="X270" s="58" t="n">
        <f aca="false">MAX(0,B270-D270-F270)</f>
        <v>0</v>
      </c>
      <c r="Y270" s="58" t="n">
        <f aca="false">MAX(0,C270-E270-G270)</f>
        <v>0</v>
      </c>
      <c r="Z270" s="59" t="n">
        <f aca="false">D270+X270*TASA_USADA</f>
        <v>0</v>
      </c>
      <c r="AA270" s="59" t="n">
        <f aca="false">E270+Y270*TASA_USADA</f>
        <v>0</v>
      </c>
      <c r="AB270" s="59" t="n">
        <f aca="false">F270+G270+(X270+Y270)*(1-TASA_USADA)</f>
        <v>0</v>
      </c>
      <c r="AC270" s="60" t="n">
        <f aca="false">Z270*P1_PVP+AA270*P2_PVP</f>
        <v>0</v>
      </c>
      <c r="AD270" s="60" t="n">
        <f aca="false">Z270*P1_CPROD+AA270*P2_CPROD</f>
        <v>0</v>
      </c>
      <c r="AE270" s="60" t="n">
        <f aca="false">IF(ISNUMBER(I270),I270,D270*P1_LOG+E270*P2_LOG)+IF(ISNUMBER(J270),J270,X270*P1_LOG+Y270*P2_LOG)*TASA_USADA</f>
        <v>0</v>
      </c>
      <c r="AF270" s="60" t="n">
        <f aca="false">AB270*COSTE_DEV</f>
        <v>0</v>
      </c>
      <c r="AG270" s="60" t="n">
        <f aca="false">Z270*P1_IVAN+AA270*P2_IVAN-AB270*IVA_DEV</f>
        <v>0</v>
      </c>
      <c r="AH270" s="60" t="n">
        <f aca="false">K270*(1+RECARGO_ADS)</f>
        <v>0</v>
      </c>
      <c r="AI270" s="58" t="n">
        <f aca="false">IF(ISNUMBER(I270),D270+E270+X270+Y270,0)</f>
        <v>0</v>
      </c>
      <c r="AJ270" s="60" t="n">
        <f aca="false">M270*COMISION</f>
        <v>0</v>
      </c>
    </row>
    <row r="271" customFormat="false" ht="15" hidden="false" customHeight="false" outlineLevel="0" collapsed="false">
      <c r="A271" s="53" t="n">
        <v>46565</v>
      </c>
      <c r="B271" s="54"/>
      <c r="C271" s="54"/>
      <c r="D271" s="54"/>
      <c r="E271" s="54"/>
      <c r="F271" s="54"/>
      <c r="G271" s="54"/>
      <c r="H271" s="54"/>
      <c r="I271" s="55"/>
      <c r="J271" s="55"/>
      <c r="K271" s="55"/>
      <c r="L271" s="56"/>
      <c r="M271" s="31" t="n">
        <f aca="false">B271+C271</f>
        <v>0</v>
      </c>
      <c r="N271" s="31" t="n">
        <f aca="false">X271+Y271</f>
        <v>0</v>
      </c>
      <c r="O271" s="32" t="n">
        <f aca="false">B271*P1_PVP+C271*P2_PVP</f>
        <v>0</v>
      </c>
      <c r="P271" s="32" t="str">
        <f aca="false">IF(M271&gt;0,O271/M271,"")</f>
        <v/>
      </c>
      <c r="Q271" s="32" t="str">
        <f aca="false">IF(M271&gt;0,K271/M271,"")</f>
        <v/>
      </c>
      <c r="R271" s="57" t="str">
        <f aca="false">IF(K271&gt;0,O271/K271,"")</f>
        <v/>
      </c>
      <c r="S271" s="34" t="str">
        <f aca="false">IF(D271+E271+F271+G271&gt;0,(D271+E271)/(D271+E271+F271+G271),"")</f>
        <v/>
      </c>
      <c r="T271" s="33" t="n">
        <f aca="false">D271*(P1_PVP-P1_CPROD)+E271*(P2_PVP-P2_CPROD)-IF(ISNUMBER(I271),I271,D271*P1_LOG+E271*P2_LOG)</f>
        <v>0</v>
      </c>
      <c r="U271" s="33" t="n">
        <f aca="false">T271-(D271*P1_IVAN+E271*P2_IVAN)-(F271+G271)*(COSTE_DEV-IVA_DEV)-AH271-AJ271</f>
        <v>0</v>
      </c>
      <c r="V271" s="33" t="n">
        <f aca="false">AC271-AD271-AE271-AF271-AG271-AH271-AJ271</f>
        <v>0</v>
      </c>
      <c r="X271" s="58" t="n">
        <f aca="false">MAX(0,B271-D271-F271)</f>
        <v>0</v>
      </c>
      <c r="Y271" s="58" t="n">
        <f aca="false">MAX(0,C271-E271-G271)</f>
        <v>0</v>
      </c>
      <c r="Z271" s="59" t="n">
        <f aca="false">D271+X271*TASA_USADA</f>
        <v>0</v>
      </c>
      <c r="AA271" s="59" t="n">
        <f aca="false">E271+Y271*TASA_USADA</f>
        <v>0</v>
      </c>
      <c r="AB271" s="59" t="n">
        <f aca="false">F271+G271+(X271+Y271)*(1-TASA_USADA)</f>
        <v>0</v>
      </c>
      <c r="AC271" s="60" t="n">
        <f aca="false">Z271*P1_PVP+AA271*P2_PVP</f>
        <v>0</v>
      </c>
      <c r="AD271" s="60" t="n">
        <f aca="false">Z271*P1_CPROD+AA271*P2_CPROD</f>
        <v>0</v>
      </c>
      <c r="AE271" s="60" t="n">
        <f aca="false">IF(ISNUMBER(I271),I271,D271*P1_LOG+E271*P2_LOG)+IF(ISNUMBER(J271),J271,X271*P1_LOG+Y271*P2_LOG)*TASA_USADA</f>
        <v>0</v>
      </c>
      <c r="AF271" s="60" t="n">
        <f aca="false">AB271*COSTE_DEV</f>
        <v>0</v>
      </c>
      <c r="AG271" s="60" t="n">
        <f aca="false">Z271*P1_IVAN+AA271*P2_IVAN-AB271*IVA_DEV</f>
        <v>0</v>
      </c>
      <c r="AH271" s="60" t="n">
        <f aca="false">K271*(1+RECARGO_ADS)</f>
        <v>0</v>
      </c>
      <c r="AI271" s="58" t="n">
        <f aca="false">IF(ISNUMBER(I271),D271+E271+X271+Y271,0)</f>
        <v>0</v>
      </c>
      <c r="AJ271" s="60" t="n">
        <f aca="false">M271*COMISION</f>
        <v>0</v>
      </c>
    </row>
    <row r="272" customFormat="false" ht="15" hidden="false" customHeight="false" outlineLevel="0" collapsed="false">
      <c r="A272" s="53" t="n">
        <v>46566</v>
      </c>
      <c r="B272" s="54"/>
      <c r="C272" s="54"/>
      <c r="D272" s="54"/>
      <c r="E272" s="54"/>
      <c r="F272" s="54"/>
      <c r="G272" s="54"/>
      <c r="H272" s="54"/>
      <c r="I272" s="55"/>
      <c r="J272" s="55"/>
      <c r="K272" s="55"/>
      <c r="L272" s="56"/>
      <c r="M272" s="31" t="n">
        <f aca="false">B272+C272</f>
        <v>0</v>
      </c>
      <c r="N272" s="31" t="n">
        <f aca="false">X272+Y272</f>
        <v>0</v>
      </c>
      <c r="O272" s="32" t="n">
        <f aca="false">B272*P1_PVP+C272*P2_PVP</f>
        <v>0</v>
      </c>
      <c r="P272" s="32" t="str">
        <f aca="false">IF(M272&gt;0,O272/M272,"")</f>
        <v/>
      </c>
      <c r="Q272" s="32" t="str">
        <f aca="false">IF(M272&gt;0,K272/M272,"")</f>
        <v/>
      </c>
      <c r="R272" s="57" t="str">
        <f aca="false">IF(K272&gt;0,O272/K272,"")</f>
        <v/>
      </c>
      <c r="S272" s="34" t="str">
        <f aca="false">IF(D272+E272+F272+G272&gt;0,(D272+E272)/(D272+E272+F272+G272),"")</f>
        <v/>
      </c>
      <c r="T272" s="33" t="n">
        <f aca="false">D272*(P1_PVP-P1_CPROD)+E272*(P2_PVP-P2_CPROD)-IF(ISNUMBER(I272),I272,D272*P1_LOG+E272*P2_LOG)</f>
        <v>0</v>
      </c>
      <c r="U272" s="33" t="n">
        <f aca="false">T272-(D272*P1_IVAN+E272*P2_IVAN)-(F272+G272)*(COSTE_DEV-IVA_DEV)-AH272-AJ272</f>
        <v>0</v>
      </c>
      <c r="V272" s="33" t="n">
        <f aca="false">AC272-AD272-AE272-AF272-AG272-AH272-AJ272</f>
        <v>0</v>
      </c>
      <c r="X272" s="58" t="n">
        <f aca="false">MAX(0,B272-D272-F272)</f>
        <v>0</v>
      </c>
      <c r="Y272" s="58" t="n">
        <f aca="false">MAX(0,C272-E272-G272)</f>
        <v>0</v>
      </c>
      <c r="Z272" s="59" t="n">
        <f aca="false">D272+X272*TASA_USADA</f>
        <v>0</v>
      </c>
      <c r="AA272" s="59" t="n">
        <f aca="false">E272+Y272*TASA_USADA</f>
        <v>0</v>
      </c>
      <c r="AB272" s="59" t="n">
        <f aca="false">F272+G272+(X272+Y272)*(1-TASA_USADA)</f>
        <v>0</v>
      </c>
      <c r="AC272" s="60" t="n">
        <f aca="false">Z272*P1_PVP+AA272*P2_PVP</f>
        <v>0</v>
      </c>
      <c r="AD272" s="60" t="n">
        <f aca="false">Z272*P1_CPROD+AA272*P2_CPROD</f>
        <v>0</v>
      </c>
      <c r="AE272" s="60" t="n">
        <f aca="false">IF(ISNUMBER(I272),I272,D272*P1_LOG+E272*P2_LOG)+IF(ISNUMBER(J272),J272,X272*P1_LOG+Y272*P2_LOG)*TASA_USADA</f>
        <v>0</v>
      </c>
      <c r="AF272" s="60" t="n">
        <f aca="false">AB272*COSTE_DEV</f>
        <v>0</v>
      </c>
      <c r="AG272" s="60" t="n">
        <f aca="false">Z272*P1_IVAN+AA272*P2_IVAN-AB272*IVA_DEV</f>
        <v>0</v>
      </c>
      <c r="AH272" s="60" t="n">
        <f aca="false">K272*(1+RECARGO_ADS)</f>
        <v>0</v>
      </c>
      <c r="AI272" s="58" t="n">
        <f aca="false">IF(ISNUMBER(I272),D272+E272+X272+Y272,0)</f>
        <v>0</v>
      </c>
      <c r="AJ272" s="60" t="n">
        <f aca="false">M272*COMISION</f>
        <v>0</v>
      </c>
    </row>
    <row r="273" customFormat="false" ht="15" hidden="false" customHeight="false" outlineLevel="0" collapsed="false">
      <c r="A273" s="53" t="n">
        <v>46567</v>
      </c>
      <c r="B273" s="54"/>
      <c r="C273" s="54"/>
      <c r="D273" s="54"/>
      <c r="E273" s="54"/>
      <c r="F273" s="54"/>
      <c r="G273" s="54"/>
      <c r="H273" s="54"/>
      <c r="I273" s="55"/>
      <c r="J273" s="55"/>
      <c r="K273" s="55"/>
      <c r="L273" s="56"/>
      <c r="M273" s="31" t="n">
        <f aca="false">B273+C273</f>
        <v>0</v>
      </c>
      <c r="N273" s="31" t="n">
        <f aca="false">X273+Y273</f>
        <v>0</v>
      </c>
      <c r="O273" s="32" t="n">
        <f aca="false">B273*P1_PVP+C273*P2_PVP</f>
        <v>0</v>
      </c>
      <c r="P273" s="32" t="str">
        <f aca="false">IF(M273&gt;0,O273/M273,"")</f>
        <v/>
      </c>
      <c r="Q273" s="32" t="str">
        <f aca="false">IF(M273&gt;0,K273/M273,"")</f>
        <v/>
      </c>
      <c r="R273" s="57" t="str">
        <f aca="false">IF(K273&gt;0,O273/K273,"")</f>
        <v/>
      </c>
      <c r="S273" s="34" t="str">
        <f aca="false">IF(D273+E273+F273+G273&gt;0,(D273+E273)/(D273+E273+F273+G273),"")</f>
        <v/>
      </c>
      <c r="T273" s="33" t="n">
        <f aca="false">D273*(P1_PVP-P1_CPROD)+E273*(P2_PVP-P2_CPROD)-IF(ISNUMBER(I273),I273,D273*P1_LOG+E273*P2_LOG)</f>
        <v>0</v>
      </c>
      <c r="U273" s="33" t="n">
        <f aca="false">T273-(D273*P1_IVAN+E273*P2_IVAN)-(F273+G273)*(COSTE_DEV-IVA_DEV)-AH273-AJ273</f>
        <v>0</v>
      </c>
      <c r="V273" s="33" t="n">
        <f aca="false">AC273-AD273-AE273-AF273-AG273-AH273-AJ273</f>
        <v>0</v>
      </c>
      <c r="X273" s="58" t="n">
        <f aca="false">MAX(0,B273-D273-F273)</f>
        <v>0</v>
      </c>
      <c r="Y273" s="58" t="n">
        <f aca="false">MAX(0,C273-E273-G273)</f>
        <v>0</v>
      </c>
      <c r="Z273" s="59" t="n">
        <f aca="false">D273+X273*TASA_USADA</f>
        <v>0</v>
      </c>
      <c r="AA273" s="59" t="n">
        <f aca="false">E273+Y273*TASA_USADA</f>
        <v>0</v>
      </c>
      <c r="AB273" s="59" t="n">
        <f aca="false">F273+G273+(X273+Y273)*(1-TASA_USADA)</f>
        <v>0</v>
      </c>
      <c r="AC273" s="60" t="n">
        <f aca="false">Z273*P1_PVP+AA273*P2_PVP</f>
        <v>0</v>
      </c>
      <c r="AD273" s="60" t="n">
        <f aca="false">Z273*P1_CPROD+AA273*P2_CPROD</f>
        <v>0</v>
      </c>
      <c r="AE273" s="60" t="n">
        <f aca="false">IF(ISNUMBER(I273),I273,D273*P1_LOG+E273*P2_LOG)+IF(ISNUMBER(J273),J273,X273*P1_LOG+Y273*P2_LOG)*TASA_USADA</f>
        <v>0</v>
      </c>
      <c r="AF273" s="60" t="n">
        <f aca="false">AB273*COSTE_DEV</f>
        <v>0</v>
      </c>
      <c r="AG273" s="60" t="n">
        <f aca="false">Z273*P1_IVAN+AA273*P2_IVAN-AB273*IVA_DEV</f>
        <v>0</v>
      </c>
      <c r="AH273" s="60" t="n">
        <f aca="false">K273*(1+RECARGO_ADS)</f>
        <v>0</v>
      </c>
      <c r="AI273" s="58" t="n">
        <f aca="false">IF(ISNUMBER(I273),D273+E273+X273+Y273,0)</f>
        <v>0</v>
      </c>
      <c r="AJ273" s="60" t="n">
        <f aca="false">M273*COMISION</f>
        <v>0</v>
      </c>
    </row>
    <row r="274" customFormat="false" ht="15" hidden="false" customHeight="false" outlineLevel="0" collapsed="false">
      <c r="A274" s="53" t="n">
        <v>46568</v>
      </c>
      <c r="B274" s="54"/>
      <c r="C274" s="54"/>
      <c r="D274" s="54"/>
      <c r="E274" s="54"/>
      <c r="F274" s="54"/>
      <c r="G274" s="54"/>
      <c r="H274" s="54"/>
      <c r="I274" s="55"/>
      <c r="J274" s="55"/>
      <c r="K274" s="55"/>
      <c r="L274" s="56"/>
      <c r="M274" s="31" t="n">
        <f aca="false">B274+C274</f>
        <v>0</v>
      </c>
      <c r="N274" s="31" t="n">
        <f aca="false">X274+Y274</f>
        <v>0</v>
      </c>
      <c r="O274" s="32" t="n">
        <f aca="false">B274*P1_PVP+C274*P2_PVP</f>
        <v>0</v>
      </c>
      <c r="P274" s="32" t="str">
        <f aca="false">IF(M274&gt;0,O274/M274,"")</f>
        <v/>
      </c>
      <c r="Q274" s="32" t="str">
        <f aca="false">IF(M274&gt;0,K274/M274,"")</f>
        <v/>
      </c>
      <c r="R274" s="57" t="str">
        <f aca="false">IF(K274&gt;0,O274/K274,"")</f>
        <v/>
      </c>
      <c r="S274" s="34" t="str">
        <f aca="false">IF(D274+E274+F274+G274&gt;0,(D274+E274)/(D274+E274+F274+G274),"")</f>
        <v/>
      </c>
      <c r="T274" s="33" t="n">
        <f aca="false">D274*(P1_PVP-P1_CPROD)+E274*(P2_PVP-P2_CPROD)-IF(ISNUMBER(I274),I274,D274*P1_LOG+E274*P2_LOG)</f>
        <v>0</v>
      </c>
      <c r="U274" s="33" t="n">
        <f aca="false">T274-(D274*P1_IVAN+E274*P2_IVAN)-(F274+G274)*(COSTE_DEV-IVA_DEV)-AH274-AJ274</f>
        <v>0</v>
      </c>
      <c r="V274" s="33" t="n">
        <f aca="false">AC274-AD274-AE274-AF274-AG274-AH274-AJ274</f>
        <v>0</v>
      </c>
      <c r="X274" s="58" t="n">
        <f aca="false">MAX(0,B274-D274-F274)</f>
        <v>0</v>
      </c>
      <c r="Y274" s="58" t="n">
        <f aca="false">MAX(0,C274-E274-G274)</f>
        <v>0</v>
      </c>
      <c r="Z274" s="59" t="n">
        <f aca="false">D274+X274*TASA_USADA</f>
        <v>0</v>
      </c>
      <c r="AA274" s="59" t="n">
        <f aca="false">E274+Y274*TASA_USADA</f>
        <v>0</v>
      </c>
      <c r="AB274" s="59" t="n">
        <f aca="false">F274+G274+(X274+Y274)*(1-TASA_USADA)</f>
        <v>0</v>
      </c>
      <c r="AC274" s="60" t="n">
        <f aca="false">Z274*P1_PVP+AA274*P2_PVP</f>
        <v>0</v>
      </c>
      <c r="AD274" s="60" t="n">
        <f aca="false">Z274*P1_CPROD+AA274*P2_CPROD</f>
        <v>0</v>
      </c>
      <c r="AE274" s="60" t="n">
        <f aca="false">IF(ISNUMBER(I274),I274,D274*P1_LOG+E274*P2_LOG)+IF(ISNUMBER(J274),J274,X274*P1_LOG+Y274*P2_LOG)*TASA_USADA</f>
        <v>0</v>
      </c>
      <c r="AF274" s="60" t="n">
        <f aca="false">AB274*COSTE_DEV</f>
        <v>0</v>
      </c>
      <c r="AG274" s="60" t="n">
        <f aca="false">Z274*P1_IVAN+AA274*P2_IVAN-AB274*IVA_DEV</f>
        <v>0</v>
      </c>
      <c r="AH274" s="60" t="n">
        <f aca="false">K274*(1+RECARGO_ADS)</f>
        <v>0</v>
      </c>
      <c r="AI274" s="58" t="n">
        <f aca="false">IF(ISNUMBER(I274),D274+E274+X274+Y274,0)</f>
        <v>0</v>
      </c>
      <c r="AJ274" s="60" t="n">
        <f aca="false">M274*COMISION</f>
        <v>0</v>
      </c>
    </row>
    <row r="275" customFormat="false" ht="15" hidden="false" customHeight="false" outlineLevel="0" collapsed="false">
      <c r="A275" s="53" t="n">
        <v>46569</v>
      </c>
      <c r="B275" s="54"/>
      <c r="C275" s="54"/>
      <c r="D275" s="54"/>
      <c r="E275" s="54"/>
      <c r="F275" s="54"/>
      <c r="G275" s="54"/>
      <c r="H275" s="54"/>
      <c r="I275" s="55"/>
      <c r="J275" s="55"/>
      <c r="K275" s="55"/>
      <c r="L275" s="56"/>
      <c r="M275" s="31" t="n">
        <f aca="false">B275+C275</f>
        <v>0</v>
      </c>
      <c r="N275" s="31" t="n">
        <f aca="false">X275+Y275</f>
        <v>0</v>
      </c>
      <c r="O275" s="32" t="n">
        <f aca="false">B275*P1_PVP+C275*P2_PVP</f>
        <v>0</v>
      </c>
      <c r="P275" s="32" t="str">
        <f aca="false">IF(M275&gt;0,O275/M275,"")</f>
        <v/>
      </c>
      <c r="Q275" s="32" t="str">
        <f aca="false">IF(M275&gt;0,K275/M275,"")</f>
        <v/>
      </c>
      <c r="R275" s="57" t="str">
        <f aca="false">IF(K275&gt;0,O275/K275,"")</f>
        <v/>
      </c>
      <c r="S275" s="34" t="str">
        <f aca="false">IF(D275+E275+F275+G275&gt;0,(D275+E275)/(D275+E275+F275+G275),"")</f>
        <v/>
      </c>
      <c r="T275" s="33" t="n">
        <f aca="false">D275*(P1_PVP-P1_CPROD)+E275*(P2_PVP-P2_CPROD)-IF(ISNUMBER(I275),I275,D275*P1_LOG+E275*P2_LOG)</f>
        <v>0</v>
      </c>
      <c r="U275" s="33" t="n">
        <f aca="false">T275-(D275*P1_IVAN+E275*P2_IVAN)-(F275+G275)*(COSTE_DEV-IVA_DEV)-AH275-AJ275</f>
        <v>0</v>
      </c>
      <c r="V275" s="33" t="n">
        <f aca="false">AC275-AD275-AE275-AF275-AG275-AH275-AJ275</f>
        <v>0</v>
      </c>
      <c r="X275" s="58" t="n">
        <f aca="false">MAX(0,B275-D275-F275)</f>
        <v>0</v>
      </c>
      <c r="Y275" s="58" t="n">
        <f aca="false">MAX(0,C275-E275-G275)</f>
        <v>0</v>
      </c>
      <c r="Z275" s="59" t="n">
        <f aca="false">D275+X275*TASA_USADA</f>
        <v>0</v>
      </c>
      <c r="AA275" s="59" t="n">
        <f aca="false">E275+Y275*TASA_USADA</f>
        <v>0</v>
      </c>
      <c r="AB275" s="59" t="n">
        <f aca="false">F275+G275+(X275+Y275)*(1-TASA_USADA)</f>
        <v>0</v>
      </c>
      <c r="AC275" s="60" t="n">
        <f aca="false">Z275*P1_PVP+AA275*P2_PVP</f>
        <v>0</v>
      </c>
      <c r="AD275" s="60" t="n">
        <f aca="false">Z275*P1_CPROD+AA275*P2_CPROD</f>
        <v>0</v>
      </c>
      <c r="AE275" s="60" t="n">
        <f aca="false">IF(ISNUMBER(I275),I275,D275*P1_LOG+E275*P2_LOG)+IF(ISNUMBER(J275),J275,X275*P1_LOG+Y275*P2_LOG)*TASA_USADA</f>
        <v>0</v>
      </c>
      <c r="AF275" s="60" t="n">
        <f aca="false">AB275*COSTE_DEV</f>
        <v>0</v>
      </c>
      <c r="AG275" s="60" t="n">
        <f aca="false">Z275*P1_IVAN+AA275*P2_IVAN-AB275*IVA_DEV</f>
        <v>0</v>
      </c>
      <c r="AH275" s="60" t="n">
        <f aca="false">K275*(1+RECARGO_ADS)</f>
        <v>0</v>
      </c>
      <c r="AI275" s="58" t="n">
        <f aca="false">IF(ISNUMBER(I275),D275+E275+X275+Y275,0)</f>
        <v>0</v>
      </c>
      <c r="AJ275" s="60" t="n">
        <f aca="false">M275*COMISION</f>
        <v>0</v>
      </c>
    </row>
    <row r="276" customFormat="false" ht="15" hidden="false" customHeight="false" outlineLevel="0" collapsed="false">
      <c r="A276" s="53" t="n">
        <v>46570</v>
      </c>
      <c r="B276" s="54"/>
      <c r="C276" s="54"/>
      <c r="D276" s="54"/>
      <c r="E276" s="54"/>
      <c r="F276" s="54"/>
      <c r="G276" s="54"/>
      <c r="H276" s="54"/>
      <c r="I276" s="55"/>
      <c r="J276" s="55"/>
      <c r="K276" s="55"/>
      <c r="L276" s="56"/>
      <c r="M276" s="31" t="n">
        <f aca="false">B276+C276</f>
        <v>0</v>
      </c>
      <c r="N276" s="31" t="n">
        <f aca="false">X276+Y276</f>
        <v>0</v>
      </c>
      <c r="O276" s="32" t="n">
        <f aca="false">B276*P1_PVP+C276*P2_PVP</f>
        <v>0</v>
      </c>
      <c r="P276" s="32" t="str">
        <f aca="false">IF(M276&gt;0,O276/M276,"")</f>
        <v/>
      </c>
      <c r="Q276" s="32" t="str">
        <f aca="false">IF(M276&gt;0,K276/M276,"")</f>
        <v/>
      </c>
      <c r="R276" s="57" t="str">
        <f aca="false">IF(K276&gt;0,O276/K276,"")</f>
        <v/>
      </c>
      <c r="S276" s="34" t="str">
        <f aca="false">IF(D276+E276+F276+G276&gt;0,(D276+E276)/(D276+E276+F276+G276),"")</f>
        <v/>
      </c>
      <c r="T276" s="33" t="n">
        <f aca="false">D276*(P1_PVP-P1_CPROD)+E276*(P2_PVP-P2_CPROD)-IF(ISNUMBER(I276),I276,D276*P1_LOG+E276*P2_LOG)</f>
        <v>0</v>
      </c>
      <c r="U276" s="33" t="n">
        <f aca="false">T276-(D276*P1_IVAN+E276*P2_IVAN)-(F276+G276)*(COSTE_DEV-IVA_DEV)-AH276-AJ276</f>
        <v>0</v>
      </c>
      <c r="V276" s="33" t="n">
        <f aca="false">AC276-AD276-AE276-AF276-AG276-AH276-AJ276</f>
        <v>0</v>
      </c>
      <c r="X276" s="58" t="n">
        <f aca="false">MAX(0,B276-D276-F276)</f>
        <v>0</v>
      </c>
      <c r="Y276" s="58" t="n">
        <f aca="false">MAX(0,C276-E276-G276)</f>
        <v>0</v>
      </c>
      <c r="Z276" s="59" t="n">
        <f aca="false">D276+X276*TASA_USADA</f>
        <v>0</v>
      </c>
      <c r="AA276" s="59" t="n">
        <f aca="false">E276+Y276*TASA_USADA</f>
        <v>0</v>
      </c>
      <c r="AB276" s="59" t="n">
        <f aca="false">F276+G276+(X276+Y276)*(1-TASA_USADA)</f>
        <v>0</v>
      </c>
      <c r="AC276" s="60" t="n">
        <f aca="false">Z276*P1_PVP+AA276*P2_PVP</f>
        <v>0</v>
      </c>
      <c r="AD276" s="60" t="n">
        <f aca="false">Z276*P1_CPROD+AA276*P2_CPROD</f>
        <v>0</v>
      </c>
      <c r="AE276" s="60" t="n">
        <f aca="false">IF(ISNUMBER(I276),I276,D276*P1_LOG+E276*P2_LOG)+IF(ISNUMBER(J276),J276,X276*P1_LOG+Y276*P2_LOG)*TASA_USADA</f>
        <v>0</v>
      </c>
      <c r="AF276" s="60" t="n">
        <f aca="false">AB276*COSTE_DEV</f>
        <v>0</v>
      </c>
      <c r="AG276" s="60" t="n">
        <f aca="false">Z276*P1_IVAN+AA276*P2_IVAN-AB276*IVA_DEV</f>
        <v>0</v>
      </c>
      <c r="AH276" s="60" t="n">
        <f aca="false">K276*(1+RECARGO_ADS)</f>
        <v>0</v>
      </c>
      <c r="AI276" s="58" t="n">
        <f aca="false">IF(ISNUMBER(I276),D276+E276+X276+Y276,0)</f>
        <v>0</v>
      </c>
      <c r="AJ276" s="60" t="n">
        <f aca="false">M276*COMISION</f>
        <v>0</v>
      </c>
    </row>
    <row r="277" customFormat="false" ht="15" hidden="false" customHeight="false" outlineLevel="0" collapsed="false">
      <c r="A277" s="53" t="n">
        <v>46571</v>
      </c>
      <c r="B277" s="54"/>
      <c r="C277" s="54"/>
      <c r="D277" s="54"/>
      <c r="E277" s="54"/>
      <c r="F277" s="54"/>
      <c r="G277" s="54"/>
      <c r="H277" s="54"/>
      <c r="I277" s="55"/>
      <c r="J277" s="55"/>
      <c r="K277" s="55"/>
      <c r="L277" s="56"/>
      <c r="M277" s="31" t="n">
        <f aca="false">B277+C277</f>
        <v>0</v>
      </c>
      <c r="N277" s="31" t="n">
        <f aca="false">X277+Y277</f>
        <v>0</v>
      </c>
      <c r="O277" s="32" t="n">
        <f aca="false">B277*P1_PVP+C277*P2_PVP</f>
        <v>0</v>
      </c>
      <c r="P277" s="32" t="str">
        <f aca="false">IF(M277&gt;0,O277/M277,"")</f>
        <v/>
      </c>
      <c r="Q277" s="32" t="str">
        <f aca="false">IF(M277&gt;0,K277/M277,"")</f>
        <v/>
      </c>
      <c r="R277" s="57" t="str">
        <f aca="false">IF(K277&gt;0,O277/K277,"")</f>
        <v/>
      </c>
      <c r="S277" s="34" t="str">
        <f aca="false">IF(D277+E277+F277+G277&gt;0,(D277+E277)/(D277+E277+F277+G277),"")</f>
        <v/>
      </c>
      <c r="T277" s="33" t="n">
        <f aca="false">D277*(P1_PVP-P1_CPROD)+E277*(P2_PVP-P2_CPROD)-IF(ISNUMBER(I277),I277,D277*P1_LOG+E277*P2_LOG)</f>
        <v>0</v>
      </c>
      <c r="U277" s="33" t="n">
        <f aca="false">T277-(D277*P1_IVAN+E277*P2_IVAN)-(F277+G277)*(COSTE_DEV-IVA_DEV)-AH277-AJ277</f>
        <v>0</v>
      </c>
      <c r="V277" s="33" t="n">
        <f aca="false">AC277-AD277-AE277-AF277-AG277-AH277-AJ277</f>
        <v>0</v>
      </c>
      <c r="X277" s="58" t="n">
        <f aca="false">MAX(0,B277-D277-F277)</f>
        <v>0</v>
      </c>
      <c r="Y277" s="58" t="n">
        <f aca="false">MAX(0,C277-E277-G277)</f>
        <v>0</v>
      </c>
      <c r="Z277" s="59" t="n">
        <f aca="false">D277+X277*TASA_USADA</f>
        <v>0</v>
      </c>
      <c r="AA277" s="59" t="n">
        <f aca="false">E277+Y277*TASA_USADA</f>
        <v>0</v>
      </c>
      <c r="AB277" s="59" t="n">
        <f aca="false">F277+G277+(X277+Y277)*(1-TASA_USADA)</f>
        <v>0</v>
      </c>
      <c r="AC277" s="60" t="n">
        <f aca="false">Z277*P1_PVP+AA277*P2_PVP</f>
        <v>0</v>
      </c>
      <c r="AD277" s="60" t="n">
        <f aca="false">Z277*P1_CPROD+AA277*P2_CPROD</f>
        <v>0</v>
      </c>
      <c r="AE277" s="60" t="n">
        <f aca="false">IF(ISNUMBER(I277),I277,D277*P1_LOG+E277*P2_LOG)+IF(ISNUMBER(J277),J277,X277*P1_LOG+Y277*P2_LOG)*TASA_USADA</f>
        <v>0</v>
      </c>
      <c r="AF277" s="60" t="n">
        <f aca="false">AB277*COSTE_DEV</f>
        <v>0</v>
      </c>
      <c r="AG277" s="60" t="n">
        <f aca="false">Z277*P1_IVAN+AA277*P2_IVAN-AB277*IVA_DEV</f>
        <v>0</v>
      </c>
      <c r="AH277" s="60" t="n">
        <f aca="false">K277*(1+RECARGO_ADS)</f>
        <v>0</v>
      </c>
      <c r="AI277" s="58" t="n">
        <f aca="false">IF(ISNUMBER(I277),D277+E277+X277+Y277,0)</f>
        <v>0</v>
      </c>
      <c r="AJ277" s="60" t="n">
        <f aca="false">M277*COMISION</f>
        <v>0</v>
      </c>
    </row>
    <row r="278" customFormat="false" ht="15" hidden="false" customHeight="false" outlineLevel="0" collapsed="false">
      <c r="A278" s="53" t="n">
        <v>46572</v>
      </c>
      <c r="B278" s="54"/>
      <c r="C278" s="54"/>
      <c r="D278" s="54"/>
      <c r="E278" s="54"/>
      <c r="F278" s="54"/>
      <c r="G278" s="54"/>
      <c r="H278" s="54"/>
      <c r="I278" s="55"/>
      <c r="J278" s="55"/>
      <c r="K278" s="55"/>
      <c r="L278" s="56"/>
      <c r="M278" s="31" t="n">
        <f aca="false">B278+C278</f>
        <v>0</v>
      </c>
      <c r="N278" s="31" t="n">
        <f aca="false">X278+Y278</f>
        <v>0</v>
      </c>
      <c r="O278" s="32" t="n">
        <f aca="false">B278*P1_PVP+C278*P2_PVP</f>
        <v>0</v>
      </c>
      <c r="P278" s="32" t="str">
        <f aca="false">IF(M278&gt;0,O278/M278,"")</f>
        <v/>
      </c>
      <c r="Q278" s="32" t="str">
        <f aca="false">IF(M278&gt;0,K278/M278,"")</f>
        <v/>
      </c>
      <c r="R278" s="57" t="str">
        <f aca="false">IF(K278&gt;0,O278/K278,"")</f>
        <v/>
      </c>
      <c r="S278" s="34" t="str">
        <f aca="false">IF(D278+E278+F278+G278&gt;0,(D278+E278)/(D278+E278+F278+G278),"")</f>
        <v/>
      </c>
      <c r="T278" s="33" t="n">
        <f aca="false">D278*(P1_PVP-P1_CPROD)+E278*(P2_PVP-P2_CPROD)-IF(ISNUMBER(I278),I278,D278*P1_LOG+E278*P2_LOG)</f>
        <v>0</v>
      </c>
      <c r="U278" s="33" t="n">
        <f aca="false">T278-(D278*P1_IVAN+E278*P2_IVAN)-(F278+G278)*(COSTE_DEV-IVA_DEV)-AH278-AJ278</f>
        <v>0</v>
      </c>
      <c r="V278" s="33" t="n">
        <f aca="false">AC278-AD278-AE278-AF278-AG278-AH278-AJ278</f>
        <v>0</v>
      </c>
      <c r="X278" s="58" t="n">
        <f aca="false">MAX(0,B278-D278-F278)</f>
        <v>0</v>
      </c>
      <c r="Y278" s="58" t="n">
        <f aca="false">MAX(0,C278-E278-G278)</f>
        <v>0</v>
      </c>
      <c r="Z278" s="59" t="n">
        <f aca="false">D278+X278*TASA_USADA</f>
        <v>0</v>
      </c>
      <c r="AA278" s="59" t="n">
        <f aca="false">E278+Y278*TASA_USADA</f>
        <v>0</v>
      </c>
      <c r="AB278" s="59" t="n">
        <f aca="false">F278+G278+(X278+Y278)*(1-TASA_USADA)</f>
        <v>0</v>
      </c>
      <c r="AC278" s="60" t="n">
        <f aca="false">Z278*P1_PVP+AA278*P2_PVP</f>
        <v>0</v>
      </c>
      <c r="AD278" s="60" t="n">
        <f aca="false">Z278*P1_CPROD+AA278*P2_CPROD</f>
        <v>0</v>
      </c>
      <c r="AE278" s="60" t="n">
        <f aca="false">IF(ISNUMBER(I278),I278,D278*P1_LOG+E278*P2_LOG)+IF(ISNUMBER(J278),J278,X278*P1_LOG+Y278*P2_LOG)*TASA_USADA</f>
        <v>0</v>
      </c>
      <c r="AF278" s="60" t="n">
        <f aca="false">AB278*COSTE_DEV</f>
        <v>0</v>
      </c>
      <c r="AG278" s="60" t="n">
        <f aca="false">Z278*P1_IVAN+AA278*P2_IVAN-AB278*IVA_DEV</f>
        <v>0</v>
      </c>
      <c r="AH278" s="60" t="n">
        <f aca="false">K278*(1+RECARGO_ADS)</f>
        <v>0</v>
      </c>
      <c r="AI278" s="58" t="n">
        <f aca="false">IF(ISNUMBER(I278),D278+E278+X278+Y278,0)</f>
        <v>0</v>
      </c>
      <c r="AJ278" s="60" t="n">
        <f aca="false">M278*COMISION</f>
        <v>0</v>
      </c>
    </row>
    <row r="279" customFormat="false" ht="15" hidden="false" customHeight="false" outlineLevel="0" collapsed="false">
      <c r="A279" s="53" t="n">
        <v>46573</v>
      </c>
      <c r="B279" s="54"/>
      <c r="C279" s="54"/>
      <c r="D279" s="54"/>
      <c r="E279" s="54"/>
      <c r="F279" s="54"/>
      <c r="G279" s="54"/>
      <c r="H279" s="54"/>
      <c r="I279" s="55"/>
      <c r="J279" s="55"/>
      <c r="K279" s="55"/>
      <c r="L279" s="56"/>
      <c r="M279" s="31" t="n">
        <f aca="false">B279+C279</f>
        <v>0</v>
      </c>
      <c r="N279" s="31" t="n">
        <f aca="false">X279+Y279</f>
        <v>0</v>
      </c>
      <c r="O279" s="32" t="n">
        <f aca="false">B279*P1_PVP+C279*P2_PVP</f>
        <v>0</v>
      </c>
      <c r="P279" s="32" t="str">
        <f aca="false">IF(M279&gt;0,O279/M279,"")</f>
        <v/>
      </c>
      <c r="Q279" s="32" t="str">
        <f aca="false">IF(M279&gt;0,K279/M279,"")</f>
        <v/>
      </c>
      <c r="R279" s="57" t="str">
        <f aca="false">IF(K279&gt;0,O279/K279,"")</f>
        <v/>
      </c>
      <c r="S279" s="34" t="str">
        <f aca="false">IF(D279+E279+F279+G279&gt;0,(D279+E279)/(D279+E279+F279+G279),"")</f>
        <v/>
      </c>
      <c r="T279" s="33" t="n">
        <f aca="false">D279*(P1_PVP-P1_CPROD)+E279*(P2_PVP-P2_CPROD)-IF(ISNUMBER(I279),I279,D279*P1_LOG+E279*P2_LOG)</f>
        <v>0</v>
      </c>
      <c r="U279" s="33" t="n">
        <f aca="false">T279-(D279*P1_IVAN+E279*P2_IVAN)-(F279+G279)*(COSTE_DEV-IVA_DEV)-AH279-AJ279</f>
        <v>0</v>
      </c>
      <c r="V279" s="33" t="n">
        <f aca="false">AC279-AD279-AE279-AF279-AG279-AH279-AJ279</f>
        <v>0</v>
      </c>
      <c r="X279" s="58" t="n">
        <f aca="false">MAX(0,B279-D279-F279)</f>
        <v>0</v>
      </c>
      <c r="Y279" s="58" t="n">
        <f aca="false">MAX(0,C279-E279-G279)</f>
        <v>0</v>
      </c>
      <c r="Z279" s="59" t="n">
        <f aca="false">D279+X279*TASA_USADA</f>
        <v>0</v>
      </c>
      <c r="AA279" s="59" t="n">
        <f aca="false">E279+Y279*TASA_USADA</f>
        <v>0</v>
      </c>
      <c r="AB279" s="59" t="n">
        <f aca="false">F279+G279+(X279+Y279)*(1-TASA_USADA)</f>
        <v>0</v>
      </c>
      <c r="AC279" s="60" t="n">
        <f aca="false">Z279*P1_PVP+AA279*P2_PVP</f>
        <v>0</v>
      </c>
      <c r="AD279" s="60" t="n">
        <f aca="false">Z279*P1_CPROD+AA279*P2_CPROD</f>
        <v>0</v>
      </c>
      <c r="AE279" s="60" t="n">
        <f aca="false">IF(ISNUMBER(I279),I279,D279*P1_LOG+E279*P2_LOG)+IF(ISNUMBER(J279),J279,X279*P1_LOG+Y279*P2_LOG)*TASA_USADA</f>
        <v>0</v>
      </c>
      <c r="AF279" s="60" t="n">
        <f aca="false">AB279*COSTE_DEV</f>
        <v>0</v>
      </c>
      <c r="AG279" s="60" t="n">
        <f aca="false">Z279*P1_IVAN+AA279*P2_IVAN-AB279*IVA_DEV</f>
        <v>0</v>
      </c>
      <c r="AH279" s="60" t="n">
        <f aca="false">K279*(1+RECARGO_ADS)</f>
        <v>0</v>
      </c>
      <c r="AI279" s="58" t="n">
        <f aca="false">IF(ISNUMBER(I279),D279+E279+X279+Y279,0)</f>
        <v>0</v>
      </c>
      <c r="AJ279" s="60" t="n">
        <f aca="false">M279*COMISION</f>
        <v>0</v>
      </c>
    </row>
    <row r="280" customFormat="false" ht="15" hidden="false" customHeight="false" outlineLevel="0" collapsed="false">
      <c r="A280" s="53" t="n">
        <v>46574</v>
      </c>
      <c r="B280" s="54"/>
      <c r="C280" s="54"/>
      <c r="D280" s="54"/>
      <c r="E280" s="54"/>
      <c r="F280" s="54"/>
      <c r="G280" s="54"/>
      <c r="H280" s="54"/>
      <c r="I280" s="55"/>
      <c r="J280" s="55"/>
      <c r="K280" s="55"/>
      <c r="L280" s="56"/>
      <c r="M280" s="31" t="n">
        <f aca="false">B280+C280</f>
        <v>0</v>
      </c>
      <c r="N280" s="31" t="n">
        <f aca="false">X280+Y280</f>
        <v>0</v>
      </c>
      <c r="O280" s="32" t="n">
        <f aca="false">B280*P1_PVP+C280*P2_PVP</f>
        <v>0</v>
      </c>
      <c r="P280" s="32" t="str">
        <f aca="false">IF(M280&gt;0,O280/M280,"")</f>
        <v/>
      </c>
      <c r="Q280" s="32" t="str">
        <f aca="false">IF(M280&gt;0,K280/M280,"")</f>
        <v/>
      </c>
      <c r="R280" s="57" t="str">
        <f aca="false">IF(K280&gt;0,O280/K280,"")</f>
        <v/>
      </c>
      <c r="S280" s="34" t="str">
        <f aca="false">IF(D280+E280+F280+G280&gt;0,(D280+E280)/(D280+E280+F280+G280),"")</f>
        <v/>
      </c>
      <c r="T280" s="33" t="n">
        <f aca="false">D280*(P1_PVP-P1_CPROD)+E280*(P2_PVP-P2_CPROD)-IF(ISNUMBER(I280),I280,D280*P1_LOG+E280*P2_LOG)</f>
        <v>0</v>
      </c>
      <c r="U280" s="33" t="n">
        <f aca="false">T280-(D280*P1_IVAN+E280*P2_IVAN)-(F280+G280)*(COSTE_DEV-IVA_DEV)-AH280-AJ280</f>
        <v>0</v>
      </c>
      <c r="V280" s="33" t="n">
        <f aca="false">AC280-AD280-AE280-AF280-AG280-AH280-AJ280</f>
        <v>0</v>
      </c>
      <c r="X280" s="58" t="n">
        <f aca="false">MAX(0,B280-D280-F280)</f>
        <v>0</v>
      </c>
      <c r="Y280" s="58" t="n">
        <f aca="false">MAX(0,C280-E280-G280)</f>
        <v>0</v>
      </c>
      <c r="Z280" s="59" t="n">
        <f aca="false">D280+X280*TASA_USADA</f>
        <v>0</v>
      </c>
      <c r="AA280" s="59" t="n">
        <f aca="false">E280+Y280*TASA_USADA</f>
        <v>0</v>
      </c>
      <c r="AB280" s="59" t="n">
        <f aca="false">F280+G280+(X280+Y280)*(1-TASA_USADA)</f>
        <v>0</v>
      </c>
      <c r="AC280" s="60" t="n">
        <f aca="false">Z280*P1_PVP+AA280*P2_PVP</f>
        <v>0</v>
      </c>
      <c r="AD280" s="60" t="n">
        <f aca="false">Z280*P1_CPROD+AA280*P2_CPROD</f>
        <v>0</v>
      </c>
      <c r="AE280" s="60" t="n">
        <f aca="false">IF(ISNUMBER(I280),I280,D280*P1_LOG+E280*P2_LOG)+IF(ISNUMBER(J280),J280,X280*P1_LOG+Y280*P2_LOG)*TASA_USADA</f>
        <v>0</v>
      </c>
      <c r="AF280" s="60" t="n">
        <f aca="false">AB280*COSTE_DEV</f>
        <v>0</v>
      </c>
      <c r="AG280" s="60" t="n">
        <f aca="false">Z280*P1_IVAN+AA280*P2_IVAN-AB280*IVA_DEV</f>
        <v>0</v>
      </c>
      <c r="AH280" s="60" t="n">
        <f aca="false">K280*(1+RECARGO_ADS)</f>
        <v>0</v>
      </c>
      <c r="AI280" s="58" t="n">
        <f aca="false">IF(ISNUMBER(I280),D280+E280+X280+Y280,0)</f>
        <v>0</v>
      </c>
      <c r="AJ280" s="60" t="n">
        <f aca="false">M280*COMISION</f>
        <v>0</v>
      </c>
    </row>
    <row r="281" customFormat="false" ht="15" hidden="false" customHeight="false" outlineLevel="0" collapsed="false">
      <c r="A281" s="53" t="n">
        <v>46575</v>
      </c>
      <c r="B281" s="54"/>
      <c r="C281" s="54"/>
      <c r="D281" s="54"/>
      <c r="E281" s="54"/>
      <c r="F281" s="54"/>
      <c r="G281" s="54"/>
      <c r="H281" s="54"/>
      <c r="I281" s="55"/>
      <c r="J281" s="55"/>
      <c r="K281" s="55"/>
      <c r="L281" s="56"/>
      <c r="M281" s="31" t="n">
        <f aca="false">B281+C281</f>
        <v>0</v>
      </c>
      <c r="N281" s="31" t="n">
        <f aca="false">X281+Y281</f>
        <v>0</v>
      </c>
      <c r="O281" s="32" t="n">
        <f aca="false">B281*P1_PVP+C281*P2_PVP</f>
        <v>0</v>
      </c>
      <c r="P281" s="32" t="str">
        <f aca="false">IF(M281&gt;0,O281/M281,"")</f>
        <v/>
      </c>
      <c r="Q281" s="32" t="str">
        <f aca="false">IF(M281&gt;0,K281/M281,"")</f>
        <v/>
      </c>
      <c r="R281" s="57" t="str">
        <f aca="false">IF(K281&gt;0,O281/K281,"")</f>
        <v/>
      </c>
      <c r="S281" s="34" t="str">
        <f aca="false">IF(D281+E281+F281+G281&gt;0,(D281+E281)/(D281+E281+F281+G281),"")</f>
        <v/>
      </c>
      <c r="T281" s="33" t="n">
        <f aca="false">D281*(P1_PVP-P1_CPROD)+E281*(P2_PVP-P2_CPROD)-IF(ISNUMBER(I281),I281,D281*P1_LOG+E281*P2_LOG)</f>
        <v>0</v>
      </c>
      <c r="U281" s="33" t="n">
        <f aca="false">T281-(D281*P1_IVAN+E281*P2_IVAN)-(F281+G281)*(COSTE_DEV-IVA_DEV)-AH281-AJ281</f>
        <v>0</v>
      </c>
      <c r="V281" s="33" t="n">
        <f aca="false">AC281-AD281-AE281-AF281-AG281-AH281-AJ281</f>
        <v>0</v>
      </c>
      <c r="X281" s="58" t="n">
        <f aca="false">MAX(0,B281-D281-F281)</f>
        <v>0</v>
      </c>
      <c r="Y281" s="58" t="n">
        <f aca="false">MAX(0,C281-E281-G281)</f>
        <v>0</v>
      </c>
      <c r="Z281" s="59" t="n">
        <f aca="false">D281+X281*TASA_USADA</f>
        <v>0</v>
      </c>
      <c r="AA281" s="59" t="n">
        <f aca="false">E281+Y281*TASA_USADA</f>
        <v>0</v>
      </c>
      <c r="AB281" s="59" t="n">
        <f aca="false">F281+G281+(X281+Y281)*(1-TASA_USADA)</f>
        <v>0</v>
      </c>
      <c r="AC281" s="60" t="n">
        <f aca="false">Z281*P1_PVP+AA281*P2_PVP</f>
        <v>0</v>
      </c>
      <c r="AD281" s="60" t="n">
        <f aca="false">Z281*P1_CPROD+AA281*P2_CPROD</f>
        <v>0</v>
      </c>
      <c r="AE281" s="60" t="n">
        <f aca="false">IF(ISNUMBER(I281),I281,D281*P1_LOG+E281*P2_LOG)+IF(ISNUMBER(J281),J281,X281*P1_LOG+Y281*P2_LOG)*TASA_USADA</f>
        <v>0</v>
      </c>
      <c r="AF281" s="60" t="n">
        <f aca="false">AB281*COSTE_DEV</f>
        <v>0</v>
      </c>
      <c r="AG281" s="60" t="n">
        <f aca="false">Z281*P1_IVAN+AA281*P2_IVAN-AB281*IVA_DEV</f>
        <v>0</v>
      </c>
      <c r="AH281" s="60" t="n">
        <f aca="false">K281*(1+RECARGO_ADS)</f>
        <v>0</v>
      </c>
      <c r="AI281" s="58" t="n">
        <f aca="false">IF(ISNUMBER(I281),D281+E281+X281+Y281,0)</f>
        <v>0</v>
      </c>
      <c r="AJ281" s="60" t="n">
        <f aca="false">M281*COMISION</f>
        <v>0</v>
      </c>
    </row>
    <row r="282" customFormat="false" ht="15" hidden="false" customHeight="false" outlineLevel="0" collapsed="false">
      <c r="A282" s="53" t="n">
        <v>46576</v>
      </c>
      <c r="B282" s="54"/>
      <c r="C282" s="54"/>
      <c r="D282" s="54"/>
      <c r="E282" s="54"/>
      <c r="F282" s="54"/>
      <c r="G282" s="54"/>
      <c r="H282" s="54"/>
      <c r="I282" s="55"/>
      <c r="J282" s="55"/>
      <c r="K282" s="55"/>
      <c r="L282" s="56"/>
      <c r="M282" s="31" t="n">
        <f aca="false">B282+C282</f>
        <v>0</v>
      </c>
      <c r="N282" s="31" t="n">
        <f aca="false">X282+Y282</f>
        <v>0</v>
      </c>
      <c r="O282" s="32" t="n">
        <f aca="false">B282*P1_PVP+C282*P2_PVP</f>
        <v>0</v>
      </c>
      <c r="P282" s="32" t="str">
        <f aca="false">IF(M282&gt;0,O282/M282,"")</f>
        <v/>
      </c>
      <c r="Q282" s="32" t="str">
        <f aca="false">IF(M282&gt;0,K282/M282,"")</f>
        <v/>
      </c>
      <c r="R282" s="57" t="str">
        <f aca="false">IF(K282&gt;0,O282/K282,"")</f>
        <v/>
      </c>
      <c r="S282" s="34" t="str">
        <f aca="false">IF(D282+E282+F282+G282&gt;0,(D282+E282)/(D282+E282+F282+G282),"")</f>
        <v/>
      </c>
      <c r="T282" s="33" t="n">
        <f aca="false">D282*(P1_PVP-P1_CPROD)+E282*(P2_PVP-P2_CPROD)-IF(ISNUMBER(I282),I282,D282*P1_LOG+E282*P2_LOG)</f>
        <v>0</v>
      </c>
      <c r="U282" s="33" t="n">
        <f aca="false">T282-(D282*P1_IVAN+E282*P2_IVAN)-(F282+G282)*(COSTE_DEV-IVA_DEV)-AH282-AJ282</f>
        <v>0</v>
      </c>
      <c r="V282" s="33" t="n">
        <f aca="false">AC282-AD282-AE282-AF282-AG282-AH282-AJ282</f>
        <v>0</v>
      </c>
      <c r="X282" s="58" t="n">
        <f aca="false">MAX(0,B282-D282-F282)</f>
        <v>0</v>
      </c>
      <c r="Y282" s="58" t="n">
        <f aca="false">MAX(0,C282-E282-G282)</f>
        <v>0</v>
      </c>
      <c r="Z282" s="59" t="n">
        <f aca="false">D282+X282*TASA_USADA</f>
        <v>0</v>
      </c>
      <c r="AA282" s="59" t="n">
        <f aca="false">E282+Y282*TASA_USADA</f>
        <v>0</v>
      </c>
      <c r="AB282" s="59" t="n">
        <f aca="false">F282+G282+(X282+Y282)*(1-TASA_USADA)</f>
        <v>0</v>
      </c>
      <c r="AC282" s="60" t="n">
        <f aca="false">Z282*P1_PVP+AA282*P2_PVP</f>
        <v>0</v>
      </c>
      <c r="AD282" s="60" t="n">
        <f aca="false">Z282*P1_CPROD+AA282*P2_CPROD</f>
        <v>0</v>
      </c>
      <c r="AE282" s="60" t="n">
        <f aca="false">IF(ISNUMBER(I282),I282,D282*P1_LOG+E282*P2_LOG)+IF(ISNUMBER(J282),J282,X282*P1_LOG+Y282*P2_LOG)*TASA_USADA</f>
        <v>0</v>
      </c>
      <c r="AF282" s="60" t="n">
        <f aca="false">AB282*COSTE_DEV</f>
        <v>0</v>
      </c>
      <c r="AG282" s="60" t="n">
        <f aca="false">Z282*P1_IVAN+AA282*P2_IVAN-AB282*IVA_DEV</f>
        <v>0</v>
      </c>
      <c r="AH282" s="60" t="n">
        <f aca="false">K282*(1+RECARGO_ADS)</f>
        <v>0</v>
      </c>
      <c r="AI282" s="58" t="n">
        <f aca="false">IF(ISNUMBER(I282),D282+E282+X282+Y282,0)</f>
        <v>0</v>
      </c>
      <c r="AJ282" s="60" t="n">
        <f aca="false">M282*COMISION</f>
        <v>0</v>
      </c>
    </row>
    <row r="283" customFormat="false" ht="15" hidden="false" customHeight="false" outlineLevel="0" collapsed="false">
      <c r="A283" s="53" t="n">
        <v>46577</v>
      </c>
      <c r="B283" s="54"/>
      <c r="C283" s="54"/>
      <c r="D283" s="54"/>
      <c r="E283" s="54"/>
      <c r="F283" s="54"/>
      <c r="G283" s="54"/>
      <c r="H283" s="54"/>
      <c r="I283" s="55"/>
      <c r="J283" s="55"/>
      <c r="K283" s="55"/>
      <c r="L283" s="56"/>
      <c r="M283" s="31" t="n">
        <f aca="false">B283+C283</f>
        <v>0</v>
      </c>
      <c r="N283" s="31" t="n">
        <f aca="false">X283+Y283</f>
        <v>0</v>
      </c>
      <c r="O283" s="32" t="n">
        <f aca="false">B283*P1_PVP+C283*P2_PVP</f>
        <v>0</v>
      </c>
      <c r="P283" s="32" t="str">
        <f aca="false">IF(M283&gt;0,O283/M283,"")</f>
        <v/>
      </c>
      <c r="Q283" s="32" t="str">
        <f aca="false">IF(M283&gt;0,K283/M283,"")</f>
        <v/>
      </c>
      <c r="R283" s="57" t="str">
        <f aca="false">IF(K283&gt;0,O283/K283,"")</f>
        <v/>
      </c>
      <c r="S283" s="34" t="str">
        <f aca="false">IF(D283+E283+F283+G283&gt;0,(D283+E283)/(D283+E283+F283+G283),"")</f>
        <v/>
      </c>
      <c r="T283" s="33" t="n">
        <f aca="false">D283*(P1_PVP-P1_CPROD)+E283*(P2_PVP-P2_CPROD)-IF(ISNUMBER(I283),I283,D283*P1_LOG+E283*P2_LOG)</f>
        <v>0</v>
      </c>
      <c r="U283" s="33" t="n">
        <f aca="false">T283-(D283*P1_IVAN+E283*P2_IVAN)-(F283+G283)*(COSTE_DEV-IVA_DEV)-AH283-AJ283</f>
        <v>0</v>
      </c>
      <c r="V283" s="33" t="n">
        <f aca="false">AC283-AD283-AE283-AF283-AG283-AH283-AJ283</f>
        <v>0</v>
      </c>
      <c r="X283" s="58" t="n">
        <f aca="false">MAX(0,B283-D283-F283)</f>
        <v>0</v>
      </c>
      <c r="Y283" s="58" t="n">
        <f aca="false">MAX(0,C283-E283-G283)</f>
        <v>0</v>
      </c>
      <c r="Z283" s="59" t="n">
        <f aca="false">D283+X283*TASA_USADA</f>
        <v>0</v>
      </c>
      <c r="AA283" s="59" t="n">
        <f aca="false">E283+Y283*TASA_USADA</f>
        <v>0</v>
      </c>
      <c r="AB283" s="59" t="n">
        <f aca="false">F283+G283+(X283+Y283)*(1-TASA_USADA)</f>
        <v>0</v>
      </c>
      <c r="AC283" s="60" t="n">
        <f aca="false">Z283*P1_PVP+AA283*P2_PVP</f>
        <v>0</v>
      </c>
      <c r="AD283" s="60" t="n">
        <f aca="false">Z283*P1_CPROD+AA283*P2_CPROD</f>
        <v>0</v>
      </c>
      <c r="AE283" s="60" t="n">
        <f aca="false">IF(ISNUMBER(I283),I283,D283*P1_LOG+E283*P2_LOG)+IF(ISNUMBER(J283),J283,X283*P1_LOG+Y283*P2_LOG)*TASA_USADA</f>
        <v>0</v>
      </c>
      <c r="AF283" s="60" t="n">
        <f aca="false">AB283*COSTE_DEV</f>
        <v>0</v>
      </c>
      <c r="AG283" s="60" t="n">
        <f aca="false">Z283*P1_IVAN+AA283*P2_IVAN-AB283*IVA_DEV</f>
        <v>0</v>
      </c>
      <c r="AH283" s="60" t="n">
        <f aca="false">K283*(1+RECARGO_ADS)</f>
        <v>0</v>
      </c>
      <c r="AI283" s="58" t="n">
        <f aca="false">IF(ISNUMBER(I283),D283+E283+X283+Y283,0)</f>
        <v>0</v>
      </c>
      <c r="AJ283" s="60" t="n">
        <f aca="false">M283*COMISION</f>
        <v>0</v>
      </c>
    </row>
    <row r="284" customFormat="false" ht="15" hidden="false" customHeight="false" outlineLevel="0" collapsed="false">
      <c r="A284" s="53" t="n">
        <v>46578</v>
      </c>
      <c r="B284" s="54"/>
      <c r="C284" s="54"/>
      <c r="D284" s="54"/>
      <c r="E284" s="54"/>
      <c r="F284" s="54"/>
      <c r="G284" s="54"/>
      <c r="H284" s="54"/>
      <c r="I284" s="55"/>
      <c r="J284" s="55"/>
      <c r="K284" s="55"/>
      <c r="L284" s="56"/>
      <c r="M284" s="31" t="n">
        <f aca="false">B284+C284</f>
        <v>0</v>
      </c>
      <c r="N284" s="31" t="n">
        <f aca="false">X284+Y284</f>
        <v>0</v>
      </c>
      <c r="O284" s="32" t="n">
        <f aca="false">B284*P1_PVP+C284*P2_PVP</f>
        <v>0</v>
      </c>
      <c r="P284" s="32" t="str">
        <f aca="false">IF(M284&gt;0,O284/M284,"")</f>
        <v/>
      </c>
      <c r="Q284" s="32" t="str">
        <f aca="false">IF(M284&gt;0,K284/M284,"")</f>
        <v/>
      </c>
      <c r="R284" s="57" t="str">
        <f aca="false">IF(K284&gt;0,O284/K284,"")</f>
        <v/>
      </c>
      <c r="S284" s="34" t="str">
        <f aca="false">IF(D284+E284+F284+G284&gt;0,(D284+E284)/(D284+E284+F284+G284),"")</f>
        <v/>
      </c>
      <c r="T284" s="33" t="n">
        <f aca="false">D284*(P1_PVP-P1_CPROD)+E284*(P2_PVP-P2_CPROD)-IF(ISNUMBER(I284),I284,D284*P1_LOG+E284*P2_LOG)</f>
        <v>0</v>
      </c>
      <c r="U284" s="33" t="n">
        <f aca="false">T284-(D284*P1_IVAN+E284*P2_IVAN)-(F284+G284)*(COSTE_DEV-IVA_DEV)-AH284-AJ284</f>
        <v>0</v>
      </c>
      <c r="V284" s="33" t="n">
        <f aca="false">AC284-AD284-AE284-AF284-AG284-AH284-AJ284</f>
        <v>0</v>
      </c>
      <c r="X284" s="58" t="n">
        <f aca="false">MAX(0,B284-D284-F284)</f>
        <v>0</v>
      </c>
      <c r="Y284" s="58" t="n">
        <f aca="false">MAX(0,C284-E284-G284)</f>
        <v>0</v>
      </c>
      <c r="Z284" s="59" t="n">
        <f aca="false">D284+X284*TASA_USADA</f>
        <v>0</v>
      </c>
      <c r="AA284" s="59" t="n">
        <f aca="false">E284+Y284*TASA_USADA</f>
        <v>0</v>
      </c>
      <c r="AB284" s="59" t="n">
        <f aca="false">F284+G284+(X284+Y284)*(1-TASA_USADA)</f>
        <v>0</v>
      </c>
      <c r="AC284" s="60" t="n">
        <f aca="false">Z284*P1_PVP+AA284*P2_PVP</f>
        <v>0</v>
      </c>
      <c r="AD284" s="60" t="n">
        <f aca="false">Z284*P1_CPROD+AA284*P2_CPROD</f>
        <v>0</v>
      </c>
      <c r="AE284" s="60" t="n">
        <f aca="false">IF(ISNUMBER(I284),I284,D284*P1_LOG+E284*P2_LOG)+IF(ISNUMBER(J284),J284,X284*P1_LOG+Y284*P2_LOG)*TASA_USADA</f>
        <v>0</v>
      </c>
      <c r="AF284" s="60" t="n">
        <f aca="false">AB284*COSTE_DEV</f>
        <v>0</v>
      </c>
      <c r="AG284" s="60" t="n">
        <f aca="false">Z284*P1_IVAN+AA284*P2_IVAN-AB284*IVA_DEV</f>
        <v>0</v>
      </c>
      <c r="AH284" s="60" t="n">
        <f aca="false">K284*(1+RECARGO_ADS)</f>
        <v>0</v>
      </c>
      <c r="AI284" s="58" t="n">
        <f aca="false">IF(ISNUMBER(I284),D284+E284+X284+Y284,0)</f>
        <v>0</v>
      </c>
      <c r="AJ284" s="60" t="n">
        <f aca="false">M284*COMISION</f>
        <v>0</v>
      </c>
    </row>
    <row r="285" customFormat="false" ht="15" hidden="false" customHeight="false" outlineLevel="0" collapsed="false">
      <c r="A285" s="53" t="n">
        <v>46579</v>
      </c>
      <c r="B285" s="54"/>
      <c r="C285" s="54"/>
      <c r="D285" s="54"/>
      <c r="E285" s="54"/>
      <c r="F285" s="54"/>
      <c r="G285" s="54"/>
      <c r="H285" s="54"/>
      <c r="I285" s="55"/>
      <c r="J285" s="55"/>
      <c r="K285" s="55"/>
      <c r="L285" s="56"/>
      <c r="M285" s="31" t="n">
        <f aca="false">B285+C285</f>
        <v>0</v>
      </c>
      <c r="N285" s="31" t="n">
        <f aca="false">X285+Y285</f>
        <v>0</v>
      </c>
      <c r="O285" s="32" t="n">
        <f aca="false">B285*P1_PVP+C285*P2_PVP</f>
        <v>0</v>
      </c>
      <c r="P285" s="32" t="str">
        <f aca="false">IF(M285&gt;0,O285/M285,"")</f>
        <v/>
      </c>
      <c r="Q285" s="32" t="str">
        <f aca="false">IF(M285&gt;0,K285/M285,"")</f>
        <v/>
      </c>
      <c r="R285" s="57" t="str">
        <f aca="false">IF(K285&gt;0,O285/K285,"")</f>
        <v/>
      </c>
      <c r="S285" s="34" t="str">
        <f aca="false">IF(D285+E285+F285+G285&gt;0,(D285+E285)/(D285+E285+F285+G285),"")</f>
        <v/>
      </c>
      <c r="T285" s="33" t="n">
        <f aca="false">D285*(P1_PVP-P1_CPROD)+E285*(P2_PVP-P2_CPROD)-IF(ISNUMBER(I285),I285,D285*P1_LOG+E285*P2_LOG)</f>
        <v>0</v>
      </c>
      <c r="U285" s="33" t="n">
        <f aca="false">T285-(D285*P1_IVAN+E285*P2_IVAN)-(F285+G285)*(COSTE_DEV-IVA_DEV)-AH285-AJ285</f>
        <v>0</v>
      </c>
      <c r="V285" s="33" t="n">
        <f aca="false">AC285-AD285-AE285-AF285-AG285-AH285-AJ285</f>
        <v>0</v>
      </c>
      <c r="X285" s="58" t="n">
        <f aca="false">MAX(0,B285-D285-F285)</f>
        <v>0</v>
      </c>
      <c r="Y285" s="58" t="n">
        <f aca="false">MAX(0,C285-E285-G285)</f>
        <v>0</v>
      </c>
      <c r="Z285" s="59" t="n">
        <f aca="false">D285+X285*TASA_USADA</f>
        <v>0</v>
      </c>
      <c r="AA285" s="59" t="n">
        <f aca="false">E285+Y285*TASA_USADA</f>
        <v>0</v>
      </c>
      <c r="AB285" s="59" t="n">
        <f aca="false">F285+G285+(X285+Y285)*(1-TASA_USADA)</f>
        <v>0</v>
      </c>
      <c r="AC285" s="60" t="n">
        <f aca="false">Z285*P1_PVP+AA285*P2_PVP</f>
        <v>0</v>
      </c>
      <c r="AD285" s="60" t="n">
        <f aca="false">Z285*P1_CPROD+AA285*P2_CPROD</f>
        <v>0</v>
      </c>
      <c r="AE285" s="60" t="n">
        <f aca="false">IF(ISNUMBER(I285),I285,D285*P1_LOG+E285*P2_LOG)+IF(ISNUMBER(J285),J285,X285*P1_LOG+Y285*P2_LOG)*TASA_USADA</f>
        <v>0</v>
      </c>
      <c r="AF285" s="60" t="n">
        <f aca="false">AB285*COSTE_DEV</f>
        <v>0</v>
      </c>
      <c r="AG285" s="60" t="n">
        <f aca="false">Z285*P1_IVAN+AA285*P2_IVAN-AB285*IVA_DEV</f>
        <v>0</v>
      </c>
      <c r="AH285" s="60" t="n">
        <f aca="false">K285*(1+RECARGO_ADS)</f>
        <v>0</v>
      </c>
      <c r="AI285" s="58" t="n">
        <f aca="false">IF(ISNUMBER(I285),D285+E285+X285+Y285,0)</f>
        <v>0</v>
      </c>
      <c r="AJ285" s="60" t="n">
        <f aca="false">M285*COMISION</f>
        <v>0</v>
      </c>
    </row>
    <row r="286" customFormat="false" ht="15" hidden="false" customHeight="false" outlineLevel="0" collapsed="false">
      <c r="A286" s="53" t="n">
        <v>46580</v>
      </c>
      <c r="B286" s="54"/>
      <c r="C286" s="54"/>
      <c r="D286" s="54"/>
      <c r="E286" s="54"/>
      <c r="F286" s="54"/>
      <c r="G286" s="54"/>
      <c r="H286" s="54"/>
      <c r="I286" s="55"/>
      <c r="J286" s="55"/>
      <c r="K286" s="55"/>
      <c r="L286" s="56"/>
      <c r="M286" s="31" t="n">
        <f aca="false">B286+C286</f>
        <v>0</v>
      </c>
      <c r="N286" s="31" t="n">
        <f aca="false">X286+Y286</f>
        <v>0</v>
      </c>
      <c r="O286" s="32" t="n">
        <f aca="false">B286*P1_PVP+C286*P2_PVP</f>
        <v>0</v>
      </c>
      <c r="P286" s="32" t="str">
        <f aca="false">IF(M286&gt;0,O286/M286,"")</f>
        <v/>
      </c>
      <c r="Q286" s="32" t="str">
        <f aca="false">IF(M286&gt;0,K286/M286,"")</f>
        <v/>
      </c>
      <c r="R286" s="57" t="str">
        <f aca="false">IF(K286&gt;0,O286/K286,"")</f>
        <v/>
      </c>
      <c r="S286" s="34" t="str">
        <f aca="false">IF(D286+E286+F286+G286&gt;0,(D286+E286)/(D286+E286+F286+G286),"")</f>
        <v/>
      </c>
      <c r="T286" s="33" t="n">
        <f aca="false">D286*(P1_PVP-P1_CPROD)+E286*(P2_PVP-P2_CPROD)-IF(ISNUMBER(I286),I286,D286*P1_LOG+E286*P2_LOG)</f>
        <v>0</v>
      </c>
      <c r="U286" s="33" t="n">
        <f aca="false">T286-(D286*P1_IVAN+E286*P2_IVAN)-(F286+G286)*(COSTE_DEV-IVA_DEV)-AH286-AJ286</f>
        <v>0</v>
      </c>
      <c r="V286" s="33" t="n">
        <f aca="false">AC286-AD286-AE286-AF286-AG286-AH286-AJ286</f>
        <v>0</v>
      </c>
      <c r="X286" s="58" t="n">
        <f aca="false">MAX(0,B286-D286-F286)</f>
        <v>0</v>
      </c>
      <c r="Y286" s="58" t="n">
        <f aca="false">MAX(0,C286-E286-G286)</f>
        <v>0</v>
      </c>
      <c r="Z286" s="59" t="n">
        <f aca="false">D286+X286*TASA_USADA</f>
        <v>0</v>
      </c>
      <c r="AA286" s="59" t="n">
        <f aca="false">E286+Y286*TASA_USADA</f>
        <v>0</v>
      </c>
      <c r="AB286" s="59" t="n">
        <f aca="false">F286+G286+(X286+Y286)*(1-TASA_USADA)</f>
        <v>0</v>
      </c>
      <c r="AC286" s="60" t="n">
        <f aca="false">Z286*P1_PVP+AA286*P2_PVP</f>
        <v>0</v>
      </c>
      <c r="AD286" s="60" t="n">
        <f aca="false">Z286*P1_CPROD+AA286*P2_CPROD</f>
        <v>0</v>
      </c>
      <c r="AE286" s="60" t="n">
        <f aca="false">IF(ISNUMBER(I286),I286,D286*P1_LOG+E286*P2_LOG)+IF(ISNUMBER(J286),J286,X286*P1_LOG+Y286*P2_LOG)*TASA_USADA</f>
        <v>0</v>
      </c>
      <c r="AF286" s="60" t="n">
        <f aca="false">AB286*COSTE_DEV</f>
        <v>0</v>
      </c>
      <c r="AG286" s="60" t="n">
        <f aca="false">Z286*P1_IVAN+AA286*P2_IVAN-AB286*IVA_DEV</f>
        <v>0</v>
      </c>
      <c r="AH286" s="60" t="n">
        <f aca="false">K286*(1+RECARGO_ADS)</f>
        <v>0</v>
      </c>
      <c r="AI286" s="58" t="n">
        <f aca="false">IF(ISNUMBER(I286),D286+E286+X286+Y286,0)</f>
        <v>0</v>
      </c>
      <c r="AJ286" s="60" t="n">
        <f aca="false">M286*COMISION</f>
        <v>0</v>
      </c>
    </row>
    <row r="287" customFormat="false" ht="15" hidden="false" customHeight="false" outlineLevel="0" collapsed="false">
      <c r="A287" s="53" t="n">
        <v>46581</v>
      </c>
      <c r="B287" s="54"/>
      <c r="C287" s="54"/>
      <c r="D287" s="54"/>
      <c r="E287" s="54"/>
      <c r="F287" s="54"/>
      <c r="G287" s="54"/>
      <c r="H287" s="54"/>
      <c r="I287" s="55"/>
      <c r="J287" s="55"/>
      <c r="K287" s="55"/>
      <c r="L287" s="56"/>
      <c r="M287" s="31" t="n">
        <f aca="false">B287+C287</f>
        <v>0</v>
      </c>
      <c r="N287" s="31" t="n">
        <f aca="false">X287+Y287</f>
        <v>0</v>
      </c>
      <c r="O287" s="32" t="n">
        <f aca="false">B287*P1_PVP+C287*P2_PVP</f>
        <v>0</v>
      </c>
      <c r="P287" s="32" t="str">
        <f aca="false">IF(M287&gt;0,O287/M287,"")</f>
        <v/>
      </c>
      <c r="Q287" s="32" t="str">
        <f aca="false">IF(M287&gt;0,K287/M287,"")</f>
        <v/>
      </c>
      <c r="R287" s="57" t="str">
        <f aca="false">IF(K287&gt;0,O287/K287,"")</f>
        <v/>
      </c>
      <c r="S287" s="34" t="str">
        <f aca="false">IF(D287+E287+F287+G287&gt;0,(D287+E287)/(D287+E287+F287+G287),"")</f>
        <v/>
      </c>
      <c r="T287" s="33" t="n">
        <f aca="false">D287*(P1_PVP-P1_CPROD)+E287*(P2_PVP-P2_CPROD)-IF(ISNUMBER(I287),I287,D287*P1_LOG+E287*P2_LOG)</f>
        <v>0</v>
      </c>
      <c r="U287" s="33" t="n">
        <f aca="false">T287-(D287*P1_IVAN+E287*P2_IVAN)-(F287+G287)*(COSTE_DEV-IVA_DEV)-AH287-AJ287</f>
        <v>0</v>
      </c>
      <c r="V287" s="33" t="n">
        <f aca="false">AC287-AD287-AE287-AF287-AG287-AH287-AJ287</f>
        <v>0</v>
      </c>
      <c r="X287" s="58" t="n">
        <f aca="false">MAX(0,B287-D287-F287)</f>
        <v>0</v>
      </c>
      <c r="Y287" s="58" t="n">
        <f aca="false">MAX(0,C287-E287-G287)</f>
        <v>0</v>
      </c>
      <c r="Z287" s="59" t="n">
        <f aca="false">D287+X287*TASA_USADA</f>
        <v>0</v>
      </c>
      <c r="AA287" s="59" t="n">
        <f aca="false">E287+Y287*TASA_USADA</f>
        <v>0</v>
      </c>
      <c r="AB287" s="59" t="n">
        <f aca="false">F287+G287+(X287+Y287)*(1-TASA_USADA)</f>
        <v>0</v>
      </c>
      <c r="AC287" s="60" t="n">
        <f aca="false">Z287*P1_PVP+AA287*P2_PVP</f>
        <v>0</v>
      </c>
      <c r="AD287" s="60" t="n">
        <f aca="false">Z287*P1_CPROD+AA287*P2_CPROD</f>
        <v>0</v>
      </c>
      <c r="AE287" s="60" t="n">
        <f aca="false">IF(ISNUMBER(I287),I287,D287*P1_LOG+E287*P2_LOG)+IF(ISNUMBER(J287),J287,X287*P1_LOG+Y287*P2_LOG)*TASA_USADA</f>
        <v>0</v>
      </c>
      <c r="AF287" s="60" t="n">
        <f aca="false">AB287*COSTE_DEV</f>
        <v>0</v>
      </c>
      <c r="AG287" s="60" t="n">
        <f aca="false">Z287*P1_IVAN+AA287*P2_IVAN-AB287*IVA_DEV</f>
        <v>0</v>
      </c>
      <c r="AH287" s="60" t="n">
        <f aca="false">K287*(1+RECARGO_ADS)</f>
        <v>0</v>
      </c>
      <c r="AI287" s="58" t="n">
        <f aca="false">IF(ISNUMBER(I287),D287+E287+X287+Y287,0)</f>
        <v>0</v>
      </c>
      <c r="AJ287" s="60" t="n">
        <f aca="false">M287*COMISION</f>
        <v>0</v>
      </c>
    </row>
    <row r="288" customFormat="false" ht="15" hidden="false" customHeight="false" outlineLevel="0" collapsed="false">
      <c r="A288" s="53" t="n">
        <v>46582</v>
      </c>
      <c r="B288" s="54"/>
      <c r="C288" s="54"/>
      <c r="D288" s="54"/>
      <c r="E288" s="54"/>
      <c r="F288" s="54"/>
      <c r="G288" s="54"/>
      <c r="H288" s="54"/>
      <c r="I288" s="55"/>
      <c r="J288" s="55"/>
      <c r="K288" s="55"/>
      <c r="L288" s="56"/>
      <c r="M288" s="31" t="n">
        <f aca="false">B288+C288</f>
        <v>0</v>
      </c>
      <c r="N288" s="31" t="n">
        <f aca="false">X288+Y288</f>
        <v>0</v>
      </c>
      <c r="O288" s="32" t="n">
        <f aca="false">B288*P1_PVP+C288*P2_PVP</f>
        <v>0</v>
      </c>
      <c r="P288" s="32" t="str">
        <f aca="false">IF(M288&gt;0,O288/M288,"")</f>
        <v/>
      </c>
      <c r="Q288" s="32" t="str">
        <f aca="false">IF(M288&gt;0,K288/M288,"")</f>
        <v/>
      </c>
      <c r="R288" s="57" t="str">
        <f aca="false">IF(K288&gt;0,O288/K288,"")</f>
        <v/>
      </c>
      <c r="S288" s="34" t="str">
        <f aca="false">IF(D288+E288+F288+G288&gt;0,(D288+E288)/(D288+E288+F288+G288),"")</f>
        <v/>
      </c>
      <c r="T288" s="33" t="n">
        <f aca="false">D288*(P1_PVP-P1_CPROD)+E288*(P2_PVP-P2_CPROD)-IF(ISNUMBER(I288),I288,D288*P1_LOG+E288*P2_LOG)</f>
        <v>0</v>
      </c>
      <c r="U288" s="33" t="n">
        <f aca="false">T288-(D288*P1_IVAN+E288*P2_IVAN)-(F288+G288)*(COSTE_DEV-IVA_DEV)-AH288-AJ288</f>
        <v>0</v>
      </c>
      <c r="V288" s="33" t="n">
        <f aca="false">AC288-AD288-AE288-AF288-AG288-AH288-AJ288</f>
        <v>0</v>
      </c>
      <c r="X288" s="58" t="n">
        <f aca="false">MAX(0,B288-D288-F288)</f>
        <v>0</v>
      </c>
      <c r="Y288" s="58" t="n">
        <f aca="false">MAX(0,C288-E288-G288)</f>
        <v>0</v>
      </c>
      <c r="Z288" s="59" t="n">
        <f aca="false">D288+X288*TASA_USADA</f>
        <v>0</v>
      </c>
      <c r="AA288" s="59" t="n">
        <f aca="false">E288+Y288*TASA_USADA</f>
        <v>0</v>
      </c>
      <c r="AB288" s="59" t="n">
        <f aca="false">F288+G288+(X288+Y288)*(1-TASA_USADA)</f>
        <v>0</v>
      </c>
      <c r="AC288" s="60" t="n">
        <f aca="false">Z288*P1_PVP+AA288*P2_PVP</f>
        <v>0</v>
      </c>
      <c r="AD288" s="60" t="n">
        <f aca="false">Z288*P1_CPROD+AA288*P2_CPROD</f>
        <v>0</v>
      </c>
      <c r="AE288" s="60" t="n">
        <f aca="false">IF(ISNUMBER(I288),I288,D288*P1_LOG+E288*P2_LOG)+IF(ISNUMBER(J288),J288,X288*P1_LOG+Y288*P2_LOG)*TASA_USADA</f>
        <v>0</v>
      </c>
      <c r="AF288" s="60" t="n">
        <f aca="false">AB288*COSTE_DEV</f>
        <v>0</v>
      </c>
      <c r="AG288" s="60" t="n">
        <f aca="false">Z288*P1_IVAN+AA288*P2_IVAN-AB288*IVA_DEV</f>
        <v>0</v>
      </c>
      <c r="AH288" s="60" t="n">
        <f aca="false">K288*(1+RECARGO_ADS)</f>
        <v>0</v>
      </c>
      <c r="AI288" s="58" t="n">
        <f aca="false">IF(ISNUMBER(I288),D288+E288+X288+Y288,0)</f>
        <v>0</v>
      </c>
      <c r="AJ288" s="60" t="n">
        <f aca="false">M288*COMISION</f>
        <v>0</v>
      </c>
    </row>
    <row r="289" customFormat="false" ht="15" hidden="false" customHeight="false" outlineLevel="0" collapsed="false">
      <c r="A289" s="53" t="n">
        <v>46583</v>
      </c>
      <c r="B289" s="54"/>
      <c r="C289" s="54"/>
      <c r="D289" s="54"/>
      <c r="E289" s="54"/>
      <c r="F289" s="54"/>
      <c r="G289" s="54"/>
      <c r="H289" s="54"/>
      <c r="I289" s="55"/>
      <c r="J289" s="55"/>
      <c r="K289" s="55"/>
      <c r="L289" s="56"/>
      <c r="M289" s="31" t="n">
        <f aca="false">B289+C289</f>
        <v>0</v>
      </c>
      <c r="N289" s="31" t="n">
        <f aca="false">X289+Y289</f>
        <v>0</v>
      </c>
      <c r="O289" s="32" t="n">
        <f aca="false">B289*P1_PVP+C289*P2_PVP</f>
        <v>0</v>
      </c>
      <c r="P289" s="32" t="str">
        <f aca="false">IF(M289&gt;0,O289/M289,"")</f>
        <v/>
      </c>
      <c r="Q289" s="32" t="str">
        <f aca="false">IF(M289&gt;0,K289/M289,"")</f>
        <v/>
      </c>
      <c r="R289" s="57" t="str">
        <f aca="false">IF(K289&gt;0,O289/K289,"")</f>
        <v/>
      </c>
      <c r="S289" s="34" t="str">
        <f aca="false">IF(D289+E289+F289+G289&gt;0,(D289+E289)/(D289+E289+F289+G289),"")</f>
        <v/>
      </c>
      <c r="T289" s="33" t="n">
        <f aca="false">D289*(P1_PVP-P1_CPROD)+E289*(P2_PVP-P2_CPROD)-IF(ISNUMBER(I289),I289,D289*P1_LOG+E289*P2_LOG)</f>
        <v>0</v>
      </c>
      <c r="U289" s="33" t="n">
        <f aca="false">T289-(D289*P1_IVAN+E289*P2_IVAN)-(F289+G289)*(COSTE_DEV-IVA_DEV)-AH289-AJ289</f>
        <v>0</v>
      </c>
      <c r="V289" s="33" t="n">
        <f aca="false">AC289-AD289-AE289-AF289-AG289-AH289-AJ289</f>
        <v>0</v>
      </c>
      <c r="X289" s="58" t="n">
        <f aca="false">MAX(0,B289-D289-F289)</f>
        <v>0</v>
      </c>
      <c r="Y289" s="58" t="n">
        <f aca="false">MAX(0,C289-E289-G289)</f>
        <v>0</v>
      </c>
      <c r="Z289" s="59" t="n">
        <f aca="false">D289+X289*TASA_USADA</f>
        <v>0</v>
      </c>
      <c r="AA289" s="59" t="n">
        <f aca="false">E289+Y289*TASA_USADA</f>
        <v>0</v>
      </c>
      <c r="AB289" s="59" t="n">
        <f aca="false">F289+G289+(X289+Y289)*(1-TASA_USADA)</f>
        <v>0</v>
      </c>
      <c r="AC289" s="60" t="n">
        <f aca="false">Z289*P1_PVP+AA289*P2_PVP</f>
        <v>0</v>
      </c>
      <c r="AD289" s="60" t="n">
        <f aca="false">Z289*P1_CPROD+AA289*P2_CPROD</f>
        <v>0</v>
      </c>
      <c r="AE289" s="60" t="n">
        <f aca="false">IF(ISNUMBER(I289),I289,D289*P1_LOG+E289*P2_LOG)+IF(ISNUMBER(J289),J289,X289*P1_LOG+Y289*P2_LOG)*TASA_USADA</f>
        <v>0</v>
      </c>
      <c r="AF289" s="60" t="n">
        <f aca="false">AB289*COSTE_DEV</f>
        <v>0</v>
      </c>
      <c r="AG289" s="60" t="n">
        <f aca="false">Z289*P1_IVAN+AA289*P2_IVAN-AB289*IVA_DEV</f>
        <v>0</v>
      </c>
      <c r="AH289" s="60" t="n">
        <f aca="false">K289*(1+RECARGO_ADS)</f>
        <v>0</v>
      </c>
      <c r="AI289" s="58" t="n">
        <f aca="false">IF(ISNUMBER(I289),D289+E289+X289+Y289,0)</f>
        <v>0</v>
      </c>
      <c r="AJ289" s="60" t="n">
        <f aca="false">M289*COMISION</f>
        <v>0</v>
      </c>
    </row>
    <row r="290" customFormat="false" ht="15" hidden="false" customHeight="false" outlineLevel="0" collapsed="false">
      <c r="A290" s="53" t="n">
        <v>46584</v>
      </c>
      <c r="B290" s="54"/>
      <c r="C290" s="54"/>
      <c r="D290" s="54"/>
      <c r="E290" s="54"/>
      <c r="F290" s="54"/>
      <c r="G290" s="54"/>
      <c r="H290" s="54"/>
      <c r="I290" s="55"/>
      <c r="J290" s="55"/>
      <c r="K290" s="55"/>
      <c r="L290" s="56"/>
      <c r="M290" s="31" t="n">
        <f aca="false">B290+C290</f>
        <v>0</v>
      </c>
      <c r="N290" s="31" t="n">
        <f aca="false">X290+Y290</f>
        <v>0</v>
      </c>
      <c r="O290" s="32" t="n">
        <f aca="false">B290*P1_PVP+C290*P2_PVP</f>
        <v>0</v>
      </c>
      <c r="P290" s="32" t="str">
        <f aca="false">IF(M290&gt;0,O290/M290,"")</f>
        <v/>
      </c>
      <c r="Q290" s="32" t="str">
        <f aca="false">IF(M290&gt;0,K290/M290,"")</f>
        <v/>
      </c>
      <c r="R290" s="57" t="str">
        <f aca="false">IF(K290&gt;0,O290/K290,"")</f>
        <v/>
      </c>
      <c r="S290" s="34" t="str">
        <f aca="false">IF(D290+E290+F290+G290&gt;0,(D290+E290)/(D290+E290+F290+G290),"")</f>
        <v/>
      </c>
      <c r="T290" s="33" t="n">
        <f aca="false">D290*(P1_PVP-P1_CPROD)+E290*(P2_PVP-P2_CPROD)-IF(ISNUMBER(I290),I290,D290*P1_LOG+E290*P2_LOG)</f>
        <v>0</v>
      </c>
      <c r="U290" s="33" t="n">
        <f aca="false">T290-(D290*P1_IVAN+E290*P2_IVAN)-(F290+G290)*(COSTE_DEV-IVA_DEV)-AH290-AJ290</f>
        <v>0</v>
      </c>
      <c r="V290" s="33" t="n">
        <f aca="false">AC290-AD290-AE290-AF290-AG290-AH290-AJ290</f>
        <v>0</v>
      </c>
      <c r="X290" s="58" t="n">
        <f aca="false">MAX(0,B290-D290-F290)</f>
        <v>0</v>
      </c>
      <c r="Y290" s="58" t="n">
        <f aca="false">MAX(0,C290-E290-G290)</f>
        <v>0</v>
      </c>
      <c r="Z290" s="59" t="n">
        <f aca="false">D290+X290*TASA_USADA</f>
        <v>0</v>
      </c>
      <c r="AA290" s="59" t="n">
        <f aca="false">E290+Y290*TASA_USADA</f>
        <v>0</v>
      </c>
      <c r="AB290" s="59" t="n">
        <f aca="false">F290+G290+(X290+Y290)*(1-TASA_USADA)</f>
        <v>0</v>
      </c>
      <c r="AC290" s="60" t="n">
        <f aca="false">Z290*P1_PVP+AA290*P2_PVP</f>
        <v>0</v>
      </c>
      <c r="AD290" s="60" t="n">
        <f aca="false">Z290*P1_CPROD+AA290*P2_CPROD</f>
        <v>0</v>
      </c>
      <c r="AE290" s="60" t="n">
        <f aca="false">IF(ISNUMBER(I290),I290,D290*P1_LOG+E290*P2_LOG)+IF(ISNUMBER(J290),J290,X290*P1_LOG+Y290*P2_LOG)*TASA_USADA</f>
        <v>0</v>
      </c>
      <c r="AF290" s="60" t="n">
        <f aca="false">AB290*COSTE_DEV</f>
        <v>0</v>
      </c>
      <c r="AG290" s="60" t="n">
        <f aca="false">Z290*P1_IVAN+AA290*P2_IVAN-AB290*IVA_DEV</f>
        <v>0</v>
      </c>
      <c r="AH290" s="60" t="n">
        <f aca="false">K290*(1+RECARGO_ADS)</f>
        <v>0</v>
      </c>
      <c r="AI290" s="58" t="n">
        <f aca="false">IF(ISNUMBER(I290),D290+E290+X290+Y290,0)</f>
        <v>0</v>
      </c>
      <c r="AJ290" s="60" t="n">
        <f aca="false">M290*COMISION</f>
        <v>0</v>
      </c>
    </row>
    <row r="291" customFormat="false" ht="15" hidden="false" customHeight="false" outlineLevel="0" collapsed="false">
      <c r="A291" s="53" t="n">
        <v>46585</v>
      </c>
      <c r="B291" s="54"/>
      <c r="C291" s="54"/>
      <c r="D291" s="54"/>
      <c r="E291" s="54"/>
      <c r="F291" s="54"/>
      <c r="G291" s="54"/>
      <c r="H291" s="54"/>
      <c r="I291" s="55"/>
      <c r="J291" s="55"/>
      <c r="K291" s="55"/>
      <c r="L291" s="56"/>
      <c r="M291" s="31" t="n">
        <f aca="false">B291+C291</f>
        <v>0</v>
      </c>
      <c r="N291" s="31" t="n">
        <f aca="false">X291+Y291</f>
        <v>0</v>
      </c>
      <c r="O291" s="32" t="n">
        <f aca="false">B291*P1_PVP+C291*P2_PVP</f>
        <v>0</v>
      </c>
      <c r="P291" s="32" t="str">
        <f aca="false">IF(M291&gt;0,O291/M291,"")</f>
        <v/>
      </c>
      <c r="Q291" s="32" t="str">
        <f aca="false">IF(M291&gt;0,K291/M291,"")</f>
        <v/>
      </c>
      <c r="R291" s="57" t="str">
        <f aca="false">IF(K291&gt;0,O291/K291,"")</f>
        <v/>
      </c>
      <c r="S291" s="34" t="str">
        <f aca="false">IF(D291+E291+F291+G291&gt;0,(D291+E291)/(D291+E291+F291+G291),"")</f>
        <v/>
      </c>
      <c r="T291" s="33" t="n">
        <f aca="false">D291*(P1_PVP-P1_CPROD)+E291*(P2_PVP-P2_CPROD)-IF(ISNUMBER(I291),I291,D291*P1_LOG+E291*P2_LOG)</f>
        <v>0</v>
      </c>
      <c r="U291" s="33" t="n">
        <f aca="false">T291-(D291*P1_IVAN+E291*P2_IVAN)-(F291+G291)*(COSTE_DEV-IVA_DEV)-AH291-AJ291</f>
        <v>0</v>
      </c>
      <c r="V291" s="33" t="n">
        <f aca="false">AC291-AD291-AE291-AF291-AG291-AH291-AJ291</f>
        <v>0</v>
      </c>
      <c r="X291" s="58" t="n">
        <f aca="false">MAX(0,B291-D291-F291)</f>
        <v>0</v>
      </c>
      <c r="Y291" s="58" t="n">
        <f aca="false">MAX(0,C291-E291-G291)</f>
        <v>0</v>
      </c>
      <c r="Z291" s="59" t="n">
        <f aca="false">D291+X291*TASA_USADA</f>
        <v>0</v>
      </c>
      <c r="AA291" s="59" t="n">
        <f aca="false">E291+Y291*TASA_USADA</f>
        <v>0</v>
      </c>
      <c r="AB291" s="59" t="n">
        <f aca="false">F291+G291+(X291+Y291)*(1-TASA_USADA)</f>
        <v>0</v>
      </c>
      <c r="AC291" s="60" t="n">
        <f aca="false">Z291*P1_PVP+AA291*P2_PVP</f>
        <v>0</v>
      </c>
      <c r="AD291" s="60" t="n">
        <f aca="false">Z291*P1_CPROD+AA291*P2_CPROD</f>
        <v>0</v>
      </c>
      <c r="AE291" s="60" t="n">
        <f aca="false">IF(ISNUMBER(I291),I291,D291*P1_LOG+E291*P2_LOG)+IF(ISNUMBER(J291),J291,X291*P1_LOG+Y291*P2_LOG)*TASA_USADA</f>
        <v>0</v>
      </c>
      <c r="AF291" s="60" t="n">
        <f aca="false">AB291*COSTE_DEV</f>
        <v>0</v>
      </c>
      <c r="AG291" s="60" t="n">
        <f aca="false">Z291*P1_IVAN+AA291*P2_IVAN-AB291*IVA_DEV</f>
        <v>0</v>
      </c>
      <c r="AH291" s="60" t="n">
        <f aca="false">K291*(1+RECARGO_ADS)</f>
        <v>0</v>
      </c>
      <c r="AI291" s="58" t="n">
        <f aca="false">IF(ISNUMBER(I291),D291+E291+X291+Y291,0)</f>
        <v>0</v>
      </c>
      <c r="AJ291" s="60" t="n">
        <f aca="false">M291*COMISION</f>
        <v>0</v>
      </c>
    </row>
    <row r="292" customFormat="false" ht="15" hidden="false" customHeight="false" outlineLevel="0" collapsed="false">
      <c r="A292" s="53" t="n">
        <v>46586</v>
      </c>
      <c r="B292" s="54"/>
      <c r="C292" s="54"/>
      <c r="D292" s="54"/>
      <c r="E292" s="54"/>
      <c r="F292" s="54"/>
      <c r="G292" s="54"/>
      <c r="H292" s="54"/>
      <c r="I292" s="55"/>
      <c r="J292" s="55"/>
      <c r="K292" s="55"/>
      <c r="L292" s="56"/>
      <c r="M292" s="31" t="n">
        <f aca="false">B292+C292</f>
        <v>0</v>
      </c>
      <c r="N292" s="31" t="n">
        <f aca="false">X292+Y292</f>
        <v>0</v>
      </c>
      <c r="O292" s="32" t="n">
        <f aca="false">B292*P1_PVP+C292*P2_PVP</f>
        <v>0</v>
      </c>
      <c r="P292" s="32" t="str">
        <f aca="false">IF(M292&gt;0,O292/M292,"")</f>
        <v/>
      </c>
      <c r="Q292" s="32" t="str">
        <f aca="false">IF(M292&gt;0,K292/M292,"")</f>
        <v/>
      </c>
      <c r="R292" s="57" t="str">
        <f aca="false">IF(K292&gt;0,O292/K292,"")</f>
        <v/>
      </c>
      <c r="S292" s="34" t="str">
        <f aca="false">IF(D292+E292+F292+G292&gt;0,(D292+E292)/(D292+E292+F292+G292),"")</f>
        <v/>
      </c>
      <c r="T292" s="33" t="n">
        <f aca="false">D292*(P1_PVP-P1_CPROD)+E292*(P2_PVP-P2_CPROD)-IF(ISNUMBER(I292),I292,D292*P1_LOG+E292*P2_LOG)</f>
        <v>0</v>
      </c>
      <c r="U292" s="33" t="n">
        <f aca="false">T292-(D292*P1_IVAN+E292*P2_IVAN)-(F292+G292)*(COSTE_DEV-IVA_DEV)-AH292-AJ292</f>
        <v>0</v>
      </c>
      <c r="V292" s="33" t="n">
        <f aca="false">AC292-AD292-AE292-AF292-AG292-AH292-AJ292</f>
        <v>0</v>
      </c>
      <c r="X292" s="58" t="n">
        <f aca="false">MAX(0,B292-D292-F292)</f>
        <v>0</v>
      </c>
      <c r="Y292" s="58" t="n">
        <f aca="false">MAX(0,C292-E292-G292)</f>
        <v>0</v>
      </c>
      <c r="Z292" s="59" t="n">
        <f aca="false">D292+X292*TASA_USADA</f>
        <v>0</v>
      </c>
      <c r="AA292" s="59" t="n">
        <f aca="false">E292+Y292*TASA_USADA</f>
        <v>0</v>
      </c>
      <c r="AB292" s="59" t="n">
        <f aca="false">F292+G292+(X292+Y292)*(1-TASA_USADA)</f>
        <v>0</v>
      </c>
      <c r="AC292" s="60" t="n">
        <f aca="false">Z292*P1_PVP+AA292*P2_PVP</f>
        <v>0</v>
      </c>
      <c r="AD292" s="60" t="n">
        <f aca="false">Z292*P1_CPROD+AA292*P2_CPROD</f>
        <v>0</v>
      </c>
      <c r="AE292" s="60" t="n">
        <f aca="false">IF(ISNUMBER(I292),I292,D292*P1_LOG+E292*P2_LOG)+IF(ISNUMBER(J292),J292,X292*P1_LOG+Y292*P2_LOG)*TASA_USADA</f>
        <v>0</v>
      </c>
      <c r="AF292" s="60" t="n">
        <f aca="false">AB292*COSTE_DEV</f>
        <v>0</v>
      </c>
      <c r="AG292" s="60" t="n">
        <f aca="false">Z292*P1_IVAN+AA292*P2_IVAN-AB292*IVA_DEV</f>
        <v>0</v>
      </c>
      <c r="AH292" s="60" t="n">
        <f aca="false">K292*(1+RECARGO_ADS)</f>
        <v>0</v>
      </c>
      <c r="AI292" s="58" t="n">
        <f aca="false">IF(ISNUMBER(I292),D292+E292+X292+Y292,0)</f>
        <v>0</v>
      </c>
      <c r="AJ292" s="60" t="n">
        <f aca="false">M292*COMISION</f>
        <v>0</v>
      </c>
    </row>
    <row r="293" customFormat="false" ht="15" hidden="false" customHeight="false" outlineLevel="0" collapsed="false">
      <c r="A293" s="53" t="n">
        <v>46587</v>
      </c>
      <c r="B293" s="54"/>
      <c r="C293" s="54"/>
      <c r="D293" s="54"/>
      <c r="E293" s="54"/>
      <c r="F293" s="54"/>
      <c r="G293" s="54"/>
      <c r="H293" s="54"/>
      <c r="I293" s="55"/>
      <c r="J293" s="55"/>
      <c r="K293" s="55"/>
      <c r="L293" s="56"/>
      <c r="M293" s="31" t="n">
        <f aca="false">B293+C293</f>
        <v>0</v>
      </c>
      <c r="N293" s="31" t="n">
        <f aca="false">X293+Y293</f>
        <v>0</v>
      </c>
      <c r="O293" s="32" t="n">
        <f aca="false">B293*P1_PVP+C293*P2_PVP</f>
        <v>0</v>
      </c>
      <c r="P293" s="32" t="str">
        <f aca="false">IF(M293&gt;0,O293/M293,"")</f>
        <v/>
      </c>
      <c r="Q293" s="32" t="str">
        <f aca="false">IF(M293&gt;0,K293/M293,"")</f>
        <v/>
      </c>
      <c r="R293" s="57" t="str">
        <f aca="false">IF(K293&gt;0,O293/K293,"")</f>
        <v/>
      </c>
      <c r="S293" s="34" t="str">
        <f aca="false">IF(D293+E293+F293+G293&gt;0,(D293+E293)/(D293+E293+F293+G293),"")</f>
        <v/>
      </c>
      <c r="T293" s="33" t="n">
        <f aca="false">D293*(P1_PVP-P1_CPROD)+E293*(P2_PVP-P2_CPROD)-IF(ISNUMBER(I293),I293,D293*P1_LOG+E293*P2_LOG)</f>
        <v>0</v>
      </c>
      <c r="U293" s="33" t="n">
        <f aca="false">T293-(D293*P1_IVAN+E293*P2_IVAN)-(F293+G293)*(COSTE_DEV-IVA_DEV)-AH293-AJ293</f>
        <v>0</v>
      </c>
      <c r="V293" s="33" t="n">
        <f aca="false">AC293-AD293-AE293-AF293-AG293-AH293-AJ293</f>
        <v>0</v>
      </c>
      <c r="X293" s="58" t="n">
        <f aca="false">MAX(0,B293-D293-F293)</f>
        <v>0</v>
      </c>
      <c r="Y293" s="58" t="n">
        <f aca="false">MAX(0,C293-E293-G293)</f>
        <v>0</v>
      </c>
      <c r="Z293" s="59" t="n">
        <f aca="false">D293+X293*TASA_USADA</f>
        <v>0</v>
      </c>
      <c r="AA293" s="59" t="n">
        <f aca="false">E293+Y293*TASA_USADA</f>
        <v>0</v>
      </c>
      <c r="AB293" s="59" t="n">
        <f aca="false">F293+G293+(X293+Y293)*(1-TASA_USADA)</f>
        <v>0</v>
      </c>
      <c r="AC293" s="60" t="n">
        <f aca="false">Z293*P1_PVP+AA293*P2_PVP</f>
        <v>0</v>
      </c>
      <c r="AD293" s="60" t="n">
        <f aca="false">Z293*P1_CPROD+AA293*P2_CPROD</f>
        <v>0</v>
      </c>
      <c r="AE293" s="60" t="n">
        <f aca="false">IF(ISNUMBER(I293),I293,D293*P1_LOG+E293*P2_LOG)+IF(ISNUMBER(J293),J293,X293*P1_LOG+Y293*P2_LOG)*TASA_USADA</f>
        <v>0</v>
      </c>
      <c r="AF293" s="60" t="n">
        <f aca="false">AB293*COSTE_DEV</f>
        <v>0</v>
      </c>
      <c r="AG293" s="60" t="n">
        <f aca="false">Z293*P1_IVAN+AA293*P2_IVAN-AB293*IVA_DEV</f>
        <v>0</v>
      </c>
      <c r="AH293" s="60" t="n">
        <f aca="false">K293*(1+RECARGO_ADS)</f>
        <v>0</v>
      </c>
      <c r="AI293" s="58" t="n">
        <f aca="false">IF(ISNUMBER(I293),D293+E293+X293+Y293,0)</f>
        <v>0</v>
      </c>
      <c r="AJ293" s="60" t="n">
        <f aca="false">M293*COMISION</f>
        <v>0</v>
      </c>
    </row>
    <row r="294" customFormat="false" ht="15" hidden="false" customHeight="false" outlineLevel="0" collapsed="false">
      <c r="A294" s="53" t="n">
        <v>46588</v>
      </c>
      <c r="B294" s="54"/>
      <c r="C294" s="54"/>
      <c r="D294" s="54"/>
      <c r="E294" s="54"/>
      <c r="F294" s="54"/>
      <c r="G294" s="54"/>
      <c r="H294" s="54"/>
      <c r="I294" s="55"/>
      <c r="J294" s="55"/>
      <c r="K294" s="55"/>
      <c r="L294" s="56"/>
      <c r="M294" s="31" t="n">
        <f aca="false">B294+C294</f>
        <v>0</v>
      </c>
      <c r="N294" s="31" t="n">
        <f aca="false">X294+Y294</f>
        <v>0</v>
      </c>
      <c r="O294" s="32" t="n">
        <f aca="false">B294*P1_PVP+C294*P2_PVP</f>
        <v>0</v>
      </c>
      <c r="P294" s="32" t="str">
        <f aca="false">IF(M294&gt;0,O294/M294,"")</f>
        <v/>
      </c>
      <c r="Q294" s="32" t="str">
        <f aca="false">IF(M294&gt;0,K294/M294,"")</f>
        <v/>
      </c>
      <c r="R294" s="57" t="str">
        <f aca="false">IF(K294&gt;0,O294/K294,"")</f>
        <v/>
      </c>
      <c r="S294" s="34" t="str">
        <f aca="false">IF(D294+E294+F294+G294&gt;0,(D294+E294)/(D294+E294+F294+G294),"")</f>
        <v/>
      </c>
      <c r="T294" s="33" t="n">
        <f aca="false">D294*(P1_PVP-P1_CPROD)+E294*(P2_PVP-P2_CPROD)-IF(ISNUMBER(I294),I294,D294*P1_LOG+E294*P2_LOG)</f>
        <v>0</v>
      </c>
      <c r="U294" s="33" t="n">
        <f aca="false">T294-(D294*P1_IVAN+E294*P2_IVAN)-(F294+G294)*(COSTE_DEV-IVA_DEV)-AH294-AJ294</f>
        <v>0</v>
      </c>
      <c r="V294" s="33" t="n">
        <f aca="false">AC294-AD294-AE294-AF294-AG294-AH294-AJ294</f>
        <v>0</v>
      </c>
      <c r="X294" s="58" t="n">
        <f aca="false">MAX(0,B294-D294-F294)</f>
        <v>0</v>
      </c>
      <c r="Y294" s="58" t="n">
        <f aca="false">MAX(0,C294-E294-G294)</f>
        <v>0</v>
      </c>
      <c r="Z294" s="59" t="n">
        <f aca="false">D294+X294*TASA_USADA</f>
        <v>0</v>
      </c>
      <c r="AA294" s="59" t="n">
        <f aca="false">E294+Y294*TASA_USADA</f>
        <v>0</v>
      </c>
      <c r="AB294" s="59" t="n">
        <f aca="false">F294+G294+(X294+Y294)*(1-TASA_USADA)</f>
        <v>0</v>
      </c>
      <c r="AC294" s="60" t="n">
        <f aca="false">Z294*P1_PVP+AA294*P2_PVP</f>
        <v>0</v>
      </c>
      <c r="AD294" s="60" t="n">
        <f aca="false">Z294*P1_CPROD+AA294*P2_CPROD</f>
        <v>0</v>
      </c>
      <c r="AE294" s="60" t="n">
        <f aca="false">IF(ISNUMBER(I294),I294,D294*P1_LOG+E294*P2_LOG)+IF(ISNUMBER(J294),J294,X294*P1_LOG+Y294*P2_LOG)*TASA_USADA</f>
        <v>0</v>
      </c>
      <c r="AF294" s="60" t="n">
        <f aca="false">AB294*COSTE_DEV</f>
        <v>0</v>
      </c>
      <c r="AG294" s="60" t="n">
        <f aca="false">Z294*P1_IVAN+AA294*P2_IVAN-AB294*IVA_DEV</f>
        <v>0</v>
      </c>
      <c r="AH294" s="60" t="n">
        <f aca="false">K294*(1+RECARGO_ADS)</f>
        <v>0</v>
      </c>
      <c r="AI294" s="58" t="n">
        <f aca="false">IF(ISNUMBER(I294),D294+E294+X294+Y294,0)</f>
        <v>0</v>
      </c>
      <c r="AJ294" s="60" t="n">
        <f aca="false">M294*COMISION</f>
        <v>0</v>
      </c>
    </row>
    <row r="295" customFormat="false" ht="15" hidden="false" customHeight="false" outlineLevel="0" collapsed="false">
      <c r="A295" s="53" t="n">
        <v>46589</v>
      </c>
      <c r="B295" s="54"/>
      <c r="C295" s="54"/>
      <c r="D295" s="54"/>
      <c r="E295" s="54"/>
      <c r="F295" s="54"/>
      <c r="G295" s="54"/>
      <c r="H295" s="54"/>
      <c r="I295" s="55"/>
      <c r="J295" s="55"/>
      <c r="K295" s="55"/>
      <c r="L295" s="56"/>
      <c r="M295" s="31" t="n">
        <f aca="false">B295+C295</f>
        <v>0</v>
      </c>
      <c r="N295" s="31" t="n">
        <f aca="false">X295+Y295</f>
        <v>0</v>
      </c>
      <c r="O295" s="32" t="n">
        <f aca="false">B295*P1_PVP+C295*P2_PVP</f>
        <v>0</v>
      </c>
      <c r="P295" s="32" t="str">
        <f aca="false">IF(M295&gt;0,O295/M295,"")</f>
        <v/>
      </c>
      <c r="Q295" s="32" t="str">
        <f aca="false">IF(M295&gt;0,K295/M295,"")</f>
        <v/>
      </c>
      <c r="R295" s="57" t="str">
        <f aca="false">IF(K295&gt;0,O295/K295,"")</f>
        <v/>
      </c>
      <c r="S295" s="34" t="str">
        <f aca="false">IF(D295+E295+F295+G295&gt;0,(D295+E295)/(D295+E295+F295+G295),"")</f>
        <v/>
      </c>
      <c r="T295" s="33" t="n">
        <f aca="false">D295*(P1_PVP-P1_CPROD)+E295*(P2_PVP-P2_CPROD)-IF(ISNUMBER(I295),I295,D295*P1_LOG+E295*P2_LOG)</f>
        <v>0</v>
      </c>
      <c r="U295" s="33" t="n">
        <f aca="false">T295-(D295*P1_IVAN+E295*P2_IVAN)-(F295+G295)*(COSTE_DEV-IVA_DEV)-AH295-AJ295</f>
        <v>0</v>
      </c>
      <c r="V295" s="33" t="n">
        <f aca="false">AC295-AD295-AE295-AF295-AG295-AH295-AJ295</f>
        <v>0</v>
      </c>
      <c r="X295" s="58" t="n">
        <f aca="false">MAX(0,B295-D295-F295)</f>
        <v>0</v>
      </c>
      <c r="Y295" s="58" t="n">
        <f aca="false">MAX(0,C295-E295-G295)</f>
        <v>0</v>
      </c>
      <c r="Z295" s="59" t="n">
        <f aca="false">D295+X295*TASA_USADA</f>
        <v>0</v>
      </c>
      <c r="AA295" s="59" t="n">
        <f aca="false">E295+Y295*TASA_USADA</f>
        <v>0</v>
      </c>
      <c r="AB295" s="59" t="n">
        <f aca="false">F295+G295+(X295+Y295)*(1-TASA_USADA)</f>
        <v>0</v>
      </c>
      <c r="AC295" s="60" t="n">
        <f aca="false">Z295*P1_PVP+AA295*P2_PVP</f>
        <v>0</v>
      </c>
      <c r="AD295" s="60" t="n">
        <f aca="false">Z295*P1_CPROD+AA295*P2_CPROD</f>
        <v>0</v>
      </c>
      <c r="AE295" s="60" t="n">
        <f aca="false">IF(ISNUMBER(I295),I295,D295*P1_LOG+E295*P2_LOG)+IF(ISNUMBER(J295),J295,X295*P1_LOG+Y295*P2_LOG)*TASA_USADA</f>
        <v>0</v>
      </c>
      <c r="AF295" s="60" t="n">
        <f aca="false">AB295*COSTE_DEV</f>
        <v>0</v>
      </c>
      <c r="AG295" s="60" t="n">
        <f aca="false">Z295*P1_IVAN+AA295*P2_IVAN-AB295*IVA_DEV</f>
        <v>0</v>
      </c>
      <c r="AH295" s="60" t="n">
        <f aca="false">K295*(1+RECARGO_ADS)</f>
        <v>0</v>
      </c>
      <c r="AI295" s="58" t="n">
        <f aca="false">IF(ISNUMBER(I295),D295+E295+X295+Y295,0)</f>
        <v>0</v>
      </c>
      <c r="AJ295" s="60" t="n">
        <f aca="false">M295*COMISION</f>
        <v>0</v>
      </c>
    </row>
    <row r="296" customFormat="false" ht="15" hidden="false" customHeight="false" outlineLevel="0" collapsed="false">
      <c r="A296" s="53" t="n">
        <v>46590</v>
      </c>
      <c r="B296" s="54"/>
      <c r="C296" s="54"/>
      <c r="D296" s="54"/>
      <c r="E296" s="54"/>
      <c r="F296" s="54"/>
      <c r="G296" s="54"/>
      <c r="H296" s="54"/>
      <c r="I296" s="55"/>
      <c r="J296" s="55"/>
      <c r="K296" s="55"/>
      <c r="L296" s="56"/>
      <c r="M296" s="31" t="n">
        <f aca="false">B296+C296</f>
        <v>0</v>
      </c>
      <c r="N296" s="31" t="n">
        <f aca="false">X296+Y296</f>
        <v>0</v>
      </c>
      <c r="O296" s="32" t="n">
        <f aca="false">B296*P1_PVP+C296*P2_PVP</f>
        <v>0</v>
      </c>
      <c r="P296" s="32" t="str">
        <f aca="false">IF(M296&gt;0,O296/M296,"")</f>
        <v/>
      </c>
      <c r="Q296" s="32" t="str">
        <f aca="false">IF(M296&gt;0,K296/M296,"")</f>
        <v/>
      </c>
      <c r="R296" s="57" t="str">
        <f aca="false">IF(K296&gt;0,O296/K296,"")</f>
        <v/>
      </c>
      <c r="S296" s="34" t="str">
        <f aca="false">IF(D296+E296+F296+G296&gt;0,(D296+E296)/(D296+E296+F296+G296),"")</f>
        <v/>
      </c>
      <c r="T296" s="33" t="n">
        <f aca="false">D296*(P1_PVP-P1_CPROD)+E296*(P2_PVP-P2_CPROD)-IF(ISNUMBER(I296),I296,D296*P1_LOG+E296*P2_LOG)</f>
        <v>0</v>
      </c>
      <c r="U296" s="33" t="n">
        <f aca="false">T296-(D296*P1_IVAN+E296*P2_IVAN)-(F296+G296)*(COSTE_DEV-IVA_DEV)-AH296-AJ296</f>
        <v>0</v>
      </c>
      <c r="V296" s="33" t="n">
        <f aca="false">AC296-AD296-AE296-AF296-AG296-AH296-AJ296</f>
        <v>0</v>
      </c>
      <c r="X296" s="58" t="n">
        <f aca="false">MAX(0,B296-D296-F296)</f>
        <v>0</v>
      </c>
      <c r="Y296" s="58" t="n">
        <f aca="false">MAX(0,C296-E296-G296)</f>
        <v>0</v>
      </c>
      <c r="Z296" s="59" t="n">
        <f aca="false">D296+X296*TASA_USADA</f>
        <v>0</v>
      </c>
      <c r="AA296" s="59" t="n">
        <f aca="false">E296+Y296*TASA_USADA</f>
        <v>0</v>
      </c>
      <c r="AB296" s="59" t="n">
        <f aca="false">F296+G296+(X296+Y296)*(1-TASA_USADA)</f>
        <v>0</v>
      </c>
      <c r="AC296" s="60" t="n">
        <f aca="false">Z296*P1_PVP+AA296*P2_PVP</f>
        <v>0</v>
      </c>
      <c r="AD296" s="60" t="n">
        <f aca="false">Z296*P1_CPROD+AA296*P2_CPROD</f>
        <v>0</v>
      </c>
      <c r="AE296" s="60" t="n">
        <f aca="false">IF(ISNUMBER(I296),I296,D296*P1_LOG+E296*P2_LOG)+IF(ISNUMBER(J296),J296,X296*P1_LOG+Y296*P2_LOG)*TASA_USADA</f>
        <v>0</v>
      </c>
      <c r="AF296" s="60" t="n">
        <f aca="false">AB296*COSTE_DEV</f>
        <v>0</v>
      </c>
      <c r="AG296" s="60" t="n">
        <f aca="false">Z296*P1_IVAN+AA296*P2_IVAN-AB296*IVA_DEV</f>
        <v>0</v>
      </c>
      <c r="AH296" s="60" t="n">
        <f aca="false">K296*(1+RECARGO_ADS)</f>
        <v>0</v>
      </c>
      <c r="AI296" s="58" t="n">
        <f aca="false">IF(ISNUMBER(I296),D296+E296+X296+Y296,0)</f>
        <v>0</v>
      </c>
      <c r="AJ296" s="60" t="n">
        <f aca="false">M296*COMISION</f>
        <v>0</v>
      </c>
    </row>
    <row r="297" customFormat="false" ht="15" hidden="false" customHeight="false" outlineLevel="0" collapsed="false">
      <c r="A297" s="53" t="n">
        <v>46591</v>
      </c>
      <c r="B297" s="54"/>
      <c r="C297" s="54"/>
      <c r="D297" s="54"/>
      <c r="E297" s="54"/>
      <c r="F297" s="54"/>
      <c r="G297" s="54"/>
      <c r="H297" s="54"/>
      <c r="I297" s="55"/>
      <c r="J297" s="55"/>
      <c r="K297" s="55"/>
      <c r="L297" s="56"/>
      <c r="M297" s="31" t="n">
        <f aca="false">B297+C297</f>
        <v>0</v>
      </c>
      <c r="N297" s="31" t="n">
        <f aca="false">X297+Y297</f>
        <v>0</v>
      </c>
      <c r="O297" s="32" t="n">
        <f aca="false">B297*P1_PVP+C297*P2_PVP</f>
        <v>0</v>
      </c>
      <c r="P297" s="32" t="str">
        <f aca="false">IF(M297&gt;0,O297/M297,"")</f>
        <v/>
      </c>
      <c r="Q297" s="32" t="str">
        <f aca="false">IF(M297&gt;0,K297/M297,"")</f>
        <v/>
      </c>
      <c r="R297" s="57" t="str">
        <f aca="false">IF(K297&gt;0,O297/K297,"")</f>
        <v/>
      </c>
      <c r="S297" s="34" t="str">
        <f aca="false">IF(D297+E297+F297+G297&gt;0,(D297+E297)/(D297+E297+F297+G297),"")</f>
        <v/>
      </c>
      <c r="T297" s="33" t="n">
        <f aca="false">D297*(P1_PVP-P1_CPROD)+E297*(P2_PVP-P2_CPROD)-IF(ISNUMBER(I297),I297,D297*P1_LOG+E297*P2_LOG)</f>
        <v>0</v>
      </c>
      <c r="U297" s="33" t="n">
        <f aca="false">T297-(D297*P1_IVAN+E297*P2_IVAN)-(F297+G297)*(COSTE_DEV-IVA_DEV)-AH297-AJ297</f>
        <v>0</v>
      </c>
      <c r="V297" s="33" t="n">
        <f aca="false">AC297-AD297-AE297-AF297-AG297-AH297-AJ297</f>
        <v>0</v>
      </c>
      <c r="X297" s="58" t="n">
        <f aca="false">MAX(0,B297-D297-F297)</f>
        <v>0</v>
      </c>
      <c r="Y297" s="58" t="n">
        <f aca="false">MAX(0,C297-E297-G297)</f>
        <v>0</v>
      </c>
      <c r="Z297" s="59" t="n">
        <f aca="false">D297+X297*TASA_USADA</f>
        <v>0</v>
      </c>
      <c r="AA297" s="59" t="n">
        <f aca="false">E297+Y297*TASA_USADA</f>
        <v>0</v>
      </c>
      <c r="AB297" s="59" t="n">
        <f aca="false">F297+G297+(X297+Y297)*(1-TASA_USADA)</f>
        <v>0</v>
      </c>
      <c r="AC297" s="60" t="n">
        <f aca="false">Z297*P1_PVP+AA297*P2_PVP</f>
        <v>0</v>
      </c>
      <c r="AD297" s="60" t="n">
        <f aca="false">Z297*P1_CPROD+AA297*P2_CPROD</f>
        <v>0</v>
      </c>
      <c r="AE297" s="60" t="n">
        <f aca="false">IF(ISNUMBER(I297),I297,D297*P1_LOG+E297*P2_LOG)+IF(ISNUMBER(J297),J297,X297*P1_LOG+Y297*P2_LOG)*TASA_USADA</f>
        <v>0</v>
      </c>
      <c r="AF297" s="60" t="n">
        <f aca="false">AB297*COSTE_DEV</f>
        <v>0</v>
      </c>
      <c r="AG297" s="60" t="n">
        <f aca="false">Z297*P1_IVAN+AA297*P2_IVAN-AB297*IVA_DEV</f>
        <v>0</v>
      </c>
      <c r="AH297" s="60" t="n">
        <f aca="false">K297*(1+RECARGO_ADS)</f>
        <v>0</v>
      </c>
      <c r="AI297" s="58" t="n">
        <f aca="false">IF(ISNUMBER(I297),D297+E297+X297+Y297,0)</f>
        <v>0</v>
      </c>
      <c r="AJ297" s="60" t="n">
        <f aca="false">M297*COMISION</f>
        <v>0</v>
      </c>
    </row>
    <row r="298" customFormat="false" ht="15" hidden="false" customHeight="false" outlineLevel="0" collapsed="false">
      <c r="A298" s="53" t="n">
        <v>46592</v>
      </c>
      <c r="B298" s="54"/>
      <c r="C298" s="54"/>
      <c r="D298" s="54"/>
      <c r="E298" s="54"/>
      <c r="F298" s="54"/>
      <c r="G298" s="54"/>
      <c r="H298" s="54"/>
      <c r="I298" s="55"/>
      <c r="J298" s="55"/>
      <c r="K298" s="55"/>
      <c r="L298" s="56"/>
      <c r="M298" s="31" t="n">
        <f aca="false">B298+C298</f>
        <v>0</v>
      </c>
      <c r="N298" s="31" t="n">
        <f aca="false">X298+Y298</f>
        <v>0</v>
      </c>
      <c r="O298" s="32" t="n">
        <f aca="false">B298*P1_PVP+C298*P2_PVP</f>
        <v>0</v>
      </c>
      <c r="P298" s="32" t="str">
        <f aca="false">IF(M298&gt;0,O298/M298,"")</f>
        <v/>
      </c>
      <c r="Q298" s="32" t="str">
        <f aca="false">IF(M298&gt;0,K298/M298,"")</f>
        <v/>
      </c>
      <c r="R298" s="57" t="str">
        <f aca="false">IF(K298&gt;0,O298/K298,"")</f>
        <v/>
      </c>
      <c r="S298" s="34" t="str">
        <f aca="false">IF(D298+E298+F298+G298&gt;0,(D298+E298)/(D298+E298+F298+G298),"")</f>
        <v/>
      </c>
      <c r="T298" s="33" t="n">
        <f aca="false">D298*(P1_PVP-P1_CPROD)+E298*(P2_PVP-P2_CPROD)-IF(ISNUMBER(I298),I298,D298*P1_LOG+E298*P2_LOG)</f>
        <v>0</v>
      </c>
      <c r="U298" s="33" t="n">
        <f aca="false">T298-(D298*P1_IVAN+E298*P2_IVAN)-(F298+G298)*(COSTE_DEV-IVA_DEV)-AH298-AJ298</f>
        <v>0</v>
      </c>
      <c r="V298" s="33" t="n">
        <f aca="false">AC298-AD298-AE298-AF298-AG298-AH298-AJ298</f>
        <v>0</v>
      </c>
      <c r="X298" s="58" t="n">
        <f aca="false">MAX(0,B298-D298-F298)</f>
        <v>0</v>
      </c>
      <c r="Y298" s="58" t="n">
        <f aca="false">MAX(0,C298-E298-G298)</f>
        <v>0</v>
      </c>
      <c r="Z298" s="59" t="n">
        <f aca="false">D298+X298*TASA_USADA</f>
        <v>0</v>
      </c>
      <c r="AA298" s="59" t="n">
        <f aca="false">E298+Y298*TASA_USADA</f>
        <v>0</v>
      </c>
      <c r="AB298" s="59" t="n">
        <f aca="false">F298+G298+(X298+Y298)*(1-TASA_USADA)</f>
        <v>0</v>
      </c>
      <c r="AC298" s="60" t="n">
        <f aca="false">Z298*P1_PVP+AA298*P2_PVP</f>
        <v>0</v>
      </c>
      <c r="AD298" s="60" t="n">
        <f aca="false">Z298*P1_CPROD+AA298*P2_CPROD</f>
        <v>0</v>
      </c>
      <c r="AE298" s="60" t="n">
        <f aca="false">IF(ISNUMBER(I298),I298,D298*P1_LOG+E298*P2_LOG)+IF(ISNUMBER(J298),J298,X298*P1_LOG+Y298*P2_LOG)*TASA_USADA</f>
        <v>0</v>
      </c>
      <c r="AF298" s="60" t="n">
        <f aca="false">AB298*COSTE_DEV</f>
        <v>0</v>
      </c>
      <c r="AG298" s="60" t="n">
        <f aca="false">Z298*P1_IVAN+AA298*P2_IVAN-AB298*IVA_DEV</f>
        <v>0</v>
      </c>
      <c r="AH298" s="60" t="n">
        <f aca="false">K298*(1+RECARGO_ADS)</f>
        <v>0</v>
      </c>
      <c r="AI298" s="58" t="n">
        <f aca="false">IF(ISNUMBER(I298),D298+E298+X298+Y298,0)</f>
        <v>0</v>
      </c>
      <c r="AJ298" s="60" t="n">
        <f aca="false">M298*COMISION</f>
        <v>0</v>
      </c>
    </row>
    <row r="299" customFormat="false" ht="15" hidden="false" customHeight="false" outlineLevel="0" collapsed="false">
      <c r="A299" s="53" t="n">
        <v>46593</v>
      </c>
      <c r="B299" s="54"/>
      <c r="C299" s="54"/>
      <c r="D299" s="54"/>
      <c r="E299" s="54"/>
      <c r="F299" s="54"/>
      <c r="G299" s="54"/>
      <c r="H299" s="54"/>
      <c r="I299" s="55"/>
      <c r="J299" s="55"/>
      <c r="K299" s="55"/>
      <c r="L299" s="56"/>
      <c r="M299" s="31" t="n">
        <f aca="false">B299+C299</f>
        <v>0</v>
      </c>
      <c r="N299" s="31" t="n">
        <f aca="false">X299+Y299</f>
        <v>0</v>
      </c>
      <c r="O299" s="32" t="n">
        <f aca="false">B299*P1_PVP+C299*P2_PVP</f>
        <v>0</v>
      </c>
      <c r="P299" s="32" t="str">
        <f aca="false">IF(M299&gt;0,O299/M299,"")</f>
        <v/>
      </c>
      <c r="Q299" s="32" t="str">
        <f aca="false">IF(M299&gt;0,K299/M299,"")</f>
        <v/>
      </c>
      <c r="R299" s="57" t="str">
        <f aca="false">IF(K299&gt;0,O299/K299,"")</f>
        <v/>
      </c>
      <c r="S299" s="34" t="str">
        <f aca="false">IF(D299+E299+F299+G299&gt;0,(D299+E299)/(D299+E299+F299+G299),"")</f>
        <v/>
      </c>
      <c r="T299" s="33" t="n">
        <f aca="false">D299*(P1_PVP-P1_CPROD)+E299*(P2_PVP-P2_CPROD)-IF(ISNUMBER(I299),I299,D299*P1_LOG+E299*P2_LOG)</f>
        <v>0</v>
      </c>
      <c r="U299" s="33" t="n">
        <f aca="false">T299-(D299*P1_IVAN+E299*P2_IVAN)-(F299+G299)*(COSTE_DEV-IVA_DEV)-AH299-AJ299</f>
        <v>0</v>
      </c>
      <c r="V299" s="33" t="n">
        <f aca="false">AC299-AD299-AE299-AF299-AG299-AH299-AJ299</f>
        <v>0</v>
      </c>
      <c r="X299" s="58" t="n">
        <f aca="false">MAX(0,B299-D299-F299)</f>
        <v>0</v>
      </c>
      <c r="Y299" s="58" t="n">
        <f aca="false">MAX(0,C299-E299-G299)</f>
        <v>0</v>
      </c>
      <c r="Z299" s="59" t="n">
        <f aca="false">D299+X299*TASA_USADA</f>
        <v>0</v>
      </c>
      <c r="AA299" s="59" t="n">
        <f aca="false">E299+Y299*TASA_USADA</f>
        <v>0</v>
      </c>
      <c r="AB299" s="59" t="n">
        <f aca="false">F299+G299+(X299+Y299)*(1-TASA_USADA)</f>
        <v>0</v>
      </c>
      <c r="AC299" s="60" t="n">
        <f aca="false">Z299*P1_PVP+AA299*P2_PVP</f>
        <v>0</v>
      </c>
      <c r="AD299" s="60" t="n">
        <f aca="false">Z299*P1_CPROD+AA299*P2_CPROD</f>
        <v>0</v>
      </c>
      <c r="AE299" s="60" t="n">
        <f aca="false">IF(ISNUMBER(I299),I299,D299*P1_LOG+E299*P2_LOG)+IF(ISNUMBER(J299),J299,X299*P1_LOG+Y299*P2_LOG)*TASA_USADA</f>
        <v>0</v>
      </c>
      <c r="AF299" s="60" t="n">
        <f aca="false">AB299*COSTE_DEV</f>
        <v>0</v>
      </c>
      <c r="AG299" s="60" t="n">
        <f aca="false">Z299*P1_IVAN+AA299*P2_IVAN-AB299*IVA_DEV</f>
        <v>0</v>
      </c>
      <c r="AH299" s="60" t="n">
        <f aca="false">K299*(1+RECARGO_ADS)</f>
        <v>0</v>
      </c>
      <c r="AI299" s="58" t="n">
        <f aca="false">IF(ISNUMBER(I299),D299+E299+X299+Y299,0)</f>
        <v>0</v>
      </c>
      <c r="AJ299" s="60" t="n">
        <f aca="false">M299*COMISION</f>
        <v>0</v>
      </c>
    </row>
    <row r="300" customFormat="false" ht="15" hidden="false" customHeight="false" outlineLevel="0" collapsed="false">
      <c r="A300" s="53" t="n">
        <v>46594</v>
      </c>
      <c r="B300" s="54"/>
      <c r="C300" s="54"/>
      <c r="D300" s="54"/>
      <c r="E300" s="54"/>
      <c r="F300" s="54"/>
      <c r="G300" s="54"/>
      <c r="H300" s="54"/>
      <c r="I300" s="55"/>
      <c r="J300" s="55"/>
      <c r="K300" s="55"/>
      <c r="L300" s="56"/>
      <c r="M300" s="31" t="n">
        <f aca="false">B300+C300</f>
        <v>0</v>
      </c>
      <c r="N300" s="31" t="n">
        <f aca="false">X300+Y300</f>
        <v>0</v>
      </c>
      <c r="O300" s="32" t="n">
        <f aca="false">B300*P1_PVP+C300*P2_PVP</f>
        <v>0</v>
      </c>
      <c r="P300" s="32" t="str">
        <f aca="false">IF(M300&gt;0,O300/M300,"")</f>
        <v/>
      </c>
      <c r="Q300" s="32" t="str">
        <f aca="false">IF(M300&gt;0,K300/M300,"")</f>
        <v/>
      </c>
      <c r="R300" s="57" t="str">
        <f aca="false">IF(K300&gt;0,O300/K300,"")</f>
        <v/>
      </c>
      <c r="S300" s="34" t="str">
        <f aca="false">IF(D300+E300+F300+G300&gt;0,(D300+E300)/(D300+E300+F300+G300),"")</f>
        <v/>
      </c>
      <c r="T300" s="33" t="n">
        <f aca="false">D300*(P1_PVP-P1_CPROD)+E300*(P2_PVP-P2_CPROD)-IF(ISNUMBER(I300),I300,D300*P1_LOG+E300*P2_LOG)</f>
        <v>0</v>
      </c>
      <c r="U300" s="33" t="n">
        <f aca="false">T300-(D300*P1_IVAN+E300*P2_IVAN)-(F300+G300)*(COSTE_DEV-IVA_DEV)-AH300-AJ300</f>
        <v>0</v>
      </c>
      <c r="V300" s="33" t="n">
        <f aca="false">AC300-AD300-AE300-AF300-AG300-AH300-AJ300</f>
        <v>0</v>
      </c>
      <c r="X300" s="58" t="n">
        <f aca="false">MAX(0,B300-D300-F300)</f>
        <v>0</v>
      </c>
      <c r="Y300" s="58" t="n">
        <f aca="false">MAX(0,C300-E300-G300)</f>
        <v>0</v>
      </c>
      <c r="Z300" s="59" t="n">
        <f aca="false">D300+X300*TASA_USADA</f>
        <v>0</v>
      </c>
      <c r="AA300" s="59" t="n">
        <f aca="false">E300+Y300*TASA_USADA</f>
        <v>0</v>
      </c>
      <c r="AB300" s="59" t="n">
        <f aca="false">F300+G300+(X300+Y300)*(1-TASA_USADA)</f>
        <v>0</v>
      </c>
      <c r="AC300" s="60" t="n">
        <f aca="false">Z300*P1_PVP+AA300*P2_PVP</f>
        <v>0</v>
      </c>
      <c r="AD300" s="60" t="n">
        <f aca="false">Z300*P1_CPROD+AA300*P2_CPROD</f>
        <v>0</v>
      </c>
      <c r="AE300" s="60" t="n">
        <f aca="false">IF(ISNUMBER(I300),I300,D300*P1_LOG+E300*P2_LOG)+IF(ISNUMBER(J300),J300,X300*P1_LOG+Y300*P2_LOG)*TASA_USADA</f>
        <v>0</v>
      </c>
      <c r="AF300" s="60" t="n">
        <f aca="false">AB300*COSTE_DEV</f>
        <v>0</v>
      </c>
      <c r="AG300" s="60" t="n">
        <f aca="false">Z300*P1_IVAN+AA300*P2_IVAN-AB300*IVA_DEV</f>
        <v>0</v>
      </c>
      <c r="AH300" s="60" t="n">
        <f aca="false">K300*(1+RECARGO_ADS)</f>
        <v>0</v>
      </c>
      <c r="AI300" s="58" t="n">
        <f aca="false">IF(ISNUMBER(I300),D300+E300+X300+Y300,0)</f>
        <v>0</v>
      </c>
      <c r="AJ300" s="60" t="n">
        <f aca="false">M300*COMISION</f>
        <v>0</v>
      </c>
    </row>
    <row r="301" customFormat="false" ht="15" hidden="false" customHeight="false" outlineLevel="0" collapsed="false">
      <c r="A301" s="53" t="n">
        <v>46595</v>
      </c>
      <c r="B301" s="54"/>
      <c r="C301" s="54"/>
      <c r="D301" s="54"/>
      <c r="E301" s="54"/>
      <c r="F301" s="54"/>
      <c r="G301" s="54"/>
      <c r="H301" s="54"/>
      <c r="I301" s="55"/>
      <c r="J301" s="55"/>
      <c r="K301" s="55"/>
      <c r="L301" s="56"/>
      <c r="M301" s="31" t="n">
        <f aca="false">B301+C301</f>
        <v>0</v>
      </c>
      <c r="N301" s="31" t="n">
        <f aca="false">X301+Y301</f>
        <v>0</v>
      </c>
      <c r="O301" s="32" t="n">
        <f aca="false">B301*P1_PVP+C301*P2_PVP</f>
        <v>0</v>
      </c>
      <c r="P301" s="32" t="str">
        <f aca="false">IF(M301&gt;0,O301/M301,"")</f>
        <v/>
      </c>
      <c r="Q301" s="32" t="str">
        <f aca="false">IF(M301&gt;0,K301/M301,"")</f>
        <v/>
      </c>
      <c r="R301" s="57" t="str">
        <f aca="false">IF(K301&gt;0,O301/K301,"")</f>
        <v/>
      </c>
      <c r="S301" s="34" t="str">
        <f aca="false">IF(D301+E301+F301+G301&gt;0,(D301+E301)/(D301+E301+F301+G301),"")</f>
        <v/>
      </c>
      <c r="T301" s="33" t="n">
        <f aca="false">D301*(P1_PVP-P1_CPROD)+E301*(P2_PVP-P2_CPROD)-IF(ISNUMBER(I301),I301,D301*P1_LOG+E301*P2_LOG)</f>
        <v>0</v>
      </c>
      <c r="U301" s="33" t="n">
        <f aca="false">T301-(D301*P1_IVAN+E301*P2_IVAN)-(F301+G301)*(COSTE_DEV-IVA_DEV)-AH301-AJ301</f>
        <v>0</v>
      </c>
      <c r="V301" s="33" t="n">
        <f aca="false">AC301-AD301-AE301-AF301-AG301-AH301-AJ301</f>
        <v>0</v>
      </c>
      <c r="X301" s="58" t="n">
        <f aca="false">MAX(0,B301-D301-F301)</f>
        <v>0</v>
      </c>
      <c r="Y301" s="58" t="n">
        <f aca="false">MAX(0,C301-E301-G301)</f>
        <v>0</v>
      </c>
      <c r="Z301" s="59" t="n">
        <f aca="false">D301+X301*TASA_USADA</f>
        <v>0</v>
      </c>
      <c r="AA301" s="59" t="n">
        <f aca="false">E301+Y301*TASA_USADA</f>
        <v>0</v>
      </c>
      <c r="AB301" s="59" t="n">
        <f aca="false">F301+G301+(X301+Y301)*(1-TASA_USADA)</f>
        <v>0</v>
      </c>
      <c r="AC301" s="60" t="n">
        <f aca="false">Z301*P1_PVP+AA301*P2_PVP</f>
        <v>0</v>
      </c>
      <c r="AD301" s="60" t="n">
        <f aca="false">Z301*P1_CPROD+AA301*P2_CPROD</f>
        <v>0</v>
      </c>
      <c r="AE301" s="60" t="n">
        <f aca="false">IF(ISNUMBER(I301),I301,D301*P1_LOG+E301*P2_LOG)+IF(ISNUMBER(J301),J301,X301*P1_LOG+Y301*P2_LOG)*TASA_USADA</f>
        <v>0</v>
      </c>
      <c r="AF301" s="60" t="n">
        <f aca="false">AB301*COSTE_DEV</f>
        <v>0</v>
      </c>
      <c r="AG301" s="60" t="n">
        <f aca="false">Z301*P1_IVAN+AA301*P2_IVAN-AB301*IVA_DEV</f>
        <v>0</v>
      </c>
      <c r="AH301" s="60" t="n">
        <f aca="false">K301*(1+RECARGO_ADS)</f>
        <v>0</v>
      </c>
      <c r="AI301" s="58" t="n">
        <f aca="false">IF(ISNUMBER(I301),D301+E301+X301+Y301,0)</f>
        <v>0</v>
      </c>
      <c r="AJ301" s="60" t="n">
        <f aca="false">M301*COMISION</f>
        <v>0</v>
      </c>
    </row>
    <row r="302" customFormat="false" ht="15" hidden="false" customHeight="false" outlineLevel="0" collapsed="false">
      <c r="A302" s="53" t="n">
        <v>46596</v>
      </c>
      <c r="B302" s="54"/>
      <c r="C302" s="54"/>
      <c r="D302" s="54"/>
      <c r="E302" s="54"/>
      <c r="F302" s="54"/>
      <c r="G302" s="54"/>
      <c r="H302" s="54"/>
      <c r="I302" s="55"/>
      <c r="J302" s="55"/>
      <c r="K302" s="55"/>
      <c r="L302" s="56"/>
      <c r="M302" s="31" t="n">
        <f aca="false">B302+C302</f>
        <v>0</v>
      </c>
      <c r="N302" s="31" t="n">
        <f aca="false">X302+Y302</f>
        <v>0</v>
      </c>
      <c r="O302" s="32" t="n">
        <f aca="false">B302*P1_PVP+C302*P2_PVP</f>
        <v>0</v>
      </c>
      <c r="P302" s="32" t="str">
        <f aca="false">IF(M302&gt;0,O302/M302,"")</f>
        <v/>
      </c>
      <c r="Q302" s="32" t="str">
        <f aca="false">IF(M302&gt;0,K302/M302,"")</f>
        <v/>
      </c>
      <c r="R302" s="57" t="str">
        <f aca="false">IF(K302&gt;0,O302/K302,"")</f>
        <v/>
      </c>
      <c r="S302" s="34" t="str">
        <f aca="false">IF(D302+E302+F302+G302&gt;0,(D302+E302)/(D302+E302+F302+G302),"")</f>
        <v/>
      </c>
      <c r="T302" s="33" t="n">
        <f aca="false">D302*(P1_PVP-P1_CPROD)+E302*(P2_PVP-P2_CPROD)-IF(ISNUMBER(I302),I302,D302*P1_LOG+E302*P2_LOG)</f>
        <v>0</v>
      </c>
      <c r="U302" s="33" t="n">
        <f aca="false">T302-(D302*P1_IVAN+E302*P2_IVAN)-(F302+G302)*(COSTE_DEV-IVA_DEV)-AH302-AJ302</f>
        <v>0</v>
      </c>
      <c r="V302" s="33" t="n">
        <f aca="false">AC302-AD302-AE302-AF302-AG302-AH302-AJ302</f>
        <v>0</v>
      </c>
      <c r="X302" s="58" t="n">
        <f aca="false">MAX(0,B302-D302-F302)</f>
        <v>0</v>
      </c>
      <c r="Y302" s="58" t="n">
        <f aca="false">MAX(0,C302-E302-G302)</f>
        <v>0</v>
      </c>
      <c r="Z302" s="59" t="n">
        <f aca="false">D302+X302*TASA_USADA</f>
        <v>0</v>
      </c>
      <c r="AA302" s="59" t="n">
        <f aca="false">E302+Y302*TASA_USADA</f>
        <v>0</v>
      </c>
      <c r="AB302" s="59" t="n">
        <f aca="false">F302+G302+(X302+Y302)*(1-TASA_USADA)</f>
        <v>0</v>
      </c>
      <c r="AC302" s="60" t="n">
        <f aca="false">Z302*P1_PVP+AA302*P2_PVP</f>
        <v>0</v>
      </c>
      <c r="AD302" s="60" t="n">
        <f aca="false">Z302*P1_CPROD+AA302*P2_CPROD</f>
        <v>0</v>
      </c>
      <c r="AE302" s="60" t="n">
        <f aca="false">IF(ISNUMBER(I302),I302,D302*P1_LOG+E302*P2_LOG)+IF(ISNUMBER(J302),J302,X302*P1_LOG+Y302*P2_LOG)*TASA_USADA</f>
        <v>0</v>
      </c>
      <c r="AF302" s="60" t="n">
        <f aca="false">AB302*COSTE_DEV</f>
        <v>0</v>
      </c>
      <c r="AG302" s="60" t="n">
        <f aca="false">Z302*P1_IVAN+AA302*P2_IVAN-AB302*IVA_DEV</f>
        <v>0</v>
      </c>
      <c r="AH302" s="60" t="n">
        <f aca="false">K302*(1+RECARGO_ADS)</f>
        <v>0</v>
      </c>
      <c r="AI302" s="58" t="n">
        <f aca="false">IF(ISNUMBER(I302),D302+E302+X302+Y302,0)</f>
        <v>0</v>
      </c>
      <c r="AJ302" s="60" t="n">
        <f aca="false">M302*COMISION</f>
        <v>0</v>
      </c>
    </row>
    <row r="303" customFormat="false" ht="15" hidden="false" customHeight="false" outlineLevel="0" collapsed="false">
      <c r="A303" s="53" t="n">
        <v>46597</v>
      </c>
      <c r="B303" s="54"/>
      <c r="C303" s="54"/>
      <c r="D303" s="54"/>
      <c r="E303" s="54"/>
      <c r="F303" s="54"/>
      <c r="G303" s="54"/>
      <c r="H303" s="54"/>
      <c r="I303" s="55"/>
      <c r="J303" s="55"/>
      <c r="K303" s="55"/>
      <c r="L303" s="56"/>
      <c r="M303" s="31" t="n">
        <f aca="false">B303+C303</f>
        <v>0</v>
      </c>
      <c r="N303" s="31" t="n">
        <f aca="false">X303+Y303</f>
        <v>0</v>
      </c>
      <c r="O303" s="32" t="n">
        <f aca="false">B303*P1_PVP+C303*P2_PVP</f>
        <v>0</v>
      </c>
      <c r="P303" s="32" t="str">
        <f aca="false">IF(M303&gt;0,O303/M303,"")</f>
        <v/>
      </c>
      <c r="Q303" s="32" t="str">
        <f aca="false">IF(M303&gt;0,K303/M303,"")</f>
        <v/>
      </c>
      <c r="R303" s="57" t="str">
        <f aca="false">IF(K303&gt;0,O303/K303,"")</f>
        <v/>
      </c>
      <c r="S303" s="34" t="str">
        <f aca="false">IF(D303+E303+F303+G303&gt;0,(D303+E303)/(D303+E303+F303+G303),"")</f>
        <v/>
      </c>
      <c r="T303" s="33" t="n">
        <f aca="false">D303*(P1_PVP-P1_CPROD)+E303*(P2_PVP-P2_CPROD)-IF(ISNUMBER(I303),I303,D303*P1_LOG+E303*P2_LOG)</f>
        <v>0</v>
      </c>
      <c r="U303" s="33" t="n">
        <f aca="false">T303-(D303*P1_IVAN+E303*P2_IVAN)-(F303+G303)*(COSTE_DEV-IVA_DEV)-AH303-AJ303</f>
        <v>0</v>
      </c>
      <c r="V303" s="33" t="n">
        <f aca="false">AC303-AD303-AE303-AF303-AG303-AH303-AJ303</f>
        <v>0</v>
      </c>
      <c r="X303" s="58" t="n">
        <f aca="false">MAX(0,B303-D303-F303)</f>
        <v>0</v>
      </c>
      <c r="Y303" s="58" t="n">
        <f aca="false">MAX(0,C303-E303-G303)</f>
        <v>0</v>
      </c>
      <c r="Z303" s="59" t="n">
        <f aca="false">D303+X303*TASA_USADA</f>
        <v>0</v>
      </c>
      <c r="AA303" s="59" t="n">
        <f aca="false">E303+Y303*TASA_USADA</f>
        <v>0</v>
      </c>
      <c r="AB303" s="59" t="n">
        <f aca="false">F303+G303+(X303+Y303)*(1-TASA_USADA)</f>
        <v>0</v>
      </c>
      <c r="AC303" s="60" t="n">
        <f aca="false">Z303*P1_PVP+AA303*P2_PVP</f>
        <v>0</v>
      </c>
      <c r="AD303" s="60" t="n">
        <f aca="false">Z303*P1_CPROD+AA303*P2_CPROD</f>
        <v>0</v>
      </c>
      <c r="AE303" s="60" t="n">
        <f aca="false">IF(ISNUMBER(I303),I303,D303*P1_LOG+E303*P2_LOG)+IF(ISNUMBER(J303),J303,X303*P1_LOG+Y303*P2_LOG)*TASA_USADA</f>
        <v>0</v>
      </c>
      <c r="AF303" s="60" t="n">
        <f aca="false">AB303*COSTE_DEV</f>
        <v>0</v>
      </c>
      <c r="AG303" s="60" t="n">
        <f aca="false">Z303*P1_IVAN+AA303*P2_IVAN-AB303*IVA_DEV</f>
        <v>0</v>
      </c>
      <c r="AH303" s="60" t="n">
        <f aca="false">K303*(1+RECARGO_ADS)</f>
        <v>0</v>
      </c>
      <c r="AI303" s="58" t="n">
        <f aca="false">IF(ISNUMBER(I303),D303+E303+X303+Y303,0)</f>
        <v>0</v>
      </c>
      <c r="AJ303" s="60" t="n">
        <f aca="false">M303*COMISION</f>
        <v>0</v>
      </c>
    </row>
    <row r="304" customFormat="false" ht="15" hidden="false" customHeight="false" outlineLevel="0" collapsed="false">
      <c r="A304" s="53" t="n">
        <v>46598</v>
      </c>
      <c r="B304" s="54"/>
      <c r="C304" s="54"/>
      <c r="D304" s="54"/>
      <c r="E304" s="54"/>
      <c r="F304" s="54"/>
      <c r="G304" s="54"/>
      <c r="H304" s="54"/>
      <c r="I304" s="55"/>
      <c r="J304" s="55"/>
      <c r="K304" s="55"/>
      <c r="L304" s="56"/>
      <c r="M304" s="31" t="n">
        <f aca="false">B304+C304</f>
        <v>0</v>
      </c>
      <c r="N304" s="31" t="n">
        <f aca="false">X304+Y304</f>
        <v>0</v>
      </c>
      <c r="O304" s="32" t="n">
        <f aca="false">B304*P1_PVP+C304*P2_PVP</f>
        <v>0</v>
      </c>
      <c r="P304" s="32" t="str">
        <f aca="false">IF(M304&gt;0,O304/M304,"")</f>
        <v/>
      </c>
      <c r="Q304" s="32" t="str">
        <f aca="false">IF(M304&gt;0,K304/M304,"")</f>
        <v/>
      </c>
      <c r="R304" s="57" t="str">
        <f aca="false">IF(K304&gt;0,O304/K304,"")</f>
        <v/>
      </c>
      <c r="S304" s="34" t="str">
        <f aca="false">IF(D304+E304+F304+G304&gt;0,(D304+E304)/(D304+E304+F304+G304),"")</f>
        <v/>
      </c>
      <c r="T304" s="33" t="n">
        <f aca="false">D304*(P1_PVP-P1_CPROD)+E304*(P2_PVP-P2_CPROD)-IF(ISNUMBER(I304),I304,D304*P1_LOG+E304*P2_LOG)</f>
        <v>0</v>
      </c>
      <c r="U304" s="33" t="n">
        <f aca="false">T304-(D304*P1_IVAN+E304*P2_IVAN)-(F304+G304)*(COSTE_DEV-IVA_DEV)-AH304-AJ304</f>
        <v>0</v>
      </c>
      <c r="V304" s="33" t="n">
        <f aca="false">AC304-AD304-AE304-AF304-AG304-AH304-AJ304</f>
        <v>0</v>
      </c>
      <c r="X304" s="58" t="n">
        <f aca="false">MAX(0,B304-D304-F304)</f>
        <v>0</v>
      </c>
      <c r="Y304" s="58" t="n">
        <f aca="false">MAX(0,C304-E304-G304)</f>
        <v>0</v>
      </c>
      <c r="Z304" s="59" t="n">
        <f aca="false">D304+X304*TASA_USADA</f>
        <v>0</v>
      </c>
      <c r="AA304" s="59" t="n">
        <f aca="false">E304+Y304*TASA_USADA</f>
        <v>0</v>
      </c>
      <c r="AB304" s="59" t="n">
        <f aca="false">F304+G304+(X304+Y304)*(1-TASA_USADA)</f>
        <v>0</v>
      </c>
      <c r="AC304" s="60" t="n">
        <f aca="false">Z304*P1_PVP+AA304*P2_PVP</f>
        <v>0</v>
      </c>
      <c r="AD304" s="60" t="n">
        <f aca="false">Z304*P1_CPROD+AA304*P2_CPROD</f>
        <v>0</v>
      </c>
      <c r="AE304" s="60" t="n">
        <f aca="false">IF(ISNUMBER(I304),I304,D304*P1_LOG+E304*P2_LOG)+IF(ISNUMBER(J304),J304,X304*P1_LOG+Y304*P2_LOG)*TASA_USADA</f>
        <v>0</v>
      </c>
      <c r="AF304" s="60" t="n">
        <f aca="false">AB304*COSTE_DEV</f>
        <v>0</v>
      </c>
      <c r="AG304" s="60" t="n">
        <f aca="false">Z304*P1_IVAN+AA304*P2_IVAN-AB304*IVA_DEV</f>
        <v>0</v>
      </c>
      <c r="AH304" s="60" t="n">
        <f aca="false">K304*(1+RECARGO_ADS)</f>
        <v>0</v>
      </c>
      <c r="AI304" s="58" t="n">
        <f aca="false">IF(ISNUMBER(I304),D304+E304+X304+Y304,0)</f>
        <v>0</v>
      </c>
      <c r="AJ304" s="60" t="n">
        <f aca="false">M304*COMISION</f>
        <v>0</v>
      </c>
    </row>
    <row r="305" customFormat="false" ht="15" hidden="false" customHeight="false" outlineLevel="0" collapsed="false">
      <c r="A305" s="53" t="n">
        <v>46599</v>
      </c>
      <c r="B305" s="54"/>
      <c r="C305" s="54"/>
      <c r="D305" s="54"/>
      <c r="E305" s="54"/>
      <c r="F305" s="54"/>
      <c r="G305" s="54"/>
      <c r="H305" s="54"/>
      <c r="I305" s="55"/>
      <c r="J305" s="55"/>
      <c r="K305" s="55"/>
      <c r="L305" s="56"/>
      <c r="M305" s="31" t="n">
        <f aca="false">B305+C305</f>
        <v>0</v>
      </c>
      <c r="N305" s="31" t="n">
        <f aca="false">X305+Y305</f>
        <v>0</v>
      </c>
      <c r="O305" s="32" t="n">
        <f aca="false">B305*P1_PVP+C305*P2_PVP</f>
        <v>0</v>
      </c>
      <c r="P305" s="32" t="str">
        <f aca="false">IF(M305&gt;0,O305/M305,"")</f>
        <v/>
      </c>
      <c r="Q305" s="32" t="str">
        <f aca="false">IF(M305&gt;0,K305/M305,"")</f>
        <v/>
      </c>
      <c r="R305" s="57" t="str">
        <f aca="false">IF(K305&gt;0,O305/K305,"")</f>
        <v/>
      </c>
      <c r="S305" s="34" t="str">
        <f aca="false">IF(D305+E305+F305+G305&gt;0,(D305+E305)/(D305+E305+F305+G305),"")</f>
        <v/>
      </c>
      <c r="T305" s="33" t="n">
        <f aca="false">D305*(P1_PVP-P1_CPROD)+E305*(P2_PVP-P2_CPROD)-IF(ISNUMBER(I305),I305,D305*P1_LOG+E305*P2_LOG)</f>
        <v>0</v>
      </c>
      <c r="U305" s="33" t="n">
        <f aca="false">T305-(D305*P1_IVAN+E305*P2_IVAN)-(F305+G305)*(COSTE_DEV-IVA_DEV)-AH305-AJ305</f>
        <v>0</v>
      </c>
      <c r="V305" s="33" t="n">
        <f aca="false">AC305-AD305-AE305-AF305-AG305-AH305-AJ305</f>
        <v>0</v>
      </c>
      <c r="X305" s="58" t="n">
        <f aca="false">MAX(0,B305-D305-F305)</f>
        <v>0</v>
      </c>
      <c r="Y305" s="58" t="n">
        <f aca="false">MAX(0,C305-E305-G305)</f>
        <v>0</v>
      </c>
      <c r="Z305" s="59" t="n">
        <f aca="false">D305+X305*TASA_USADA</f>
        <v>0</v>
      </c>
      <c r="AA305" s="59" t="n">
        <f aca="false">E305+Y305*TASA_USADA</f>
        <v>0</v>
      </c>
      <c r="AB305" s="59" t="n">
        <f aca="false">F305+G305+(X305+Y305)*(1-TASA_USADA)</f>
        <v>0</v>
      </c>
      <c r="AC305" s="60" t="n">
        <f aca="false">Z305*P1_PVP+AA305*P2_PVP</f>
        <v>0</v>
      </c>
      <c r="AD305" s="60" t="n">
        <f aca="false">Z305*P1_CPROD+AA305*P2_CPROD</f>
        <v>0</v>
      </c>
      <c r="AE305" s="60" t="n">
        <f aca="false">IF(ISNUMBER(I305),I305,D305*P1_LOG+E305*P2_LOG)+IF(ISNUMBER(J305),J305,X305*P1_LOG+Y305*P2_LOG)*TASA_USADA</f>
        <v>0</v>
      </c>
      <c r="AF305" s="60" t="n">
        <f aca="false">AB305*COSTE_DEV</f>
        <v>0</v>
      </c>
      <c r="AG305" s="60" t="n">
        <f aca="false">Z305*P1_IVAN+AA305*P2_IVAN-AB305*IVA_DEV</f>
        <v>0</v>
      </c>
      <c r="AH305" s="60" t="n">
        <f aca="false">K305*(1+RECARGO_ADS)</f>
        <v>0</v>
      </c>
      <c r="AI305" s="58" t="n">
        <f aca="false">IF(ISNUMBER(I305),D305+E305+X305+Y305,0)</f>
        <v>0</v>
      </c>
      <c r="AJ305" s="60" t="n">
        <f aca="false">M305*COMISION</f>
        <v>0</v>
      </c>
    </row>
    <row r="306" customFormat="false" ht="15" hidden="false" customHeight="false" outlineLevel="0" collapsed="false">
      <c r="A306" s="53" t="n">
        <v>46600</v>
      </c>
      <c r="B306" s="54"/>
      <c r="C306" s="54"/>
      <c r="D306" s="54"/>
      <c r="E306" s="54"/>
      <c r="F306" s="54"/>
      <c r="G306" s="54"/>
      <c r="H306" s="54"/>
      <c r="I306" s="55"/>
      <c r="J306" s="55"/>
      <c r="K306" s="55"/>
      <c r="L306" s="56"/>
      <c r="M306" s="31" t="n">
        <f aca="false">B306+C306</f>
        <v>0</v>
      </c>
      <c r="N306" s="31" t="n">
        <f aca="false">X306+Y306</f>
        <v>0</v>
      </c>
      <c r="O306" s="32" t="n">
        <f aca="false">B306*P1_PVP+C306*P2_PVP</f>
        <v>0</v>
      </c>
      <c r="P306" s="32" t="str">
        <f aca="false">IF(M306&gt;0,O306/M306,"")</f>
        <v/>
      </c>
      <c r="Q306" s="32" t="str">
        <f aca="false">IF(M306&gt;0,K306/M306,"")</f>
        <v/>
      </c>
      <c r="R306" s="57" t="str">
        <f aca="false">IF(K306&gt;0,O306/K306,"")</f>
        <v/>
      </c>
      <c r="S306" s="34" t="str">
        <f aca="false">IF(D306+E306+F306+G306&gt;0,(D306+E306)/(D306+E306+F306+G306),"")</f>
        <v/>
      </c>
      <c r="T306" s="33" t="n">
        <f aca="false">D306*(P1_PVP-P1_CPROD)+E306*(P2_PVP-P2_CPROD)-IF(ISNUMBER(I306),I306,D306*P1_LOG+E306*P2_LOG)</f>
        <v>0</v>
      </c>
      <c r="U306" s="33" t="n">
        <f aca="false">T306-(D306*P1_IVAN+E306*P2_IVAN)-(F306+G306)*(COSTE_DEV-IVA_DEV)-AH306-AJ306</f>
        <v>0</v>
      </c>
      <c r="V306" s="33" t="n">
        <f aca="false">AC306-AD306-AE306-AF306-AG306-AH306-AJ306</f>
        <v>0</v>
      </c>
      <c r="X306" s="58" t="n">
        <f aca="false">MAX(0,B306-D306-F306)</f>
        <v>0</v>
      </c>
      <c r="Y306" s="58" t="n">
        <f aca="false">MAX(0,C306-E306-G306)</f>
        <v>0</v>
      </c>
      <c r="Z306" s="59" t="n">
        <f aca="false">D306+X306*TASA_USADA</f>
        <v>0</v>
      </c>
      <c r="AA306" s="59" t="n">
        <f aca="false">E306+Y306*TASA_USADA</f>
        <v>0</v>
      </c>
      <c r="AB306" s="59" t="n">
        <f aca="false">F306+G306+(X306+Y306)*(1-TASA_USADA)</f>
        <v>0</v>
      </c>
      <c r="AC306" s="60" t="n">
        <f aca="false">Z306*P1_PVP+AA306*P2_PVP</f>
        <v>0</v>
      </c>
      <c r="AD306" s="60" t="n">
        <f aca="false">Z306*P1_CPROD+AA306*P2_CPROD</f>
        <v>0</v>
      </c>
      <c r="AE306" s="60" t="n">
        <f aca="false">IF(ISNUMBER(I306),I306,D306*P1_LOG+E306*P2_LOG)+IF(ISNUMBER(J306),J306,X306*P1_LOG+Y306*P2_LOG)*TASA_USADA</f>
        <v>0</v>
      </c>
      <c r="AF306" s="60" t="n">
        <f aca="false">AB306*COSTE_DEV</f>
        <v>0</v>
      </c>
      <c r="AG306" s="60" t="n">
        <f aca="false">Z306*P1_IVAN+AA306*P2_IVAN-AB306*IVA_DEV</f>
        <v>0</v>
      </c>
      <c r="AH306" s="60" t="n">
        <f aca="false">K306*(1+RECARGO_ADS)</f>
        <v>0</v>
      </c>
      <c r="AI306" s="58" t="n">
        <f aca="false">IF(ISNUMBER(I306),D306+E306+X306+Y306,0)</f>
        <v>0</v>
      </c>
      <c r="AJ306" s="60" t="n">
        <f aca="false">M306*COMISION</f>
        <v>0</v>
      </c>
    </row>
    <row r="307" customFormat="false" ht="15" hidden="false" customHeight="false" outlineLevel="0" collapsed="false">
      <c r="A307" s="53" t="n">
        <v>46601</v>
      </c>
      <c r="B307" s="54"/>
      <c r="C307" s="54"/>
      <c r="D307" s="54"/>
      <c r="E307" s="54"/>
      <c r="F307" s="54"/>
      <c r="G307" s="54"/>
      <c r="H307" s="54"/>
      <c r="I307" s="55"/>
      <c r="J307" s="55"/>
      <c r="K307" s="55"/>
      <c r="L307" s="56"/>
      <c r="M307" s="31" t="n">
        <f aca="false">B307+C307</f>
        <v>0</v>
      </c>
      <c r="N307" s="31" t="n">
        <f aca="false">X307+Y307</f>
        <v>0</v>
      </c>
      <c r="O307" s="32" t="n">
        <f aca="false">B307*P1_PVP+C307*P2_PVP</f>
        <v>0</v>
      </c>
      <c r="P307" s="32" t="str">
        <f aca="false">IF(M307&gt;0,O307/M307,"")</f>
        <v/>
      </c>
      <c r="Q307" s="32" t="str">
        <f aca="false">IF(M307&gt;0,K307/M307,"")</f>
        <v/>
      </c>
      <c r="R307" s="57" t="str">
        <f aca="false">IF(K307&gt;0,O307/K307,"")</f>
        <v/>
      </c>
      <c r="S307" s="34" t="str">
        <f aca="false">IF(D307+E307+F307+G307&gt;0,(D307+E307)/(D307+E307+F307+G307),"")</f>
        <v/>
      </c>
      <c r="T307" s="33" t="n">
        <f aca="false">D307*(P1_PVP-P1_CPROD)+E307*(P2_PVP-P2_CPROD)-IF(ISNUMBER(I307),I307,D307*P1_LOG+E307*P2_LOG)</f>
        <v>0</v>
      </c>
      <c r="U307" s="33" t="n">
        <f aca="false">T307-(D307*P1_IVAN+E307*P2_IVAN)-(F307+G307)*(COSTE_DEV-IVA_DEV)-AH307-AJ307</f>
        <v>0</v>
      </c>
      <c r="V307" s="33" t="n">
        <f aca="false">AC307-AD307-AE307-AF307-AG307-AH307-AJ307</f>
        <v>0</v>
      </c>
      <c r="X307" s="58" t="n">
        <f aca="false">MAX(0,B307-D307-F307)</f>
        <v>0</v>
      </c>
      <c r="Y307" s="58" t="n">
        <f aca="false">MAX(0,C307-E307-G307)</f>
        <v>0</v>
      </c>
      <c r="Z307" s="59" t="n">
        <f aca="false">D307+X307*TASA_USADA</f>
        <v>0</v>
      </c>
      <c r="AA307" s="59" t="n">
        <f aca="false">E307+Y307*TASA_USADA</f>
        <v>0</v>
      </c>
      <c r="AB307" s="59" t="n">
        <f aca="false">F307+G307+(X307+Y307)*(1-TASA_USADA)</f>
        <v>0</v>
      </c>
      <c r="AC307" s="60" t="n">
        <f aca="false">Z307*P1_PVP+AA307*P2_PVP</f>
        <v>0</v>
      </c>
      <c r="AD307" s="60" t="n">
        <f aca="false">Z307*P1_CPROD+AA307*P2_CPROD</f>
        <v>0</v>
      </c>
      <c r="AE307" s="60" t="n">
        <f aca="false">IF(ISNUMBER(I307),I307,D307*P1_LOG+E307*P2_LOG)+IF(ISNUMBER(J307),J307,X307*P1_LOG+Y307*P2_LOG)*TASA_USADA</f>
        <v>0</v>
      </c>
      <c r="AF307" s="60" t="n">
        <f aca="false">AB307*COSTE_DEV</f>
        <v>0</v>
      </c>
      <c r="AG307" s="60" t="n">
        <f aca="false">Z307*P1_IVAN+AA307*P2_IVAN-AB307*IVA_DEV</f>
        <v>0</v>
      </c>
      <c r="AH307" s="60" t="n">
        <f aca="false">K307*(1+RECARGO_ADS)</f>
        <v>0</v>
      </c>
      <c r="AI307" s="58" t="n">
        <f aca="false">IF(ISNUMBER(I307),D307+E307+X307+Y307,0)</f>
        <v>0</v>
      </c>
      <c r="AJ307" s="60" t="n">
        <f aca="false">M307*COMISION</f>
        <v>0</v>
      </c>
    </row>
    <row r="308" customFormat="false" ht="15" hidden="false" customHeight="false" outlineLevel="0" collapsed="false">
      <c r="A308" s="53" t="n">
        <v>46602</v>
      </c>
      <c r="B308" s="54"/>
      <c r="C308" s="54"/>
      <c r="D308" s="54"/>
      <c r="E308" s="54"/>
      <c r="F308" s="54"/>
      <c r="G308" s="54"/>
      <c r="H308" s="54"/>
      <c r="I308" s="55"/>
      <c r="J308" s="55"/>
      <c r="K308" s="55"/>
      <c r="L308" s="56"/>
      <c r="M308" s="31" t="n">
        <f aca="false">B308+C308</f>
        <v>0</v>
      </c>
      <c r="N308" s="31" t="n">
        <f aca="false">X308+Y308</f>
        <v>0</v>
      </c>
      <c r="O308" s="32" t="n">
        <f aca="false">B308*P1_PVP+C308*P2_PVP</f>
        <v>0</v>
      </c>
      <c r="P308" s="32" t="str">
        <f aca="false">IF(M308&gt;0,O308/M308,"")</f>
        <v/>
      </c>
      <c r="Q308" s="32" t="str">
        <f aca="false">IF(M308&gt;0,K308/M308,"")</f>
        <v/>
      </c>
      <c r="R308" s="57" t="str">
        <f aca="false">IF(K308&gt;0,O308/K308,"")</f>
        <v/>
      </c>
      <c r="S308" s="34" t="str">
        <f aca="false">IF(D308+E308+F308+G308&gt;0,(D308+E308)/(D308+E308+F308+G308),"")</f>
        <v/>
      </c>
      <c r="T308" s="33" t="n">
        <f aca="false">D308*(P1_PVP-P1_CPROD)+E308*(P2_PVP-P2_CPROD)-IF(ISNUMBER(I308),I308,D308*P1_LOG+E308*P2_LOG)</f>
        <v>0</v>
      </c>
      <c r="U308" s="33" t="n">
        <f aca="false">T308-(D308*P1_IVAN+E308*P2_IVAN)-(F308+G308)*(COSTE_DEV-IVA_DEV)-AH308-AJ308</f>
        <v>0</v>
      </c>
      <c r="V308" s="33" t="n">
        <f aca="false">AC308-AD308-AE308-AF308-AG308-AH308-AJ308</f>
        <v>0</v>
      </c>
      <c r="X308" s="58" t="n">
        <f aca="false">MAX(0,B308-D308-F308)</f>
        <v>0</v>
      </c>
      <c r="Y308" s="58" t="n">
        <f aca="false">MAX(0,C308-E308-G308)</f>
        <v>0</v>
      </c>
      <c r="Z308" s="59" t="n">
        <f aca="false">D308+X308*TASA_USADA</f>
        <v>0</v>
      </c>
      <c r="AA308" s="59" t="n">
        <f aca="false">E308+Y308*TASA_USADA</f>
        <v>0</v>
      </c>
      <c r="AB308" s="59" t="n">
        <f aca="false">F308+G308+(X308+Y308)*(1-TASA_USADA)</f>
        <v>0</v>
      </c>
      <c r="AC308" s="60" t="n">
        <f aca="false">Z308*P1_PVP+AA308*P2_PVP</f>
        <v>0</v>
      </c>
      <c r="AD308" s="60" t="n">
        <f aca="false">Z308*P1_CPROD+AA308*P2_CPROD</f>
        <v>0</v>
      </c>
      <c r="AE308" s="60" t="n">
        <f aca="false">IF(ISNUMBER(I308),I308,D308*P1_LOG+E308*P2_LOG)+IF(ISNUMBER(J308),J308,X308*P1_LOG+Y308*P2_LOG)*TASA_USADA</f>
        <v>0</v>
      </c>
      <c r="AF308" s="60" t="n">
        <f aca="false">AB308*COSTE_DEV</f>
        <v>0</v>
      </c>
      <c r="AG308" s="60" t="n">
        <f aca="false">Z308*P1_IVAN+AA308*P2_IVAN-AB308*IVA_DEV</f>
        <v>0</v>
      </c>
      <c r="AH308" s="60" t="n">
        <f aca="false">K308*(1+RECARGO_ADS)</f>
        <v>0</v>
      </c>
      <c r="AI308" s="58" t="n">
        <f aca="false">IF(ISNUMBER(I308),D308+E308+X308+Y308,0)</f>
        <v>0</v>
      </c>
      <c r="AJ308" s="60" t="n">
        <f aca="false">M308*COMISION</f>
        <v>0</v>
      </c>
    </row>
    <row r="309" customFormat="false" ht="15" hidden="false" customHeight="false" outlineLevel="0" collapsed="false">
      <c r="A309" s="53" t="n">
        <v>46603</v>
      </c>
      <c r="B309" s="54"/>
      <c r="C309" s="54"/>
      <c r="D309" s="54"/>
      <c r="E309" s="54"/>
      <c r="F309" s="54"/>
      <c r="G309" s="54"/>
      <c r="H309" s="54"/>
      <c r="I309" s="55"/>
      <c r="J309" s="55"/>
      <c r="K309" s="55"/>
      <c r="L309" s="56"/>
      <c r="M309" s="31" t="n">
        <f aca="false">B309+C309</f>
        <v>0</v>
      </c>
      <c r="N309" s="31" t="n">
        <f aca="false">X309+Y309</f>
        <v>0</v>
      </c>
      <c r="O309" s="32" t="n">
        <f aca="false">B309*P1_PVP+C309*P2_PVP</f>
        <v>0</v>
      </c>
      <c r="P309" s="32" t="str">
        <f aca="false">IF(M309&gt;0,O309/M309,"")</f>
        <v/>
      </c>
      <c r="Q309" s="32" t="str">
        <f aca="false">IF(M309&gt;0,K309/M309,"")</f>
        <v/>
      </c>
      <c r="R309" s="57" t="str">
        <f aca="false">IF(K309&gt;0,O309/K309,"")</f>
        <v/>
      </c>
      <c r="S309" s="34" t="str">
        <f aca="false">IF(D309+E309+F309+G309&gt;0,(D309+E309)/(D309+E309+F309+G309),"")</f>
        <v/>
      </c>
      <c r="T309" s="33" t="n">
        <f aca="false">D309*(P1_PVP-P1_CPROD)+E309*(P2_PVP-P2_CPROD)-IF(ISNUMBER(I309),I309,D309*P1_LOG+E309*P2_LOG)</f>
        <v>0</v>
      </c>
      <c r="U309" s="33" t="n">
        <f aca="false">T309-(D309*P1_IVAN+E309*P2_IVAN)-(F309+G309)*(COSTE_DEV-IVA_DEV)-AH309-AJ309</f>
        <v>0</v>
      </c>
      <c r="V309" s="33" t="n">
        <f aca="false">AC309-AD309-AE309-AF309-AG309-AH309-AJ309</f>
        <v>0</v>
      </c>
      <c r="X309" s="58" t="n">
        <f aca="false">MAX(0,B309-D309-F309)</f>
        <v>0</v>
      </c>
      <c r="Y309" s="58" t="n">
        <f aca="false">MAX(0,C309-E309-G309)</f>
        <v>0</v>
      </c>
      <c r="Z309" s="59" t="n">
        <f aca="false">D309+X309*TASA_USADA</f>
        <v>0</v>
      </c>
      <c r="AA309" s="59" t="n">
        <f aca="false">E309+Y309*TASA_USADA</f>
        <v>0</v>
      </c>
      <c r="AB309" s="59" t="n">
        <f aca="false">F309+G309+(X309+Y309)*(1-TASA_USADA)</f>
        <v>0</v>
      </c>
      <c r="AC309" s="60" t="n">
        <f aca="false">Z309*P1_PVP+AA309*P2_PVP</f>
        <v>0</v>
      </c>
      <c r="AD309" s="60" t="n">
        <f aca="false">Z309*P1_CPROD+AA309*P2_CPROD</f>
        <v>0</v>
      </c>
      <c r="AE309" s="60" t="n">
        <f aca="false">IF(ISNUMBER(I309),I309,D309*P1_LOG+E309*P2_LOG)+IF(ISNUMBER(J309),J309,X309*P1_LOG+Y309*P2_LOG)*TASA_USADA</f>
        <v>0</v>
      </c>
      <c r="AF309" s="60" t="n">
        <f aca="false">AB309*COSTE_DEV</f>
        <v>0</v>
      </c>
      <c r="AG309" s="60" t="n">
        <f aca="false">Z309*P1_IVAN+AA309*P2_IVAN-AB309*IVA_DEV</f>
        <v>0</v>
      </c>
      <c r="AH309" s="60" t="n">
        <f aca="false">K309*(1+RECARGO_ADS)</f>
        <v>0</v>
      </c>
      <c r="AI309" s="58" t="n">
        <f aca="false">IF(ISNUMBER(I309),D309+E309+X309+Y309,0)</f>
        <v>0</v>
      </c>
      <c r="AJ309" s="60" t="n">
        <f aca="false">M309*COMISION</f>
        <v>0</v>
      </c>
    </row>
    <row r="310" customFormat="false" ht="15" hidden="false" customHeight="false" outlineLevel="0" collapsed="false">
      <c r="A310" s="53" t="n">
        <v>46604</v>
      </c>
      <c r="B310" s="54"/>
      <c r="C310" s="54"/>
      <c r="D310" s="54"/>
      <c r="E310" s="54"/>
      <c r="F310" s="54"/>
      <c r="G310" s="54"/>
      <c r="H310" s="54"/>
      <c r="I310" s="55"/>
      <c r="J310" s="55"/>
      <c r="K310" s="55"/>
      <c r="L310" s="56"/>
      <c r="M310" s="31" t="n">
        <f aca="false">B310+C310</f>
        <v>0</v>
      </c>
      <c r="N310" s="31" t="n">
        <f aca="false">X310+Y310</f>
        <v>0</v>
      </c>
      <c r="O310" s="32" t="n">
        <f aca="false">B310*P1_PVP+C310*P2_PVP</f>
        <v>0</v>
      </c>
      <c r="P310" s="32" t="str">
        <f aca="false">IF(M310&gt;0,O310/M310,"")</f>
        <v/>
      </c>
      <c r="Q310" s="32" t="str">
        <f aca="false">IF(M310&gt;0,K310/M310,"")</f>
        <v/>
      </c>
      <c r="R310" s="57" t="str">
        <f aca="false">IF(K310&gt;0,O310/K310,"")</f>
        <v/>
      </c>
      <c r="S310" s="34" t="str">
        <f aca="false">IF(D310+E310+F310+G310&gt;0,(D310+E310)/(D310+E310+F310+G310),"")</f>
        <v/>
      </c>
      <c r="T310" s="33" t="n">
        <f aca="false">D310*(P1_PVP-P1_CPROD)+E310*(P2_PVP-P2_CPROD)-IF(ISNUMBER(I310),I310,D310*P1_LOG+E310*P2_LOG)</f>
        <v>0</v>
      </c>
      <c r="U310" s="33" t="n">
        <f aca="false">T310-(D310*P1_IVAN+E310*P2_IVAN)-(F310+G310)*(COSTE_DEV-IVA_DEV)-AH310-AJ310</f>
        <v>0</v>
      </c>
      <c r="V310" s="33" t="n">
        <f aca="false">AC310-AD310-AE310-AF310-AG310-AH310-AJ310</f>
        <v>0</v>
      </c>
      <c r="X310" s="58" t="n">
        <f aca="false">MAX(0,B310-D310-F310)</f>
        <v>0</v>
      </c>
      <c r="Y310" s="58" t="n">
        <f aca="false">MAX(0,C310-E310-G310)</f>
        <v>0</v>
      </c>
      <c r="Z310" s="59" t="n">
        <f aca="false">D310+X310*TASA_USADA</f>
        <v>0</v>
      </c>
      <c r="AA310" s="59" t="n">
        <f aca="false">E310+Y310*TASA_USADA</f>
        <v>0</v>
      </c>
      <c r="AB310" s="59" t="n">
        <f aca="false">F310+G310+(X310+Y310)*(1-TASA_USADA)</f>
        <v>0</v>
      </c>
      <c r="AC310" s="60" t="n">
        <f aca="false">Z310*P1_PVP+AA310*P2_PVP</f>
        <v>0</v>
      </c>
      <c r="AD310" s="60" t="n">
        <f aca="false">Z310*P1_CPROD+AA310*P2_CPROD</f>
        <v>0</v>
      </c>
      <c r="AE310" s="60" t="n">
        <f aca="false">IF(ISNUMBER(I310),I310,D310*P1_LOG+E310*P2_LOG)+IF(ISNUMBER(J310),J310,X310*P1_LOG+Y310*P2_LOG)*TASA_USADA</f>
        <v>0</v>
      </c>
      <c r="AF310" s="60" t="n">
        <f aca="false">AB310*COSTE_DEV</f>
        <v>0</v>
      </c>
      <c r="AG310" s="60" t="n">
        <f aca="false">Z310*P1_IVAN+AA310*P2_IVAN-AB310*IVA_DEV</f>
        <v>0</v>
      </c>
      <c r="AH310" s="60" t="n">
        <f aca="false">K310*(1+RECARGO_ADS)</f>
        <v>0</v>
      </c>
      <c r="AI310" s="58" t="n">
        <f aca="false">IF(ISNUMBER(I310),D310+E310+X310+Y310,0)</f>
        <v>0</v>
      </c>
      <c r="AJ310" s="60" t="n">
        <f aca="false">M310*COMISION</f>
        <v>0</v>
      </c>
    </row>
    <row r="311" customFormat="false" ht="15" hidden="false" customHeight="false" outlineLevel="0" collapsed="false">
      <c r="A311" s="53" t="n">
        <v>46605</v>
      </c>
      <c r="B311" s="54"/>
      <c r="C311" s="54"/>
      <c r="D311" s="54"/>
      <c r="E311" s="54"/>
      <c r="F311" s="54"/>
      <c r="G311" s="54"/>
      <c r="H311" s="54"/>
      <c r="I311" s="55"/>
      <c r="J311" s="55"/>
      <c r="K311" s="55"/>
      <c r="L311" s="56"/>
      <c r="M311" s="31" t="n">
        <f aca="false">B311+C311</f>
        <v>0</v>
      </c>
      <c r="N311" s="31" t="n">
        <f aca="false">X311+Y311</f>
        <v>0</v>
      </c>
      <c r="O311" s="32" t="n">
        <f aca="false">B311*P1_PVP+C311*P2_PVP</f>
        <v>0</v>
      </c>
      <c r="P311" s="32" t="str">
        <f aca="false">IF(M311&gt;0,O311/M311,"")</f>
        <v/>
      </c>
      <c r="Q311" s="32" t="str">
        <f aca="false">IF(M311&gt;0,K311/M311,"")</f>
        <v/>
      </c>
      <c r="R311" s="57" t="str">
        <f aca="false">IF(K311&gt;0,O311/K311,"")</f>
        <v/>
      </c>
      <c r="S311" s="34" t="str">
        <f aca="false">IF(D311+E311+F311+G311&gt;0,(D311+E311)/(D311+E311+F311+G311),"")</f>
        <v/>
      </c>
      <c r="T311" s="33" t="n">
        <f aca="false">D311*(P1_PVP-P1_CPROD)+E311*(P2_PVP-P2_CPROD)-IF(ISNUMBER(I311),I311,D311*P1_LOG+E311*P2_LOG)</f>
        <v>0</v>
      </c>
      <c r="U311" s="33" t="n">
        <f aca="false">T311-(D311*P1_IVAN+E311*P2_IVAN)-(F311+G311)*(COSTE_DEV-IVA_DEV)-AH311-AJ311</f>
        <v>0</v>
      </c>
      <c r="V311" s="33" t="n">
        <f aca="false">AC311-AD311-AE311-AF311-AG311-AH311-AJ311</f>
        <v>0</v>
      </c>
      <c r="X311" s="58" t="n">
        <f aca="false">MAX(0,B311-D311-F311)</f>
        <v>0</v>
      </c>
      <c r="Y311" s="58" t="n">
        <f aca="false">MAX(0,C311-E311-G311)</f>
        <v>0</v>
      </c>
      <c r="Z311" s="59" t="n">
        <f aca="false">D311+X311*TASA_USADA</f>
        <v>0</v>
      </c>
      <c r="AA311" s="59" t="n">
        <f aca="false">E311+Y311*TASA_USADA</f>
        <v>0</v>
      </c>
      <c r="AB311" s="59" t="n">
        <f aca="false">F311+G311+(X311+Y311)*(1-TASA_USADA)</f>
        <v>0</v>
      </c>
      <c r="AC311" s="60" t="n">
        <f aca="false">Z311*P1_PVP+AA311*P2_PVP</f>
        <v>0</v>
      </c>
      <c r="AD311" s="60" t="n">
        <f aca="false">Z311*P1_CPROD+AA311*P2_CPROD</f>
        <v>0</v>
      </c>
      <c r="AE311" s="60" t="n">
        <f aca="false">IF(ISNUMBER(I311),I311,D311*P1_LOG+E311*P2_LOG)+IF(ISNUMBER(J311),J311,X311*P1_LOG+Y311*P2_LOG)*TASA_USADA</f>
        <v>0</v>
      </c>
      <c r="AF311" s="60" t="n">
        <f aca="false">AB311*COSTE_DEV</f>
        <v>0</v>
      </c>
      <c r="AG311" s="60" t="n">
        <f aca="false">Z311*P1_IVAN+AA311*P2_IVAN-AB311*IVA_DEV</f>
        <v>0</v>
      </c>
      <c r="AH311" s="60" t="n">
        <f aca="false">K311*(1+RECARGO_ADS)</f>
        <v>0</v>
      </c>
      <c r="AI311" s="58" t="n">
        <f aca="false">IF(ISNUMBER(I311),D311+E311+X311+Y311,0)</f>
        <v>0</v>
      </c>
      <c r="AJ311" s="60" t="n">
        <f aca="false">M311*COMISION</f>
        <v>0</v>
      </c>
    </row>
    <row r="312" customFormat="false" ht="15" hidden="false" customHeight="false" outlineLevel="0" collapsed="false">
      <c r="A312" s="53" t="n">
        <v>46606</v>
      </c>
      <c r="B312" s="54"/>
      <c r="C312" s="54"/>
      <c r="D312" s="54"/>
      <c r="E312" s="54"/>
      <c r="F312" s="54"/>
      <c r="G312" s="54"/>
      <c r="H312" s="54"/>
      <c r="I312" s="55"/>
      <c r="J312" s="55"/>
      <c r="K312" s="55"/>
      <c r="L312" s="56"/>
      <c r="M312" s="31" t="n">
        <f aca="false">B312+C312</f>
        <v>0</v>
      </c>
      <c r="N312" s="31" t="n">
        <f aca="false">X312+Y312</f>
        <v>0</v>
      </c>
      <c r="O312" s="32" t="n">
        <f aca="false">B312*P1_PVP+C312*P2_PVP</f>
        <v>0</v>
      </c>
      <c r="P312" s="32" t="str">
        <f aca="false">IF(M312&gt;0,O312/M312,"")</f>
        <v/>
      </c>
      <c r="Q312" s="32" t="str">
        <f aca="false">IF(M312&gt;0,K312/M312,"")</f>
        <v/>
      </c>
      <c r="R312" s="57" t="str">
        <f aca="false">IF(K312&gt;0,O312/K312,"")</f>
        <v/>
      </c>
      <c r="S312" s="34" t="str">
        <f aca="false">IF(D312+E312+F312+G312&gt;0,(D312+E312)/(D312+E312+F312+G312),"")</f>
        <v/>
      </c>
      <c r="T312" s="33" t="n">
        <f aca="false">D312*(P1_PVP-P1_CPROD)+E312*(P2_PVP-P2_CPROD)-IF(ISNUMBER(I312),I312,D312*P1_LOG+E312*P2_LOG)</f>
        <v>0</v>
      </c>
      <c r="U312" s="33" t="n">
        <f aca="false">T312-(D312*P1_IVAN+E312*P2_IVAN)-(F312+G312)*(COSTE_DEV-IVA_DEV)-AH312-AJ312</f>
        <v>0</v>
      </c>
      <c r="V312" s="33" t="n">
        <f aca="false">AC312-AD312-AE312-AF312-AG312-AH312-AJ312</f>
        <v>0</v>
      </c>
      <c r="X312" s="58" t="n">
        <f aca="false">MAX(0,B312-D312-F312)</f>
        <v>0</v>
      </c>
      <c r="Y312" s="58" t="n">
        <f aca="false">MAX(0,C312-E312-G312)</f>
        <v>0</v>
      </c>
      <c r="Z312" s="59" t="n">
        <f aca="false">D312+X312*TASA_USADA</f>
        <v>0</v>
      </c>
      <c r="AA312" s="59" t="n">
        <f aca="false">E312+Y312*TASA_USADA</f>
        <v>0</v>
      </c>
      <c r="AB312" s="59" t="n">
        <f aca="false">F312+G312+(X312+Y312)*(1-TASA_USADA)</f>
        <v>0</v>
      </c>
      <c r="AC312" s="60" t="n">
        <f aca="false">Z312*P1_PVP+AA312*P2_PVP</f>
        <v>0</v>
      </c>
      <c r="AD312" s="60" t="n">
        <f aca="false">Z312*P1_CPROD+AA312*P2_CPROD</f>
        <v>0</v>
      </c>
      <c r="AE312" s="60" t="n">
        <f aca="false">IF(ISNUMBER(I312),I312,D312*P1_LOG+E312*P2_LOG)+IF(ISNUMBER(J312),J312,X312*P1_LOG+Y312*P2_LOG)*TASA_USADA</f>
        <v>0</v>
      </c>
      <c r="AF312" s="60" t="n">
        <f aca="false">AB312*COSTE_DEV</f>
        <v>0</v>
      </c>
      <c r="AG312" s="60" t="n">
        <f aca="false">Z312*P1_IVAN+AA312*P2_IVAN-AB312*IVA_DEV</f>
        <v>0</v>
      </c>
      <c r="AH312" s="60" t="n">
        <f aca="false">K312*(1+RECARGO_ADS)</f>
        <v>0</v>
      </c>
      <c r="AI312" s="58" t="n">
        <f aca="false">IF(ISNUMBER(I312),D312+E312+X312+Y312,0)</f>
        <v>0</v>
      </c>
      <c r="AJ312" s="60" t="n">
        <f aca="false">M312*COMISION</f>
        <v>0</v>
      </c>
    </row>
    <row r="313" customFormat="false" ht="15" hidden="false" customHeight="false" outlineLevel="0" collapsed="false">
      <c r="A313" s="53" t="n">
        <v>46607</v>
      </c>
      <c r="B313" s="54"/>
      <c r="C313" s="54"/>
      <c r="D313" s="54"/>
      <c r="E313" s="54"/>
      <c r="F313" s="54"/>
      <c r="G313" s="54"/>
      <c r="H313" s="54"/>
      <c r="I313" s="55"/>
      <c r="J313" s="55"/>
      <c r="K313" s="55"/>
      <c r="L313" s="56"/>
      <c r="M313" s="31" t="n">
        <f aca="false">B313+C313</f>
        <v>0</v>
      </c>
      <c r="N313" s="31" t="n">
        <f aca="false">X313+Y313</f>
        <v>0</v>
      </c>
      <c r="O313" s="32" t="n">
        <f aca="false">B313*P1_PVP+C313*P2_PVP</f>
        <v>0</v>
      </c>
      <c r="P313" s="32" t="str">
        <f aca="false">IF(M313&gt;0,O313/M313,"")</f>
        <v/>
      </c>
      <c r="Q313" s="32" t="str">
        <f aca="false">IF(M313&gt;0,K313/M313,"")</f>
        <v/>
      </c>
      <c r="R313" s="57" t="str">
        <f aca="false">IF(K313&gt;0,O313/K313,"")</f>
        <v/>
      </c>
      <c r="S313" s="34" t="str">
        <f aca="false">IF(D313+E313+F313+G313&gt;0,(D313+E313)/(D313+E313+F313+G313),"")</f>
        <v/>
      </c>
      <c r="T313" s="33" t="n">
        <f aca="false">D313*(P1_PVP-P1_CPROD)+E313*(P2_PVP-P2_CPROD)-IF(ISNUMBER(I313),I313,D313*P1_LOG+E313*P2_LOG)</f>
        <v>0</v>
      </c>
      <c r="U313" s="33" t="n">
        <f aca="false">T313-(D313*P1_IVAN+E313*P2_IVAN)-(F313+G313)*(COSTE_DEV-IVA_DEV)-AH313-AJ313</f>
        <v>0</v>
      </c>
      <c r="V313" s="33" t="n">
        <f aca="false">AC313-AD313-AE313-AF313-AG313-AH313-AJ313</f>
        <v>0</v>
      </c>
      <c r="X313" s="58" t="n">
        <f aca="false">MAX(0,B313-D313-F313)</f>
        <v>0</v>
      </c>
      <c r="Y313" s="58" t="n">
        <f aca="false">MAX(0,C313-E313-G313)</f>
        <v>0</v>
      </c>
      <c r="Z313" s="59" t="n">
        <f aca="false">D313+X313*TASA_USADA</f>
        <v>0</v>
      </c>
      <c r="AA313" s="59" t="n">
        <f aca="false">E313+Y313*TASA_USADA</f>
        <v>0</v>
      </c>
      <c r="AB313" s="59" t="n">
        <f aca="false">F313+G313+(X313+Y313)*(1-TASA_USADA)</f>
        <v>0</v>
      </c>
      <c r="AC313" s="60" t="n">
        <f aca="false">Z313*P1_PVP+AA313*P2_PVP</f>
        <v>0</v>
      </c>
      <c r="AD313" s="60" t="n">
        <f aca="false">Z313*P1_CPROD+AA313*P2_CPROD</f>
        <v>0</v>
      </c>
      <c r="AE313" s="60" t="n">
        <f aca="false">IF(ISNUMBER(I313),I313,D313*P1_LOG+E313*P2_LOG)+IF(ISNUMBER(J313),J313,X313*P1_LOG+Y313*P2_LOG)*TASA_USADA</f>
        <v>0</v>
      </c>
      <c r="AF313" s="60" t="n">
        <f aca="false">AB313*COSTE_DEV</f>
        <v>0</v>
      </c>
      <c r="AG313" s="60" t="n">
        <f aca="false">Z313*P1_IVAN+AA313*P2_IVAN-AB313*IVA_DEV</f>
        <v>0</v>
      </c>
      <c r="AH313" s="60" t="n">
        <f aca="false">K313*(1+RECARGO_ADS)</f>
        <v>0</v>
      </c>
      <c r="AI313" s="58" t="n">
        <f aca="false">IF(ISNUMBER(I313),D313+E313+X313+Y313,0)</f>
        <v>0</v>
      </c>
      <c r="AJ313" s="60" t="n">
        <f aca="false">M313*COMISION</f>
        <v>0</v>
      </c>
    </row>
    <row r="314" customFormat="false" ht="15" hidden="false" customHeight="false" outlineLevel="0" collapsed="false">
      <c r="A314" s="53" t="n">
        <v>46608</v>
      </c>
      <c r="B314" s="54"/>
      <c r="C314" s="54"/>
      <c r="D314" s="54"/>
      <c r="E314" s="54"/>
      <c r="F314" s="54"/>
      <c r="G314" s="54"/>
      <c r="H314" s="54"/>
      <c r="I314" s="55"/>
      <c r="J314" s="55"/>
      <c r="K314" s="55"/>
      <c r="L314" s="56"/>
      <c r="M314" s="31" t="n">
        <f aca="false">B314+C314</f>
        <v>0</v>
      </c>
      <c r="N314" s="31" t="n">
        <f aca="false">X314+Y314</f>
        <v>0</v>
      </c>
      <c r="O314" s="32" t="n">
        <f aca="false">B314*P1_PVP+C314*P2_PVP</f>
        <v>0</v>
      </c>
      <c r="P314" s="32" t="str">
        <f aca="false">IF(M314&gt;0,O314/M314,"")</f>
        <v/>
      </c>
      <c r="Q314" s="32" t="str">
        <f aca="false">IF(M314&gt;0,K314/M314,"")</f>
        <v/>
      </c>
      <c r="R314" s="57" t="str">
        <f aca="false">IF(K314&gt;0,O314/K314,"")</f>
        <v/>
      </c>
      <c r="S314" s="34" t="str">
        <f aca="false">IF(D314+E314+F314+G314&gt;0,(D314+E314)/(D314+E314+F314+G314),"")</f>
        <v/>
      </c>
      <c r="T314" s="33" t="n">
        <f aca="false">D314*(P1_PVP-P1_CPROD)+E314*(P2_PVP-P2_CPROD)-IF(ISNUMBER(I314),I314,D314*P1_LOG+E314*P2_LOG)</f>
        <v>0</v>
      </c>
      <c r="U314" s="33" t="n">
        <f aca="false">T314-(D314*P1_IVAN+E314*P2_IVAN)-(F314+G314)*(COSTE_DEV-IVA_DEV)-AH314-AJ314</f>
        <v>0</v>
      </c>
      <c r="V314" s="33" t="n">
        <f aca="false">AC314-AD314-AE314-AF314-AG314-AH314-AJ314</f>
        <v>0</v>
      </c>
      <c r="X314" s="58" t="n">
        <f aca="false">MAX(0,B314-D314-F314)</f>
        <v>0</v>
      </c>
      <c r="Y314" s="58" t="n">
        <f aca="false">MAX(0,C314-E314-G314)</f>
        <v>0</v>
      </c>
      <c r="Z314" s="59" t="n">
        <f aca="false">D314+X314*TASA_USADA</f>
        <v>0</v>
      </c>
      <c r="AA314" s="59" t="n">
        <f aca="false">E314+Y314*TASA_USADA</f>
        <v>0</v>
      </c>
      <c r="AB314" s="59" t="n">
        <f aca="false">F314+G314+(X314+Y314)*(1-TASA_USADA)</f>
        <v>0</v>
      </c>
      <c r="AC314" s="60" t="n">
        <f aca="false">Z314*P1_PVP+AA314*P2_PVP</f>
        <v>0</v>
      </c>
      <c r="AD314" s="60" t="n">
        <f aca="false">Z314*P1_CPROD+AA314*P2_CPROD</f>
        <v>0</v>
      </c>
      <c r="AE314" s="60" t="n">
        <f aca="false">IF(ISNUMBER(I314),I314,D314*P1_LOG+E314*P2_LOG)+IF(ISNUMBER(J314),J314,X314*P1_LOG+Y314*P2_LOG)*TASA_USADA</f>
        <v>0</v>
      </c>
      <c r="AF314" s="60" t="n">
        <f aca="false">AB314*COSTE_DEV</f>
        <v>0</v>
      </c>
      <c r="AG314" s="60" t="n">
        <f aca="false">Z314*P1_IVAN+AA314*P2_IVAN-AB314*IVA_DEV</f>
        <v>0</v>
      </c>
      <c r="AH314" s="60" t="n">
        <f aca="false">K314*(1+RECARGO_ADS)</f>
        <v>0</v>
      </c>
      <c r="AI314" s="58" t="n">
        <f aca="false">IF(ISNUMBER(I314),D314+E314+X314+Y314,0)</f>
        <v>0</v>
      </c>
      <c r="AJ314" s="60" t="n">
        <f aca="false">M314*COMISION</f>
        <v>0</v>
      </c>
    </row>
    <row r="315" customFormat="false" ht="15" hidden="false" customHeight="false" outlineLevel="0" collapsed="false">
      <c r="A315" s="53" t="n">
        <v>46609</v>
      </c>
      <c r="B315" s="54"/>
      <c r="C315" s="54"/>
      <c r="D315" s="54"/>
      <c r="E315" s="54"/>
      <c r="F315" s="54"/>
      <c r="G315" s="54"/>
      <c r="H315" s="54"/>
      <c r="I315" s="55"/>
      <c r="J315" s="55"/>
      <c r="K315" s="55"/>
      <c r="L315" s="56"/>
      <c r="M315" s="31" t="n">
        <f aca="false">B315+C315</f>
        <v>0</v>
      </c>
      <c r="N315" s="31" t="n">
        <f aca="false">X315+Y315</f>
        <v>0</v>
      </c>
      <c r="O315" s="32" t="n">
        <f aca="false">B315*P1_PVP+C315*P2_PVP</f>
        <v>0</v>
      </c>
      <c r="P315" s="32" t="str">
        <f aca="false">IF(M315&gt;0,O315/M315,"")</f>
        <v/>
      </c>
      <c r="Q315" s="32" t="str">
        <f aca="false">IF(M315&gt;0,K315/M315,"")</f>
        <v/>
      </c>
      <c r="R315" s="57" t="str">
        <f aca="false">IF(K315&gt;0,O315/K315,"")</f>
        <v/>
      </c>
      <c r="S315" s="34" t="str">
        <f aca="false">IF(D315+E315+F315+G315&gt;0,(D315+E315)/(D315+E315+F315+G315),"")</f>
        <v/>
      </c>
      <c r="T315" s="33" t="n">
        <f aca="false">D315*(P1_PVP-P1_CPROD)+E315*(P2_PVP-P2_CPROD)-IF(ISNUMBER(I315),I315,D315*P1_LOG+E315*P2_LOG)</f>
        <v>0</v>
      </c>
      <c r="U315" s="33" t="n">
        <f aca="false">T315-(D315*P1_IVAN+E315*P2_IVAN)-(F315+G315)*(COSTE_DEV-IVA_DEV)-AH315-AJ315</f>
        <v>0</v>
      </c>
      <c r="V315" s="33" t="n">
        <f aca="false">AC315-AD315-AE315-AF315-AG315-AH315-AJ315</f>
        <v>0</v>
      </c>
      <c r="X315" s="58" t="n">
        <f aca="false">MAX(0,B315-D315-F315)</f>
        <v>0</v>
      </c>
      <c r="Y315" s="58" t="n">
        <f aca="false">MAX(0,C315-E315-G315)</f>
        <v>0</v>
      </c>
      <c r="Z315" s="59" t="n">
        <f aca="false">D315+X315*TASA_USADA</f>
        <v>0</v>
      </c>
      <c r="AA315" s="59" t="n">
        <f aca="false">E315+Y315*TASA_USADA</f>
        <v>0</v>
      </c>
      <c r="AB315" s="59" t="n">
        <f aca="false">F315+G315+(X315+Y315)*(1-TASA_USADA)</f>
        <v>0</v>
      </c>
      <c r="AC315" s="60" t="n">
        <f aca="false">Z315*P1_PVP+AA315*P2_PVP</f>
        <v>0</v>
      </c>
      <c r="AD315" s="60" t="n">
        <f aca="false">Z315*P1_CPROD+AA315*P2_CPROD</f>
        <v>0</v>
      </c>
      <c r="AE315" s="60" t="n">
        <f aca="false">IF(ISNUMBER(I315),I315,D315*P1_LOG+E315*P2_LOG)+IF(ISNUMBER(J315),J315,X315*P1_LOG+Y315*P2_LOG)*TASA_USADA</f>
        <v>0</v>
      </c>
      <c r="AF315" s="60" t="n">
        <f aca="false">AB315*COSTE_DEV</f>
        <v>0</v>
      </c>
      <c r="AG315" s="60" t="n">
        <f aca="false">Z315*P1_IVAN+AA315*P2_IVAN-AB315*IVA_DEV</f>
        <v>0</v>
      </c>
      <c r="AH315" s="60" t="n">
        <f aca="false">K315*(1+RECARGO_ADS)</f>
        <v>0</v>
      </c>
      <c r="AI315" s="58" t="n">
        <f aca="false">IF(ISNUMBER(I315),D315+E315+X315+Y315,0)</f>
        <v>0</v>
      </c>
      <c r="AJ315" s="60" t="n">
        <f aca="false">M315*COMISION</f>
        <v>0</v>
      </c>
    </row>
    <row r="316" customFormat="false" ht="15" hidden="false" customHeight="false" outlineLevel="0" collapsed="false">
      <c r="A316" s="53" t="n">
        <v>46610</v>
      </c>
      <c r="B316" s="54"/>
      <c r="C316" s="54"/>
      <c r="D316" s="54"/>
      <c r="E316" s="54"/>
      <c r="F316" s="54"/>
      <c r="G316" s="54"/>
      <c r="H316" s="54"/>
      <c r="I316" s="55"/>
      <c r="J316" s="55"/>
      <c r="K316" s="55"/>
      <c r="L316" s="56"/>
      <c r="M316" s="31" t="n">
        <f aca="false">B316+C316</f>
        <v>0</v>
      </c>
      <c r="N316" s="31" t="n">
        <f aca="false">X316+Y316</f>
        <v>0</v>
      </c>
      <c r="O316" s="32" t="n">
        <f aca="false">B316*P1_PVP+C316*P2_PVP</f>
        <v>0</v>
      </c>
      <c r="P316" s="32" t="str">
        <f aca="false">IF(M316&gt;0,O316/M316,"")</f>
        <v/>
      </c>
      <c r="Q316" s="32" t="str">
        <f aca="false">IF(M316&gt;0,K316/M316,"")</f>
        <v/>
      </c>
      <c r="R316" s="57" t="str">
        <f aca="false">IF(K316&gt;0,O316/K316,"")</f>
        <v/>
      </c>
      <c r="S316" s="34" t="str">
        <f aca="false">IF(D316+E316+F316+G316&gt;0,(D316+E316)/(D316+E316+F316+G316),"")</f>
        <v/>
      </c>
      <c r="T316" s="33" t="n">
        <f aca="false">D316*(P1_PVP-P1_CPROD)+E316*(P2_PVP-P2_CPROD)-IF(ISNUMBER(I316),I316,D316*P1_LOG+E316*P2_LOG)</f>
        <v>0</v>
      </c>
      <c r="U316" s="33" t="n">
        <f aca="false">T316-(D316*P1_IVAN+E316*P2_IVAN)-(F316+G316)*(COSTE_DEV-IVA_DEV)-AH316-AJ316</f>
        <v>0</v>
      </c>
      <c r="V316" s="33" t="n">
        <f aca="false">AC316-AD316-AE316-AF316-AG316-AH316-AJ316</f>
        <v>0</v>
      </c>
      <c r="X316" s="58" t="n">
        <f aca="false">MAX(0,B316-D316-F316)</f>
        <v>0</v>
      </c>
      <c r="Y316" s="58" t="n">
        <f aca="false">MAX(0,C316-E316-G316)</f>
        <v>0</v>
      </c>
      <c r="Z316" s="59" t="n">
        <f aca="false">D316+X316*TASA_USADA</f>
        <v>0</v>
      </c>
      <c r="AA316" s="59" t="n">
        <f aca="false">E316+Y316*TASA_USADA</f>
        <v>0</v>
      </c>
      <c r="AB316" s="59" t="n">
        <f aca="false">F316+G316+(X316+Y316)*(1-TASA_USADA)</f>
        <v>0</v>
      </c>
      <c r="AC316" s="60" t="n">
        <f aca="false">Z316*P1_PVP+AA316*P2_PVP</f>
        <v>0</v>
      </c>
      <c r="AD316" s="60" t="n">
        <f aca="false">Z316*P1_CPROD+AA316*P2_CPROD</f>
        <v>0</v>
      </c>
      <c r="AE316" s="60" t="n">
        <f aca="false">IF(ISNUMBER(I316),I316,D316*P1_LOG+E316*P2_LOG)+IF(ISNUMBER(J316),J316,X316*P1_LOG+Y316*P2_LOG)*TASA_USADA</f>
        <v>0</v>
      </c>
      <c r="AF316" s="60" t="n">
        <f aca="false">AB316*COSTE_DEV</f>
        <v>0</v>
      </c>
      <c r="AG316" s="60" t="n">
        <f aca="false">Z316*P1_IVAN+AA316*P2_IVAN-AB316*IVA_DEV</f>
        <v>0</v>
      </c>
      <c r="AH316" s="60" t="n">
        <f aca="false">K316*(1+RECARGO_ADS)</f>
        <v>0</v>
      </c>
      <c r="AI316" s="58" t="n">
        <f aca="false">IF(ISNUMBER(I316),D316+E316+X316+Y316,0)</f>
        <v>0</v>
      </c>
      <c r="AJ316" s="60" t="n">
        <f aca="false">M316*COMISION</f>
        <v>0</v>
      </c>
    </row>
    <row r="317" customFormat="false" ht="15" hidden="false" customHeight="false" outlineLevel="0" collapsed="false">
      <c r="A317" s="53" t="n">
        <v>46611</v>
      </c>
      <c r="B317" s="54"/>
      <c r="C317" s="54"/>
      <c r="D317" s="54"/>
      <c r="E317" s="54"/>
      <c r="F317" s="54"/>
      <c r="G317" s="54"/>
      <c r="H317" s="54"/>
      <c r="I317" s="55"/>
      <c r="J317" s="55"/>
      <c r="K317" s="55"/>
      <c r="L317" s="56"/>
      <c r="M317" s="31" t="n">
        <f aca="false">B317+C317</f>
        <v>0</v>
      </c>
      <c r="N317" s="31" t="n">
        <f aca="false">X317+Y317</f>
        <v>0</v>
      </c>
      <c r="O317" s="32" t="n">
        <f aca="false">B317*P1_PVP+C317*P2_PVP</f>
        <v>0</v>
      </c>
      <c r="P317" s="32" t="str">
        <f aca="false">IF(M317&gt;0,O317/M317,"")</f>
        <v/>
      </c>
      <c r="Q317" s="32" t="str">
        <f aca="false">IF(M317&gt;0,K317/M317,"")</f>
        <v/>
      </c>
      <c r="R317" s="57" t="str">
        <f aca="false">IF(K317&gt;0,O317/K317,"")</f>
        <v/>
      </c>
      <c r="S317" s="34" t="str">
        <f aca="false">IF(D317+E317+F317+G317&gt;0,(D317+E317)/(D317+E317+F317+G317),"")</f>
        <v/>
      </c>
      <c r="T317" s="33" t="n">
        <f aca="false">D317*(P1_PVP-P1_CPROD)+E317*(P2_PVP-P2_CPROD)-IF(ISNUMBER(I317),I317,D317*P1_LOG+E317*P2_LOG)</f>
        <v>0</v>
      </c>
      <c r="U317" s="33" t="n">
        <f aca="false">T317-(D317*P1_IVAN+E317*P2_IVAN)-(F317+G317)*(COSTE_DEV-IVA_DEV)-AH317-AJ317</f>
        <v>0</v>
      </c>
      <c r="V317" s="33" t="n">
        <f aca="false">AC317-AD317-AE317-AF317-AG317-AH317-AJ317</f>
        <v>0</v>
      </c>
      <c r="X317" s="58" t="n">
        <f aca="false">MAX(0,B317-D317-F317)</f>
        <v>0</v>
      </c>
      <c r="Y317" s="58" t="n">
        <f aca="false">MAX(0,C317-E317-G317)</f>
        <v>0</v>
      </c>
      <c r="Z317" s="59" t="n">
        <f aca="false">D317+X317*TASA_USADA</f>
        <v>0</v>
      </c>
      <c r="AA317" s="59" t="n">
        <f aca="false">E317+Y317*TASA_USADA</f>
        <v>0</v>
      </c>
      <c r="AB317" s="59" t="n">
        <f aca="false">F317+G317+(X317+Y317)*(1-TASA_USADA)</f>
        <v>0</v>
      </c>
      <c r="AC317" s="60" t="n">
        <f aca="false">Z317*P1_PVP+AA317*P2_PVP</f>
        <v>0</v>
      </c>
      <c r="AD317" s="60" t="n">
        <f aca="false">Z317*P1_CPROD+AA317*P2_CPROD</f>
        <v>0</v>
      </c>
      <c r="AE317" s="60" t="n">
        <f aca="false">IF(ISNUMBER(I317),I317,D317*P1_LOG+E317*P2_LOG)+IF(ISNUMBER(J317),J317,X317*P1_LOG+Y317*P2_LOG)*TASA_USADA</f>
        <v>0</v>
      </c>
      <c r="AF317" s="60" t="n">
        <f aca="false">AB317*COSTE_DEV</f>
        <v>0</v>
      </c>
      <c r="AG317" s="60" t="n">
        <f aca="false">Z317*P1_IVAN+AA317*P2_IVAN-AB317*IVA_DEV</f>
        <v>0</v>
      </c>
      <c r="AH317" s="60" t="n">
        <f aca="false">K317*(1+RECARGO_ADS)</f>
        <v>0</v>
      </c>
      <c r="AI317" s="58" t="n">
        <f aca="false">IF(ISNUMBER(I317),D317+E317+X317+Y317,0)</f>
        <v>0</v>
      </c>
      <c r="AJ317" s="60" t="n">
        <f aca="false">M317*COMISION</f>
        <v>0</v>
      </c>
    </row>
    <row r="318" customFormat="false" ht="15" hidden="false" customHeight="false" outlineLevel="0" collapsed="false">
      <c r="A318" s="53" t="n">
        <v>46612</v>
      </c>
      <c r="B318" s="54"/>
      <c r="C318" s="54"/>
      <c r="D318" s="54"/>
      <c r="E318" s="54"/>
      <c r="F318" s="54"/>
      <c r="G318" s="54"/>
      <c r="H318" s="54"/>
      <c r="I318" s="55"/>
      <c r="J318" s="55"/>
      <c r="K318" s="55"/>
      <c r="L318" s="56"/>
      <c r="M318" s="31" t="n">
        <f aca="false">B318+C318</f>
        <v>0</v>
      </c>
      <c r="N318" s="31" t="n">
        <f aca="false">X318+Y318</f>
        <v>0</v>
      </c>
      <c r="O318" s="32" t="n">
        <f aca="false">B318*P1_PVP+C318*P2_PVP</f>
        <v>0</v>
      </c>
      <c r="P318" s="32" t="str">
        <f aca="false">IF(M318&gt;0,O318/M318,"")</f>
        <v/>
      </c>
      <c r="Q318" s="32" t="str">
        <f aca="false">IF(M318&gt;0,K318/M318,"")</f>
        <v/>
      </c>
      <c r="R318" s="57" t="str">
        <f aca="false">IF(K318&gt;0,O318/K318,"")</f>
        <v/>
      </c>
      <c r="S318" s="34" t="str">
        <f aca="false">IF(D318+E318+F318+G318&gt;0,(D318+E318)/(D318+E318+F318+G318),"")</f>
        <v/>
      </c>
      <c r="T318" s="33" t="n">
        <f aca="false">D318*(P1_PVP-P1_CPROD)+E318*(P2_PVP-P2_CPROD)-IF(ISNUMBER(I318),I318,D318*P1_LOG+E318*P2_LOG)</f>
        <v>0</v>
      </c>
      <c r="U318" s="33" t="n">
        <f aca="false">T318-(D318*P1_IVAN+E318*P2_IVAN)-(F318+G318)*(COSTE_DEV-IVA_DEV)-AH318-AJ318</f>
        <v>0</v>
      </c>
      <c r="V318" s="33" t="n">
        <f aca="false">AC318-AD318-AE318-AF318-AG318-AH318-AJ318</f>
        <v>0</v>
      </c>
      <c r="X318" s="58" t="n">
        <f aca="false">MAX(0,B318-D318-F318)</f>
        <v>0</v>
      </c>
      <c r="Y318" s="58" t="n">
        <f aca="false">MAX(0,C318-E318-G318)</f>
        <v>0</v>
      </c>
      <c r="Z318" s="59" t="n">
        <f aca="false">D318+X318*TASA_USADA</f>
        <v>0</v>
      </c>
      <c r="AA318" s="59" t="n">
        <f aca="false">E318+Y318*TASA_USADA</f>
        <v>0</v>
      </c>
      <c r="AB318" s="59" t="n">
        <f aca="false">F318+G318+(X318+Y318)*(1-TASA_USADA)</f>
        <v>0</v>
      </c>
      <c r="AC318" s="60" t="n">
        <f aca="false">Z318*P1_PVP+AA318*P2_PVP</f>
        <v>0</v>
      </c>
      <c r="AD318" s="60" t="n">
        <f aca="false">Z318*P1_CPROD+AA318*P2_CPROD</f>
        <v>0</v>
      </c>
      <c r="AE318" s="60" t="n">
        <f aca="false">IF(ISNUMBER(I318),I318,D318*P1_LOG+E318*P2_LOG)+IF(ISNUMBER(J318),J318,X318*P1_LOG+Y318*P2_LOG)*TASA_USADA</f>
        <v>0</v>
      </c>
      <c r="AF318" s="60" t="n">
        <f aca="false">AB318*COSTE_DEV</f>
        <v>0</v>
      </c>
      <c r="AG318" s="60" t="n">
        <f aca="false">Z318*P1_IVAN+AA318*P2_IVAN-AB318*IVA_DEV</f>
        <v>0</v>
      </c>
      <c r="AH318" s="60" t="n">
        <f aca="false">K318*(1+RECARGO_ADS)</f>
        <v>0</v>
      </c>
      <c r="AI318" s="58" t="n">
        <f aca="false">IF(ISNUMBER(I318),D318+E318+X318+Y318,0)</f>
        <v>0</v>
      </c>
      <c r="AJ318" s="60" t="n">
        <f aca="false">M318*COMISION</f>
        <v>0</v>
      </c>
    </row>
    <row r="319" customFormat="false" ht="15" hidden="false" customHeight="false" outlineLevel="0" collapsed="false">
      <c r="A319" s="53" t="n">
        <v>46613</v>
      </c>
      <c r="B319" s="54"/>
      <c r="C319" s="54"/>
      <c r="D319" s="54"/>
      <c r="E319" s="54"/>
      <c r="F319" s="54"/>
      <c r="G319" s="54"/>
      <c r="H319" s="54"/>
      <c r="I319" s="55"/>
      <c r="J319" s="55"/>
      <c r="K319" s="55"/>
      <c r="L319" s="56"/>
      <c r="M319" s="31" t="n">
        <f aca="false">B319+C319</f>
        <v>0</v>
      </c>
      <c r="N319" s="31" t="n">
        <f aca="false">X319+Y319</f>
        <v>0</v>
      </c>
      <c r="O319" s="32" t="n">
        <f aca="false">B319*P1_PVP+C319*P2_PVP</f>
        <v>0</v>
      </c>
      <c r="P319" s="32" t="str">
        <f aca="false">IF(M319&gt;0,O319/M319,"")</f>
        <v/>
      </c>
      <c r="Q319" s="32" t="str">
        <f aca="false">IF(M319&gt;0,K319/M319,"")</f>
        <v/>
      </c>
      <c r="R319" s="57" t="str">
        <f aca="false">IF(K319&gt;0,O319/K319,"")</f>
        <v/>
      </c>
      <c r="S319" s="34" t="str">
        <f aca="false">IF(D319+E319+F319+G319&gt;0,(D319+E319)/(D319+E319+F319+G319),"")</f>
        <v/>
      </c>
      <c r="T319" s="33" t="n">
        <f aca="false">D319*(P1_PVP-P1_CPROD)+E319*(P2_PVP-P2_CPROD)-IF(ISNUMBER(I319),I319,D319*P1_LOG+E319*P2_LOG)</f>
        <v>0</v>
      </c>
      <c r="U319" s="33" t="n">
        <f aca="false">T319-(D319*P1_IVAN+E319*P2_IVAN)-(F319+G319)*(COSTE_DEV-IVA_DEV)-AH319-AJ319</f>
        <v>0</v>
      </c>
      <c r="V319" s="33" t="n">
        <f aca="false">AC319-AD319-AE319-AF319-AG319-AH319-AJ319</f>
        <v>0</v>
      </c>
      <c r="X319" s="58" t="n">
        <f aca="false">MAX(0,B319-D319-F319)</f>
        <v>0</v>
      </c>
      <c r="Y319" s="58" t="n">
        <f aca="false">MAX(0,C319-E319-G319)</f>
        <v>0</v>
      </c>
      <c r="Z319" s="59" t="n">
        <f aca="false">D319+X319*TASA_USADA</f>
        <v>0</v>
      </c>
      <c r="AA319" s="59" t="n">
        <f aca="false">E319+Y319*TASA_USADA</f>
        <v>0</v>
      </c>
      <c r="AB319" s="59" t="n">
        <f aca="false">F319+G319+(X319+Y319)*(1-TASA_USADA)</f>
        <v>0</v>
      </c>
      <c r="AC319" s="60" t="n">
        <f aca="false">Z319*P1_PVP+AA319*P2_PVP</f>
        <v>0</v>
      </c>
      <c r="AD319" s="60" t="n">
        <f aca="false">Z319*P1_CPROD+AA319*P2_CPROD</f>
        <v>0</v>
      </c>
      <c r="AE319" s="60" t="n">
        <f aca="false">IF(ISNUMBER(I319),I319,D319*P1_LOG+E319*P2_LOG)+IF(ISNUMBER(J319),J319,X319*P1_LOG+Y319*P2_LOG)*TASA_USADA</f>
        <v>0</v>
      </c>
      <c r="AF319" s="60" t="n">
        <f aca="false">AB319*COSTE_DEV</f>
        <v>0</v>
      </c>
      <c r="AG319" s="60" t="n">
        <f aca="false">Z319*P1_IVAN+AA319*P2_IVAN-AB319*IVA_DEV</f>
        <v>0</v>
      </c>
      <c r="AH319" s="60" t="n">
        <f aca="false">K319*(1+RECARGO_ADS)</f>
        <v>0</v>
      </c>
      <c r="AI319" s="58" t="n">
        <f aca="false">IF(ISNUMBER(I319),D319+E319+X319+Y319,0)</f>
        <v>0</v>
      </c>
      <c r="AJ319" s="60" t="n">
        <f aca="false">M319*COMISION</f>
        <v>0</v>
      </c>
    </row>
    <row r="320" customFormat="false" ht="15" hidden="false" customHeight="false" outlineLevel="0" collapsed="false">
      <c r="A320" s="53" t="n">
        <v>46614</v>
      </c>
      <c r="B320" s="54"/>
      <c r="C320" s="54"/>
      <c r="D320" s="54"/>
      <c r="E320" s="54"/>
      <c r="F320" s="54"/>
      <c r="G320" s="54"/>
      <c r="H320" s="54"/>
      <c r="I320" s="55"/>
      <c r="J320" s="55"/>
      <c r="K320" s="55"/>
      <c r="L320" s="56"/>
      <c r="M320" s="31" t="n">
        <f aca="false">B320+C320</f>
        <v>0</v>
      </c>
      <c r="N320" s="31" t="n">
        <f aca="false">X320+Y320</f>
        <v>0</v>
      </c>
      <c r="O320" s="32" t="n">
        <f aca="false">B320*P1_PVP+C320*P2_PVP</f>
        <v>0</v>
      </c>
      <c r="P320" s="32" t="str">
        <f aca="false">IF(M320&gt;0,O320/M320,"")</f>
        <v/>
      </c>
      <c r="Q320" s="32" t="str">
        <f aca="false">IF(M320&gt;0,K320/M320,"")</f>
        <v/>
      </c>
      <c r="R320" s="57" t="str">
        <f aca="false">IF(K320&gt;0,O320/K320,"")</f>
        <v/>
      </c>
      <c r="S320" s="34" t="str">
        <f aca="false">IF(D320+E320+F320+G320&gt;0,(D320+E320)/(D320+E320+F320+G320),"")</f>
        <v/>
      </c>
      <c r="T320" s="33" t="n">
        <f aca="false">D320*(P1_PVP-P1_CPROD)+E320*(P2_PVP-P2_CPROD)-IF(ISNUMBER(I320),I320,D320*P1_LOG+E320*P2_LOG)</f>
        <v>0</v>
      </c>
      <c r="U320" s="33" t="n">
        <f aca="false">T320-(D320*P1_IVAN+E320*P2_IVAN)-(F320+G320)*(COSTE_DEV-IVA_DEV)-AH320-AJ320</f>
        <v>0</v>
      </c>
      <c r="V320" s="33" t="n">
        <f aca="false">AC320-AD320-AE320-AF320-AG320-AH320-AJ320</f>
        <v>0</v>
      </c>
      <c r="X320" s="58" t="n">
        <f aca="false">MAX(0,B320-D320-F320)</f>
        <v>0</v>
      </c>
      <c r="Y320" s="58" t="n">
        <f aca="false">MAX(0,C320-E320-G320)</f>
        <v>0</v>
      </c>
      <c r="Z320" s="59" t="n">
        <f aca="false">D320+X320*TASA_USADA</f>
        <v>0</v>
      </c>
      <c r="AA320" s="59" t="n">
        <f aca="false">E320+Y320*TASA_USADA</f>
        <v>0</v>
      </c>
      <c r="AB320" s="59" t="n">
        <f aca="false">F320+G320+(X320+Y320)*(1-TASA_USADA)</f>
        <v>0</v>
      </c>
      <c r="AC320" s="60" t="n">
        <f aca="false">Z320*P1_PVP+AA320*P2_PVP</f>
        <v>0</v>
      </c>
      <c r="AD320" s="60" t="n">
        <f aca="false">Z320*P1_CPROD+AA320*P2_CPROD</f>
        <v>0</v>
      </c>
      <c r="AE320" s="60" t="n">
        <f aca="false">IF(ISNUMBER(I320),I320,D320*P1_LOG+E320*P2_LOG)+IF(ISNUMBER(J320),J320,X320*P1_LOG+Y320*P2_LOG)*TASA_USADA</f>
        <v>0</v>
      </c>
      <c r="AF320" s="60" t="n">
        <f aca="false">AB320*COSTE_DEV</f>
        <v>0</v>
      </c>
      <c r="AG320" s="60" t="n">
        <f aca="false">Z320*P1_IVAN+AA320*P2_IVAN-AB320*IVA_DEV</f>
        <v>0</v>
      </c>
      <c r="AH320" s="60" t="n">
        <f aca="false">K320*(1+RECARGO_ADS)</f>
        <v>0</v>
      </c>
      <c r="AI320" s="58" t="n">
        <f aca="false">IF(ISNUMBER(I320),D320+E320+X320+Y320,0)</f>
        <v>0</v>
      </c>
      <c r="AJ320" s="60" t="n">
        <f aca="false">M320*COMISION</f>
        <v>0</v>
      </c>
    </row>
    <row r="321" customFormat="false" ht="15" hidden="false" customHeight="false" outlineLevel="0" collapsed="false">
      <c r="A321" s="53" t="n">
        <v>46615</v>
      </c>
      <c r="B321" s="54"/>
      <c r="C321" s="54"/>
      <c r="D321" s="54"/>
      <c r="E321" s="54"/>
      <c r="F321" s="54"/>
      <c r="G321" s="54"/>
      <c r="H321" s="54"/>
      <c r="I321" s="55"/>
      <c r="J321" s="55"/>
      <c r="K321" s="55"/>
      <c r="L321" s="56"/>
      <c r="M321" s="31" t="n">
        <f aca="false">B321+C321</f>
        <v>0</v>
      </c>
      <c r="N321" s="31" t="n">
        <f aca="false">X321+Y321</f>
        <v>0</v>
      </c>
      <c r="O321" s="32" t="n">
        <f aca="false">B321*P1_PVP+C321*P2_PVP</f>
        <v>0</v>
      </c>
      <c r="P321" s="32" t="str">
        <f aca="false">IF(M321&gt;0,O321/M321,"")</f>
        <v/>
      </c>
      <c r="Q321" s="32" t="str">
        <f aca="false">IF(M321&gt;0,K321/M321,"")</f>
        <v/>
      </c>
      <c r="R321" s="57" t="str">
        <f aca="false">IF(K321&gt;0,O321/K321,"")</f>
        <v/>
      </c>
      <c r="S321" s="34" t="str">
        <f aca="false">IF(D321+E321+F321+G321&gt;0,(D321+E321)/(D321+E321+F321+G321),"")</f>
        <v/>
      </c>
      <c r="T321" s="33" t="n">
        <f aca="false">D321*(P1_PVP-P1_CPROD)+E321*(P2_PVP-P2_CPROD)-IF(ISNUMBER(I321),I321,D321*P1_LOG+E321*P2_LOG)</f>
        <v>0</v>
      </c>
      <c r="U321" s="33" t="n">
        <f aca="false">T321-(D321*P1_IVAN+E321*P2_IVAN)-(F321+G321)*(COSTE_DEV-IVA_DEV)-AH321-AJ321</f>
        <v>0</v>
      </c>
      <c r="V321" s="33" t="n">
        <f aca="false">AC321-AD321-AE321-AF321-AG321-AH321-AJ321</f>
        <v>0</v>
      </c>
      <c r="X321" s="58" t="n">
        <f aca="false">MAX(0,B321-D321-F321)</f>
        <v>0</v>
      </c>
      <c r="Y321" s="58" t="n">
        <f aca="false">MAX(0,C321-E321-G321)</f>
        <v>0</v>
      </c>
      <c r="Z321" s="59" t="n">
        <f aca="false">D321+X321*TASA_USADA</f>
        <v>0</v>
      </c>
      <c r="AA321" s="59" t="n">
        <f aca="false">E321+Y321*TASA_USADA</f>
        <v>0</v>
      </c>
      <c r="AB321" s="59" t="n">
        <f aca="false">F321+G321+(X321+Y321)*(1-TASA_USADA)</f>
        <v>0</v>
      </c>
      <c r="AC321" s="60" t="n">
        <f aca="false">Z321*P1_PVP+AA321*P2_PVP</f>
        <v>0</v>
      </c>
      <c r="AD321" s="60" t="n">
        <f aca="false">Z321*P1_CPROD+AA321*P2_CPROD</f>
        <v>0</v>
      </c>
      <c r="AE321" s="60" t="n">
        <f aca="false">IF(ISNUMBER(I321),I321,D321*P1_LOG+E321*P2_LOG)+IF(ISNUMBER(J321),J321,X321*P1_LOG+Y321*P2_LOG)*TASA_USADA</f>
        <v>0</v>
      </c>
      <c r="AF321" s="60" t="n">
        <f aca="false">AB321*COSTE_DEV</f>
        <v>0</v>
      </c>
      <c r="AG321" s="60" t="n">
        <f aca="false">Z321*P1_IVAN+AA321*P2_IVAN-AB321*IVA_DEV</f>
        <v>0</v>
      </c>
      <c r="AH321" s="60" t="n">
        <f aca="false">K321*(1+RECARGO_ADS)</f>
        <v>0</v>
      </c>
      <c r="AI321" s="58" t="n">
        <f aca="false">IF(ISNUMBER(I321),D321+E321+X321+Y321,0)</f>
        <v>0</v>
      </c>
      <c r="AJ321" s="60" t="n">
        <f aca="false">M321*COMISION</f>
        <v>0</v>
      </c>
    </row>
    <row r="322" customFormat="false" ht="15" hidden="false" customHeight="false" outlineLevel="0" collapsed="false">
      <c r="A322" s="53" t="n">
        <v>46616</v>
      </c>
      <c r="B322" s="54"/>
      <c r="C322" s="54"/>
      <c r="D322" s="54"/>
      <c r="E322" s="54"/>
      <c r="F322" s="54"/>
      <c r="G322" s="54"/>
      <c r="H322" s="54"/>
      <c r="I322" s="55"/>
      <c r="J322" s="55"/>
      <c r="K322" s="55"/>
      <c r="L322" s="56"/>
      <c r="M322" s="31" t="n">
        <f aca="false">B322+C322</f>
        <v>0</v>
      </c>
      <c r="N322" s="31" t="n">
        <f aca="false">X322+Y322</f>
        <v>0</v>
      </c>
      <c r="O322" s="32" t="n">
        <f aca="false">B322*P1_PVP+C322*P2_PVP</f>
        <v>0</v>
      </c>
      <c r="P322" s="32" t="str">
        <f aca="false">IF(M322&gt;0,O322/M322,"")</f>
        <v/>
      </c>
      <c r="Q322" s="32" t="str">
        <f aca="false">IF(M322&gt;0,K322/M322,"")</f>
        <v/>
      </c>
      <c r="R322" s="57" t="str">
        <f aca="false">IF(K322&gt;0,O322/K322,"")</f>
        <v/>
      </c>
      <c r="S322" s="34" t="str">
        <f aca="false">IF(D322+E322+F322+G322&gt;0,(D322+E322)/(D322+E322+F322+G322),"")</f>
        <v/>
      </c>
      <c r="T322" s="33" t="n">
        <f aca="false">D322*(P1_PVP-P1_CPROD)+E322*(P2_PVP-P2_CPROD)-IF(ISNUMBER(I322),I322,D322*P1_LOG+E322*P2_LOG)</f>
        <v>0</v>
      </c>
      <c r="U322" s="33" t="n">
        <f aca="false">T322-(D322*P1_IVAN+E322*P2_IVAN)-(F322+G322)*(COSTE_DEV-IVA_DEV)-AH322-AJ322</f>
        <v>0</v>
      </c>
      <c r="V322" s="33" t="n">
        <f aca="false">AC322-AD322-AE322-AF322-AG322-AH322-AJ322</f>
        <v>0</v>
      </c>
      <c r="X322" s="58" t="n">
        <f aca="false">MAX(0,B322-D322-F322)</f>
        <v>0</v>
      </c>
      <c r="Y322" s="58" t="n">
        <f aca="false">MAX(0,C322-E322-G322)</f>
        <v>0</v>
      </c>
      <c r="Z322" s="59" t="n">
        <f aca="false">D322+X322*TASA_USADA</f>
        <v>0</v>
      </c>
      <c r="AA322" s="59" t="n">
        <f aca="false">E322+Y322*TASA_USADA</f>
        <v>0</v>
      </c>
      <c r="AB322" s="59" t="n">
        <f aca="false">F322+G322+(X322+Y322)*(1-TASA_USADA)</f>
        <v>0</v>
      </c>
      <c r="AC322" s="60" t="n">
        <f aca="false">Z322*P1_PVP+AA322*P2_PVP</f>
        <v>0</v>
      </c>
      <c r="AD322" s="60" t="n">
        <f aca="false">Z322*P1_CPROD+AA322*P2_CPROD</f>
        <v>0</v>
      </c>
      <c r="AE322" s="60" t="n">
        <f aca="false">IF(ISNUMBER(I322),I322,D322*P1_LOG+E322*P2_LOG)+IF(ISNUMBER(J322),J322,X322*P1_LOG+Y322*P2_LOG)*TASA_USADA</f>
        <v>0</v>
      </c>
      <c r="AF322" s="60" t="n">
        <f aca="false">AB322*COSTE_DEV</f>
        <v>0</v>
      </c>
      <c r="AG322" s="60" t="n">
        <f aca="false">Z322*P1_IVAN+AA322*P2_IVAN-AB322*IVA_DEV</f>
        <v>0</v>
      </c>
      <c r="AH322" s="60" t="n">
        <f aca="false">K322*(1+RECARGO_ADS)</f>
        <v>0</v>
      </c>
      <c r="AI322" s="58" t="n">
        <f aca="false">IF(ISNUMBER(I322),D322+E322+X322+Y322,0)</f>
        <v>0</v>
      </c>
      <c r="AJ322" s="60" t="n">
        <f aca="false">M322*COMISION</f>
        <v>0</v>
      </c>
    </row>
    <row r="323" customFormat="false" ht="15" hidden="false" customHeight="false" outlineLevel="0" collapsed="false">
      <c r="A323" s="53" t="n">
        <v>46617</v>
      </c>
      <c r="B323" s="54"/>
      <c r="C323" s="54"/>
      <c r="D323" s="54"/>
      <c r="E323" s="54"/>
      <c r="F323" s="54"/>
      <c r="G323" s="54"/>
      <c r="H323" s="54"/>
      <c r="I323" s="55"/>
      <c r="J323" s="55"/>
      <c r="K323" s="55"/>
      <c r="L323" s="56"/>
      <c r="M323" s="31" t="n">
        <f aca="false">B323+C323</f>
        <v>0</v>
      </c>
      <c r="N323" s="31" t="n">
        <f aca="false">X323+Y323</f>
        <v>0</v>
      </c>
      <c r="O323" s="32" t="n">
        <f aca="false">B323*P1_PVP+C323*P2_PVP</f>
        <v>0</v>
      </c>
      <c r="P323" s="32" t="str">
        <f aca="false">IF(M323&gt;0,O323/M323,"")</f>
        <v/>
      </c>
      <c r="Q323" s="32" t="str">
        <f aca="false">IF(M323&gt;0,K323/M323,"")</f>
        <v/>
      </c>
      <c r="R323" s="57" t="str">
        <f aca="false">IF(K323&gt;0,O323/K323,"")</f>
        <v/>
      </c>
      <c r="S323" s="34" t="str">
        <f aca="false">IF(D323+E323+F323+G323&gt;0,(D323+E323)/(D323+E323+F323+G323),"")</f>
        <v/>
      </c>
      <c r="T323" s="33" t="n">
        <f aca="false">D323*(P1_PVP-P1_CPROD)+E323*(P2_PVP-P2_CPROD)-IF(ISNUMBER(I323),I323,D323*P1_LOG+E323*P2_LOG)</f>
        <v>0</v>
      </c>
      <c r="U323" s="33" t="n">
        <f aca="false">T323-(D323*P1_IVAN+E323*P2_IVAN)-(F323+G323)*(COSTE_DEV-IVA_DEV)-AH323-AJ323</f>
        <v>0</v>
      </c>
      <c r="V323" s="33" t="n">
        <f aca="false">AC323-AD323-AE323-AF323-AG323-AH323-AJ323</f>
        <v>0</v>
      </c>
      <c r="X323" s="58" t="n">
        <f aca="false">MAX(0,B323-D323-F323)</f>
        <v>0</v>
      </c>
      <c r="Y323" s="58" t="n">
        <f aca="false">MAX(0,C323-E323-G323)</f>
        <v>0</v>
      </c>
      <c r="Z323" s="59" t="n">
        <f aca="false">D323+X323*TASA_USADA</f>
        <v>0</v>
      </c>
      <c r="AA323" s="59" t="n">
        <f aca="false">E323+Y323*TASA_USADA</f>
        <v>0</v>
      </c>
      <c r="AB323" s="59" t="n">
        <f aca="false">F323+G323+(X323+Y323)*(1-TASA_USADA)</f>
        <v>0</v>
      </c>
      <c r="AC323" s="60" t="n">
        <f aca="false">Z323*P1_PVP+AA323*P2_PVP</f>
        <v>0</v>
      </c>
      <c r="AD323" s="60" t="n">
        <f aca="false">Z323*P1_CPROD+AA323*P2_CPROD</f>
        <v>0</v>
      </c>
      <c r="AE323" s="60" t="n">
        <f aca="false">IF(ISNUMBER(I323),I323,D323*P1_LOG+E323*P2_LOG)+IF(ISNUMBER(J323),J323,X323*P1_LOG+Y323*P2_LOG)*TASA_USADA</f>
        <v>0</v>
      </c>
      <c r="AF323" s="60" t="n">
        <f aca="false">AB323*COSTE_DEV</f>
        <v>0</v>
      </c>
      <c r="AG323" s="60" t="n">
        <f aca="false">Z323*P1_IVAN+AA323*P2_IVAN-AB323*IVA_DEV</f>
        <v>0</v>
      </c>
      <c r="AH323" s="60" t="n">
        <f aca="false">K323*(1+RECARGO_ADS)</f>
        <v>0</v>
      </c>
      <c r="AI323" s="58" t="n">
        <f aca="false">IF(ISNUMBER(I323),D323+E323+X323+Y323,0)</f>
        <v>0</v>
      </c>
      <c r="AJ323" s="60" t="n">
        <f aca="false">M323*COMISION</f>
        <v>0</v>
      </c>
    </row>
    <row r="324" customFormat="false" ht="15" hidden="false" customHeight="false" outlineLevel="0" collapsed="false">
      <c r="A324" s="53" t="n">
        <v>46618</v>
      </c>
      <c r="B324" s="54"/>
      <c r="C324" s="54"/>
      <c r="D324" s="54"/>
      <c r="E324" s="54"/>
      <c r="F324" s="54"/>
      <c r="G324" s="54"/>
      <c r="H324" s="54"/>
      <c r="I324" s="55"/>
      <c r="J324" s="55"/>
      <c r="K324" s="55"/>
      <c r="L324" s="56"/>
      <c r="M324" s="31" t="n">
        <f aca="false">B324+C324</f>
        <v>0</v>
      </c>
      <c r="N324" s="31" t="n">
        <f aca="false">X324+Y324</f>
        <v>0</v>
      </c>
      <c r="O324" s="32" t="n">
        <f aca="false">B324*P1_PVP+C324*P2_PVP</f>
        <v>0</v>
      </c>
      <c r="P324" s="32" t="str">
        <f aca="false">IF(M324&gt;0,O324/M324,"")</f>
        <v/>
      </c>
      <c r="Q324" s="32" t="str">
        <f aca="false">IF(M324&gt;0,K324/M324,"")</f>
        <v/>
      </c>
      <c r="R324" s="57" t="str">
        <f aca="false">IF(K324&gt;0,O324/K324,"")</f>
        <v/>
      </c>
      <c r="S324" s="34" t="str">
        <f aca="false">IF(D324+E324+F324+G324&gt;0,(D324+E324)/(D324+E324+F324+G324),"")</f>
        <v/>
      </c>
      <c r="T324" s="33" t="n">
        <f aca="false">D324*(P1_PVP-P1_CPROD)+E324*(P2_PVP-P2_CPROD)-IF(ISNUMBER(I324),I324,D324*P1_LOG+E324*P2_LOG)</f>
        <v>0</v>
      </c>
      <c r="U324" s="33" t="n">
        <f aca="false">T324-(D324*P1_IVAN+E324*P2_IVAN)-(F324+G324)*(COSTE_DEV-IVA_DEV)-AH324-AJ324</f>
        <v>0</v>
      </c>
      <c r="V324" s="33" t="n">
        <f aca="false">AC324-AD324-AE324-AF324-AG324-AH324-AJ324</f>
        <v>0</v>
      </c>
      <c r="X324" s="58" t="n">
        <f aca="false">MAX(0,B324-D324-F324)</f>
        <v>0</v>
      </c>
      <c r="Y324" s="58" t="n">
        <f aca="false">MAX(0,C324-E324-G324)</f>
        <v>0</v>
      </c>
      <c r="Z324" s="59" t="n">
        <f aca="false">D324+X324*TASA_USADA</f>
        <v>0</v>
      </c>
      <c r="AA324" s="59" t="n">
        <f aca="false">E324+Y324*TASA_USADA</f>
        <v>0</v>
      </c>
      <c r="AB324" s="59" t="n">
        <f aca="false">F324+G324+(X324+Y324)*(1-TASA_USADA)</f>
        <v>0</v>
      </c>
      <c r="AC324" s="60" t="n">
        <f aca="false">Z324*P1_PVP+AA324*P2_PVP</f>
        <v>0</v>
      </c>
      <c r="AD324" s="60" t="n">
        <f aca="false">Z324*P1_CPROD+AA324*P2_CPROD</f>
        <v>0</v>
      </c>
      <c r="AE324" s="60" t="n">
        <f aca="false">IF(ISNUMBER(I324),I324,D324*P1_LOG+E324*P2_LOG)+IF(ISNUMBER(J324),J324,X324*P1_LOG+Y324*P2_LOG)*TASA_USADA</f>
        <v>0</v>
      </c>
      <c r="AF324" s="60" t="n">
        <f aca="false">AB324*COSTE_DEV</f>
        <v>0</v>
      </c>
      <c r="AG324" s="60" t="n">
        <f aca="false">Z324*P1_IVAN+AA324*P2_IVAN-AB324*IVA_DEV</f>
        <v>0</v>
      </c>
      <c r="AH324" s="60" t="n">
        <f aca="false">K324*(1+RECARGO_ADS)</f>
        <v>0</v>
      </c>
      <c r="AI324" s="58" t="n">
        <f aca="false">IF(ISNUMBER(I324),D324+E324+X324+Y324,0)</f>
        <v>0</v>
      </c>
      <c r="AJ324" s="60" t="n">
        <f aca="false">M324*COMISION</f>
        <v>0</v>
      </c>
    </row>
    <row r="325" customFormat="false" ht="15" hidden="false" customHeight="false" outlineLevel="0" collapsed="false">
      <c r="A325" s="53" t="n">
        <v>46619</v>
      </c>
      <c r="B325" s="54"/>
      <c r="C325" s="54"/>
      <c r="D325" s="54"/>
      <c r="E325" s="54"/>
      <c r="F325" s="54"/>
      <c r="G325" s="54"/>
      <c r="H325" s="54"/>
      <c r="I325" s="55"/>
      <c r="J325" s="55"/>
      <c r="K325" s="55"/>
      <c r="L325" s="56"/>
      <c r="M325" s="31" t="n">
        <f aca="false">B325+C325</f>
        <v>0</v>
      </c>
      <c r="N325" s="31" t="n">
        <f aca="false">X325+Y325</f>
        <v>0</v>
      </c>
      <c r="O325" s="32" t="n">
        <f aca="false">B325*P1_PVP+C325*P2_PVP</f>
        <v>0</v>
      </c>
      <c r="P325" s="32" t="str">
        <f aca="false">IF(M325&gt;0,O325/M325,"")</f>
        <v/>
      </c>
      <c r="Q325" s="32" t="str">
        <f aca="false">IF(M325&gt;0,K325/M325,"")</f>
        <v/>
      </c>
      <c r="R325" s="57" t="str">
        <f aca="false">IF(K325&gt;0,O325/K325,"")</f>
        <v/>
      </c>
      <c r="S325" s="34" t="str">
        <f aca="false">IF(D325+E325+F325+G325&gt;0,(D325+E325)/(D325+E325+F325+G325),"")</f>
        <v/>
      </c>
      <c r="T325" s="33" t="n">
        <f aca="false">D325*(P1_PVP-P1_CPROD)+E325*(P2_PVP-P2_CPROD)-IF(ISNUMBER(I325),I325,D325*P1_LOG+E325*P2_LOG)</f>
        <v>0</v>
      </c>
      <c r="U325" s="33" t="n">
        <f aca="false">T325-(D325*P1_IVAN+E325*P2_IVAN)-(F325+G325)*(COSTE_DEV-IVA_DEV)-AH325-AJ325</f>
        <v>0</v>
      </c>
      <c r="V325" s="33" t="n">
        <f aca="false">AC325-AD325-AE325-AF325-AG325-AH325-AJ325</f>
        <v>0</v>
      </c>
      <c r="X325" s="58" t="n">
        <f aca="false">MAX(0,B325-D325-F325)</f>
        <v>0</v>
      </c>
      <c r="Y325" s="58" t="n">
        <f aca="false">MAX(0,C325-E325-G325)</f>
        <v>0</v>
      </c>
      <c r="Z325" s="59" t="n">
        <f aca="false">D325+X325*TASA_USADA</f>
        <v>0</v>
      </c>
      <c r="AA325" s="59" t="n">
        <f aca="false">E325+Y325*TASA_USADA</f>
        <v>0</v>
      </c>
      <c r="AB325" s="59" t="n">
        <f aca="false">F325+G325+(X325+Y325)*(1-TASA_USADA)</f>
        <v>0</v>
      </c>
      <c r="AC325" s="60" t="n">
        <f aca="false">Z325*P1_PVP+AA325*P2_PVP</f>
        <v>0</v>
      </c>
      <c r="AD325" s="60" t="n">
        <f aca="false">Z325*P1_CPROD+AA325*P2_CPROD</f>
        <v>0</v>
      </c>
      <c r="AE325" s="60" t="n">
        <f aca="false">IF(ISNUMBER(I325),I325,D325*P1_LOG+E325*P2_LOG)+IF(ISNUMBER(J325),J325,X325*P1_LOG+Y325*P2_LOG)*TASA_USADA</f>
        <v>0</v>
      </c>
      <c r="AF325" s="60" t="n">
        <f aca="false">AB325*COSTE_DEV</f>
        <v>0</v>
      </c>
      <c r="AG325" s="60" t="n">
        <f aca="false">Z325*P1_IVAN+AA325*P2_IVAN-AB325*IVA_DEV</f>
        <v>0</v>
      </c>
      <c r="AH325" s="60" t="n">
        <f aca="false">K325*(1+RECARGO_ADS)</f>
        <v>0</v>
      </c>
      <c r="AI325" s="58" t="n">
        <f aca="false">IF(ISNUMBER(I325),D325+E325+X325+Y325,0)</f>
        <v>0</v>
      </c>
      <c r="AJ325" s="60" t="n">
        <f aca="false">M325*COMISION</f>
        <v>0</v>
      </c>
    </row>
    <row r="326" customFormat="false" ht="15" hidden="false" customHeight="false" outlineLevel="0" collapsed="false">
      <c r="A326" s="53" t="n">
        <v>46620</v>
      </c>
      <c r="B326" s="54"/>
      <c r="C326" s="54"/>
      <c r="D326" s="54"/>
      <c r="E326" s="54"/>
      <c r="F326" s="54"/>
      <c r="G326" s="54"/>
      <c r="H326" s="54"/>
      <c r="I326" s="55"/>
      <c r="J326" s="55"/>
      <c r="K326" s="55"/>
      <c r="L326" s="56"/>
      <c r="M326" s="31" t="n">
        <f aca="false">B326+C326</f>
        <v>0</v>
      </c>
      <c r="N326" s="31" t="n">
        <f aca="false">X326+Y326</f>
        <v>0</v>
      </c>
      <c r="O326" s="32" t="n">
        <f aca="false">B326*P1_PVP+C326*P2_PVP</f>
        <v>0</v>
      </c>
      <c r="P326" s="32" t="str">
        <f aca="false">IF(M326&gt;0,O326/M326,"")</f>
        <v/>
      </c>
      <c r="Q326" s="32" t="str">
        <f aca="false">IF(M326&gt;0,K326/M326,"")</f>
        <v/>
      </c>
      <c r="R326" s="57" t="str">
        <f aca="false">IF(K326&gt;0,O326/K326,"")</f>
        <v/>
      </c>
      <c r="S326" s="34" t="str">
        <f aca="false">IF(D326+E326+F326+G326&gt;0,(D326+E326)/(D326+E326+F326+G326),"")</f>
        <v/>
      </c>
      <c r="T326" s="33" t="n">
        <f aca="false">D326*(P1_PVP-P1_CPROD)+E326*(P2_PVP-P2_CPROD)-IF(ISNUMBER(I326),I326,D326*P1_LOG+E326*P2_LOG)</f>
        <v>0</v>
      </c>
      <c r="U326" s="33" t="n">
        <f aca="false">T326-(D326*P1_IVAN+E326*P2_IVAN)-(F326+G326)*(COSTE_DEV-IVA_DEV)-AH326-AJ326</f>
        <v>0</v>
      </c>
      <c r="V326" s="33" t="n">
        <f aca="false">AC326-AD326-AE326-AF326-AG326-AH326-AJ326</f>
        <v>0</v>
      </c>
      <c r="X326" s="58" t="n">
        <f aca="false">MAX(0,B326-D326-F326)</f>
        <v>0</v>
      </c>
      <c r="Y326" s="58" t="n">
        <f aca="false">MAX(0,C326-E326-G326)</f>
        <v>0</v>
      </c>
      <c r="Z326" s="59" t="n">
        <f aca="false">D326+X326*TASA_USADA</f>
        <v>0</v>
      </c>
      <c r="AA326" s="59" t="n">
        <f aca="false">E326+Y326*TASA_USADA</f>
        <v>0</v>
      </c>
      <c r="AB326" s="59" t="n">
        <f aca="false">F326+G326+(X326+Y326)*(1-TASA_USADA)</f>
        <v>0</v>
      </c>
      <c r="AC326" s="60" t="n">
        <f aca="false">Z326*P1_PVP+AA326*P2_PVP</f>
        <v>0</v>
      </c>
      <c r="AD326" s="60" t="n">
        <f aca="false">Z326*P1_CPROD+AA326*P2_CPROD</f>
        <v>0</v>
      </c>
      <c r="AE326" s="60" t="n">
        <f aca="false">IF(ISNUMBER(I326),I326,D326*P1_LOG+E326*P2_LOG)+IF(ISNUMBER(J326),J326,X326*P1_LOG+Y326*P2_LOG)*TASA_USADA</f>
        <v>0</v>
      </c>
      <c r="AF326" s="60" t="n">
        <f aca="false">AB326*COSTE_DEV</f>
        <v>0</v>
      </c>
      <c r="AG326" s="60" t="n">
        <f aca="false">Z326*P1_IVAN+AA326*P2_IVAN-AB326*IVA_DEV</f>
        <v>0</v>
      </c>
      <c r="AH326" s="60" t="n">
        <f aca="false">K326*(1+RECARGO_ADS)</f>
        <v>0</v>
      </c>
      <c r="AI326" s="58" t="n">
        <f aca="false">IF(ISNUMBER(I326),D326+E326+X326+Y326,0)</f>
        <v>0</v>
      </c>
      <c r="AJ326" s="60" t="n">
        <f aca="false">M326*COMISION</f>
        <v>0</v>
      </c>
    </row>
    <row r="327" customFormat="false" ht="15" hidden="false" customHeight="false" outlineLevel="0" collapsed="false">
      <c r="A327" s="53" t="n">
        <v>46621</v>
      </c>
      <c r="B327" s="54"/>
      <c r="C327" s="54"/>
      <c r="D327" s="54"/>
      <c r="E327" s="54"/>
      <c r="F327" s="54"/>
      <c r="G327" s="54"/>
      <c r="H327" s="54"/>
      <c r="I327" s="55"/>
      <c r="J327" s="55"/>
      <c r="K327" s="55"/>
      <c r="L327" s="56"/>
      <c r="M327" s="31" t="n">
        <f aca="false">B327+C327</f>
        <v>0</v>
      </c>
      <c r="N327" s="31" t="n">
        <f aca="false">X327+Y327</f>
        <v>0</v>
      </c>
      <c r="O327" s="32" t="n">
        <f aca="false">B327*P1_PVP+C327*P2_PVP</f>
        <v>0</v>
      </c>
      <c r="P327" s="32" t="str">
        <f aca="false">IF(M327&gt;0,O327/M327,"")</f>
        <v/>
      </c>
      <c r="Q327" s="32" t="str">
        <f aca="false">IF(M327&gt;0,K327/M327,"")</f>
        <v/>
      </c>
      <c r="R327" s="57" t="str">
        <f aca="false">IF(K327&gt;0,O327/K327,"")</f>
        <v/>
      </c>
      <c r="S327" s="34" t="str">
        <f aca="false">IF(D327+E327+F327+G327&gt;0,(D327+E327)/(D327+E327+F327+G327),"")</f>
        <v/>
      </c>
      <c r="T327" s="33" t="n">
        <f aca="false">D327*(P1_PVP-P1_CPROD)+E327*(P2_PVP-P2_CPROD)-IF(ISNUMBER(I327),I327,D327*P1_LOG+E327*P2_LOG)</f>
        <v>0</v>
      </c>
      <c r="U327" s="33" t="n">
        <f aca="false">T327-(D327*P1_IVAN+E327*P2_IVAN)-(F327+G327)*(COSTE_DEV-IVA_DEV)-AH327-AJ327</f>
        <v>0</v>
      </c>
      <c r="V327" s="33" t="n">
        <f aca="false">AC327-AD327-AE327-AF327-AG327-AH327-AJ327</f>
        <v>0</v>
      </c>
      <c r="X327" s="58" t="n">
        <f aca="false">MAX(0,B327-D327-F327)</f>
        <v>0</v>
      </c>
      <c r="Y327" s="58" t="n">
        <f aca="false">MAX(0,C327-E327-G327)</f>
        <v>0</v>
      </c>
      <c r="Z327" s="59" t="n">
        <f aca="false">D327+X327*TASA_USADA</f>
        <v>0</v>
      </c>
      <c r="AA327" s="59" t="n">
        <f aca="false">E327+Y327*TASA_USADA</f>
        <v>0</v>
      </c>
      <c r="AB327" s="59" t="n">
        <f aca="false">F327+G327+(X327+Y327)*(1-TASA_USADA)</f>
        <v>0</v>
      </c>
      <c r="AC327" s="60" t="n">
        <f aca="false">Z327*P1_PVP+AA327*P2_PVP</f>
        <v>0</v>
      </c>
      <c r="AD327" s="60" t="n">
        <f aca="false">Z327*P1_CPROD+AA327*P2_CPROD</f>
        <v>0</v>
      </c>
      <c r="AE327" s="60" t="n">
        <f aca="false">IF(ISNUMBER(I327),I327,D327*P1_LOG+E327*P2_LOG)+IF(ISNUMBER(J327),J327,X327*P1_LOG+Y327*P2_LOG)*TASA_USADA</f>
        <v>0</v>
      </c>
      <c r="AF327" s="60" t="n">
        <f aca="false">AB327*COSTE_DEV</f>
        <v>0</v>
      </c>
      <c r="AG327" s="60" t="n">
        <f aca="false">Z327*P1_IVAN+AA327*P2_IVAN-AB327*IVA_DEV</f>
        <v>0</v>
      </c>
      <c r="AH327" s="60" t="n">
        <f aca="false">K327*(1+RECARGO_ADS)</f>
        <v>0</v>
      </c>
      <c r="AI327" s="58" t="n">
        <f aca="false">IF(ISNUMBER(I327),D327+E327+X327+Y327,0)</f>
        <v>0</v>
      </c>
      <c r="AJ327" s="60" t="n">
        <f aca="false">M327*COMISION</f>
        <v>0</v>
      </c>
    </row>
    <row r="328" customFormat="false" ht="15" hidden="false" customHeight="false" outlineLevel="0" collapsed="false">
      <c r="A328" s="53" t="n">
        <v>46622</v>
      </c>
      <c r="B328" s="54"/>
      <c r="C328" s="54"/>
      <c r="D328" s="54"/>
      <c r="E328" s="54"/>
      <c r="F328" s="54"/>
      <c r="G328" s="54"/>
      <c r="H328" s="54"/>
      <c r="I328" s="55"/>
      <c r="J328" s="55"/>
      <c r="K328" s="55"/>
      <c r="L328" s="56"/>
      <c r="M328" s="31" t="n">
        <f aca="false">B328+C328</f>
        <v>0</v>
      </c>
      <c r="N328" s="31" t="n">
        <f aca="false">X328+Y328</f>
        <v>0</v>
      </c>
      <c r="O328" s="32" t="n">
        <f aca="false">B328*P1_PVP+C328*P2_PVP</f>
        <v>0</v>
      </c>
      <c r="P328" s="32" t="str">
        <f aca="false">IF(M328&gt;0,O328/M328,"")</f>
        <v/>
      </c>
      <c r="Q328" s="32" t="str">
        <f aca="false">IF(M328&gt;0,K328/M328,"")</f>
        <v/>
      </c>
      <c r="R328" s="57" t="str">
        <f aca="false">IF(K328&gt;0,O328/K328,"")</f>
        <v/>
      </c>
      <c r="S328" s="34" t="str">
        <f aca="false">IF(D328+E328+F328+G328&gt;0,(D328+E328)/(D328+E328+F328+G328),"")</f>
        <v/>
      </c>
      <c r="T328" s="33" t="n">
        <f aca="false">D328*(P1_PVP-P1_CPROD)+E328*(P2_PVP-P2_CPROD)-IF(ISNUMBER(I328),I328,D328*P1_LOG+E328*P2_LOG)</f>
        <v>0</v>
      </c>
      <c r="U328" s="33" t="n">
        <f aca="false">T328-(D328*P1_IVAN+E328*P2_IVAN)-(F328+G328)*(COSTE_DEV-IVA_DEV)-AH328-AJ328</f>
        <v>0</v>
      </c>
      <c r="V328" s="33" t="n">
        <f aca="false">AC328-AD328-AE328-AF328-AG328-AH328-AJ328</f>
        <v>0</v>
      </c>
      <c r="X328" s="58" t="n">
        <f aca="false">MAX(0,B328-D328-F328)</f>
        <v>0</v>
      </c>
      <c r="Y328" s="58" t="n">
        <f aca="false">MAX(0,C328-E328-G328)</f>
        <v>0</v>
      </c>
      <c r="Z328" s="59" t="n">
        <f aca="false">D328+X328*TASA_USADA</f>
        <v>0</v>
      </c>
      <c r="AA328" s="59" t="n">
        <f aca="false">E328+Y328*TASA_USADA</f>
        <v>0</v>
      </c>
      <c r="AB328" s="59" t="n">
        <f aca="false">F328+G328+(X328+Y328)*(1-TASA_USADA)</f>
        <v>0</v>
      </c>
      <c r="AC328" s="60" t="n">
        <f aca="false">Z328*P1_PVP+AA328*P2_PVP</f>
        <v>0</v>
      </c>
      <c r="AD328" s="60" t="n">
        <f aca="false">Z328*P1_CPROD+AA328*P2_CPROD</f>
        <v>0</v>
      </c>
      <c r="AE328" s="60" t="n">
        <f aca="false">IF(ISNUMBER(I328),I328,D328*P1_LOG+E328*P2_LOG)+IF(ISNUMBER(J328),J328,X328*P1_LOG+Y328*P2_LOG)*TASA_USADA</f>
        <v>0</v>
      </c>
      <c r="AF328" s="60" t="n">
        <f aca="false">AB328*COSTE_DEV</f>
        <v>0</v>
      </c>
      <c r="AG328" s="60" t="n">
        <f aca="false">Z328*P1_IVAN+AA328*P2_IVAN-AB328*IVA_DEV</f>
        <v>0</v>
      </c>
      <c r="AH328" s="60" t="n">
        <f aca="false">K328*(1+RECARGO_ADS)</f>
        <v>0</v>
      </c>
      <c r="AI328" s="58" t="n">
        <f aca="false">IF(ISNUMBER(I328),D328+E328+X328+Y328,0)</f>
        <v>0</v>
      </c>
      <c r="AJ328" s="60" t="n">
        <f aca="false">M328*COMISION</f>
        <v>0</v>
      </c>
    </row>
    <row r="329" customFormat="false" ht="15" hidden="false" customHeight="false" outlineLevel="0" collapsed="false">
      <c r="A329" s="53" t="n">
        <v>46623</v>
      </c>
      <c r="B329" s="54"/>
      <c r="C329" s="54"/>
      <c r="D329" s="54"/>
      <c r="E329" s="54"/>
      <c r="F329" s="54"/>
      <c r="G329" s="54"/>
      <c r="H329" s="54"/>
      <c r="I329" s="55"/>
      <c r="J329" s="55"/>
      <c r="K329" s="55"/>
      <c r="L329" s="56"/>
      <c r="M329" s="31" t="n">
        <f aca="false">B329+C329</f>
        <v>0</v>
      </c>
      <c r="N329" s="31" t="n">
        <f aca="false">X329+Y329</f>
        <v>0</v>
      </c>
      <c r="O329" s="32" t="n">
        <f aca="false">B329*P1_PVP+C329*P2_PVP</f>
        <v>0</v>
      </c>
      <c r="P329" s="32" t="str">
        <f aca="false">IF(M329&gt;0,O329/M329,"")</f>
        <v/>
      </c>
      <c r="Q329" s="32" t="str">
        <f aca="false">IF(M329&gt;0,K329/M329,"")</f>
        <v/>
      </c>
      <c r="R329" s="57" t="str">
        <f aca="false">IF(K329&gt;0,O329/K329,"")</f>
        <v/>
      </c>
      <c r="S329" s="34" t="str">
        <f aca="false">IF(D329+E329+F329+G329&gt;0,(D329+E329)/(D329+E329+F329+G329),"")</f>
        <v/>
      </c>
      <c r="T329" s="33" t="n">
        <f aca="false">D329*(P1_PVP-P1_CPROD)+E329*(P2_PVP-P2_CPROD)-IF(ISNUMBER(I329),I329,D329*P1_LOG+E329*P2_LOG)</f>
        <v>0</v>
      </c>
      <c r="U329" s="33" t="n">
        <f aca="false">T329-(D329*P1_IVAN+E329*P2_IVAN)-(F329+G329)*(COSTE_DEV-IVA_DEV)-AH329-AJ329</f>
        <v>0</v>
      </c>
      <c r="V329" s="33" t="n">
        <f aca="false">AC329-AD329-AE329-AF329-AG329-AH329-AJ329</f>
        <v>0</v>
      </c>
      <c r="X329" s="58" t="n">
        <f aca="false">MAX(0,B329-D329-F329)</f>
        <v>0</v>
      </c>
      <c r="Y329" s="58" t="n">
        <f aca="false">MAX(0,C329-E329-G329)</f>
        <v>0</v>
      </c>
      <c r="Z329" s="59" t="n">
        <f aca="false">D329+X329*TASA_USADA</f>
        <v>0</v>
      </c>
      <c r="AA329" s="59" t="n">
        <f aca="false">E329+Y329*TASA_USADA</f>
        <v>0</v>
      </c>
      <c r="AB329" s="59" t="n">
        <f aca="false">F329+G329+(X329+Y329)*(1-TASA_USADA)</f>
        <v>0</v>
      </c>
      <c r="AC329" s="60" t="n">
        <f aca="false">Z329*P1_PVP+AA329*P2_PVP</f>
        <v>0</v>
      </c>
      <c r="AD329" s="60" t="n">
        <f aca="false">Z329*P1_CPROD+AA329*P2_CPROD</f>
        <v>0</v>
      </c>
      <c r="AE329" s="60" t="n">
        <f aca="false">IF(ISNUMBER(I329),I329,D329*P1_LOG+E329*P2_LOG)+IF(ISNUMBER(J329),J329,X329*P1_LOG+Y329*P2_LOG)*TASA_USADA</f>
        <v>0</v>
      </c>
      <c r="AF329" s="60" t="n">
        <f aca="false">AB329*COSTE_DEV</f>
        <v>0</v>
      </c>
      <c r="AG329" s="60" t="n">
        <f aca="false">Z329*P1_IVAN+AA329*P2_IVAN-AB329*IVA_DEV</f>
        <v>0</v>
      </c>
      <c r="AH329" s="60" t="n">
        <f aca="false">K329*(1+RECARGO_ADS)</f>
        <v>0</v>
      </c>
      <c r="AI329" s="58" t="n">
        <f aca="false">IF(ISNUMBER(I329),D329+E329+X329+Y329,0)</f>
        <v>0</v>
      </c>
      <c r="AJ329" s="60" t="n">
        <f aca="false">M329*COMISION</f>
        <v>0</v>
      </c>
    </row>
    <row r="330" customFormat="false" ht="15" hidden="false" customHeight="false" outlineLevel="0" collapsed="false">
      <c r="A330" s="53" t="n">
        <v>46624</v>
      </c>
      <c r="B330" s="54"/>
      <c r="C330" s="54"/>
      <c r="D330" s="54"/>
      <c r="E330" s="54"/>
      <c r="F330" s="54"/>
      <c r="G330" s="54"/>
      <c r="H330" s="54"/>
      <c r="I330" s="55"/>
      <c r="J330" s="55"/>
      <c r="K330" s="55"/>
      <c r="L330" s="56"/>
      <c r="M330" s="31" t="n">
        <f aca="false">B330+C330</f>
        <v>0</v>
      </c>
      <c r="N330" s="31" t="n">
        <f aca="false">X330+Y330</f>
        <v>0</v>
      </c>
      <c r="O330" s="32" t="n">
        <f aca="false">B330*P1_PVP+C330*P2_PVP</f>
        <v>0</v>
      </c>
      <c r="P330" s="32" t="str">
        <f aca="false">IF(M330&gt;0,O330/M330,"")</f>
        <v/>
      </c>
      <c r="Q330" s="32" t="str">
        <f aca="false">IF(M330&gt;0,K330/M330,"")</f>
        <v/>
      </c>
      <c r="R330" s="57" t="str">
        <f aca="false">IF(K330&gt;0,O330/K330,"")</f>
        <v/>
      </c>
      <c r="S330" s="34" t="str">
        <f aca="false">IF(D330+E330+F330+G330&gt;0,(D330+E330)/(D330+E330+F330+G330),"")</f>
        <v/>
      </c>
      <c r="T330" s="33" t="n">
        <f aca="false">D330*(P1_PVP-P1_CPROD)+E330*(P2_PVP-P2_CPROD)-IF(ISNUMBER(I330),I330,D330*P1_LOG+E330*P2_LOG)</f>
        <v>0</v>
      </c>
      <c r="U330" s="33" t="n">
        <f aca="false">T330-(D330*P1_IVAN+E330*P2_IVAN)-(F330+G330)*(COSTE_DEV-IVA_DEV)-AH330-AJ330</f>
        <v>0</v>
      </c>
      <c r="V330" s="33" t="n">
        <f aca="false">AC330-AD330-AE330-AF330-AG330-AH330-AJ330</f>
        <v>0</v>
      </c>
      <c r="X330" s="58" t="n">
        <f aca="false">MAX(0,B330-D330-F330)</f>
        <v>0</v>
      </c>
      <c r="Y330" s="58" t="n">
        <f aca="false">MAX(0,C330-E330-G330)</f>
        <v>0</v>
      </c>
      <c r="Z330" s="59" t="n">
        <f aca="false">D330+X330*TASA_USADA</f>
        <v>0</v>
      </c>
      <c r="AA330" s="59" t="n">
        <f aca="false">E330+Y330*TASA_USADA</f>
        <v>0</v>
      </c>
      <c r="AB330" s="59" t="n">
        <f aca="false">F330+G330+(X330+Y330)*(1-TASA_USADA)</f>
        <v>0</v>
      </c>
      <c r="AC330" s="60" t="n">
        <f aca="false">Z330*P1_PVP+AA330*P2_PVP</f>
        <v>0</v>
      </c>
      <c r="AD330" s="60" t="n">
        <f aca="false">Z330*P1_CPROD+AA330*P2_CPROD</f>
        <v>0</v>
      </c>
      <c r="AE330" s="60" t="n">
        <f aca="false">IF(ISNUMBER(I330),I330,D330*P1_LOG+E330*P2_LOG)+IF(ISNUMBER(J330),J330,X330*P1_LOG+Y330*P2_LOG)*TASA_USADA</f>
        <v>0</v>
      </c>
      <c r="AF330" s="60" t="n">
        <f aca="false">AB330*COSTE_DEV</f>
        <v>0</v>
      </c>
      <c r="AG330" s="60" t="n">
        <f aca="false">Z330*P1_IVAN+AA330*P2_IVAN-AB330*IVA_DEV</f>
        <v>0</v>
      </c>
      <c r="AH330" s="60" t="n">
        <f aca="false">K330*(1+RECARGO_ADS)</f>
        <v>0</v>
      </c>
      <c r="AI330" s="58" t="n">
        <f aca="false">IF(ISNUMBER(I330),D330+E330+X330+Y330,0)</f>
        <v>0</v>
      </c>
      <c r="AJ330" s="60" t="n">
        <f aca="false">M330*COMISION</f>
        <v>0</v>
      </c>
    </row>
    <row r="331" customFormat="false" ht="15" hidden="false" customHeight="false" outlineLevel="0" collapsed="false">
      <c r="A331" s="53" t="n">
        <v>46625</v>
      </c>
      <c r="B331" s="54"/>
      <c r="C331" s="54"/>
      <c r="D331" s="54"/>
      <c r="E331" s="54"/>
      <c r="F331" s="54"/>
      <c r="G331" s="54"/>
      <c r="H331" s="54"/>
      <c r="I331" s="55"/>
      <c r="J331" s="55"/>
      <c r="K331" s="55"/>
      <c r="L331" s="56"/>
      <c r="M331" s="31" t="n">
        <f aca="false">B331+C331</f>
        <v>0</v>
      </c>
      <c r="N331" s="31" t="n">
        <f aca="false">X331+Y331</f>
        <v>0</v>
      </c>
      <c r="O331" s="32" t="n">
        <f aca="false">B331*P1_PVP+C331*P2_PVP</f>
        <v>0</v>
      </c>
      <c r="P331" s="32" t="str">
        <f aca="false">IF(M331&gt;0,O331/M331,"")</f>
        <v/>
      </c>
      <c r="Q331" s="32" t="str">
        <f aca="false">IF(M331&gt;0,K331/M331,"")</f>
        <v/>
      </c>
      <c r="R331" s="57" t="str">
        <f aca="false">IF(K331&gt;0,O331/K331,"")</f>
        <v/>
      </c>
      <c r="S331" s="34" t="str">
        <f aca="false">IF(D331+E331+F331+G331&gt;0,(D331+E331)/(D331+E331+F331+G331),"")</f>
        <v/>
      </c>
      <c r="T331" s="33" t="n">
        <f aca="false">D331*(P1_PVP-P1_CPROD)+E331*(P2_PVP-P2_CPROD)-IF(ISNUMBER(I331),I331,D331*P1_LOG+E331*P2_LOG)</f>
        <v>0</v>
      </c>
      <c r="U331" s="33" t="n">
        <f aca="false">T331-(D331*P1_IVAN+E331*P2_IVAN)-(F331+G331)*(COSTE_DEV-IVA_DEV)-AH331-AJ331</f>
        <v>0</v>
      </c>
      <c r="V331" s="33" t="n">
        <f aca="false">AC331-AD331-AE331-AF331-AG331-AH331-AJ331</f>
        <v>0</v>
      </c>
      <c r="X331" s="58" t="n">
        <f aca="false">MAX(0,B331-D331-F331)</f>
        <v>0</v>
      </c>
      <c r="Y331" s="58" t="n">
        <f aca="false">MAX(0,C331-E331-G331)</f>
        <v>0</v>
      </c>
      <c r="Z331" s="59" t="n">
        <f aca="false">D331+X331*TASA_USADA</f>
        <v>0</v>
      </c>
      <c r="AA331" s="59" t="n">
        <f aca="false">E331+Y331*TASA_USADA</f>
        <v>0</v>
      </c>
      <c r="AB331" s="59" t="n">
        <f aca="false">F331+G331+(X331+Y331)*(1-TASA_USADA)</f>
        <v>0</v>
      </c>
      <c r="AC331" s="60" t="n">
        <f aca="false">Z331*P1_PVP+AA331*P2_PVP</f>
        <v>0</v>
      </c>
      <c r="AD331" s="60" t="n">
        <f aca="false">Z331*P1_CPROD+AA331*P2_CPROD</f>
        <v>0</v>
      </c>
      <c r="AE331" s="60" t="n">
        <f aca="false">IF(ISNUMBER(I331),I331,D331*P1_LOG+E331*P2_LOG)+IF(ISNUMBER(J331),J331,X331*P1_LOG+Y331*P2_LOG)*TASA_USADA</f>
        <v>0</v>
      </c>
      <c r="AF331" s="60" t="n">
        <f aca="false">AB331*COSTE_DEV</f>
        <v>0</v>
      </c>
      <c r="AG331" s="60" t="n">
        <f aca="false">Z331*P1_IVAN+AA331*P2_IVAN-AB331*IVA_DEV</f>
        <v>0</v>
      </c>
      <c r="AH331" s="60" t="n">
        <f aca="false">K331*(1+RECARGO_ADS)</f>
        <v>0</v>
      </c>
      <c r="AI331" s="58" t="n">
        <f aca="false">IF(ISNUMBER(I331),D331+E331+X331+Y331,0)</f>
        <v>0</v>
      </c>
      <c r="AJ331" s="60" t="n">
        <f aca="false">M331*COMISION</f>
        <v>0</v>
      </c>
    </row>
    <row r="332" customFormat="false" ht="15" hidden="false" customHeight="false" outlineLevel="0" collapsed="false">
      <c r="A332" s="53" t="n">
        <v>46626</v>
      </c>
      <c r="B332" s="54"/>
      <c r="C332" s="54"/>
      <c r="D332" s="54"/>
      <c r="E332" s="54"/>
      <c r="F332" s="54"/>
      <c r="G332" s="54"/>
      <c r="H332" s="54"/>
      <c r="I332" s="55"/>
      <c r="J332" s="55"/>
      <c r="K332" s="55"/>
      <c r="L332" s="56"/>
      <c r="M332" s="31" t="n">
        <f aca="false">B332+C332</f>
        <v>0</v>
      </c>
      <c r="N332" s="31" t="n">
        <f aca="false">X332+Y332</f>
        <v>0</v>
      </c>
      <c r="O332" s="32" t="n">
        <f aca="false">B332*P1_PVP+C332*P2_PVP</f>
        <v>0</v>
      </c>
      <c r="P332" s="32" t="str">
        <f aca="false">IF(M332&gt;0,O332/M332,"")</f>
        <v/>
      </c>
      <c r="Q332" s="32" t="str">
        <f aca="false">IF(M332&gt;0,K332/M332,"")</f>
        <v/>
      </c>
      <c r="R332" s="57" t="str">
        <f aca="false">IF(K332&gt;0,O332/K332,"")</f>
        <v/>
      </c>
      <c r="S332" s="34" t="str">
        <f aca="false">IF(D332+E332+F332+G332&gt;0,(D332+E332)/(D332+E332+F332+G332),"")</f>
        <v/>
      </c>
      <c r="T332" s="33" t="n">
        <f aca="false">D332*(P1_PVP-P1_CPROD)+E332*(P2_PVP-P2_CPROD)-IF(ISNUMBER(I332),I332,D332*P1_LOG+E332*P2_LOG)</f>
        <v>0</v>
      </c>
      <c r="U332" s="33" t="n">
        <f aca="false">T332-(D332*P1_IVAN+E332*P2_IVAN)-(F332+G332)*(COSTE_DEV-IVA_DEV)-AH332-AJ332</f>
        <v>0</v>
      </c>
      <c r="V332" s="33" t="n">
        <f aca="false">AC332-AD332-AE332-AF332-AG332-AH332-AJ332</f>
        <v>0</v>
      </c>
      <c r="X332" s="58" t="n">
        <f aca="false">MAX(0,B332-D332-F332)</f>
        <v>0</v>
      </c>
      <c r="Y332" s="58" t="n">
        <f aca="false">MAX(0,C332-E332-G332)</f>
        <v>0</v>
      </c>
      <c r="Z332" s="59" t="n">
        <f aca="false">D332+X332*TASA_USADA</f>
        <v>0</v>
      </c>
      <c r="AA332" s="59" t="n">
        <f aca="false">E332+Y332*TASA_USADA</f>
        <v>0</v>
      </c>
      <c r="AB332" s="59" t="n">
        <f aca="false">F332+G332+(X332+Y332)*(1-TASA_USADA)</f>
        <v>0</v>
      </c>
      <c r="AC332" s="60" t="n">
        <f aca="false">Z332*P1_PVP+AA332*P2_PVP</f>
        <v>0</v>
      </c>
      <c r="AD332" s="60" t="n">
        <f aca="false">Z332*P1_CPROD+AA332*P2_CPROD</f>
        <v>0</v>
      </c>
      <c r="AE332" s="60" t="n">
        <f aca="false">IF(ISNUMBER(I332),I332,D332*P1_LOG+E332*P2_LOG)+IF(ISNUMBER(J332),J332,X332*P1_LOG+Y332*P2_LOG)*TASA_USADA</f>
        <v>0</v>
      </c>
      <c r="AF332" s="60" t="n">
        <f aca="false">AB332*COSTE_DEV</f>
        <v>0</v>
      </c>
      <c r="AG332" s="60" t="n">
        <f aca="false">Z332*P1_IVAN+AA332*P2_IVAN-AB332*IVA_DEV</f>
        <v>0</v>
      </c>
      <c r="AH332" s="60" t="n">
        <f aca="false">K332*(1+RECARGO_ADS)</f>
        <v>0</v>
      </c>
      <c r="AI332" s="58" t="n">
        <f aca="false">IF(ISNUMBER(I332),D332+E332+X332+Y332,0)</f>
        <v>0</v>
      </c>
      <c r="AJ332" s="60" t="n">
        <f aca="false">M332*COMISION</f>
        <v>0</v>
      </c>
    </row>
    <row r="333" customFormat="false" ht="15" hidden="false" customHeight="false" outlineLevel="0" collapsed="false">
      <c r="A333" s="53" t="n">
        <v>46627</v>
      </c>
      <c r="B333" s="54"/>
      <c r="C333" s="54"/>
      <c r="D333" s="54"/>
      <c r="E333" s="54"/>
      <c r="F333" s="54"/>
      <c r="G333" s="54"/>
      <c r="H333" s="54"/>
      <c r="I333" s="55"/>
      <c r="J333" s="55"/>
      <c r="K333" s="55"/>
      <c r="L333" s="56"/>
      <c r="M333" s="31" t="n">
        <f aca="false">B333+C333</f>
        <v>0</v>
      </c>
      <c r="N333" s="31" t="n">
        <f aca="false">X333+Y333</f>
        <v>0</v>
      </c>
      <c r="O333" s="32" t="n">
        <f aca="false">B333*P1_PVP+C333*P2_PVP</f>
        <v>0</v>
      </c>
      <c r="P333" s="32" t="str">
        <f aca="false">IF(M333&gt;0,O333/M333,"")</f>
        <v/>
      </c>
      <c r="Q333" s="32" t="str">
        <f aca="false">IF(M333&gt;0,K333/M333,"")</f>
        <v/>
      </c>
      <c r="R333" s="57" t="str">
        <f aca="false">IF(K333&gt;0,O333/K333,"")</f>
        <v/>
      </c>
      <c r="S333" s="34" t="str">
        <f aca="false">IF(D333+E333+F333+G333&gt;0,(D333+E333)/(D333+E333+F333+G333),"")</f>
        <v/>
      </c>
      <c r="T333" s="33" t="n">
        <f aca="false">D333*(P1_PVP-P1_CPROD)+E333*(P2_PVP-P2_CPROD)-IF(ISNUMBER(I333),I333,D333*P1_LOG+E333*P2_LOG)</f>
        <v>0</v>
      </c>
      <c r="U333" s="33" t="n">
        <f aca="false">T333-(D333*P1_IVAN+E333*P2_IVAN)-(F333+G333)*(COSTE_DEV-IVA_DEV)-AH333-AJ333</f>
        <v>0</v>
      </c>
      <c r="V333" s="33" t="n">
        <f aca="false">AC333-AD333-AE333-AF333-AG333-AH333-AJ333</f>
        <v>0</v>
      </c>
      <c r="X333" s="58" t="n">
        <f aca="false">MAX(0,B333-D333-F333)</f>
        <v>0</v>
      </c>
      <c r="Y333" s="58" t="n">
        <f aca="false">MAX(0,C333-E333-G333)</f>
        <v>0</v>
      </c>
      <c r="Z333" s="59" t="n">
        <f aca="false">D333+X333*TASA_USADA</f>
        <v>0</v>
      </c>
      <c r="AA333" s="59" t="n">
        <f aca="false">E333+Y333*TASA_USADA</f>
        <v>0</v>
      </c>
      <c r="AB333" s="59" t="n">
        <f aca="false">F333+G333+(X333+Y333)*(1-TASA_USADA)</f>
        <v>0</v>
      </c>
      <c r="AC333" s="60" t="n">
        <f aca="false">Z333*P1_PVP+AA333*P2_PVP</f>
        <v>0</v>
      </c>
      <c r="AD333" s="60" t="n">
        <f aca="false">Z333*P1_CPROD+AA333*P2_CPROD</f>
        <v>0</v>
      </c>
      <c r="AE333" s="60" t="n">
        <f aca="false">IF(ISNUMBER(I333),I333,D333*P1_LOG+E333*P2_LOG)+IF(ISNUMBER(J333),J333,X333*P1_LOG+Y333*P2_LOG)*TASA_USADA</f>
        <v>0</v>
      </c>
      <c r="AF333" s="60" t="n">
        <f aca="false">AB333*COSTE_DEV</f>
        <v>0</v>
      </c>
      <c r="AG333" s="60" t="n">
        <f aca="false">Z333*P1_IVAN+AA333*P2_IVAN-AB333*IVA_DEV</f>
        <v>0</v>
      </c>
      <c r="AH333" s="60" t="n">
        <f aca="false">K333*(1+RECARGO_ADS)</f>
        <v>0</v>
      </c>
      <c r="AI333" s="58" t="n">
        <f aca="false">IF(ISNUMBER(I333),D333+E333+X333+Y333,0)</f>
        <v>0</v>
      </c>
      <c r="AJ333" s="60" t="n">
        <f aca="false">M333*COMISION</f>
        <v>0</v>
      </c>
    </row>
    <row r="334" customFormat="false" ht="15" hidden="false" customHeight="false" outlineLevel="0" collapsed="false">
      <c r="A334" s="53" t="n">
        <v>46628</v>
      </c>
      <c r="B334" s="54"/>
      <c r="C334" s="54"/>
      <c r="D334" s="54"/>
      <c r="E334" s="54"/>
      <c r="F334" s="54"/>
      <c r="G334" s="54"/>
      <c r="H334" s="54"/>
      <c r="I334" s="55"/>
      <c r="J334" s="55"/>
      <c r="K334" s="55"/>
      <c r="L334" s="56"/>
      <c r="M334" s="31" t="n">
        <f aca="false">B334+C334</f>
        <v>0</v>
      </c>
      <c r="N334" s="31" t="n">
        <f aca="false">X334+Y334</f>
        <v>0</v>
      </c>
      <c r="O334" s="32" t="n">
        <f aca="false">B334*P1_PVP+C334*P2_PVP</f>
        <v>0</v>
      </c>
      <c r="P334" s="32" t="str">
        <f aca="false">IF(M334&gt;0,O334/M334,"")</f>
        <v/>
      </c>
      <c r="Q334" s="32" t="str">
        <f aca="false">IF(M334&gt;0,K334/M334,"")</f>
        <v/>
      </c>
      <c r="R334" s="57" t="str">
        <f aca="false">IF(K334&gt;0,O334/K334,"")</f>
        <v/>
      </c>
      <c r="S334" s="34" t="str">
        <f aca="false">IF(D334+E334+F334+G334&gt;0,(D334+E334)/(D334+E334+F334+G334),"")</f>
        <v/>
      </c>
      <c r="T334" s="33" t="n">
        <f aca="false">D334*(P1_PVP-P1_CPROD)+E334*(P2_PVP-P2_CPROD)-IF(ISNUMBER(I334),I334,D334*P1_LOG+E334*P2_LOG)</f>
        <v>0</v>
      </c>
      <c r="U334" s="33" t="n">
        <f aca="false">T334-(D334*P1_IVAN+E334*P2_IVAN)-(F334+G334)*(COSTE_DEV-IVA_DEV)-AH334-AJ334</f>
        <v>0</v>
      </c>
      <c r="V334" s="33" t="n">
        <f aca="false">AC334-AD334-AE334-AF334-AG334-AH334-AJ334</f>
        <v>0</v>
      </c>
      <c r="X334" s="58" t="n">
        <f aca="false">MAX(0,B334-D334-F334)</f>
        <v>0</v>
      </c>
      <c r="Y334" s="58" t="n">
        <f aca="false">MAX(0,C334-E334-G334)</f>
        <v>0</v>
      </c>
      <c r="Z334" s="59" t="n">
        <f aca="false">D334+X334*TASA_USADA</f>
        <v>0</v>
      </c>
      <c r="AA334" s="59" t="n">
        <f aca="false">E334+Y334*TASA_USADA</f>
        <v>0</v>
      </c>
      <c r="AB334" s="59" t="n">
        <f aca="false">F334+G334+(X334+Y334)*(1-TASA_USADA)</f>
        <v>0</v>
      </c>
      <c r="AC334" s="60" t="n">
        <f aca="false">Z334*P1_PVP+AA334*P2_PVP</f>
        <v>0</v>
      </c>
      <c r="AD334" s="60" t="n">
        <f aca="false">Z334*P1_CPROD+AA334*P2_CPROD</f>
        <v>0</v>
      </c>
      <c r="AE334" s="60" t="n">
        <f aca="false">IF(ISNUMBER(I334),I334,D334*P1_LOG+E334*P2_LOG)+IF(ISNUMBER(J334),J334,X334*P1_LOG+Y334*P2_LOG)*TASA_USADA</f>
        <v>0</v>
      </c>
      <c r="AF334" s="60" t="n">
        <f aca="false">AB334*COSTE_DEV</f>
        <v>0</v>
      </c>
      <c r="AG334" s="60" t="n">
        <f aca="false">Z334*P1_IVAN+AA334*P2_IVAN-AB334*IVA_DEV</f>
        <v>0</v>
      </c>
      <c r="AH334" s="60" t="n">
        <f aca="false">K334*(1+RECARGO_ADS)</f>
        <v>0</v>
      </c>
      <c r="AI334" s="58" t="n">
        <f aca="false">IF(ISNUMBER(I334),D334+E334+X334+Y334,0)</f>
        <v>0</v>
      </c>
      <c r="AJ334" s="60" t="n">
        <f aca="false">M334*COMISION</f>
        <v>0</v>
      </c>
    </row>
    <row r="335" customFormat="false" ht="15" hidden="false" customHeight="false" outlineLevel="0" collapsed="false">
      <c r="A335" s="53" t="n">
        <v>46629</v>
      </c>
      <c r="B335" s="54"/>
      <c r="C335" s="54"/>
      <c r="D335" s="54"/>
      <c r="E335" s="54"/>
      <c r="F335" s="54"/>
      <c r="G335" s="54"/>
      <c r="H335" s="54"/>
      <c r="I335" s="55"/>
      <c r="J335" s="55"/>
      <c r="K335" s="55"/>
      <c r="L335" s="56"/>
      <c r="M335" s="31" t="n">
        <f aca="false">B335+C335</f>
        <v>0</v>
      </c>
      <c r="N335" s="31" t="n">
        <f aca="false">X335+Y335</f>
        <v>0</v>
      </c>
      <c r="O335" s="32" t="n">
        <f aca="false">B335*P1_PVP+C335*P2_PVP</f>
        <v>0</v>
      </c>
      <c r="P335" s="32" t="str">
        <f aca="false">IF(M335&gt;0,O335/M335,"")</f>
        <v/>
      </c>
      <c r="Q335" s="32" t="str">
        <f aca="false">IF(M335&gt;0,K335/M335,"")</f>
        <v/>
      </c>
      <c r="R335" s="57" t="str">
        <f aca="false">IF(K335&gt;0,O335/K335,"")</f>
        <v/>
      </c>
      <c r="S335" s="34" t="str">
        <f aca="false">IF(D335+E335+F335+G335&gt;0,(D335+E335)/(D335+E335+F335+G335),"")</f>
        <v/>
      </c>
      <c r="T335" s="33" t="n">
        <f aca="false">D335*(P1_PVP-P1_CPROD)+E335*(P2_PVP-P2_CPROD)-IF(ISNUMBER(I335),I335,D335*P1_LOG+E335*P2_LOG)</f>
        <v>0</v>
      </c>
      <c r="U335" s="33" t="n">
        <f aca="false">T335-(D335*P1_IVAN+E335*P2_IVAN)-(F335+G335)*(COSTE_DEV-IVA_DEV)-AH335-AJ335</f>
        <v>0</v>
      </c>
      <c r="V335" s="33" t="n">
        <f aca="false">AC335-AD335-AE335-AF335-AG335-AH335-AJ335</f>
        <v>0</v>
      </c>
      <c r="X335" s="58" t="n">
        <f aca="false">MAX(0,B335-D335-F335)</f>
        <v>0</v>
      </c>
      <c r="Y335" s="58" t="n">
        <f aca="false">MAX(0,C335-E335-G335)</f>
        <v>0</v>
      </c>
      <c r="Z335" s="59" t="n">
        <f aca="false">D335+X335*TASA_USADA</f>
        <v>0</v>
      </c>
      <c r="AA335" s="59" t="n">
        <f aca="false">E335+Y335*TASA_USADA</f>
        <v>0</v>
      </c>
      <c r="AB335" s="59" t="n">
        <f aca="false">F335+G335+(X335+Y335)*(1-TASA_USADA)</f>
        <v>0</v>
      </c>
      <c r="AC335" s="60" t="n">
        <f aca="false">Z335*P1_PVP+AA335*P2_PVP</f>
        <v>0</v>
      </c>
      <c r="AD335" s="60" t="n">
        <f aca="false">Z335*P1_CPROD+AA335*P2_CPROD</f>
        <v>0</v>
      </c>
      <c r="AE335" s="60" t="n">
        <f aca="false">IF(ISNUMBER(I335),I335,D335*P1_LOG+E335*P2_LOG)+IF(ISNUMBER(J335),J335,X335*P1_LOG+Y335*P2_LOG)*TASA_USADA</f>
        <v>0</v>
      </c>
      <c r="AF335" s="60" t="n">
        <f aca="false">AB335*COSTE_DEV</f>
        <v>0</v>
      </c>
      <c r="AG335" s="60" t="n">
        <f aca="false">Z335*P1_IVAN+AA335*P2_IVAN-AB335*IVA_DEV</f>
        <v>0</v>
      </c>
      <c r="AH335" s="60" t="n">
        <f aca="false">K335*(1+RECARGO_ADS)</f>
        <v>0</v>
      </c>
      <c r="AI335" s="58" t="n">
        <f aca="false">IF(ISNUMBER(I335),D335+E335+X335+Y335,0)</f>
        <v>0</v>
      </c>
      <c r="AJ335" s="60" t="n">
        <f aca="false">M335*COMISION</f>
        <v>0</v>
      </c>
    </row>
    <row r="336" customFormat="false" ht="15" hidden="false" customHeight="false" outlineLevel="0" collapsed="false">
      <c r="A336" s="53" t="n">
        <v>46630</v>
      </c>
      <c r="B336" s="54"/>
      <c r="C336" s="54"/>
      <c r="D336" s="54"/>
      <c r="E336" s="54"/>
      <c r="F336" s="54"/>
      <c r="G336" s="54"/>
      <c r="H336" s="54"/>
      <c r="I336" s="55"/>
      <c r="J336" s="55"/>
      <c r="K336" s="55"/>
      <c r="L336" s="56"/>
      <c r="M336" s="31" t="n">
        <f aca="false">B336+C336</f>
        <v>0</v>
      </c>
      <c r="N336" s="31" t="n">
        <f aca="false">X336+Y336</f>
        <v>0</v>
      </c>
      <c r="O336" s="32" t="n">
        <f aca="false">B336*P1_PVP+C336*P2_PVP</f>
        <v>0</v>
      </c>
      <c r="P336" s="32" t="str">
        <f aca="false">IF(M336&gt;0,O336/M336,"")</f>
        <v/>
      </c>
      <c r="Q336" s="32" t="str">
        <f aca="false">IF(M336&gt;0,K336/M336,"")</f>
        <v/>
      </c>
      <c r="R336" s="57" t="str">
        <f aca="false">IF(K336&gt;0,O336/K336,"")</f>
        <v/>
      </c>
      <c r="S336" s="34" t="str">
        <f aca="false">IF(D336+E336+F336+G336&gt;0,(D336+E336)/(D336+E336+F336+G336),"")</f>
        <v/>
      </c>
      <c r="T336" s="33" t="n">
        <f aca="false">D336*(P1_PVP-P1_CPROD)+E336*(P2_PVP-P2_CPROD)-IF(ISNUMBER(I336),I336,D336*P1_LOG+E336*P2_LOG)</f>
        <v>0</v>
      </c>
      <c r="U336" s="33" t="n">
        <f aca="false">T336-(D336*P1_IVAN+E336*P2_IVAN)-(F336+G336)*(COSTE_DEV-IVA_DEV)-AH336-AJ336</f>
        <v>0</v>
      </c>
      <c r="V336" s="33" t="n">
        <f aca="false">AC336-AD336-AE336-AF336-AG336-AH336-AJ336</f>
        <v>0</v>
      </c>
      <c r="X336" s="58" t="n">
        <f aca="false">MAX(0,B336-D336-F336)</f>
        <v>0</v>
      </c>
      <c r="Y336" s="58" t="n">
        <f aca="false">MAX(0,C336-E336-G336)</f>
        <v>0</v>
      </c>
      <c r="Z336" s="59" t="n">
        <f aca="false">D336+X336*TASA_USADA</f>
        <v>0</v>
      </c>
      <c r="AA336" s="59" t="n">
        <f aca="false">E336+Y336*TASA_USADA</f>
        <v>0</v>
      </c>
      <c r="AB336" s="59" t="n">
        <f aca="false">F336+G336+(X336+Y336)*(1-TASA_USADA)</f>
        <v>0</v>
      </c>
      <c r="AC336" s="60" t="n">
        <f aca="false">Z336*P1_PVP+AA336*P2_PVP</f>
        <v>0</v>
      </c>
      <c r="AD336" s="60" t="n">
        <f aca="false">Z336*P1_CPROD+AA336*P2_CPROD</f>
        <v>0</v>
      </c>
      <c r="AE336" s="60" t="n">
        <f aca="false">IF(ISNUMBER(I336),I336,D336*P1_LOG+E336*P2_LOG)+IF(ISNUMBER(J336),J336,X336*P1_LOG+Y336*P2_LOG)*TASA_USADA</f>
        <v>0</v>
      </c>
      <c r="AF336" s="60" t="n">
        <f aca="false">AB336*COSTE_DEV</f>
        <v>0</v>
      </c>
      <c r="AG336" s="60" t="n">
        <f aca="false">Z336*P1_IVAN+AA336*P2_IVAN-AB336*IVA_DEV</f>
        <v>0</v>
      </c>
      <c r="AH336" s="60" t="n">
        <f aca="false">K336*(1+RECARGO_ADS)</f>
        <v>0</v>
      </c>
      <c r="AI336" s="58" t="n">
        <f aca="false">IF(ISNUMBER(I336),D336+E336+X336+Y336,0)</f>
        <v>0</v>
      </c>
      <c r="AJ336" s="60" t="n">
        <f aca="false">M336*COMISION</f>
        <v>0</v>
      </c>
    </row>
    <row r="337" customFormat="false" ht="15" hidden="false" customHeight="false" outlineLevel="0" collapsed="false">
      <c r="A337" s="53" t="n">
        <v>46631</v>
      </c>
      <c r="B337" s="54"/>
      <c r="C337" s="54"/>
      <c r="D337" s="54"/>
      <c r="E337" s="54"/>
      <c r="F337" s="54"/>
      <c r="G337" s="54"/>
      <c r="H337" s="54"/>
      <c r="I337" s="55"/>
      <c r="J337" s="55"/>
      <c r="K337" s="55"/>
      <c r="L337" s="56"/>
      <c r="M337" s="31" t="n">
        <f aca="false">B337+C337</f>
        <v>0</v>
      </c>
      <c r="N337" s="31" t="n">
        <f aca="false">X337+Y337</f>
        <v>0</v>
      </c>
      <c r="O337" s="32" t="n">
        <f aca="false">B337*P1_PVP+C337*P2_PVP</f>
        <v>0</v>
      </c>
      <c r="P337" s="32" t="str">
        <f aca="false">IF(M337&gt;0,O337/M337,"")</f>
        <v/>
      </c>
      <c r="Q337" s="32" t="str">
        <f aca="false">IF(M337&gt;0,K337/M337,"")</f>
        <v/>
      </c>
      <c r="R337" s="57" t="str">
        <f aca="false">IF(K337&gt;0,O337/K337,"")</f>
        <v/>
      </c>
      <c r="S337" s="34" t="str">
        <f aca="false">IF(D337+E337+F337+G337&gt;0,(D337+E337)/(D337+E337+F337+G337),"")</f>
        <v/>
      </c>
      <c r="T337" s="33" t="n">
        <f aca="false">D337*(P1_PVP-P1_CPROD)+E337*(P2_PVP-P2_CPROD)-IF(ISNUMBER(I337),I337,D337*P1_LOG+E337*P2_LOG)</f>
        <v>0</v>
      </c>
      <c r="U337" s="33" t="n">
        <f aca="false">T337-(D337*P1_IVAN+E337*P2_IVAN)-(F337+G337)*(COSTE_DEV-IVA_DEV)-AH337-AJ337</f>
        <v>0</v>
      </c>
      <c r="V337" s="33" t="n">
        <f aca="false">AC337-AD337-AE337-AF337-AG337-AH337-AJ337</f>
        <v>0</v>
      </c>
      <c r="X337" s="58" t="n">
        <f aca="false">MAX(0,B337-D337-F337)</f>
        <v>0</v>
      </c>
      <c r="Y337" s="58" t="n">
        <f aca="false">MAX(0,C337-E337-G337)</f>
        <v>0</v>
      </c>
      <c r="Z337" s="59" t="n">
        <f aca="false">D337+X337*TASA_USADA</f>
        <v>0</v>
      </c>
      <c r="AA337" s="59" t="n">
        <f aca="false">E337+Y337*TASA_USADA</f>
        <v>0</v>
      </c>
      <c r="AB337" s="59" t="n">
        <f aca="false">F337+G337+(X337+Y337)*(1-TASA_USADA)</f>
        <v>0</v>
      </c>
      <c r="AC337" s="60" t="n">
        <f aca="false">Z337*P1_PVP+AA337*P2_PVP</f>
        <v>0</v>
      </c>
      <c r="AD337" s="60" t="n">
        <f aca="false">Z337*P1_CPROD+AA337*P2_CPROD</f>
        <v>0</v>
      </c>
      <c r="AE337" s="60" t="n">
        <f aca="false">IF(ISNUMBER(I337),I337,D337*P1_LOG+E337*P2_LOG)+IF(ISNUMBER(J337),J337,X337*P1_LOG+Y337*P2_LOG)*TASA_USADA</f>
        <v>0</v>
      </c>
      <c r="AF337" s="60" t="n">
        <f aca="false">AB337*COSTE_DEV</f>
        <v>0</v>
      </c>
      <c r="AG337" s="60" t="n">
        <f aca="false">Z337*P1_IVAN+AA337*P2_IVAN-AB337*IVA_DEV</f>
        <v>0</v>
      </c>
      <c r="AH337" s="60" t="n">
        <f aca="false">K337*(1+RECARGO_ADS)</f>
        <v>0</v>
      </c>
      <c r="AI337" s="58" t="n">
        <f aca="false">IF(ISNUMBER(I337),D337+E337+X337+Y337,0)</f>
        <v>0</v>
      </c>
      <c r="AJ337" s="60" t="n">
        <f aca="false">M337*COMISION</f>
        <v>0</v>
      </c>
    </row>
    <row r="338" customFormat="false" ht="15" hidden="false" customHeight="false" outlineLevel="0" collapsed="false">
      <c r="A338" s="53" t="n">
        <v>46632</v>
      </c>
      <c r="B338" s="54"/>
      <c r="C338" s="54"/>
      <c r="D338" s="54"/>
      <c r="E338" s="54"/>
      <c r="F338" s="54"/>
      <c r="G338" s="54"/>
      <c r="H338" s="54"/>
      <c r="I338" s="55"/>
      <c r="J338" s="55"/>
      <c r="K338" s="55"/>
      <c r="L338" s="56"/>
      <c r="M338" s="31" t="n">
        <f aca="false">B338+C338</f>
        <v>0</v>
      </c>
      <c r="N338" s="31" t="n">
        <f aca="false">X338+Y338</f>
        <v>0</v>
      </c>
      <c r="O338" s="32" t="n">
        <f aca="false">B338*P1_PVP+C338*P2_PVP</f>
        <v>0</v>
      </c>
      <c r="P338" s="32" t="str">
        <f aca="false">IF(M338&gt;0,O338/M338,"")</f>
        <v/>
      </c>
      <c r="Q338" s="32" t="str">
        <f aca="false">IF(M338&gt;0,K338/M338,"")</f>
        <v/>
      </c>
      <c r="R338" s="57" t="str">
        <f aca="false">IF(K338&gt;0,O338/K338,"")</f>
        <v/>
      </c>
      <c r="S338" s="34" t="str">
        <f aca="false">IF(D338+E338+F338+G338&gt;0,(D338+E338)/(D338+E338+F338+G338),"")</f>
        <v/>
      </c>
      <c r="T338" s="33" t="n">
        <f aca="false">D338*(P1_PVP-P1_CPROD)+E338*(P2_PVP-P2_CPROD)-IF(ISNUMBER(I338),I338,D338*P1_LOG+E338*P2_LOG)</f>
        <v>0</v>
      </c>
      <c r="U338" s="33" t="n">
        <f aca="false">T338-(D338*P1_IVAN+E338*P2_IVAN)-(F338+G338)*(COSTE_DEV-IVA_DEV)-AH338-AJ338</f>
        <v>0</v>
      </c>
      <c r="V338" s="33" t="n">
        <f aca="false">AC338-AD338-AE338-AF338-AG338-AH338-AJ338</f>
        <v>0</v>
      </c>
      <c r="X338" s="58" t="n">
        <f aca="false">MAX(0,B338-D338-F338)</f>
        <v>0</v>
      </c>
      <c r="Y338" s="58" t="n">
        <f aca="false">MAX(0,C338-E338-G338)</f>
        <v>0</v>
      </c>
      <c r="Z338" s="59" t="n">
        <f aca="false">D338+X338*TASA_USADA</f>
        <v>0</v>
      </c>
      <c r="AA338" s="59" t="n">
        <f aca="false">E338+Y338*TASA_USADA</f>
        <v>0</v>
      </c>
      <c r="AB338" s="59" t="n">
        <f aca="false">F338+G338+(X338+Y338)*(1-TASA_USADA)</f>
        <v>0</v>
      </c>
      <c r="AC338" s="60" t="n">
        <f aca="false">Z338*P1_PVP+AA338*P2_PVP</f>
        <v>0</v>
      </c>
      <c r="AD338" s="60" t="n">
        <f aca="false">Z338*P1_CPROD+AA338*P2_CPROD</f>
        <v>0</v>
      </c>
      <c r="AE338" s="60" t="n">
        <f aca="false">IF(ISNUMBER(I338),I338,D338*P1_LOG+E338*P2_LOG)+IF(ISNUMBER(J338),J338,X338*P1_LOG+Y338*P2_LOG)*TASA_USADA</f>
        <v>0</v>
      </c>
      <c r="AF338" s="60" t="n">
        <f aca="false">AB338*COSTE_DEV</f>
        <v>0</v>
      </c>
      <c r="AG338" s="60" t="n">
        <f aca="false">Z338*P1_IVAN+AA338*P2_IVAN-AB338*IVA_DEV</f>
        <v>0</v>
      </c>
      <c r="AH338" s="60" t="n">
        <f aca="false">K338*(1+RECARGO_ADS)</f>
        <v>0</v>
      </c>
      <c r="AI338" s="58" t="n">
        <f aca="false">IF(ISNUMBER(I338),D338+E338+X338+Y338,0)</f>
        <v>0</v>
      </c>
      <c r="AJ338" s="60" t="n">
        <f aca="false">M338*COMISION</f>
        <v>0</v>
      </c>
    </row>
    <row r="339" customFormat="false" ht="15" hidden="false" customHeight="false" outlineLevel="0" collapsed="false">
      <c r="A339" s="53" t="n">
        <v>46633</v>
      </c>
      <c r="B339" s="54"/>
      <c r="C339" s="54"/>
      <c r="D339" s="54"/>
      <c r="E339" s="54"/>
      <c r="F339" s="54"/>
      <c r="G339" s="54"/>
      <c r="H339" s="54"/>
      <c r="I339" s="55"/>
      <c r="J339" s="55"/>
      <c r="K339" s="55"/>
      <c r="L339" s="56"/>
      <c r="M339" s="31" t="n">
        <f aca="false">B339+C339</f>
        <v>0</v>
      </c>
      <c r="N339" s="31" t="n">
        <f aca="false">X339+Y339</f>
        <v>0</v>
      </c>
      <c r="O339" s="32" t="n">
        <f aca="false">B339*P1_PVP+C339*P2_PVP</f>
        <v>0</v>
      </c>
      <c r="P339" s="32" t="str">
        <f aca="false">IF(M339&gt;0,O339/M339,"")</f>
        <v/>
      </c>
      <c r="Q339" s="32" t="str">
        <f aca="false">IF(M339&gt;0,K339/M339,"")</f>
        <v/>
      </c>
      <c r="R339" s="57" t="str">
        <f aca="false">IF(K339&gt;0,O339/K339,"")</f>
        <v/>
      </c>
      <c r="S339" s="34" t="str">
        <f aca="false">IF(D339+E339+F339+G339&gt;0,(D339+E339)/(D339+E339+F339+G339),"")</f>
        <v/>
      </c>
      <c r="T339" s="33" t="n">
        <f aca="false">D339*(P1_PVP-P1_CPROD)+E339*(P2_PVP-P2_CPROD)-IF(ISNUMBER(I339),I339,D339*P1_LOG+E339*P2_LOG)</f>
        <v>0</v>
      </c>
      <c r="U339" s="33" t="n">
        <f aca="false">T339-(D339*P1_IVAN+E339*P2_IVAN)-(F339+G339)*(COSTE_DEV-IVA_DEV)-AH339-AJ339</f>
        <v>0</v>
      </c>
      <c r="V339" s="33" t="n">
        <f aca="false">AC339-AD339-AE339-AF339-AG339-AH339-AJ339</f>
        <v>0</v>
      </c>
      <c r="X339" s="58" t="n">
        <f aca="false">MAX(0,B339-D339-F339)</f>
        <v>0</v>
      </c>
      <c r="Y339" s="58" t="n">
        <f aca="false">MAX(0,C339-E339-G339)</f>
        <v>0</v>
      </c>
      <c r="Z339" s="59" t="n">
        <f aca="false">D339+X339*TASA_USADA</f>
        <v>0</v>
      </c>
      <c r="AA339" s="59" t="n">
        <f aca="false">E339+Y339*TASA_USADA</f>
        <v>0</v>
      </c>
      <c r="AB339" s="59" t="n">
        <f aca="false">F339+G339+(X339+Y339)*(1-TASA_USADA)</f>
        <v>0</v>
      </c>
      <c r="AC339" s="60" t="n">
        <f aca="false">Z339*P1_PVP+AA339*P2_PVP</f>
        <v>0</v>
      </c>
      <c r="AD339" s="60" t="n">
        <f aca="false">Z339*P1_CPROD+AA339*P2_CPROD</f>
        <v>0</v>
      </c>
      <c r="AE339" s="60" t="n">
        <f aca="false">IF(ISNUMBER(I339),I339,D339*P1_LOG+E339*P2_LOG)+IF(ISNUMBER(J339),J339,X339*P1_LOG+Y339*P2_LOG)*TASA_USADA</f>
        <v>0</v>
      </c>
      <c r="AF339" s="60" t="n">
        <f aca="false">AB339*COSTE_DEV</f>
        <v>0</v>
      </c>
      <c r="AG339" s="60" t="n">
        <f aca="false">Z339*P1_IVAN+AA339*P2_IVAN-AB339*IVA_DEV</f>
        <v>0</v>
      </c>
      <c r="AH339" s="60" t="n">
        <f aca="false">K339*(1+RECARGO_ADS)</f>
        <v>0</v>
      </c>
      <c r="AI339" s="58" t="n">
        <f aca="false">IF(ISNUMBER(I339),D339+E339+X339+Y339,0)</f>
        <v>0</v>
      </c>
      <c r="AJ339" s="60" t="n">
        <f aca="false">M339*COMISION</f>
        <v>0</v>
      </c>
    </row>
    <row r="340" customFormat="false" ht="15" hidden="false" customHeight="false" outlineLevel="0" collapsed="false">
      <c r="A340" s="53" t="n">
        <v>46634</v>
      </c>
      <c r="B340" s="54"/>
      <c r="C340" s="54"/>
      <c r="D340" s="54"/>
      <c r="E340" s="54"/>
      <c r="F340" s="54"/>
      <c r="G340" s="54"/>
      <c r="H340" s="54"/>
      <c r="I340" s="55"/>
      <c r="J340" s="55"/>
      <c r="K340" s="55"/>
      <c r="L340" s="56"/>
      <c r="M340" s="31" t="n">
        <f aca="false">B340+C340</f>
        <v>0</v>
      </c>
      <c r="N340" s="31" t="n">
        <f aca="false">X340+Y340</f>
        <v>0</v>
      </c>
      <c r="O340" s="32" t="n">
        <f aca="false">B340*P1_PVP+C340*P2_PVP</f>
        <v>0</v>
      </c>
      <c r="P340" s="32" t="str">
        <f aca="false">IF(M340&gt;0,O340/M340,"")</f>
        <v/>
      </c>
      <c r="Q340" s="32" t="str">
        <f aca="false">IF(M340&gt;0,K340/M340,"")</f>
        <v/>
      </c>
      <c r="R340" s="57" t="str">
        <f aca="false">IF(K340&gt;0,O340/K340,"")</f>
        <v/>
      </c>
      <c r="S340" s="34" t="str">
        <f aca="false">IF(D340+E340+F340+G340&gt;0,(D340+E340)/(D340+E340+F340+G340),"")</f>
        <v/>
      </c>
      <c r="T340" s="33" t="n">
        <f aca="false">D340*(P1_PVP-P1_CPROD)+E340*(P2_PVP-P2_CPROD)-IF(ISNUMBER(I340),I340,D340*P1_LOG+E340*P2_LOG)</f>
        <v>0</v>
      </c>
      <c r="U340" s="33" t="n">
        <f aca="false">T340-(D340*P1_IVAN+E340*P2_IVAN)-(F340+G340)*(COSTE_DEV-IVA_DEV)-AH340-AJ340</f>
        <v>0</v>
      </c>
      <c r="V340" s="33" t="n">
        <f aca="false">AC340-AD340-AE340-AF340-AG340-AH340-AJ340</f>
        <v>0</v>
      </c>
      <c r="X340" s="58" t="n">
        <f aca="false">MAX(0,B340-D340-F340)</f>
        <v>0</v>
      </c>
      <c r="Y340" s="58" t="n">
        <f aca="false">MAX(0,C340-E340-G340)</f>
        <v>0</v>
      </c>
      <c r="Z340" s="59" t="n">
        <f aca="false">D340+X340*TASA_USADA</f>
        <v>0</v>
      </c>
      <c r="AA340" s="59" t="n">
        <f aca="false">E340+Y340*TASA_USADA</f>
        <v>0</v>
      </c>
      <c r="AB340" s="59" t="n">
        <f aca="false">F340+G340+(X340+Y340)*(1-TASA_USADA)</f>
        <v>0</v>
      </c>
      <c r="AC340" s="60" t="n">
        <f aca="false">Z340*P1_PVP+AA340*P2_PVP</f>
        <v>0</v>
      </c>
      <c r="AD340" s="60" t="n">
        <f aca="false">Z340*P1_CPROD+AA340*P2_CPROD</f>
        <v>0</v>
      </c>
      <c r="AE340" s="60" t="n">
        <f aca="false">IF(ISNUMBER(I340),I340,D340*P1_LOG+E340*P2_LOG)+IF(ISNUMBER(J340),J340,X340*P1_LOG+Y340*P2_LOG)*TASA_USADA</f>
        <v>0</v>
      </c>
      <c r="AF340" s="60" t="n">
        <f aca="false">AB340*COSTE_DEV</f>
        <v>0</v>
      </c>
      <c r="AG340" s="60" t="n">
        <f aca="false">Z340*P1_IVAN+AA340*P2_IVAN-AB340*IVA_DEV</f>
        <v>0</v>
      </c>
      <c r="AH340" s="60" t="n">
        <f aca="false">K340*(1+RECARGO_ADS)</f>
        <v>0</v>
      </c>
      <c r="AI340" s="58" t="n">
        <f aca="false">IF(ISNUMBER(I340),D340+E340+X340+Y340,0)</f>
        <v>0</v>
      </c>
      <c r="AJ340" s="60" t="n">
        <f aca="false">M340*COMISION</f>
        <v>0</v>
      </c>
    </row>
    <row r="341" customFormat="false" ht="15" hidden="false" customHeight="false" outlineLevel="0" collapsed="false">
      <c r="A341" s="53" t="n">
        <v>46635</v>
      </c>
      <c r="B341" s="54"/>
      <c r="C341" s="54"/>
      <c r="D341" s="54"/>
      <c r="E341" s="54"/>
      <c r="F341" s="54"/>
      <c r="G341" s="54"/>
      <c r="H341" s="54"/>
      <c r="I341" s="55"/>
      <c r="J341" s="55"/>
      <c r="K341" s="55"/>
      <c r="L341" s="56"/>
      <c r="M341" s="31" t="n">
        <f aca="false">B341+C341</f>
        <v>0</v>
      </c>
      <c r="N341" s="31" t="n">
        <f aca="false">X341+Y341</f>
        <v>0</v>
      </c>
      <c r="O341" s="32" t="n">
        <f aca="false">B341*P1_PVP+C341*P2_PVP</f>
        <v>0</v>
      </c>
      <c r="P341" s="32" t="str">
        <f aca="false">IF(M341&gt;0,O341/M341,"")</f>
        <v/>
      </c>
      <c r="Q341" s="32" t="str">
        <f aca="false">IF(M341&gt;0,K341/M341,"")</f>
        <v/>
      </c>
      <c r="R341" s="57" t="str">
        <f aca="false">IF(K341&gt;0,O341/K341,"")</f>
        <v/>
      </c>
      <c r="S341" s="34" t="str">
        <f aca="false">IF(D341+E341+F341+G341&gt;0,(D341+E341)/(D341+E341+F341+G341),"")</f>
        <v/>
      </c>
      <c r="T341" s="33" t="n">
        <f aca="false">D341*(P1_PVP-P1_CPROD)+E341*(P2_PVP-P2_CPROD)-IF(ISNUMBER(I341),I341,D341*P1_LOG+E341*P2_LOG)</f>
        <v>0</v>
      </c>
      <c r="U341" s="33" t="n">
        <f aca="false">T341-(D341*P1_IVAN+E341*P2_IVAN)-(F341+G341)*(COSTE_DEV-IVA_DEV)-AH341-AJ341</f>
        <v>0</v>
      </c>
      <c r="V341" s="33" t="n">
        <f aca="false">AC341-AD341-AE341-AF341-AG341-AH341-AJ341</f>
        <v>0</v>
      </c>
      <c r="X341" s="58" t="n">
        <f aca="false">MAX(0,B341-D341-F341)</f>
        <v>0</v>
      </c>
      <c r="Y341" s="58" t="n">
        <f aca="false">MAX(0,C341-E341-G341)</f>
        <v>0</v>
      </c>
      <c r="Z341" s="59" t="n">
        <f aca="false">D341+X341*TASA_USADA</f>
        <v>0</v>
      </c>
      <c r="AA341" s="59" t="n">
        <f aca="false">E341+Y341*TASA_USADA</f>
        <v>0</v>
      </c>
      <c r="AB341" s="59" t="n">
        <f aca="false">F341+G341+(X341+Y341)*(1-TASA_USADA)</f>
        <v>0</v>
      </c>
      <c r="AC341" s="60" t="n">
        <f aca="false">Z341*P1_PVP+AA341*P2_PVP</f>
        <v>0</v>
      </c>
      <c r="AD341" s="60" t="n">
        <f aca="false">Z341*P1_CPROD+AA341*P2_CPROD</f>
        <v>0</v>
      </c>
      <c r="AE341" s="60" t="n">
        <f aca="false">IF(ISNUMBER(I341),I341,D341*P1_LOG+E341*P2_LOG)+IF(ISNUMBER(J341),J341,X341*P1_LOG+Y341*P2_LOG)*TASA_USADA</f>
        <v>0</v>
      </c>
      <c r="AF341" s="60" t="n">
        <f aca="false">AB341*COSTE_DEV</f>
        <v>0</v>
      </c>
      <c r="AG341" s="60" t="n">
        <f aca="false">Z341*P1_IVAN+AA341*P2_IVAN-AB341*IVA_DEV</f>
        <v>0</v>
      </c>
      <c r="AH341" s="60" t="n">
        <f aca="false">K341*(1+RECARGO_ADS)</f>
        <v>0</v>
      </c>
      <c r="AI341" s="58" t="n">
        <f aca="false">IF(ISNUMBER(I341),D341+E341+X341+Y341,0)</f>
        <v>0</v>
      </c>
      <c r="AJ341" s="60" t="n">
        <f aca="false">M341*COMISION</f>
        <v>0</v>
      </c>
    </row>
    <row r="342" customFormat="false" ht="15" hidden="false" customHeight="false" outlineLevel="0" collapsed="false">
      <c r="A342" s="53" t="n">
        <v>46636</v>
      </c>
      <c r="B342" s="54"/>
      <c r="C342" s="54"/>
      <c r="D342" s="54"/>
      <c r="E342" s="54"/>
      <c r="F342" s="54"/>
      <c r="G342" s="54"/>
      <c r="H342" s="54"/>
      <c r="I342" s="55"/>
      <c r="J342" s="55"/>
      <c r="K342" s="55"/>
      <c r="L342" s="56"/>
      <c r="M342" s="31" t="n">
        <f aca="false">B342+C342</f>
        <v>0</v>
      </c>
      <c r="N342" s="31" t="n">
        <f aca="false">X342+Y342</f>
        <v>0</v>
      </c>
      <c r="O342" s="32" t="n">
        <f aca="false">B342*P1_PVP+C342*P2_PVP</f>
        <v>0</v>
      </c>
      <c r="P342" s="32" t="str">
        <f aca="false">IF(M342&gt;0,O342/M342,"")</f>
        <v/>
      </c>
      <c r="Q342" s="32" t="str">
        <f aca="false">IF(M342&gt;0,K342/M342,"")</f>
        <v/>
      </c>
      <c r="R342" s="57" t="str">
        <f aca="false">IF(K342&gt;0,O342/K342,"")</f>
        <v/>
      </c>
      <c r="S342" s="34" t="str">
        <f aca="false">IF(D342+E342+F342+G342&gt;0,(D342+E342)/(D342+E342+F342+G342),"")</f>
        <v/>
      </c>
      <c r="T342" s="33" t="n">
        <f aca="false">D342*(P1_PVP-P1_CPROD)+E342*(P2_PVP-P2_CPROD)-IF(ISNUMBER(I342),I342,D342*P1_LOG+E342*P2_LOG)</f>
        <v>0</v>
      </c>
      <c r="U342" s="33" t="n">
        <f aca="false">T342-(D342*P1_IVAN+E342*P2_IVAN)-(F342+G342)*(COSTE_DEV-IVA_DEV)-AH342-AJ342</f>
        <v>0</v>
      </c>
      <c r="V342" s="33" t="n">
        <f aca="false">AC342-AD342-AE342-AF342-AG342-AH342-AJ342</f>
        <v>0</v>
      </c>
      <c r="X342" s="58" t="n">
        <f aca="false">MAX(0,B342-D342-F342)</f>
        <v>0</v>
      </c>
      <c r="Y342" s="58" t="n">
        <f aca="false">MAX(0,C342-E342-G342)</f>
        <v>0</v>
      </c>
      <c r="Z342" s="59" t="n">
        <f aca="false">D342+X342*TASA_USADA</f>
        <v>0</v>
      </c>
      <c r="AA342" s="59" t="n">
        <f aca="false">E342+Y342*TASA_USADA</f>
        <v>0</v>
      </c>
      <c r="AB342" s="59" t="n">
        <f aca="false">F342+G342+(X342+Y342)*(1-TASA_USADA)</f>
        <v>0</v>
      </c>
      <c r="AC342" s="60" t="n">
        <f aca="false">Z342*P1_PVP+AA342*P2_PVP</f>
        <v>0</v>
      </c>
      <c r="AD342" s="60" t="n">
        <f aca="false">Z342*P1_CPROD+AA342*P2_CPROD</f>
        <v>0</v>
      </c>
      <c r="AE342" s="60" t="n">
        <f aca="false">IF(ISNUMBER(I342),I342,D342*P1_LOG+E342*P2_LOG)+IF(ISNUMBER(J342),J342,X342*P1_LOG+Y342*P2_LOG)*TASA_USADA</f>
        <v>0</v>
      </c>
      <c r="AF342" s="60" t="n">
        <f aca="false">AB342*COSTE_DEV</f>
        <v>0</v>
      </c>
      <c r="AG342" s="60" t="n">
        <f aca="false">Z342*P1_IVAN+AA342*P2_IVAN-AB342*IVA_DEV</f>
        <v>0</v>
      </c>
      <c r="AH342" s="60" t="n">
        <f aca="false">K342*(1+RECARGO_ADS)</f>
        <v>0</v>
      </c>
      <c r="AI342" s="58" t="n">
        <f aca="false">IF(ISNUMBER(I342),D342+E342+X342+Y342,0)</f>
        <v>0</v>
      </c>
      <c r="AJ342" s="60" t="n">
        <f aca="false">M342*COMISION</f>
        <v>0</v>
      </c>
    </row>
    <row r="343" customFormat="false" ht="15" hidden="false" customHeight="false" outlineLevel="0" collapsed="false">
      <c r="A343" s="53" t="n">
        <v>46637</v>
      </c>
      <c r="B343" s="54"/>
      <c r="C343" s="54"/>
      <c r="D343" s="54"/>
      <c r="E343" s="54"/>
      <c r="F343" s="54"/>
      <c r="G343" s="54"/>
      <c r="H343" s="54"/>
      <c r="I343" s="55"/>
      <c r="J343" s="55"/>
      <c r="K343" s="55"/>
      <c r="L343" s="56"/>
      <c r="M343" s="31" t="n">
        <f aca="false">B343+C343</f>
        <v>0</v>
      </c>
      <c r="N343" s="31" t="n">
        <f aca="false">X343+Y343</f>
        <v>0</v>
      </c>
      <c r="O343" s="32" t="n">
        <f aca="false">B343*P1_PVP+C343*P2_PVP</f>
        <v>0</v>
      </c>
      <c r="P343" s="32" t="str">
        <f aca="false">IF(M343&gt;0,O343/M343,"")</f>
        <v/>
      </c>
      <c r="Q343" s="32" t="str">
        <f aca="false">IF(M343&gt;0,K343/M343,"")</f>
        <v/>
      </c>
      <c r="R343" s="57" t="str">
        <f aca="false">IF(K343&gt;0,O343/K343,"")</f>
        <v/>
      </c>
      <c r="S343" s="34" t="str">
        <f aca="false">IF(D343+E343+F343+G343&gt;0,(D343+E343)/(D343+E343+F343+G343),"")</f>
        <v/>
      </c>
      <c r="T343" s="33" t="n">
        <f aca="false">D343*(P1_PVP-P1_CPROD)+E343*(P2_PVP-P2_CPROD)-IF(ISNUMBER(I343),I343,D343*P1_LOG+E343*P2_LOG)</f>
        <v>0</v>
      </c>
      <c r="U343" s="33" t="n">
        <f aca="false">T343-(D343*P1_IVAN+E343*P2_IVAN)-(F343+G343)*(COSTE_DEV-IVA_DEV)-AH343-AJ343</f>
        <v>0</v>
      </c>
      <c r="V343" s="33" t="n">
        <f aca="false">AC343-AD343-AE343-AF343-AG343-AH343-AJ343</f>
        <v>0</v>
      </c>
      <c r="X343" s="58" t="n">
        <f aca="false">MAX(0,B343-D343-F343)</f>
        <v>0</v>
      </c>
      <c r="Y343" s="58" t="n">
        <f aca="false">MAX(0,C343-E343-G343)</f>
        <v>0</v>
      </c>
      <c r="Z343" s="59" t="n">
        <f aca="false">D343+X343*TASA_USADA</f>
        <v>0</v>
      </c>
      <c r="AA343" s="59" t="n">
        <f aca="false">E343+Y343*TASA_USADA</f>
        <v>0</v>
      </c>
      <c r="AB343" s="59" t="n">
        <f aca="false">F343+G343+(X343+Y343)*(1-TASA_USADA)</f>
        <v>0</v>
      </c>
      <c r="AC343" s="60" t="n">
        <f aca="false">Z343*P1_PVP+AA343*P2_PVP</f>
        <v>0</v>
      </c>
      <c r="AD343" s="60" t="n">
        <f aca="false">Z343*P1_CPROD+AA343*P2_CPROD</f>
        <v>0</v>
      </c>
      <c r="AE343" s="60" t="n">
        <f aca="false">IF(ISNUMBER(I343),I343,D343*P1_LOG+E343*P2_LOG)+IF(ISNUMBER(J343),J343,X343*P1_LOG+Y343*P2_LOG)*TASA_USADA</f>
        <v>0</v>
      </c>
      <c r="AF343" s="60" t="n">
        <f aca="false">AB343*COSTE_DEV</f>
        <v>0</v>
      </c>
      <c r="AG343" s="60" t="n">
        <f aca="false">Z343*P1_IVAN+AA343*P2_IVAN-AB343*IVA_DEV</f>
        <v>0</v>
      </c>
      <c r="AH343" s="60" t="n">
        <f aca="false">K343*(1+RECARGO_ADS)</f>
        <v>0</v>
      </c>
      <c r="AI343" s="58" t="n">
        <f aca="false">IF(ISNUMBER(I343),D343+E343+X343+Y343,0)</f>
        <v>0</v>
      </c>
      <c r="AJ343" s="60" t="n">
        <f aca="false">M343*COMISION</f>
        <v>0</v>
      </c>
    </row>
    <row r="344" customFormat="false" ht="15" hidden="false" customHeight="false" outlineLevel="0" collapsed="false">
      <c r="A344" s="53" t="n">
        <v>46638</v>
      </c>
      <c r="B344" s="54"/>
      <c r="C344" s="54"/>
      <c r="D344" s="54"/>
      <c r="E344" s="54"/>
      <c r="F344" s="54"/>
      <c r="G344" s="54"/>
      <c r="H344" s="54"/>
      <c r="I344" s="55"/>
      <c r="J344" s="55"/>
      <c r="K344" s="55"/>
      <c r="L344" s="56"/>
      <c r="M344" s="31" t="n">
        <f aca="false">B344+C344</f>
        <v>0</v>
      </c>
      <c r="N344" s="31" t="n">
        <f aca="false">X344+Y344</f>
        <v>0</v>
      </c>
      <c r="O344" s="32" t="n">
        <f aca="false">B344*P1_PVP+C344*P2_PVP</f>
        <v>0</v>
      </c>
      <c r="P344" s="32" t="str">
        <f aca="false">IF(M344&gt;0,O344/M344,"")</f>
        <v/>
      </c>
      <c r="Q344" s="32" t="str">
        <f aca="false">IF(M344&gt;0,K344/M344,"")</f>
        <v/>
      </c>
      <c r="R344" s="57" t="str">
        <f aca="false">IF(K344&gt;0,O344/K344,"")</f>
        <v/>
      </c>
      <c r="S344" s="34" t="str">
        <f aca="false">IF(D344+E344+F344+G344&gt;0,(D344+E344)/(D344+E344+F344+G344),"")</f>
        <v/>
      </c>
      <c r="T344" s="33" t="n">
        <f aca="false">D344*(P1_PVP-P1_CPROD)+E344*(P2_PVP-P2_CPROD)-IF(ISNUMBER(I344),I344,D344*P1_LOG+E344*P2_LOG)</f>
        <v>0</v>
      </c>
      <c r="U344" s="33" t="n">
        <f aca="false">T344-(D344*P1_IVAN+E344*P2_IVAN)-(F344+G344)*(COSTE_DEV-IVA_DEV)-AH344-AJ344</f>
        <v>0</v>
      </c>
      <c r="V344" s="33" t="n">
        <f aca="false">AC344-AD344-AE344-AF344-AG344-AH344-AJ344</f>
        <v>0</v>
      </c>
      <c r="X344" s="58" t="n">
        <f aca="false">MAX(0,B344-D344-F344)</f>
        <v>0</v>
      </c>
      <c r="Y344" s="58" t="n">
        <f aca="false">MAX(0,C344-E344-G344)</f>
        <v>0</v>
      </c>
      <c r="Z344" s="59" t="n">
        <f aca="false">D344+X344*TASA_USADA</f>
        <v>0</v>
      </c>
      <c r="AA344" s="59" t="n">
        <f aca="false">E344+Y344*TASA_USADA</f>
        <v>0</v>
      </c>
      <c r="AB344" s="59" t="n">
        <f aca="false">F344+G344+(X344+Y344)*(1-TASA_USADA)</f>
        <v>0</v>
      </c>
      <c r="AC344" s="60" t="n">
        <f aca="false">Z344*P1_PVP+AA344*P2_PVP</f>
        <v>0</v>
      </c>
      <c r="AD344" s="60" t="n">
        <f aca="false">Z344*P1_CPROD+AA344*P2_CPROD</f>
        <v>0</v>
      </c>
      <c r="AE344" s="60" t="n">
        <f aca="false">IF(ISNUMBER(I344),I344,D344*P1_LOG+E344*P2_LOG)+IF(ISNUMBER(J344),J344,X344*P1_LOG+Y344*P2_LOG)*TASA_USADA</f>
        <v>0</v>
      </c>
      <c r="AF344" s="60" t="n">
        <f aca="false">AB344*COSTE_DEV</f>
        <v>0</v>
      </c>
      <c r="AG344" s="60" t="n">
        <f aca="false">Z344*P1_IVAN+AA344*P2_IVAN-AB344*IVA_DEV</f>
        <v>0</v>
      </c>
      <c r="AH344" s="60" t="n">
        <f aca="false">K344*(1+RECARGO_ADS)</f>
        <v>0</v>
      </c>
      <c r="AI344" s="58" t="n">
        <f aca="false">IF(ISNUMBER(I344),D344+E344+X344+Y344,0)</f>
        <v>0</v>
      </c>
      <c r="AJ344" s="60" t="n">
        <f aca="false">M344*COMISION</f>
        <v>0</v>
      </c>
    </row>
    <row r="345" customFormat="false" ht="15" hidden="false" customHeight="false" outlineLevel="0" collapsed="false">
      <c r="A345" s="53" t="n">
        <v>46639</v>
      </c>
      <c r="B345" s="54"/>
      <c r="C345" s="54"/>
      <c r="D345" s="54"/>
      <c r="E345" s="54"/>
      <c r="F345" s="54"/>
      <c r="G345" s="54"/>
      <c r="H345" s="54"/>
      <c r="I345" s="55"/>
      <c r="J345" s="55"/>
      <c r="K345" s="55"/>
      <c r="L345" s="56"/>
      <c r="M345" s="31" t="n">
        <f aca="false">B345+C345</f>
        <v>0</v>
      </c>
      <c r="N345" s="31" t="n">
        <f aca="false">X345+Y345</f>
        <v>0</v>
      </c>
      <c r="O345" s="32" t="n">
        <f aca="false">B345*P1_PVP+C345*P2_PVP</f>
        <v>0</v>
      </c>
      <c r="P345" s="32" t="str">
        <f aca="false">IF(M345&gt;0,O345/M345,"")</f>
        <v/>
      </c>
      <c r="Q345" s="32" t="str">
        <f aca="false">IF(M345&gt;0,K345/M345,"")</f>
        <v/>
      </c>
      <c r="R345" s="57" t="str">
        <f aca="false">IF(K345&gt;0,O345/K345,"")</f>
        <v/>
      </c>
      <c r="S345" s="34" t="str">
        <f aca="false">IF(D345+E345+F345+G345&gt;0,(D345+E345)/(D345+E345+F345+G345),"")</f>
        <v/>
      </c>
      <c r="T345" s="33" t="n">
        <f aca="false">D345*(P1_PVP-P1_CPROD)+E345*(P2_PVP-P2_CPROD)-IF(ISNUMBER(I345),I345,D345*P1_LOG+E345*P2_LOG)</f>
        <v>0</v>
      </c>
      <c r="U345" s="33" t="n">
        <f aca="false">T345-(D345*P1_IVAN+E345*P2_IVAN)-(F345+G345)*(COSTE_DEV-IVA_DEV)-AH345-AJ345</f>
        <v>0</v>
      </c>
      <c r="V345" s="33" t="n">
        <f aca="false">AC345-AD345-AE345-AF345-AG345-AH345-AJ345</f>
        <v>0</v>
      </c>
      <c r="X345" s="58" t="n">
        <f aca="false">MAX(0,B345-D345-F345)</f>
        <v>0</v>
      </c>
      <c r="Y345" s="58" t="n">
        <f aca="false">MAX(0,C345-E345-G345)</f>
        <v>0</v>
      </c>
      <c r="Z345" s="59" t="n">
        <f aca="false">D345+X345*TASA_USADA</f>
        <v>0</v>
      </c>
      <c r="AA345" s="59" t="n">
        <f aca="false">E345+Y345*TASA_USADA</f>
        <v>0</v>
      </c>
      <c r="AB345" s="59" t="n">
        <f aca="false">F345+G345+(X345+Y345)*(1-TASA_USADA)</f>
        <v>0</v>
      </c>
      <c r="AC345" s="60" t="n">
        <f aca="false">Z345*P1_PVP+AA345*P2_PVP</f>
        <v>0</v>
      </c>
      <c r="AD345" s="60" t="n">
        <f aca="false">Z345*P1_CPROD+AA345*P2_CPROD</f>
        <v>0</v>
      </c>
      <c r="AE345" s="60" t="n">
        <f aca="false">IF(ISNUMBER(I345),I345,D345*P1_LOG+E345*P2_LOG)+IF(ISNUMBER(J345),J345,X345*P1_LOG+Y345*P2_LOG)*TASA_USADA</f>
        <v>0</v>
      </c>
      <c r="AF345" s="60" t="n">
        <f aca="false">AB345*COSTE_DEV</f>
        <v>0</v>
      </c>
      <c r="AG345" s="60" t="n">
        <f aca="false">Z345*P1_IVAN+AA345*P2_IVAN-AB345*IVA_DEV</f>
        <v>0</v>
      </c>
      <c r="AH345" s="60" t="n">
        <f aca="false">K345*(1+RECARGO_ADS)</f>
        <v>0</v>
      </c>
      <c r="AI345" s="58" t="n">
        <f aca="false">IF(ISNUMBER(I345),D345+E345+X345+Y345,0)</f>
        <v>0</v>
      </c>
      <c r="AJ345" s="60" t="n">
        <f aca="false">M345*COMISION</f>
        <v>0</v>
      </c>
    </row>
    <row r="346" customFormat="false" ht="15" hidden="false" customHeight="false" outlineLevel="0" collapsed="false">
      <c r="A346" s="53" t="n">
        <v>46640</v>
      </c>
      <c r="B346" s="54"/>
      <c r="C346" s="54"/>
      <c r="D346" s="54"/>
      <c r="E346" s="54"/>
      <c r="F346" s="54"/>
      <c r="G346" s="54"/>
      <c r="H346" s="54"/>
      <c r="I346" s="55"/>
      <c r="J346" s="55"/>
      <c r="K346" s="55"/>
      <c r="L346" s="56"/>
      <c r="M346" s="31" t="n">
        <f aca="false">B346+C346</f>
        <v>0</v>
      </c>
      <c r="N346" s="31" t="n">
        <f aca="false">X346+Y346</f>
        <v>0</v>
      </c>
      <c r="O346" s="32" t="n">
        <f aca="false">B346*P1_PVP+C346*P2_PVP</f>
        <v>0</v>
      </c>
      <c r="P346" s="32" t="str">
        <f aca="false">IF(M346&gt;0,O346/M346,"")</f>
        <v/>
      </c>
      <c r="Q346" s="32" t="str">
        <f aca="false">IF(M346&gt;0,K346/M346,"")</f>
        <v/>
      </c>
      <c r="R346" s="57" t="str">
        <f aca="false">IF(K346&gt;0,O346/K346,"")</f>
        <v/>
      </c>
      <c r="S346" s="34" t="str">
        <f aca="false">IF(D346+E346+F346+G346&gt;0,(D346+E346)/(D346+E346+F346+G346),"")</f>
        <v/>
      </c>
      <c r="T346" s="33" t="n">
        <f aca="false">D346*(P1_PVP-P1_CPROD)+E346*(P2_PVP-P2_CPROD)-IF(ISNUMBER(I346),I346,D346*P1_LOG+E346*P2_LOG)</f>
        <v>0</v>
      </c>
      <c r="U346" s="33" t="n">
        <f aca="false">T346-(D346*P1_IVAN+E346*P2_IVAN)-(F346+G346)*(COSTE_DEV-IVA_DEV)-AH346-AJ346</f>
        <v>0</v>
      </c>
      <c r="V346" s="33" t="n">
        <f aca="false">AC346-AD346-AE346-AF346-AG346-AH346-AJ346</f>
        <v>0</v>
      </c>
      <c r="X346" s="58" t="n">
        <f aca="false">MAX(0,B346-D346-F346)</f>
        <v>0</v>
      </c>
      <c r="Y346" s="58" t="n">
        <f aca="false">MAX(0,C346-E346-G346)</f>
        <v>0</v>
      </c>
      <c r="Z346" s="59" t="n">
        <f aca="false">D346+X346*TASA_USADA</f>
        <v>0</v>
      </c>
      <c r="AA346" s="59" t="n">
        <f aca="false">E346+Y346*TASA_USADA</f>
        <v>0</v>
      </c>
      <c r="AB346" s="59" t="n">
        <f aca="false">F346+G346+(X346+Y346)*(1-TASA_USADA)</f>
        <v>0</v>
      </c>
      <c r="AC346" s="60" t="n">
        <f aca="false">Z346*P1_PVP+AA346*P2_PVP</f>
        <v>0</v>
      </c>
      <c r="AD346" s="60" t="n">
        <f aca="false">Z346*P1_CPROD+AA346*P2_CPROD</f>
        <v>0</v>
      </c>
      <c r="AE346" s="60" t="n">
        <f aca="false">IF(ISNUMBER(I346),I346,D346*P1_LOG+E346*P2_LOG)+IF(ISNUMBER(J346),J346,X346*P1_LOG+Y346*P2_LOG)*TASA_USADA</f>
        <v>0</v>
      </c>
      <c r="AF346" s="60" t="n">
        <f aca="false">AB346*COSTE_DEV</f>
        <v>0</v>
      </c>
      <c r="AG346" s="60" t="n">
        <f aca="false">Z346*P1_IVAN+AA346*P2_IVAN-AB346*IVA_DEV</f>
        <v>0</v>
      </c>
      <c r="AH346" s="60" t="n">
        <f aca="false">K346*(1+RECARGO_ADS)</f>
        <v>0</v>
      </c>
      <c r="AI346" s="58" t="n">
        <f aca="false">IF(ISNUMBER(I346),D346+E346+X346+Y346,0)</f>
        <v>0</v>
      </c>
      <c r="AJ346" s="60" t="n">
        <f aca="false">M346*COMISION</f>
        <v>0</v>
      </c>
    </row>
    <row r="347" customFormat="false" ht="15" hidden="false" customHeight="false" outlineLevel="0" collapsed="false">
      <c r="A347" s="53" t="n">
        <v>46641</v>
      </c>
      <c r="B347" s="54"/>
      <c r="C347" s="54"/>
      <c r="D347" s="54"/>
      <c r="E347" s="54"/>
      <c r="F347" s="54"/>
      <c r="G347" s="54"/>
      <c r="H347" s="54"/>
      <c r="I347" s="55"/>
      <c r="J347" s="55"/>
      <c r="K347" s="55"/>
      <c r="L347" s="56"/>
      <c r="M347" s="31" t="n">
        <f aca="false">B347+C347</f>
        <v>0</v>
      </c>
      <c r="N347" s="31" t="n">
        <f aca="false">X347+Y347</f>
        <v>0</v>
      </c>
      <c r="O347" s="32" t="n">
        <f aca="false">B347*P1_PVP+C347*P2_PVP</f>
        <v>0</v>
      </c>
      <c r="P347" s="32" t="str">
        <f aca="false">IF(M347&gt;0,O347/M347,"")</f>
        <v/>
      </c>
      <c r="Q347" s="32" t="str">
        <f aca="false">IF(M347&gt;0,K347/M347,"")</f>
        <v/>
      </c>
      <c r="R347" s="57" t="str">
        <f aca="false">IF(K347&gt;0,O347/K347,"")</f>
        <v/>
      </c>
      <c r="S347" s="34" t="str">
        <f aca="false">IF(D347+E347+F347+G347&gt;0,(D347+E347)/(D347+E347+F347+G347),"")</f>
        <v/>
      </c>
      <c r="T347" s="33" t="n">
        <f aca="false">D347*(P1_PVP-P1_CPROD)+E347*(P2_PVP-P2_CPROD)-IF(ISNUMBER(I347),I347,D347*P1_LOG+E347*P2_LOG)</f>
        <v>0</v>
      </c>
      <c r="U347" s="33" t="n">
        <f aca="false">T347-(D347*P1_IVAN+E347*P2_IVAN)-(F347+G347)*(COSTE_DEV-IVA_DEV)-AH347-AJ347</f>
        <v>0</v>
      </c>
      <c r="V347" s="33" t="n">
        <f aca="false">AC347-AD347-AE347-AF347-AG347-AH347-AJ347</f>
        <v>0</v>
      </c>
      <c r="X347" s="58" t="n">
        <f aca="false">MAX(0,B347-D347-F347)</f>
        <v>0</v>
      </c>
      <c r="Y347" s="58" t="n">
        <f aca="false">MAX(0,C347-E347-G347)</f>
        <v>0</v>
      </c>
      <c r="Z347" s="59" t="n">
        <f aca="false">D347+X347*TASA_USADA</f>
        <v>0</v>
      </c>
      <c r="AA347" s="59" t="n">
        <f aca="false">E347+Y347*TASA_USADA</f>
        <v>0</v>
      </c>
      <c r="AB347" s="59" t="n">
        <f aca="false">F347+G347+(X347+Y347)*(1-TASA_USADA)</f>
        <v>0</v>
      </c>
      <c r="AC347" s="60" t="n">
        <f aca="false">Z347*P1_PVP+AA347*P2_PVP</f>
        <v>0</v>
      </c>
      <c r="AD347" s="60" t="n">
        <f aca="false">Z347*P1_CPROD+AA347*P2_CPROD</f>
        <v>0</v>
      </c>
      <c r="AE347" s="60" t="n">
        <f aca="false">IF(ISNUMBER(I347),I347,D347*P1_LOG+E347*P2_LOG)+IF(ISNUMBER(J347),J347,X347*P1_LOG+Y347*P2_LOG)*TASA_USADA</f>
        <v>0</v>
      </c>
      <c r="AF347" s="60" t="n">
        <f aca="false">AB347*COSTE_DEV</f>
        <v>0</v>
      </c>
      <c r="AG347" s="60" t="n">
        <f aca="false">Z347*P1_IVAN+AA347*P2_IVAN-AB347*IVA_DEV</f>
        <v>0</v>
      </c>
      <c r="AH347" s="60" t="n">
        <f aca="false">K347*(1+RECARGO_ADS)</f>
        <v>0</v>
      </c>
      <c r="AI347" s="58" t="n">
        <f aca="false">IF(ISNUMBER(I347),D347+E347+X347+Y347,0)</f>
        <v>0</v>
      </c>
      <c r="AJ347" s="60" t="n">
        <f aca="false">M347*COMISION</f>
        <v>0</v>
      </c>
    </row>
    <row r="348" customFormat="false" ht="15" hidden="false" customHeight="false" outlineLevel="0" collapsed="false">
      <c r="A348" s="53" t="n">
        <v>46642</v>
      </c>
      <c r="B348" s="54"/>
      <c r="C348" s="54"/>
      <c r="D348" s="54"/>
      <c r="E348" s="54"/>
      <c r="F348" s="54"/>
      <c r="G348" s="54"/>
      <c r="H348" s="54"/>
      <c r="I348" s="55"/>
      <c r="J348" s="55"/>
      <c r="K348" s="55"/>
      <c r="L348" s="56"/>
      <c r="M348" s="31" t="n">
        <f aca="false">B348+C348</f>
        <v>0</v>
      </c>
      <c r="N348" s="31" t="n">
        <f aca="false">X348+Y348</f>
        <v>0</v>
      </c>
      <c r="O348" s="32" t="n">
        <f aca="false">B348*P1_PVP+C348*P2_PVP</f>
        <v>0</v>
      </c>
      <c r="P348" s="32" t="str">
        <f aca="false">IF(M348&gt;0,O348/M348,"")</f>
        <v/>
      </c>
      <c r="Q348" s="32" t="str">
        <f aca="false">IF(M348&gt;0,K348/M348,"")</f>
        <v/>
      </c>
      <c r="R348" s="57" t="str">
        <f aca="false">IF(K348&gt;0,O348/K348,"")</f>
        <v/>
      </c>
      <c r="S348" s="34" t="str">
        <f aca="false">IF(D348+E348+F348+G348&gt;0,(D348+E348)/(D348+E348+F348+G348),"")</f>
        <v/>
      </c>
      <c r="T348" s="33" t="n">
        <f aca="false">D348*(P1_PVP-P1_CPROD)+E348*(P2_PVP-P2_CPROD)-IF(ISNUMBER(I348),I348,D348*P1_LOG+E348*P2_LOG)</f>
        <v>0</v>
      </c>
      <c r="U348" s="33" t="n">
        <f aca="false">T348-(D348*P1_IVAN+E348*P2_IVAN)-(F348+G348)*(COSTE_DEV-IVA_DEV)-AH348-AJ348</f>
        <v>0</v>
      </c>
      <c r="V348" s="33" t="n">
        <f aca="false">AC348-AD348-AE348-AF348-AG348-AH348-AJ348</f>
        <v>0</v>
      </c>
      <c r="X348" s="58" t="n">
        <f aca="false">MAX(0,B348-D348-F348)</f>
        <v>0</v>
      </c>
      <c r="Y348" s="58" t="n">
        <f aca="false">MAX(0,C348-E348-G348)</f>
        <v>0</v>
      </c>
      <c r="Z348" s="59" t="n">
        <f aca="false">D348+X348*TASA_USADA</f>
        <v>0</v>
      </c>
      <c r="AA348" s="59" t="n">
        <f aca="false">E348+Y348*TASA_USADA</f>
        <v>0</v>
      </c>
      <c r="AB348" s="59" t="n">
        <f aca="false">F348+G348+(X348+Y348)*(1-TASA_USADA)</f>
        <v>0</v>
      </c>
      <c r="AC348" s="60" t="n">
        <f aca="false">Z348*P1_PVP+AA348*P2_PVP</f>
        <v>0</v>
      </c>
      <c r="AD348" s="60" t="n">
        <f aca="false">Z348*P1_CPROD+AA348*P2_CPROD</f>
        <v>0</v>
      </c>
      <c r="AE348" s="60" t="n">
        <f aca="false">IF(ISNUMBER(I348),I348,D348*P1_LOG+E348*P2_LOG)+IF(ISNUMBER(J348),J348,X348*P1_LOG+Y348*P2_LOG)*TASA_USADA</f>
        <v>0</v>
      </c>
      <c r="AF348" s="60" t="n">
        <f aca="false">AB348*COSTE_DEV</f>
        <v>0</v>
      </c>
      <c r="AG348" s="60" t="n">
        <f aca="false">Z348*P1_IVAN+AA348*P2_IVAN-AB348*IVA_DEV</f>
        <v>0</v>
      </c>
      <c r="AH348" s="60" t="n">
        <f aca="false">K348*(1+RECARGO_ADS)</f>
        <v>0</v>
      </c>
      <c r="AI348" s="58" t="n">
        <f aca="false">IF(ISNUMBER(I348),D348+E348+X348+Y348,0)</f>
        <v>0</v>
      </c>
      <c r="AJ348" s="60" t="n">
        <f aca="false">M348*COMISION</f>
        <v>0</v>
      </c>
    </row>
    <row r="349" customFormat="false" ht="15" hidden="false" customHeight="false" outlineLevel="0" collapsed="false">
      <c r="A349" s="53" t="n">
        <v>46643</v>
      </c>
      <c r="B349" s="54"/>
      <c r="C349" s="54"/>
      <c r="D349" s="54"/>
      <c r="E349" s="54"/>
      <c r="F349" s="54"/>
      <c r="G349" s="54"/>
      <c r="H349" s="54"/>
      <c r="I349" s="55"/>
      <c r="J349" s="55"/>
      <c r="K349" s="55"/>
      <c r="L349" s="56"/>
      <c r="M349" s="31" t="n">
        <f aca="false">B349+C349</f>
        <v>0</v>
      </c>
      <c r="N349" s="31" t="n">
        <f aca="false">X349+Y349</f>
        <v>0</v>
      </c>
      <c r="O349" s="32" t="n">
        <f aca="false">B349*P1_PVP+C349*P2_PVP</f>
        <v>0</v>
      </c>
      <c r="P349" s="32" t="str">
        <f aca="false">IF(M349&gt;0,O349/M349,"")</f>
        <v/>
      </c>
      <c r="Q349" s="32" t="str">
        <f aca="false">IF(M349&gt;0,K349/M349,"")</f>
        <v/>
      </c>
      <c r="R349" s="57" t="str">
        <f aca="false">IF(K349&gt;0,O349/K349,"")</f>
        <v/>
      </c>
      <c r="S349" s="34" t="str">
        <f aca="false">IF(D349+E349+F349+G349&gt;0,(D349+E349)/(D349+E349+F349+G349),"")</f>
        <v/>
      </c>
      <c r="T349" s="33" t="n">
        <f aca="false">D349*(P1_PVP-P1_CPROD)+E349*(P2_PVP-P2_CPROD)-IF(ISNUMBER(I349),I349,D349*P1_LOG+E349*P2_LOG)</f>
        <v>0</v>
      </c>
      <c r="U349" s="33" t="n">
        <f aca="false">T349-(D349*P1_IVAN+E349*P2_IVAN)-(F349+G349)*(COSTE_DEV-IVA_DEV)-AH349-AJ349</f>
        <v>0</v>
      </c>
      <c r="V349" s="33" t="n">
        <f aca="false">AC349-AD349-AE349-AF349-AG349-AH349-AJ349</f>
        <v>0</v>
      </c>
      <c r="X349" s="58" t="n">
        <f aca="false">MAX(0,B349-D349-F349)</f>
        <v>0</v>
      </c>
      <c r="Y349" s="58" t="n">
        <f aca="false">MAX(0,C349-E349-G349)</f>
        <v>0</v>
      </c>
      <c r="Z349" s="59" t="n">
        <f aca="false">D349+X349*TASA_USADA</f>
        <v>0</v>
      </c>
      <c r="AA349" s="59" t="n">
        <f aca="false">E349+Y349*TASA_USADA</f>
        <v>0</v>
      </c>
      <c r="AB349" s="59" t="n">
        <f aca="false">F349+G349+(X349+Y349)*(1-TASA_USADA)</f>
        <v>0</v>
      </c>
      <c r="AC349" s="60" t="n">
        <f aca="false">Z349*P1_PVP+AA349*P2_PVP</f>
        <v>0</v>
      </c>
      <c r="AD349" s="60" t="n">
        <f aca="false">Z349*P1_CPROD+AA349*P2_CPROD</f>
        <v>0</v>
      </c>
      <c r="AE349" s="60" t="n">
        <f aca="false">IF(ISNUMBER(I349),I349,D349*P1_LOG+E349*P2_LOG)+IF(ISNUMBER(J349),J349,X349*P1_LOG+Y349*P2_LOG)*TASA_USADA</f>
        <v>0</v>
      </c>
      <c r="AF349" s="60" t="n">
        <f aca="false">AB349*COSTE_DEV</f>
        <v>0</v>
      </c>
      <c r="AG349" s="60" t="n">
        <f aca="false">Z349*P1_IVAN+AA349*P2_IVAN-AB349*IVA_DEV</f>
        <v>0</v>
      </c>
      <c r="AH349" s="60" t="n">
        <f aca="false">K349*(1+RECARGO_ADS)</f>
        <v>0</v>
      </c>
      <c r="AI349" s="58" t="n">
        <f aca="false">IF(ISNUMBER(I349),D349+E349+X349+Y349,0)</f>
        <v>0</v>
      </c>
      <c r="AJ349" s="60" t="n">
        <f aca="false">M349*COMISION</f>
        <v>0</v>
      </c>
    </row>
    <row r="350" customFormat="false" ht="15" hidden="false" customHeight="false" outlineLevel="0" collapsed="false">
      <c r="A350" s="53" t="n">
        <v>46644</v>
      </c>
      <c r="B350" s="54"/>
      <c r="C350" s="54"/>
      <c r="D350" s="54"/>
      <c r="E350" s="54"/>
      <c r="F350" s="54"/>
      <c r="G350" s="54"/>
      <c r="H350" s="54"/>
      <c r="I350" s="55"/>
      <c r="J350" s="55"/>
      <c r="K350" s="55"/>
      <c r="L350" s="56"/>
      <c r="M350" s="31" t="n">
        <f aca="false">B350+C350</f>
        <v>0</v>
      </c>
      <c r="N350" s="31" t="n">
        <f aca="false">X350+Y350</f>
        <v>0</v>
      </c>
      <c r="O350" s="32" t="n">
        <f aca="false">B350*P1_PVP+C350*P2_PVP</f>
        <v>0</v>
      </c>
      <c r="P350" s="32" t="str">
        <f aca="false">IF(M350&gt;0,O350/M350,"")</f>
        <v/>
      </c>
      <c r="Q350" s="32" t="str">
        <f aca="false">IF(M350&gt;0,K350/M350,"")</f>
        <v/>
      </c>
      <c r="R350" s="57" t="str">
        <f aca="false">IF(K350&gt;0,O350/K350,"")</f>
        <v/>
      </c>
      <c r="S350" s="34" t="str">
        <f aca="false">IF(D350+E350+F350+G350&gt;0,(D350+E350)/(D350+E350+F350+G350),"")</f>
        <v/>
      </c>
      <c r="T350" s="33" t="n">
        <f aca="false">D350*(P1_PVP-P1_CPROD)+E350*(P2_PVP-P2_CPROD)-IF(ISNUMBER(I350),I350,D350*P1_LOG+E350*P2_LOG)</f>
        <v>0</v>
      </c>
      <c r="U350" s="33" t="n">
        <f aca="false">T350-(D350*P1_IVAN+E350*P2_IVAN)-(F350+G350)*(COSTE_DEV-IVA_DEV)-AH350-AJ350</f>
        <v>0</v>
      </c>
      <c r="V350" s="33" t="n">
        <f aca="false">AC350-AD350-AE350-AF350-AG350-AH350-AJ350</f>
        <v>0</v>
      </c>
      <c r="X350" s="58" t="n">
        <f aca="false">MAX(0,B350-D350-F350)</f>
        <v>0</v>
      </c>
      <c r="Y350" s="58" t="n">
        <f aca="false">MAX(0,C350-E350-G350)</f>
        <v>0</v>
      </c>
      <c r="Z350" s="59" t="n">
        <f aca="false">D350+X350*TASA_USADA</f>
        <v>0</v>
      </c>
      <c r="AA350" s="59" t="n">
        <f aca="false">E350+Y350*TASA_USADA</f>
        <v>0</v>
      </c>
      <c r="AB350" s="59" t="n">
        <f aca="false">F350+G350+(X350+Y350)*(1-TASA_USADA)</f>
        <v>0</v>
      </c>
      <c r="AC350" s="60" t="n">
        <f aca="false">Z350*P1_PVP+AA350*P2_PVP</f>
        <v>0</v>
      </c>
      <c r="AD350" s="60" t="n">
        <f aca="false">Z350*P1_CPROD+AA350*P2_CPROD</f>
        <v>0</v>
      </c>
      <c r="AE350" s="60" t="n">
        <f aca="false">IF(ISNUMBER(I350),I350,D350*P1_LOG+E350*P2_LOG)+IF(ISNUMBER(J350),J350,X350*P1_LOG+Y350*P2_LOG)*TASA_USADA</f>
        <v>0</v>
      </c>
      <c r="AF350" s="60" t="n">
        <f aca="false">AB350*COSTE_DEV</f>
        <v>0</v>
      </c>
      <c r="AG350" s="60" t="n">
        <f aca="false">Z350*P1_IVAN+AA350*P2_IVAN-AB350*IVA_DEV</f>
        <v>0</v>
      </c>
      <c r="AH350" s="60" t="n">
        <f aca="false">K350*(1+RECARGO_ADS)</f>
        <v>0</v>
      </c>
      <c r="AI350" s="58" t="n">
        <f aca="false">IF(ISNUMBER(I350),D350+E350+X350+Y350,0)</f>
        <v>0</v>
      </c>
      <c r="AJ350" s="60" t="n">
        <f aca="false">M350*COMISION</f>
        <v>0</v>
      </c>
    </row>
    <row r="351" customFormat="false" ht="15" hidden="false" customHeight="false" outlineLevel="0" collapsed="false">
      <c r="A351" s="53" t="n">
        <v>46645</v>
      </c>
      <c r="B351" s="54"/>
      <c r="C351" s="54"/>
      <c r="D351" s="54"/>
      <c r="E351" s="54"/>
      <c r="F351" s="54"/>
      <c r="G351" s="54"/>
      <c r="H351" s="54"/>
      <c r="I351" s="55"/>
      <c r="J351" s="55"/>
      <c r="K351" s="55"/>
      <c r="L351" s="56"/>
      <c r="M351" s="31" t="n">
        <f aca="false">B351+C351</f>
        <v>0</v>
      </c>
      <c r="N351" s="31" t="n">
        <f aca="false">X351+Y351</f>
        <v>0</v>
      </c>
      <c r="O351" s="32" t="n">
        <f aca="false">B351*P1_PVP+C351*P2_PVP</f>
        <v>0</v>
      </c>
      <c r="P351" s="32" t="str">
        <f aca="false">IF(M351&gt;0,O351/M351,"")</f>
        <v/>
      </c>
      <c r="Q351" s="32" t="str">
        <f aca="false">IF(M351&gt;0,K351/M351,"")</f>
        <v/>
      </c>
      <c r="R351" s="57" t="str">
        <f aca="false">IF(K351&gt;0,O351/K351,"")</f>
        <v/>
      </c>
      <c r="S351" s="34" t="str">
        <f aca="false">IF(D351+E351+F351+G351&gt;0,(D351+E351)/(D351+E351+F351+G351),"")</f>
        <v/>
      </c>
      <c r="T351" s="33" t="n">
        <f aca="false">D351*(P1_PVP-P1_CPROD)+E351*(P2_PVP-P2_CPROD)-IF(ISNUMBER(I351),I351,D351*P1_LOG+E351*P2_LOG)</f>
        <v>0</v>
      </c>
      <c r="U351" s="33" t="n">
        <f aca="false">T351-(D351*P1_IVAN+E351*P2_IVAN)-(F351+G351)*(COSTE_DEV-IVA_DEV)-AH351-AJ351</f>
        <v>0</v>
      </c>
      <c r="V351" s="33" t="n">
        <f aca="false">AC351-AD351-AE351-AF351-AG351-AH351-AJ351</f>
        <v>0</v>
      </c>
      <c r="X351" s="58" t="n">
        <f aca="false">MAX(0,B351-D351-F351)</f>
        <v>0</v>
      </c>
      <c r="Y351" s="58" t="n">
        <f aca="false">MAX(0,C351-E351-G351)</f>
        <v>0</v>
      </c>
      <c r="Z351" s="59" t="n">
        <f aca="false">D351+X351*TASA_USADA</f>
        <v>0</v>
      </c>
      <c r="AA351" s="59" t="n">
        <f aca="false">E351+Y351*TASA_USADA</f>
        <v>0</v>
      </c>
      <c r="AB351" s="59" t="n">
        <f aca="false">F351+G351+(X351+Y351)*(1-TASA_USADA)</f>
        <v>0</v>
      </c>
      <c r="AC351" s="60" t="n">
        <f aca="false">Z351*P1_PVP+AA351*P2_PVP</f>
        <v>0</v>
      </c>
      <c r="AD351" s="60" t="n">
        <f aca="false">Z351*P1_CPROD+AA351*P2_CPROD</f>
        <v>0</v>
      </c>
      <c r="AE351" s="60" t="n">
        <f aca="false">IF(ISNUMBER(I351),I351,D351*P1_LOG+E351*P2_LOG)+IF(ISNUMBER(J351),J351,X351*P1_LOG+Y351*P2_LOG)*TASA_USADA</f>
        <v>0</v>
      </c>
      <c r="AF351" s="60" t="n">
        <f aca="false">AB351*COSTE_DEV</f>
        <v>0</v>
      </c>
      <c r="AG351" s="60" t="n">
        <f aca="false">Z351*P1_IVAN+AA351*P2_IVAN-AB351*IVA_DEV</f>
        <v>0</v>
      </c>
      <c r="AH351" s="60" t="n">
        <f aca="false">K351*(1+RECARGO_ADS)</f>
        <v>0</v>
      </c>
      <c r="AI351" s="58" t="n">
        <f aca="false">IF(ISNUMBER(I351),D351+E351+X351+Y351,0)</f>
        <v>0</v>
      </c>
      <c r="AJ351" s="60" t="n">
        <f aca="false">M351*COMISION</f>
        <v>0</v>
      </c>
    </row>
    <row r="352" customFormat="false" ht="15" hidden="false" customHeight="false" outlineLevel="0" collapsed="false">
      <c r="A352" s="53" t="n">
        <v>46646</v>
      </c>
      <c r="B352" s="54"/>
      <c r="C352" s="54"/>
      <c r="D352" s="54"/>
      <c r="E352" s="54"/>
      <c r="F352" s="54"/>
      <c r="G352" s="54"/>
      <c r="H352" s="54"/>
      <c r="I352" s="55"/>
      <c r="J352" s="55"/>
      <c r="K352" s="55"/>
      <c r="L352" s="56"/>
      <c r="M352" s="31" t="n">
        <f aca="false">B352+C352</f>
        <v>0</v>
      </c>
      <c r="N352" s="31" t="n">
        <f aca="false">X352+Y352</f>
        <v>0</v>
      </c>
      <c r="O352" s="32" t="n">
        <f aca="false">B352*P1_PVP+C352*P2_PVP</f>
        <v>0</v>
      </c>
      <c r="P352" s="32" t="str">
        <f aca="false">IF(M352&gt;0,O352/M352,"")</f>
        <v/>
      </c>
      <c r="Q352" s="32" t="str">
        <f aca="false">IF(M352&gt;0,K352/M352,"")</f>
        <v/>
      </c>
      <c r="R352" s="57" t="str">
        <f aca="false">IF(K352&gt;0,O352/K352,"")</f>
        <v/>
      </c>
      <c r="S352" s="34" t="str">
        <f aca="false">IF(D352+E352+F352+G352&gt;0,(D352+E352)/(D352+E352+F352+G352),"")</f>
        <v/>
      </c>
      <c r="T352" s="33" t="n">
        <f aca="false">D352*(P1_PVP-P1_CPROD)+E352*(P2_PVP-P2_CPROD)-IF(ISNUMBER(I352),I352,D352*P1_LOG+E352*P2_LOG)</f>
        <v>0</v>
      </c>
      <c r="U352" s="33" t="n">
        <f aca="false">T352-(D352*P1_IVAN+E352*P2_IVAN)-(F352+G352)*(COSTE_DEV-IVA_DEV)-AH352-AJ352</f>
        <v>0</v>
      </c>
      <c r="V352" s="33" t="n">
        <f aca="false">AC352-AD352-AE352-AF352-AG352-AH352-AJ352</f>
        <v>0</v>
      </c>
      <c r="X352" s="58" t="n">
        <f aca="false">MAX(0,B352-D352-F352)</f>
        <v>0</v>
      </c>
      <c r="Y352" s="58" t="n">
        <f aca="false">MAX(0,C352-E352-G352)</f>
        <v>0</v>
      </c>
      <c r="Z352" s="59" t="n">
        <f aca="false">D352+X352*TASA_USADA</f>
        <v>0</v>
      </c>
      <c r="AA352" s="59" t="n">
        <f aca="false">E352+Y352*TASA_USADA</f>
        <v>0</v>
      </c>
      <c r="AB352" s="59" t="n">
        <f aca="false">F352+G352+(X352+Y352)*(1-TASA_USADA)</f>
        <v>0</v>
      </c>
      <c r="AC352" s="60" t="n">
        <f aca="false">Z352*P1_PVP+AA352*P2_PVP</f>
        <v>0</v>
      </c>
      <c r="AD352" s="60" t="n">
        <f aca="false">Z352*P1_CPROD+AA352*P2_CPROD</f>
        <v>0</v>
      </c>
      <c r="AE352" s="60" t="n">
        <f aca="false">IF(ISNUMBER(I352),I352,D352*P1_LOG+E352*P2_LOG)+IF(ISNUMBER(J352),J352,X352*P1_LOG+Y352*P2_LOG)*TASA_USADA</f>
        <v>0</v>
      </c>
      <c r="AF352" s="60" t="n">
        <f aca="false">AB352*COSTE_DEV</f>
        <v>0</v>
      </c>
      <c r="AG352" s="60" t="n">
        <f aca="false">Z352*P1_IVAN+AA352*P2_IVAN-AB352*IVA_DEV</f>
        <v>0</v>
      </c>
      <c r="AH352" s="60" t="n">
        <f aca="false">K352*(1+RECARGO_ADS)</f>
        <v>0</v>
      </c>
      <c r="AI352" s="58" t="n">
        <f aca="false">IF(ISNUMBER(I352),D352+E352+X352+Y352,0)</f>
        <v>0</v>
      </c>
      <c r="AJ352" s="60" t="n">
        <f aca="false">M352*COMISION</f>
        <v>0</v>
      </c>
    </row>
    <row r="353" customFormat="false" ht="15" hidden="false" customHeight="false" outlineLevel="0" collapsed="false">
      <c r="A353" s="53" t="n">
        <v>46647</v>
      </c>
      <c r="B353" s="54"/>
      <c r="C353" s="54"/>
      <c r="D353" s="54"/>
      <c r="E353" s="54"/>
      <c r="F353" s="54"/>
      <c r="G353" s="54"/>
      <c r="H353" s="54"/>
      <c r="I353" s="55"/>
      <c r="J353" s="55"/>
      <c r="K353" s="55"/>
      <c r="L353" s="56"/>
      <c r="M353" s="31" t="n">
        <f aca="false">B353+C353</f>
        <v>0</v>
      </c>
      <c r="N353" s="31" t="n">
        <f aca="false">X353+Y353</f>
        <v>0</v>
      </c>
      <c r="O353" s="32" t="n">
        <f aca="false">B353*P1_PVP+C353*P2_PVP</f>
        <v>0</v>
      </c>
      <c r="P353" s="32" t="str">
        <f aca="false">IF(M353&gt;0,O353/M353,"")</f>
        <v/>
      </c>
      <c r="Q353" s="32" t="str">
        <f aca="false">IF(M353&gt;0,K353/M353,"")</f>
        <v/>
      </c>
      <c r="R353" s="57" t="str">
        <f aca="false">IF(K353&gt;0,O353/K353,"")</f>
        <v/>
      </c>
      <c r="S353" s="34" t="str">
        <f aca="false">IF(D353+E353+F353+G353&gt;0,(D353+E353)/(D353+E353+F353+G353),"")</f>
        <v/>
      </c>
      <c r="T353" s="33" t="n">
        <f aca="false">D353*(P1_PVP-P1_CPROD)+E353*(P2_PVP-P2_CPROD)-IF(ISNUMBER(I353),I353,D353*P1_LOG+E353*P2_LOG)</f>
        <v>0</v>
      </c>
      <c r="U353" s="33" t="n">
        <f aca="false">T353-(D353*P1_IVAN+E353*P2_IVAN)-(F353+G353)*(COSTE_DEV-IVA_DEV)-AH353-AJ353</f>
        <v>0</v>
      </c>
      <c r="V353" s="33" t="n">
        <f aca="false">AC353-AD353-AE353-AF353-AG353-AH353-AJ353</f>
        <v>0</v>
      </c>
      <c r="X353" s="58" t="n">
        <f aca="false">MAX(0,B353-D353-F353)</f>
        <v>0</v>
      </c>
      <c r="Y353" s="58" t="n">
        <f aca="false">MAX(0,C353-E353-G353)</f>
        <v>0</v>
      </c>
      <c r="Z353" s="59" t="n">
        <f aca="false">D353+X353*TASA_USADA</f>
        <v>0</v>
      </c>
      <c r="AA353" s="59" t="n">
        <f aca="false">E353+Y353*TASA_USADA</f>
        <v>0</v>
      </c>
      <c r="AB353" s="59" t="n">
        <f aca="false">F353+G353+(X353+Y353)*(1-TASA_USADA)</f>
        <v>0</v>
      </c>
      <c r="AC353" s="60" t="n">
        <f aca="false">Z353*P1_PVP+AA353*P2_PVP</f>
        <v>0</v>
      </c>
      <c r="AD353" s="60" t="n">
        <f aca="false">Z353*P1_CPROD+AA353*P2_CPROD</f>
        <v>0</v>
      </c>
      <c r="AE353" s="60" t="n">
        <f aca="false">IF(ISNUMBER(I353),I353,D353*P1_LOG+E353*P2_LOG)+IF(ISNUMBER(J353),J353,X353*P1_LOG+Y353*P2_LOG)*TASA_USADA</f>
        <v>0</v>
      </c>
      <c r="AF353" s="60" t="n">
        <f aca="false">AB353*COSTE_DEV</f>
        <v>0</v>
      </c>
      <c r="AG353" s="60" t="n">
        <f aca="false">Z353*P1_IVAN+AA353*P2_IVAN-AB353*IVA_DEV</f>
        <v>0</v>
      </c>
      <c r="AH353" s="60" t="n">
        <f aca="false">K353*(1+RECARGO_ADS)</f>
        <v>0</v>
      </c>
      <c r="AI353" s="58" t="n">
        <f aca="false">IF(ISNUMBER(I353),D353+E353+X353+Y353,0)</f>
        <v>0</v>
      </c>
      <c r="AJ353" s="60" t="n">
        <f aca="false">M353*COMISION</f>
        <v>0</v>
      </c>
    </row>
    <row r="354" customFormat="false" ht="15" hidden="false" customHeight="false" outlineLevel="0" collapsed="false">
      <c r="A354" s="53" t="n">
        <v>46648</v>
      </c>
      <c r="B354" s="54"/>
      <c r="C354" s="54"/>
      <c r="D354" s="54"/>
      <c r="E354" s="54"/>
      <c r="F354" s="54"/>
      <c r="G354" s="54"/>
      <c r="H354" s="54"/>
      <c r="I354" s="55"/>
      <c r="J354" s="55"/>
      <c r="K354" s="55"/>
      <c r="L354" s="56"/>
      <c r="M354" s="31" t="n">
        <f aca="false">B354+C354</f>
        <v>0</v>
      </c>
      <c r="N354" s="31" t="n">
        <f aca="false">X354+Y354</f>
        <v>0</v>
      </c>
      <c r="O354" s="32" t="n">
        <f aca="false">B354*P1_PVP+C354*P2_PVP</f>
        <v>0</v>
      </c>
      <c r="P354" s="32" t="str">
        <f aca="false">IF(M354&gt;0,O354/M354,"")</f>
        <v/>
      </c>
      <c r="Q354" s="32" t="str">
        <f aca="false">IF(M354&gt;0,K354/M354,"")</f>
        <v/>
      </c>
      <c r="R354" s="57" t="str">
        <f aca="false">IF(K354&gt;0,O354/K354,"")</f>
        <v/>
      </c>
      <c r="S354" s="34" t="str">
        <f aca="false">IF(D354+E354+F354+G354&gt;0,(D354+E354)/(D354+E354+F354+G354),"")</f>
        <v/>
      </c>
      <c r="T354" s="33" t="n">
        <f aca="false">D354*(P1_PVP-P1_CPROD)+E354*(P2_PVP-P2_CPROD)-IF(ISNUMBER(I354),I354,D354*P1_LOG+E354*P2_LOG)</f>
        <v>0</v>
      </c>
      <c r="U354" s="33" t="n">
        <f aca="false">T354-(D354*P1_IVAN+E354*P2_IVAN)-(F354+G354)*(COSTE_DEV-IVA_DEV)-AH354-AJ354</f>
        <v>0</v>
      </c>
      <c r="V354" s="33" t="n">
        <f aca="false">AC354-AD354-AE354-AF354-AG354-AH354-AJ354</f>
        <v>0</v>
      </c>
      <c r="X354" s="58" t="n">
        <f aca="false">MAX(0,B354-D354-F354)</f>
        <v>0</v>
      </c>
      <c r="Y354" s="58" t="n">
        <f aca="false">MAX(0,C354-E354-G354)</f>
        <v>0</v>
      </c>
      <c r="Z354" s="59" t="n">
        <f aca="false">D354+X354*TASA_USADA</f>
        <v>0</v>
      </c>
      <c r="AA354" s="59" t="n">
        <f aca="false">E354+Y354*TASA_USADA</f>
        <v>0</v>
      </c>
      <c r="AB354" s="59" t="n">
        <f aca="false">F354+G354+(X354+Y354)*(1-TASA_USADA)</f>
        <v>0</v>
      </c>
      <c r="AC354" s="60" t="n">
        <f aca="false">Z354*P1_PVP+AA354*P2_PVP</f>
        <v>0</v>
      </c>
      <c r="AD354" s="60" t="n">
        <f aca="false">Z354*P1_CPROD+AA354*P2_CPROD</f>
        <v>0</v>
      </c>
      <c r="AE354" s="60" t="n">
        <f aca="false">IF(ISNUMBER(I354),I354,D354*P1_LOG+E354*P2_LOG)+IF(ISNUMBER(J354),J354,X354*P1_LOG+Y354*P2_LOG)*TASA_USADA</f>
        <v>0</v>
      </c>
      <c r="AF354" s="60" t="n">
        <f aca="false">AB354*COSTE_DEV</f>
        <v>0</v>
      </c>
      <c r="AG354" s="60" t="n">
        <f aca="false">Z354*P1_IVAN+AA354*P2_IVAN-AB354*IVA_DEV</f>
        <v>0</v>
      </c>
      <c r="AH354" s="60" t="n">
        <f aca="false">K354*(1+RECARGO_ADS)</f>
        <v>0</v>
      </c>
      <c r="AI354" s="58" t="n">
        <f aca="false">IF(ISNUMBER(I354),D354+E354+X354+Y354,0)</f>
        <v>0</v>
      </c>
      <c r="AJ354" s="60" t="n">
        <f aca="false">M354*COMISION</f>
        <v>0</v>
      </c>
    </row>
    <row r="355" customFormat="false" ht="15" hidden="false" customHeight="false" outlineLevel="0" collapsed="false">
      <c r="A355" s="53" t="n">
        <v>46649</v>
      </c>
      <c r="B355" s="54"/>
      <c r="C355" s="54"/>
      <c r="D355" s="54"/>
      <c r="E355" s="54"/>
      <c r="F355" s="54"/>
      <c r="G355" s="54"/>
      <c r="H355" s="54"/>
      <c r="I355" s="55"/>
      <c r="J355" s="55"/>
      <c r="K355" s="55"/>
      <c r="L355" s="56"/>
      <c r="M355" s="31" t="n">
        <f aca="false">B355+C355</f>
        <v>0</v>
      </c>
      <c r="N355" s="31" t="n">
        <f aca="false">X355+Y355</f>
        <v>0</v>
      </c>
      <c r="O355" s="32" t="n">
        <f aca="false">B355*P1_PVP+C355*P2_PVP</f>
        <v>0</v>
      </c>
      <c r="P355" s="32" t="str">
        <f aca="false">IF(M355&gt;0,O355/M355,"")</f>
        <v/>
      </c>
      <c r="Q355" s="32" t="str">
        <f aca="false">IF(M355&gt;0,K355/M355,"")</f>
        <v/>
      </c>
      <c r="R355" s="57" t="str">
        <f aca="false">IF(K355&gt;0,O355/K355,"")</f>
        <v/>
      </c>
      <c r="S355" s="34" t="str">
        <f aca="false">IF(D355+E355+F355+G355&gt;0,(D355+E355)/(D355+E355+F355+G355),"")</f>
        <v/>
      </c>
      <c r="T355" s="33" t="n">
        <f aca="false">D355*(P1_PVP-P1_CPROD)+E355*(P2_PVP-P2_CPROD)-IF(ISNUMBER(I355),I355,D355*P1_LOG+E355*P2_LOG)</f>
        <v>0</v>
      </c>
      <c r="U355" s="33" t="n">
        <f aca="false">T355-(D355*P1_IVAN+E355*P2_IVAN)-(F355+G355)*(COSTE_DEV-IVA_DEV)-AH355-AJ355</f>
        <v>0</v>
      </c>
      <c r="V355" s="33" t="n">
        <f aca="false">AC355-AD355-AE355-AF355-AG355-AH355-AJ355</f>
        <v>0</v>
      </c>
      <c r="X355" s="58" t="n">
        <f aca="false">MAX(0,B355-D355-F355)</f>
        <v>0</v>
      </c>
      <c r="Y355" s="58" t="n">
        <f aca="false">MAX(0,C355-E355-G355)</f>
        <v>0</v>
      </c>
      <c r="Z355" s="59" t="n">
        <f aca="false">D355+X355*TASA_USADA</f>
        <v>0</v>
      </c>
      <c r="AA355" s="59" t="n">
        <f aca="false">E355+Y355*TASA_USADA</f>
        <v>0</v>
      </c>
      <c r="AB355" s="59" t="n">
        <f aca="false">F355+G355+(X355+Y355)*(1-TASA_USADA)</f>
        <v>0</v>
      </c>
      <c r="AC355" s="60" t="n">
        <f aca="false">Z355*P1_PVP+AA355*P2_PVP</f>
        <v>0</v>
      </c>
      <c r="AD355" s="60" t="n">
        <f aca="false">Z355*P1_CPROD+AA355*P2_CPROD</f>
        <v>0</v>
      </c>
      <c r="AE355" s="60" t="n">
        <f aca="false">IF(ISNUMBER(I355),I355,D355*P1_LOG+E355*P2_LOG)+IF(ISNUMBER(J355),J355,X355*P1_LOG+Y355*P2_LOG)*TASA_USADA</f>
        <v>0</v>
      </c>
      <c r="AF355" s="60" t="n">
        <f aca="false">AB355*COSTE_DEV</f>
        <v>0</v>
      </c>
      <c r="AG355" s="60" t="n">
        <f aca="false">Z355*P1_IVAN+AA355*P2_IVAN-AB355*IVA_DEV</f>
        <v>0</v>
      </c>
      <c r="AH355" s="60" t="n">
        <f aca="false">K355*(1+RECARGO_ADS)</f>
        <v>0</v>
      </c>
      <c r="AI355" s="58" t="n">
        <f aca="false">IF(ISNUMBER(I355),D355+E355+X355+Y355,0)</f>
        <v>0</v>
      </c>
      <c r="AJ355" s="60" t="n">
        <f aca="false">M355*COMISION</f>
        <v>0</v>
      </c>
    </row>
    <row r="356" customFormat="false" ht="15" hidden="false" customHeight="false" outlineLevel="0" collapsed="false">
      <c r="A356" s="53" t="n">
        <v>46650</v>
      </c>
      <c r="B356" s="54"/>
      <c r="C356" s="54"/>
      <c r="D356" s="54"/>
      <c r="E356" s="54"/>
      <c r="F356" s="54"/>
      <c r="G356" s="54"/>
      <c r="H356" s="54"/>
      <c r="I356" s="55"/>
      <c r="J356" s="55"/>
      <c r="K356" s="55"/>
      <c r="L356" s="56"/>
      <c r="M356" s="31" t="n">
        <f aca="false">B356+C356</f>
        <v>0</v>
      </c>
      <c r="N356" s="31" t="n">
        <f aca="false">X356+Y356</f>
        <v>0</v>
      </c>
      <c r="O356" s="32" t="n">
        <f aca="false">B356*P1_PVP+C356*P2_PVP</f>
        <v>0</v>
      </c>
      <c r="P356" s="32" t="str">
        <f aca="false">IF(M356&gt;0,O356/M356,"")</f>
        <v/>
      </c>
      <c r="Q356" s="32" t="str">
        <f aca="false">IF(M356&gt;0,K356/M356,"")</f>
        <v/>
      </c>
      <c r="R356" s="57" t="str">
        <f aca="false">IF(K356&gt;0,O356/K356,"")</f>
        <v/>
      </c>
      <c r="S356" s="34" t="str">
        <f aca="false">IF(D356+E356+F356+G356&gt;0,(D356+E356)/(D356+E356+F356+G356),"")</f>
        <v/>
      </c>
      <c r="T356" s="33" t="n">
        <f aca="false">D356*(P1_PVP-P1_CPROD)+E356*(P2_PVP-P2_CPROD)-IF(ISNUMBER(I356),I356,D356*P1_LOG+E356*P2_LOG)</f>
        <v>0</v>
      </c>
      <c r="U356" s="33" t="n">
        <f aca="false">T356-(D356*P1_IVAN+E356*P2_IVAN)-(F356+G356)*(COSTE_DEV-IVA_DEV)-AH356-AJ356</f>
        <v>0</v>
      </c>
      <c r="V356" s="33" t="n">
        <f aca="false">AC356-AD356-AE356-AF356-AG356-AH356-AJ356</f>
        <v>0</v>
      </c>
      <c r="X356" s="58" t="n">
        <f aca="false">MAX(0,B356-D356-F356)</f>
        <v>0</v>
      </c>
      <c r="Y356" s="58" t="n">
        <f aca="false">MAX(0,C356-E356-G356)</f>
        <v>0</v>
      </c>
      <c r="Z356" s="59" t="n">
        <f aca="false">D356+X356*TASA_USADA</f>
        <v>0</v>
      </c>
      <c r="AA356" s="59" t="n">
        <f aca="false">E356+Y356*TASA_USADA</f>
        <v>0</v>
      </c>
      <c r="AB356" s="59" t="n">
        <f aca="false">F356+G356+(X356+Y356)*(1-TASA_USADA)</f>
        <v>0</v>
      </c>
      <c r="AC356" s="60" t="n">
        <f aca="false">Z356*P1_PVP+AA356*P2_PVP</f>
        <v>0</v>
      </c>
      <c r="AD356" s="60" t="n">
        <f aca="false">Z356*P1_CPROD+AA356*P2_CPROD</f>
        <v>0</v>
      </c>
      <c r="AE356" s="60" t="n">
        <f aca="false">IF(ISNUMBER(I356),I356,D356*P1_LOG+E356*P2_LOG)+IF(ISNUMBER(J356),J356,X356*P1_LOG+Y356*P2_LOG)*TASA_USADA</f>
        <v>0</v>
      </c>
      <c r="AF356" s="60" t="n">
        <f aca="false">AB356*COSTE_DEV</f>
        <v>0</v>
      </c>
      <c r="AG356" s="60" t="n">
        <f aca="false">Z356*P1_IVAN+AA356*P2_IVAN-AB356*IVA_DEV</f>
        <v>0</v>
      </c>
      <c r="AH356" s="60" t="n">
        <f aca="false">K356*(1+RECARGO_ADS)</f>
        <v>0</v>
      </c>
      <c r="AI356" s="58" t="n">
        <f aca="false">IF(ISNUMBER(I356),D356+E356+X356+Y356,0)</f>
        <v>0</v>
      </c>
      <c r="AJ356" s="60" t="n">
        <f aca="false">M356*COMISION</f>
        <v>0</v>
      </c>
    </row>
    <row r="357" customFormat="false" ht="15" hidden="false" customHeight="false" outlineLevel="0" collapsed="false">
      <c r="A357" s="53" t="n">
        <v>46651</v>
      </c>
      <c r="B357" s="54"/>
      <c r="C357" s="54"/>
      <c r="D357" s="54"/>
      <c r="E357" s="54"/>
      <c r="F357" s="54"/>
      <c r="G357" s="54"/>
      <c r="H357" s="54"/>
      <c r="I357" s="55"/>
      <c r="J357" s="55"/>
      <c r="K357" s="55"/>
      <c r="L357" s="56"/>
      <c r="M357" s="31" t="n">
        <f aca="false">B357+C357</f>
        <v>0</v>
      </c>
      <c r="N357" s="31" t="n">
        <f aca="false">X357+Y357</f>
        <v>0</v>
      </c>
      <c r="O357" s="32" t="n">
        <f aca="false">B357*P1_PVP+C357*P2_PVP</f>
        <v>0</v>
      </c>
      <c r="P357" s="32" t="str">
        <f aca="false">IF(M357&gt;0,O357/M357,"")</f>
        <v/>
      </c>
      <c r="Q357" s="32" t="str">
        <f aca="false">IF(M357&gt;0,K357/M357,"")</f>
        <v/>
      </c>
      <c r="R357" s="57" t="str">
        <f aca="false">IF(K357&gt;0,O357/K357,"")</f>
        <v/>
      </c>
      <c r="S357" s="34" t="str">
        <f aca="false">IF(D357+E357+F357+G357&gt;0,(D357+E357)/(D357+E357+F357+G357),"")</f>
        <v/>
      </c>
      <c r="T357" s="33" t="n">
        <f aca="false">D357*(P1_PVP-P1_CPROD)+E357*(P2_PVP-P2_CPROD)-IF(ISNUMBER(I357),I357,D357*P1_LOG+E357*P2_LOG)</f>
        <v>0</v>
      </c>
      <c r="U357" s="33" t="n">
        <f aca="false">T357-(D357*P1_IVAN+E357*P2_IVAN)-(F357+G357)*(COSTE_DEV-IVA_DEV)-AH357-AJ357</f>
        <v>0</v>
      </c>
      <c r="V357" s="33" t="n">
        <f aca="false">AC357-AD357-AE357-AF357-AG357-AH357-AJ357</f>
        <v>0</v>
      </c>
      <c r="X357" s="58" t="n">
        <f aca="false">MAX(0,B357-D357-F357)</f>
        <v>0</v>
      </c>
      <c r="Y357" s="58" t="n">
        <f aca="false">MAX(0,C357-E357-G357)</f>
        <v>0</v>
      </c>
      <c r="Z357" s="59" t="n">
        <f aca="false">D357+X357*TASA_USADA</f>
        <v>0</v>
      </c>
      <c r="AA357" s="59" t="n">
        <f aca="false">E357+Y357*TASA_USADA</f>
        <v>0</v>
      </c>
      <c r="AB357" s="59" t="n">
        <f aca="false">F357+G357+(X357+Y357)*(1-TASA_USADA)</f>
        <v>0</v>
      </c>
      <c r="AC357" s="60" t="n">
        <f aca="false">Z357*P1_PVP+AA357*P2_PVP</f>
        <v>0</v>
      </c>
      <c r="AD357" s="60" t="n">
        <f aca="false">Z357*P1_CPROD+AA357*P2_CPROD</f>
        <v>0</v>
      </c>
      <c r="AE357" s="60" t="n">
        <f aca="false">IF(ISNUMBER(I357),I357,D357*P1_LOG+E357*P2_LOG)+IF(ISNUMBER(J357),J357,X357*P1_LOG+Y357*P2_LOG)*TASA_USADA</f>
        <v>0</v>
      </c>
      <c r="AF357" s="60" t="n">
        <f aca="false">AB357*COSTE_DEV</f>
        <v>0</v>
      </c>
      <c r="AG357" s="60" t="n">
        <f aca="false">Z357*P1_IVAN+AA357*P2_IVAN-AB357*IVA_DEV</f>
        <v>0</v>
      </c>
      <c r="AH357" s="60" t="n">
        <f aca="false">K357*(1+RECARGO_ADS)</f>
        <v>0</v>
      </c>
      <c r="AI357" s="58" t="n">
        <f aca="false">IF(ISNUMBER(I357),D357+E357+X357+Y357,0)</f>
        <v>0</v>
      </c>
      <c r="AJ357" s="60" t="n">
        <f aca="false">M357*COMISION</f>
        <v>0</v>
      </c>
    </row>
    <row r="358" customFormat="false" ht="15" hidden="false" customHeight="false" outlineLevel="0" collapsed="false">
      <c r="A358" s="53" t="n">
        <v>46652</v>
      </c>
      <c r="B358" s="54"/>
      <c r="C358" s="54"/>
      <c r="D358" s="54"/>
      <c r="E358" s="54"/>
      <c r="F358" s="54"/>
      <c r="G358" s="54"/>
      <c r="H358" s="54"/>
      <c r="I358" s="55"/>
      <c r="J358" s="55"/>
      <c r="K358" s="55"/>
      <c r="L358" s="56"/>
      <c r="M358" s="31" t="n">
        <f aca="false">B358+C358</f>
        <v>0</v>
      </c>
      <c r="N358" s="31" t="n">
        <f aca="false">X358+Y358</f>
        <v>0</v>
      </c>
      <c r="O358" s="32" t="n">
        <f aca="false">B358*P1_PVP+C358*P2_PVP</f>
        <v>0</v>
      </c>
      <c r="P358" s="32" t="str">
        <f aca="false">IF(M358&gt;0,O358/M358,"")</f>
        <v/>
      </c>
      <c r="Q358" s="32" t="str">
        <f aca="false">IF(M358&gt;0,K358/M358,"")</f>
        <v/>
      </c>
      <c r="R358" s="57" t="str">
        <f aca="false">IF(K358&gt;0,O358/K358,"")</f>
        <v/>
      </c>
      <c r="S358" s="34" t="str">
        <f aca="false">IF(D358+E358+F358+G358&gt;0,(D358+E358)/(D358+E358+F358+G358),"")</f>
        <v/>
      </c>
      <c r="T358" s="33" t="n">
        <f aca="false">D358*(P1_PVP-P1_CPROD)+E358*(P2_PVP-P2_CPROD)-IF(ISNUMBER(I358),I358,D358*P1_LOG+E358*P2_LOG)</f>
        <v>0</v>
      </c>
      <c r="U358" s="33" t="n">
        <f aca="false">T358-(D358*P1_IVAN+E358*P2_IVAN)-(F358+G358)*(COSTE_DEV-IVA_DEV)-AH358-AJ358</f>
        <v>0</v>
      </c>
      <c r="V358" s="33" t="n">
        <f aca="false">AC358-AD358-AE358-AF358-AG358-AH358-AJ358</f>
        <v>0</v>
      </c>
      <c r="X358" s="58" t="n">
        <f aca="false">MAX(0,B358-D358-F358)</f>
        <v>0</v>
      </c>
      <c r="Y358" s="58" t="n">
        <f aca="false">MAX(0,C358-E358-G358)</f>
        <v>0</v>
      </c>
      <c r="Z358" s="59" t="n">
        <f aca="false">D358+X358*TASA_USADA</f>
        <v>0</v>
      </c>
      <c r="AA358" s="59" t="n">
        <f aca="false">E358+Y358*TASA_USADA</f>
        <v>0</v>
      </c>
      <c r="AB358" s="59" t="n">
        <f aca="false">F358+G358+(X358+Y358)*(1-TASA_USADA)</f>
        <v>0</v>
      </c>
      <c r="AC358" s="60" t="n">
        <f aca="false">Z358*P1_PVP+AA358*P2_PVP</f>
        <v>0</v>
      </c>
      <c r="AD358" s="60" t="n">
        <f aca="false">Z358*P1_CPROD+AA358*P2_CPROD</f>
        <v>0</v>
      </c>
      <c r="AE358" s="60" t="n">
        <f aca="false">IF(ISNUMBER(I358),I358,D358*P1_LOG+E358*P2_LOG)+IF(ISNUMBER(J358),J358,X358*P1_LOG+Y358*P2_LOG)*TASA_USADA</f>
        <v>0</v>
      </c>
      <c r="AF358" s="60" t="n">
        <f aca="false">AB358*COSTE_DEV</f>
        <v>0</v>
      </c>
      <c r="AG358" s="60" t="n">
        <f aca="false">Z358*P1_IVAN+AA358*P2_IVAN-AB358*IVA_DEV</f>
        <v>0</v>
      </c>
      <c r="AH358" s="60" t="n">
        <f aca="false">K358*(1+RECARGO_ADS)</f>
        <v>0</v>
      </c>
      <c r="AI358" s="58" t="n">
        <f aca="false">IF(ISNUMBER(I358),D358+E358+X358+Y358,0)</f>
        <v>0</v>
      </c>
      <c r="AJ358" s="60" t="n">
        <f aca="false">M358*COMISION</f>
        <v>0</v>
      </c>
    </row>
    <row r="359" customFormat="false" ht="15" hidden="false" customHeight="false" outlineLevel="0" collapsed="false">
      <c r="A359" s="53" t="n">
        <v>46653</v>
      </c>
      <c r="B359" s="54"/>
      <c r="C359" s="54"/>
      <c r="D359" s="54"/>
      <c r="E359" s="54"/>
      <c r="F359" s="54"/>
      <c r="G359" s="54"/>
      <c r="H359" s="54"/>
      <c r="I359" s="55"/>
      <c r="J359" s="55"/>
      <c r="K359" s="55"/>
      <c r="L359" s="56"/>
      <c r="M359" s="31" t="n">
        <f aca="false">B359+C359</f>
        <v>0</v>
      </c>
      <c r="N359" s="31" t="n">
        <f aca="false">X359+Y359</f>
        <v>0</v>
      </c>
      <c r="O359" s="32" t="n">
        <f aca="false">B359*P1_PVP+C359*P2_PVP</f>
        <v>0</v>
      </c>
      <c r="P359" s="32" t="str">
        <f aca="false">IF(M359&gt;0,O359/M359,"")</f>
        <v/>
      </c>
      <c r="Q359" s="32" t="str">
        <f aca="false">IF(M359&gt;0,K359/M359,"")</f>
        <v/>
      </c>
      <c r="R359" s="57" t="str">
        <f aca="false">IF(K359&gt;0,O359/K359,"")</f>
        <v/>
      </c>
      <c r="S359" s="34" t="str">
        <f aca="false">IF(D359+E359+F359+G359&gt;0,(D359+E359)/(D359+E359+F359+G359),"")</f>
        <v/>
      </c>
      <c r="T359" s="33" t="n">
        <f aca="false">D359*(P1_PVP-P1_CPROD)+E359*(P2_PVP-P2_CPROD)-IF(ISNUMBER(I359),I359,D359*P1_LOG+E359*P2_LOG)</f>
        <v>0</v>
      </c>
      <c r="U359" s="33" t="n">
        <f aca="false">T359-(D359*P1_IVAN+E359*P2_IVAN)-(F359+G359)*(COSTE_DEV-IVA_DEV)-AH359-AJ359</f>
        <v>0</v>
      </c>
      <c r="V359" s="33" t="n">
        <f aca="false">AC359-AD359-AE359-AF359-AG359-AH359-AJ359</f>
        <v>0</v>
      </c>
      <c r="X359" s="58" t="n">
        <f aca="false">MAX(0,B359-D359-F359)</f>
        <v>0</v>
      </c>
      <c r="Y359" s="58" t="n">
        <f aca="false">MAX(0,C359-E359-G359)</f>
        <v>0</v>
      </c>
      <c r="Z359" s="59" t="n">
        <f aca="false">D359+X359*TASA_USADA</f>
        <v>0</v>
      </c>
      <c r="AA359" s="59" t="n">
        <f aca="false">E359+Y359*TASA_USADA</f>
        <v>0</v>
      </c>
      <c r="AB359" s="59" t="n">
        <f aca="false">F359+G359+(X359+Y359)*(1-TASA_USADA)</f>
        <v>0</v>
      </c>
      <c r="AC359" s="60" t="n">
        <f aca="false">Z359*P1_PVP+AA359*P2_PVP</f>
        <v>0</v>
      </c>
      <c r="AD359" s="60" t="n">
        <f aca="false">Z359*P1_CPROD+AA359*P2_CPROD</f>
        <v>0</v>
      </c>
      <c r="AE359" s="60" t="n">
        <f aca="false">IF(ISNUMBER(I359),I359,D359*P1_LOG+E359*P2_LOG)+IF(ISNUMBER(J359),J359,X359*P1_LOG+Y359*P2_LOG)*TASA_USADA</f>
        <v>0</v>
      </c>
      <c r="AF359" s="60" t="n">
        <f aca="false">AB359*COSTE_DEV</f>
        <v>0</v>
      </c>
      <c r="AG359" s="60" t="n">
        <f aca="false">Z359*P1_IVAN+AA359*P2_IVAN-AB359*IVA_DEV</f>
        <v>0</v>
      </c>
      <c r="AH359" s="60" t="n">
        <f aca="false">K359*(1+RECARGO_ADS)</f>
        <v>0</v>
      </c>
      <c r="AI359" s="58" t="n">
        <f aca="false">IF(ISNUMBER(I359),D359+E359+X359+Y359,0)</f>
        <v>0</v>
      </c>
      <c r="AJ359" s="60" t="n">
        <f aca="false">M359*COMISION</f>
        <v>0</v>
      </c>
    </row>
    <row r="360" customFormat="false" ht="15" hidden="false" customHeight="false" outlineLevel="0" collapsed="false">
      <c r="A360" s="53" t="n">
        <v>46654</v>
      </c>
      <c r="B360" s="54"/>
      <c r="C360" s="54"/>
      <c r="D360" s="54"/>
      <c r="E360" s="54"/>
      <c r="F360" s="54"/>
      <c r="G360" s="54"/>
      <c r="H360" s="54"/>
      <c r="I360" s="55"/>
      <c r="J360" s="55"/>
      <c r="K360" s="55"/>
      <c r="L360" s="56"/>
      <c r="M360" s="31" t="n">
        <f aca="false">B360+C360</f>
        <v>0</v>
      </c>
      <c r="N360" s="31" t="n">
        <f aca="false">X360+Y360</f>
        <v>0</v>
      </c>
      <c r="O360" s="32" t="n">
        <f aca="false">B360*P1_PVP+C360*P2_PVP</f>
        <v>0</v>
      </c>
      <c r="P360" s="32" t="str">
        <f aca="false">IF(M360&gt;0,O360/M360,"")</f>
        <v/>
      </c>
      <c r="Q360" s="32" t="str">
        <f aca="false">IF(M360&gt;0,K360/M360,"")</f>
        <v/>
      </c>
      <c r="R360" s="57" t="str">
        <f aca="false">IF(K360&gt;0,O360/K360,"")</f>
        <v/>
      </c>
      <c r="S360" s="34" t="str">
        <f aca="false">IF(D360+E360+F360+G360&gt;0,(D360+E360)/(D360+E360+F360+G360),"")</f>
        <v/>
      </c>
      <c r="T360" s="33" t="n">
        <f aca="false">D360*(P1_PVP-P1_CPROD)+E360*(P2_PVP-P2_CPROD)-IF(ISNUMBER(I360),I360,D360*P1_LOG+E360*P2_LOG)</f>
        <v>0</v>
      </c>
      <c r="U360" s="33" t="n">
        <f aca="false">T360-(D360*P1_IVAN+E360*P2_IVAN)-(F360+G360)*(COSTE_DEV-IVA_DEV)-AH360-AJ360</f>
        <v>0</v>
      </c>
      <c r="V360" s="33" t="n">
        <f aca="false">AC360-AD360-AE360-AF360-AG360-AH360-AJ360</f>
        <v>0</v>
      </c>
      <c r="X360" s="58" t="n">
        <f aca="false">MAX(0,B360-D360-F360)</f>
        <v>0</v>
      </c>
      <c r="Y360" s="58" t="n">
        <f aca="false">MAX(0,C360-E360-G360)</f>
        <v>0</v>
      </c>
      <c r="Z360" s="59" t="n">
        <f aca="false">D360+X360*TASA_USADA</f>
        <v>0</v>
      </c>
      <c r="AA360" s="59" t="n">
        <f aca="false">E360+Y360*TASA_USADA</f>
        <v>0</v>
      </c>
      <c r="AB360" s="59" t="n">
        <f aca="false">F360+G360+(X360+Y360)*(1-TASA_USADA)</f>
        <v>0</v>
      </c>
      <c r="AC360" s="60" t="n">
        <f aca="false">Z360*P1_PVP+AA360*P2_PVP</f>
        <v>0</v>
      </c>
      <c r="AD360" s="60" t="n">
        <f aca="false">Z360*P1_CPROD+AA360*P2_CPROD</f>
        <v>0</v>
      </c>
      <c r="AE360" s="60" t="n">
        <f aca="false">IF(ISNUMBER(I360),I360,D360*P1_LOG+E360*P2_LOG)+IF(ISNUMBER(J360),J360,X360*P1_LOG+Y360*P2_LOG)*TASA_USADA</f>
        <v>0</v>
      </c>
      <c r="AF360" s="60" t="n">
        <f aca="false">AB360*COSTE_DEV</f>
        <v>0</v>
      </c>
      <c r="AG360" s="60" t="n">
        <f aca="false">Z360*P1_IVAN+AA360*P2_IVAN-AB360*IVA_DEV</f>
        <v>0</v>
      </c>
      <c r="AH360" s="60" t="n">
        <f aca="false">K360*(1+RECARGO_ADS)</f>
        <v>0</v>
      </c>
      <c r="AI360" s="58" t="n">
        <f aca="false">IF(ISNUMBER(I360),D360+E360+X360+Y360,0)</f>
        <v>0</v>
      </c>
      <c r="AJ360" s="60" t="n">
        <f aca="false">M360*COMISION</f>
        <v>0</v>
      </c>
    </row>
    <row r="361" customFormat="false" ht="15" hidden="false" customHeight="false" outlineLevel="0" collapsed="false">
      <c r="A361" s="53" t="n">
        <v>46655</v>
      </c>
      <c r="B361" s="54"/>
      <c r="C361" s="54"/>
      <c r="D361" s="54"/>
      <c r="E361" s="54"/>
      <c r="F361" s="54"/>
      <c r="G361" s="54"/>
      <c r="H361" s="54"/>
      <c r="I361" s="55"/>
      <c r="J361" s="55"/>
      <c r="K361" s="55"/>
      <c r="L361" s="56"/>
      <c r="M361" s="31" t="n">
        <f aca="false">B361+C361</f>
        <v>0</v>
      </c>
      <c r="N361" s="31" t="n">
        <f aca="false">X361+Y361</f>
        <v>0</v>
      </c>
      <c r="O361" s="32" t="n">
        <f aca="false">B361*P1_PVP+C361*P2_PVP</f>
        <v>0</v>
      </c>
      <c r="P361" s="32" t="str">
        <f aca="false">IF(M361&gt;0,O361/M361,"")</f>
        <v/>
      </c>
      <c r="Q361" s="32" t="str">
        <f aca="false">IF(M361&gt;0,K361/M361,"")</f>
        <v/>
      </c>
      <c r="R361" s="57" t="str">
        <f aca="false">IF(K361&gt;0,O361/K361,"")</f>
        <v/>
      </c>
      <c r="S361" s="34" t="str">
        <f aca="false">IF(D361+E361+F361+G361&gt;0,(D361+E361)/(D361+E361+F361+G361),"")</f>
        <v/>
      </c>
      <c r="T361" s="33" t="n">
        <f aca="false">D361*(P1_PVP-P1_CPROD)+E361*(P2_PVP-P2_CPROD)-IF(ISNUMBER(I361),I361,D361*P1_LOG+E361*P2_LOG)</f>
        <v>0</v>
      </c>
      <c r="U361" s="33" t="n">
        <f aca="false">T361-(D361*P1_IVAN+E361*P2_IVAN)-(F361+G361)*(COSTE_DEV-IVA_DEV)-AH361-AJ361</f>
        <v>0</v>
      </c>
      <c r="V361" s="33" t="n">
        <f aca="false">AC361-AD361-AE361-AF361-AG361-AH361-AJ361</f>
        <v>0</v>
      </c>
      <c r="X361" s="58" t="n">
        <f aca="false">MAX(0,B361-D361-F361)</f>
        <v>0</v>
      </c>
      <c r="Y361" s="58" t="n">
        <f aca="false">MAX(0,C361-E361-G361)</f>
        <v>0</v>
      </c>
      <c r="Z361" s="59" t="n">
        <f aca="false">D361+X361*TASA_USADA</f>
        <v>0</v>
      </c>
      <c r="AA361" s="59" t="n">
        <f aca="false">E361+Y361*TASA_USADA</f>
        <v>0</v>
      </c>
      <c r="AB361" s="59" t="n">
        <f aca="false">F361+G361+(X361+Y361)*(1-TASA_USADA)</f>
        <v>0</v>
      </c>
      <c r="AC361" s="60" t="n">
        <f aca="false">Z361*P1_PVP+AA361*P2_PVP</f>
        <v>0</v>
      </c>
      <c r="AD361" s="60" t="n">
        <f aca="false">Z361*P1_CPROD+AA361*P2_CPROD</f>
        <v>0</v>
      </c>
      <c r="AE361" s="60" t="n">
        <f aca="false">IF(ISNUMBER(I361),I361,D361*P1_LOG+E361*P2_LOG)+IF(ISNUMBER(J361),J361,X361*P1_LOG+Y361*P2_LOG)*TASA_USADA</f>
        <v>0</v>
      </c>
      <c r="AF361" s="60" t="n">
        <f aca="false">AB361*COSTE_DEV</f>
        <v>0</v>
      </c>
      <c r="AG361" s="60" t="n">
        <f aca="false">Z361*P1_IVAN+AA361*P2_IVAN-AB361*IVA_DEV</f>
        <v>0</v>
      </c>
      <c r="AH361" s="60" t="n">
        <f aca="false">K361*(1+RECARGO_ADS)</f>
        <v>0</v>
      </c>
      <c r="AI361" s="58" t="n">
        <f aca="false">IF(ISNUMBER(I361),D361+E361+X361+Y361,0)</f>
        <v>0</v>
      </c>
      <c r="AJ361" s="60" t="n">
        <f aca="false">M361*COMISION</f>
        <v>0</v>
      </c>
    </row>
    <row r="362" customFormat="false" ht="15" hidden="false" customHeight="false" outlineLevel="0" collapsed="false">
      <c r="A362" s="53" t="n">
        <v>46656</v>
      </c>
      <c r="B362" s="54"/>
      <c r="C362" s="54"/>
      <c r="D362" s="54"/>
      <c r="E362" s="54"/>
      <c r="F362" s="54"/>
      <c r="G362" s="54"/>
      <c r="H362" s="54"/>
      <c r="I362" s="55"/>
      <c r="J362" s="55"/>
      <c r="K362" s="55"/>
      <c r="L362" s="56"/>
      <c r="M362" s="31" t="n">
        <f aca="false">B362+C362</f>
        <v>0</v>
      </c>
      <c r="N362" s="31" t="n">
        <f aca="false">X362+Y362</f>
        <v>0</v>
      </c>
      <c r="O362" s="32" t="n">
        <f aca="false">B362*P1_PVP+C362*P2_PVP</f>
        <v>0</v>
      </c>
      <c r="P362" s="32" t="str">
        <f aca="false">IF(M362&gt;0,O362/M362,"")</f>
        <v/>
      </c>
      <c r="Q362" s="32" t="str">
        <f aca="false">IF(M362&gt;0,K362/M362,"")</f>
        <v/>
      </c>
      <c r="R362" s="57" t="str">
        <f aca="false">IF(K362&gt;0,O362/K362,"")</f>
        <v/>
      </c>
      <c r="S362" s="34" t="str">
        <f aca="false">IF(D362+E362+F362+G362&gt;0,(D362+E362)/(D362+E362+F362+G362),"")</f>
        <v/>
      </c>
      <c r="T362" s="33" t="n">
        <f aca="false">D362*(P1_PVP-P1_CPROD)+E362*(P2_PVP-P2_CPROD)-IF(ISNUMBER(I362),I362,D362*P1_LOG+E362*P2_LOG)</f>
        <v>0</v>
      </c>
      <c r="U362" s="33" t="n">
        <f aca="false">T362-(D362*P1_IVAN+E362*P2_IVAN)-(F362+G362)*(COSTE_DEV-IVA_DEV)-AH362-AJ362</f>
        <v>0</v>
      </c>
      <c r="V362" s="33" t="n">
        <f aca="false">AC362-AD362-AE362-AF362-AG362-AH362-AJ362</f>
        <v>0</v>
      </c>
      <c r="X362" s="58" t="n">
        <f aca="false">MAX(0,B362-D362-F362)</f>
        <v>0</v>
      </c>
      <c r="Y362" s="58" t="n">
        <f aca="false">MAX(0,C362-E362-G362)</f>
        <v>0</v>
      </c>
      <c r="Z362" s="59" t="n">
        <f aca="false">D362+X362*TASA_USADA</f>
        <v>0</v>
      </c>
      <c r="AA362" s="59" t="n">
        <f aca="false">E362+Y362*TASA_USADA</f>
        <v>0</v>
      </c>
      <c r="AB362" s="59" t="n">
        <f aca="false">F362+G362+(X362+Y362)*(1-TASA_USADA)</f>
        <v>0</v>
      </c>
      <c r="AC362" s="60" t="n">
        <f aca="false">Z362*P1_PVP+AA362*P2_PVP</f>
        <v>0</v>
      </c>
      <c r="AD362" s="60" t="n">
        <f aca="false">Z362*P1_CPROD+AA362*P2_CPROD</f>
        <v>0</v>
      </c>
      <c r="AE362" s="60" t="n">
        <f aca="false">IF(ISNUMBER(I362),I362,D362*P1_LOG+E362*P2_LOG)+IF(ISNUMBER(J362),J362,X362*P1_LOG+Y362*P2_LOG)*TASA_USADA</f>
        <v>0</v>
      </c>
      <c r="AF362" s="60" t="n">
        <f aca="false">AB362*COSTE_DEV</f>
        <v>0</v>
      </c>
      <c r="AG362" s="60" t="n">
        <f aca="false">Z362*P1_IVAN+AA362*P2_IVAN-AB362*IVA_DEV</f>
        <v>0</v>
      </c>
      <c r="AH362" s="60" t="n">
        <f aca="false">K362*(1+RECARGO_ADS)</f>
        <v>0</v>
      </c>
      <c r="AI362" s="58" t="n">
        <f aca="false">IF(ISNUMBER(I362),D362+E362+X362+Y362,0)</f>
        <v>0</v>
      </c>
      <c r="AJ362" s="60" t="n">
        <f aca="false">M362*COMISION</f>
        <v>0</v>
      </c>
    </row>
    <row r="363" customFormat="false" ht="15" hidden="false" customHeight="false" outlineLevel="0" collapsed="false">
      <c r="A363" s="53" t="n">
        <v>46657</v>
      </c>
      <c r="B363" s="54"/>
      <c r="C363" s="54"/>
      <c r="D363" s="54"/>
      <c r="E363" s="54"/>
      <c r="F363" s="54"/>
      <c r="G363" s="54"/>
      <c r="H363" s="54"/>
      <c r="I363" s="55"/>
      <c r="J363" s="55"/>
      <c r="K363" s="55"/>
      <c r="L363" s="56"/>
      <c r="M363" s="31" t="n">
        <f aca="false">B363+C363</f>
        <v>0</v>
      </c>
      <c r="N363" s="31" t="n">
        <f aca="false">X363+Y363</f>
        <v>0</v>
      </c>
      <c r="O363" s="32" t="n">
        <f aca="false">B363*P1_PVP+C363*P2_PVP</f>
        <v>0</v>
      </c>
      <c r="P363" s="32" t="str">
        <f aca="false">IF(M363&gt;0,O363/M363,"")</f>
        <v/>
      </c>
      <c r="Q363" s="32" t="str">
        <f aca="false">IF(M363&gt;0,K363/M363,"")</f>
        <v/>
      </c>
      <c r="R363" s="57" t="str">
        <f aca="false">IF(K363&gt;0,O363/K363,"")</f>
        <v/>
      </c>
      <c r="S363" s="34" t="str">
        <f aca="false">IF(D363+E363+F363+G363&gt;0,(D363+E363)/(D363+E363+F363+G363),"")</f>
        <v/>
      </c>
      <c r="T363" s="33" t="n">
        <f aca="false">D363*(P1_PVP-P1_CPROD)+E363*(P2_PVP-P2_CPROD)-IF(ISNUMBER(I363),I363,D363*P1_LOG+E363*P2_LOG)</f>
        <v>0</v>
      </c>
      <c r="U363" s="33" t="n">
        <f aca="false">T363-(D363*P1_IVAN+E363*P2_IVAN)-(F363+G363)*(COSTE_DEV-IVA_DEV)-AH363-AJ363</f>
        <v>0</v>
      </c>
      <c r="V363" s="33" t="n">
        <f aca="false">AC363-AD363-AE363-AF363-AG363-AH363-AJ363</f>
        <v>0</v>
      </c>
      <c r="X363" s="58" t="n">
        <f aca="false">MAX(0,B363-D363-F363)</f>
        <v>0</v>
      </c>
      <c r="Y363" s="58" t="n">
        <f aca="false">MAX(0,C363-E363-G363)</f>
        <v>0</v>
      </c>
      <c r="Z363" s="59" t="n">
        <f aca="false">D363+X363*TASA_USADA</f>
        <v>0</v>
      </c>
      <c r="AA363" s="59" t="n">
        <f aca="false">E363+Y363*TASA_USADA</f>
        <v>0</v>
      </c>
      <c r="AB363" s="59" t="n">
        <f aca="false">F363+G363+(X363+Y363)*(1-TASA_USADA)</f>
        <v>0</v>
      </c>
      <c r="AC363" s="60" t="n">
        <f aca="false">Z363*P1_PVP+AA363*P2_PVP</f>
        <v>0</v>
      </c>
      <c r="AD363" s="60" t="n">
        <f aca="false">Z363*P1_CPROD+AA363*P2_CPROD</f>
        <v>0</v>
      </c>
      <c r="AE363" s="60" t="n">
        <f aca="false">IF(ISNUMBER(I363),I363,D363*P1_LOG+E363*P2_LOG)+IF(ISNUMBER(J363),J363,X363*P1_LOG+Y363*P2_LOG)*TASA_USADA</f>
        <v>0</v>
      </c>
      <c r="AF363" s="60" t="n">
        <f aca="false">AB363*COSTE_DEV</f>
        <v>0</v>
      </c>
      <c r="AG363" s="60" t="n">
        <f aca="false">Z363*P1_IVAN+AA363*P2_IVAN-AB363*IVA_DEV</f>
        <v>0</v>
      </c>
      <c r="AH363" s="60" t="n">
        <f aca="false">K363*(1+RECARGO_ADS)</f>
        <v>0</v>
      </c>
      <c r="AI363" s="58" t="n">
        <f aca="false">IF(ISNUMBER(I363),D363+E363+X363+Y363,0)</f>
        <v>0</v>
      </c>
      <c r="AJ363" s="60" t="n">
        <f aca="false">M363*COMISION</f>
        <v>0</v>
      </c>
    </row>
    <row r="364" customFormat="false" ht="15" hidden="false" customHeight="false" outlineLevel="0" collapsed="false">
      <c r="A364" s="53" t="n">
        <v>46658</v>
      </c>
      <c r="B364" s="54"/>
      <c r="C364" s="54"/>
      <c r="D364" s="54"/>
      <c r="E364" s="54"/>
      <c r="F364" s="54"/>
      <c r="G364" s="54"/>
      <c r="H364" s="54"/>
      <c r="I364" s="55"/>
      <c r="J364" s="55"/>
      <c r="K364" s="55"/>
      <c r="L364" s="56"/>
      <c r="M364" s="31" t="n">
        <f aca="false">B364+C364</f>
        <v>0</v>
      </c>
      <c r="N364" s="31" t="n">
        <f aca="false">X364+Y364</f>
        <v>0</v>
      </c>
      <c r="O364" s="32" t="n">
        <f aca="false">B364*P1_PVP+C364*P2_PVP</f>
        <v>0</v>
      </c>
      <c r="P364" s="32" t="str">
        <f aca="false">IF(M364&gt;0,O364/M364,"")</f>
        <v/>
      </c>
      <c r="Q364" s="32" t="str">
        <f aca="false">IF(M364&gt;0,K364/M364,"")</f>
        <v/>
      </c>
      <c r="R364" s="57" t="str">
        <f aca="false">IF(K364&gt;0,O364/K364,"")</f>
        <v/>
      </c>
      <c r="S364" s="34" t="str">
        <f aca="false">IF(D364+E364+F364+G364&gt;0,(D364+E364)/(D364+E364+F364+G364),"")</f>
        <v/>
      </c>
      <c r="T364" s="33" t="n">
        <f aca="false">D364*(P1_PVP-P1_CPROD)+E364*(P2_PVP-P2_CPROD)-IF(ISNUMBER(I364),I364,D364*P1_LOG+E364*P2_LOG)</f>
        <v>0</v>
      </c>
      <c r="U364" s="33" t="n">
        <f aca="false">T364-(D364*P1_IVAN+E364*P2_IVAN)-(F364+G364)*(COSTE_DEV-IVA_DEV)-AH364-AJ364</f>
        <v>0</v>
      </c>
      <c r="V364" s="33" t="n">
        <f aca="false">AC364-AD364-AE364-AF364-AG364-AH364-AJ364</f>
        <v>0</v>
      </c>
      <c r="X364" s="58" t="n">
        <f aca="false">MAX(0,B364-D364-F364)</f>
        <v>0</v>
      </c>
      <c r="Y364" s="58" t="n">
        <f aca="false">MAX(0,C364-E364-G364)</f>
        <v>0</v>
      </c>
      <c r="Z364" s="59" t="n">
        <f aca="false">D364+X364*TASA_USADA</f>
        <v>0</v>
      </c>
      <c r="AA364" s="59" t="n">
        <f aca="false">E364+Y364*TASA_USADA</f>
        <v>0</v>
      </c>
      <c r="AB364" s="59" t="n">
        <f aca="false">F364+G364+(X364+Y364)*(1-TASA_USADA)</f>
        <v>0</v>
      </c>
      <c r="AC364" s="60" t="n">
        <f aca="false">Z364*P1_PVP+AA364*P2_PVP</f>
        <v>0</v>
      </c>
      <c r="AD364" s="60" t="n">
        <f aca="false">Z364*P1_CPROD+AA364*P2_CPROD</f>
        <v>0</v>
      </c>
      <c r="AE364" s="60" t="n">
        <f aca="false">IF(ISNUMBER(I364),I364,D364*P1_LOG+E364*P2_LOG)+IF(ISNUMBER(J364),J364,X364*P1_LOG+Y364*P2_LOG)*TASA_USADA</f>
        <v>0</v>
      </c>
      <c r="AF364" s="60" t="n">
        <f aca="false">AB364*COSTE_DEV</f>
        <v>0</v>
      </c>
      <c r="AG364" s="60" t="n">
        <f aca="false">Z364*P1_IVAN+AA364*P2_IVAN-AB364*IVA_DEV</f>
        <v>0</v>
      </c>
      <c r="AH364" s="60" t="n">
        <f aca="false">K364*(1+RECARGO_ADS)</f>
        <v>0</v>
      </c>
      <c r="AI364" s="58" t="n">
        <f aca="false">IF(ISNUMBER(I364),D364+E364+X364+Y364,0)</f>
        <v>0</v>
      </c>
      <c r="AJ364" s="60" t="n">
        <f aca="false">M364*COMISION</f>
        <v>0</v>
      </c>
    </row>
    <row r="365" customFormat="false" ht="15" hidden="false" customHeight="false" outlineLevel="0" collapsed="false">
      <c r="A365" s="53" t="n">
        <v>46659</v>
      </c>
      <c r="B365" s="54"/>
      <c r="C365" s="54"/>
      <c r="D365" s="54"/>
      <c r="E365" s="54"/>
      <c r="F365" s="54"/>
      <c r="G365" s="54"/>
      <c r="H365" s="54"/>
      <c r="I365" s="55"/>
      <c r="J365" s="55"/>
      <c r="K365" s="55"/>
      <c r="L365" s="56"/>
      <c r="M365" s="31" t="n">
        <f aca="false">B365+C365</f>
        <v>0</v>
      </c>
      <c r="N365" s="31" t="n">
        <f aca="false">X365+Y365</f>
        <v>0</v>
      </c>
      <c r="O365" s="32" t="n">
        <f aca="false">B365*P1_PVP+C365*P2_PVP</f>
        <v>0</v>
      </c>
      <c r="P365" s="32" t="str">
        <f aca="false">IF(M365&gt;0,O365/M365,"")</f>
        <v/>
      </c>
      <c r="Q365" s="32" t="str">
        <f aca="false">IF(M365&gt;0,K365/M365,"")</f>
        <v/>
      </c>
      <c r="R365" s="57" t="str">
        <f aca="false">IF(K365&gt;0,O365/K365,"")</f>
        <v/>
      </c>
      <c r="S365" s="34" t="str">
        <f aca="false">IF(D365+E365+F365+G365&gt;0,(D365+E365)/(D365+E365+F365+G365),"")</f>
        <v/>
      </c>
      <c r="T365" s="33" t="n">
        <f aca="false">D365*(P1_PVP-P1_CPROD)+E365*(P2_PVP-P2_CPROD)-IF(ISNUMBER(I365),I365,D365*P1_LOG+E365*P2_LOG)</f>
        <v>0</v>
      </c>
      <c r="U365" s="33" t="n">
        <f aca="false">T365-(D365*P1_IVAN+E365*P2_IVAN)-(F365+G365)*(COSTE_DEV-IVA_DEV)-AH365-AJ365</f>
        <v>0</v>
      </c>
      <c r="V365" s="33" t="n">
        <f aca="false">AC365-AD365-AE365-AF365-AG365-AH365-AJ365</f>
        <v>0</v>
      </c>
      <c r="X365" s="58" t="n">
        <f aca="false">MAX(0,B365-D365-F365)</f>
        <v>0</v>
      </c>
      <c r="Y365" s="58" t="n">
        <f aca="false">MAX(0,C365-E365-G365)</f>
        <v>0</v>
      </c>
      <c r="Z365" s="59" t="n">
        <f aca="false">D365+X365*TASA_USADA</f>
        <v>0</v>
      </c>
      <c r="AA365" s="59" t="n">
        <f aca="false">E365+Y365*TASA_USADA</f>
        <v>0</v>
      </c>
      <c r="AB365" s="59" t="n">
        <f aca="false">F365+G365+(X365+Y365)*(1-TASA_USADA)</f>
        <v>0</v>
      </c>
      <c r="AC365" s="60" t="n">
        <f aca="false">Z365*P1_PVP+AA365*P2_PVP</f>
        <v>0</v>
      </c>
      <c r="AD365" s="60" t="n">
        <f aca="false">Z365*P1_CPROD+AA365*P2_CPROD</f>
        <v>0</v>
      </c>
      <c r="AE365" s="60" t="n">
        <f aca="false">IF(ISNUMBER(I365),I365,D365*P1_LOG+E365*P2_LOG)+IF(ISNUMBER(J365),J365,X365*P1_LOG+Y365*P2_LOG)*TASA_USADA</f>
        <v>0</v>
      </c>
      <c r="AF365" s="60" t="n">
        <f aca="false">AB365*COSTE_DEV</f>
        <v>0</v>
      </c>
      <c r="AG365" s="60" t="n">
        <f aca="false">Z365*P1_IVAN+AA365*P2_IVAN-AB365*IVA_DEV</f>
        <v>0</v>
      </c>
      <c r="AH365" s="60" t="n">
        <f aca="false">K365*(1+RECARGO_ADS)</f>
        <v>0</v>
      </c>
      <c r="AI365" s="58" t="n">
        <f aca="false">IF(ISNUMBER(I365),D365+E365+X365+Y365,0)</f>
        <v>0</v>
      </c>
      <c r="AJ365" s="60" t="n">
        <f aca="false">M365*COMISION</f>
        <v>0</v>
      </c>
    </row>
    <row r="366" customFormat="false" ht="15" hidden="false" customHeight="false" outlineLevel="0" collapsed="false">
      <c r="A366" s="53" t="n">
        <v>46660</v>
      </c>
      <c r="B366" s="54"/>
      <c r="C366" s="54"/>
      <c r="D366" s="54"/>
      <c r="E366" s="54"/>
      <c r="F366" s="54"/>
      <c r="G366" s="54"/>
      <c r="H366" s="54"/>
      <c r="I366" s="55"/>
      <c r="J366" s="55"/>
      <c r="K366" s="55"/>
      <c r="L366" s="56"/>
      <c r="M366" s="31" t="n">
        <f aca="false">B366+C366</f>
        <v>0</v>
      </c>
      <c r="N366" s="31" t="n">
        <f aca="false">X366+Y366</f>
        <v>0</v>
      </c>
      <c r="O366" s="32" t="n">
        <f aca="false">B366*P1_PVP+C366*P2_PVP</f>
        <v>0</v>
      </c>
      <c r="P366" s="32" t="str">
        <f aca="false">IF(M366&gt;0,O366/M366,"")</f>
        <v/>
      </c>
      <c r="Q366" s="32" t="str">
        <f aca="false">IF(M366&gt;0,K366/M366,"")</f>
        <v/>
      </c>
      <c r="R366" s="57" t="str">
        <f aca="false">IF(K366&gt;0,O366/K366,"")</f>
        <v/>
      </c>
      <c r="S366" s="34" t="str">
        <f aca="false">IF(D366+E366+F366+G366&gt;0,(D366+E366)/(D366+E366+F366+G366),"")</f>
        <v/>
      </c>
      <c r="T366" s="33" t="n">
        <f aca="false">D366*(P1_PVP-P1_CPROD)+E366*(P2_PVP-P2_CPROD)-IF(ISNUMBER(I366),I366,D366*P1_LOG+E366*P2_LOG)</f>
        <v>0</v>
      </c>
      <c r="U366" s="33" t="n">
        <f aca="false">T366-(D366*P1_IVAN+E366*P2_IVAN)-(F366+G366)*(COSTE_DEV-IVA_DEV)-AH366-AJ366</f>
        <v>0</v>
      </c>
      <c r="V366" s="33" t="n">
        <f aca="false">AC366-AD366-AE366-AF366-AG366-AH366-AJ366</f>
        <v>0</v>
      </c>
      <c r="X366" s="58" t="n">
        <f aca="false">MAX(0,B366-D366-F366)</f>
        <v>0</v>
      </c>
      <c r="Y366" s="58" t="n">
        <f aca="false">MAX(0,C366-E366-G366)</f>
        <v>0</v>
      </c>
      <c r="Z366" s="59" t="n">
        <f aca="false">D366+X366*TASA_USADA</f>
        <v>0</v>
      </c>
      <c r="AA366" s="59" t="n">
        <f aca="false">E366+Y366*TASA_USADA</f>
        <v>0</v>
      </c>
      <c r="AB366" s="59" t="n">
        <f aca="false">F366+G366+(X366+Y366)*(1-TASA_USADA)</f>
        <v>0</v>
      </c>
      <c r="AC366" s="60" t="n">
        <f aca="false">Z366*P1_PVP+AA366*P2_PVP</f>
        <v>0</v>
      </c>
      <c r="AD366" s="60" t="n">
        <f aca="false">Z366*P1_CPROD+AA366*P2_CPROD</f>
        <v>0</v>
      </c>
      <c r="AE366" s="60" t="n">
        <f aca="false">IF(ISNUMBER(I366),I366,D366*P1_LOG+E366*P2_LOG)+IF(ISNUMBER(J366),J366,X366*P1_LOG+Y366*P2_LOG)*TASA_USADA</f>
        <v>0</v>
      </c>
      <c r="AF366" s="60" t="n">
        <f aca="false">AB366*COSTE_DEV</f>
        <v>0</v>
      </c>
      <c r="AG366" s="60" t="n">
        <f aca="false">Z366*P1_IVAN+AA366*P2_IVAN-AB366*IVA_DEV</f>
        <v>0</v>
      </c>
      <c r="AH366" s="60" t="n">
        <f aca="false">K366*(1+RECARGO_ADS)</f>
        <v>0</v>
      </c>
      <c r="AI366" s="58" t="n">
        <f aca="false">IF(ISNUMBER(I366),D366+E366+X366+Y366,0)</f>
        <v>0</v>
      </c>
      <c r="AJ366" s="60" t="n">
        <f aca="false">M366*COMISION</f>
        <v>0</v>
      </c>
    </row>
    <row r="367" customFormat="false" ht="15" hidden="false" customHeight="false" outlineLevel="0" collapsed="false">
      <c r="A367" s="53" t="n">
        <v>46661</v>
      </c>
      <c r="B367" s="54"/>
      <c r="C367" s="54"/>
      <c r="D367" s="54"/>
      <c r="E367" s="54"/>
      <c r="F367" s="54"/>
      <c r="G367" s="54"/>
      <c r="H367" s="54"/>
      <c r="I367" s="55"/>
      <c r="J367" s="55"/>
      <c r="K367" s="55"/>
      <c r="L367" s="56"/>
      <c r="M367" s="31" t="n">
        <f aca="false">B367+C367</f>
        <v>0</v>
      </c>
      <c r="N367" s="31" t="n">
        <f aca="false">X367+Y367</f>
        <v>0</v>
      </c>
      <c r="O367" s="32" t="n">
        <f aca="false">B367*P1_PVP+C367*P2_PVP</f>
        <v>0</v>
      </c>
      <c r="P367" s="32" t="str">
        <f aca="false">IF(M367&gt;0,O367/M367,"")</f>
        <v/>
      </c>
      <c r="Q367" s="32" t="str">
        <f aca="false">IF(M367&gt;0,K367/M367,"")</f>
        <v/>
      </c>
      <c r="R367" s="57" t="str">
        <f aca="false">IF(K367&gt;0,O367/K367,"")</f>
        <v/>
      </c>
      <c r="S367" s="34" t="str">
        <f aca="false">IF(D367+E367+F367+G367&gt;0,(D367+E367)/(D367+E367+F367+G367),"")</f>
        <v/>
      </c>
      <c r="T367" s="33" t="n">
        <f aca="false">D367*(P1_PVP-P1_CPROD)+E367*(P2_PVP-P2_CPROD)-IF(ISNUMBER(I367),I367,D367*P1_LOG+E367*P2_LOG)</f>
        <v>0</v>
      </c>
      <c r="U367" s="33" t="n">
        <f aca="false">T367-(D367*P1_IVAN+E367*P2_IVAN)-(F367+G367)*(COSTE_DEV-IVA_DEV)-AH367-AJ367</f>
        <v>0</v>
      </c>
      <c r="V367" s="33" t="n">
        <f aca="false">AC367-AD367-AE367-AF367-AG367-AH367-AJ367</f>
        <v>0</v>
      </c>
      <c r="X367" s="58" t="n">
        <f aca="false">MAX(0,B367-D367-F367)</f>
        <v>0</v>
      </c>
      <c r="Y367" s="58" t="n">
        <f aca="false">MAX(0,C367-E367-G367)</f>
        <v>0</v>
      </c>
      <c r="Z367" s="59" t="n">
        <f aca="false">D367+X367*TASA_USADA</f>
        <v>0</v>
      </c>
      <c r="AA367" s="59" t="n">
        <f aca="false">E367+Y367*TASA_USADA</f>
        <v>0</v>
      </c>
      <c r="AB367" s="59" t="n">
        <f aca="false">F367+G367+(X367+Y367)*(1-TASA_USADA)</f>
        <v>0</v>
      </c>
      <c r="AC367" s="60" t="n">
        <f aca="false">Z367*P1_PVP+AA367*P2_PVP</f>
        <v>0</v>
      </c>
      <c r="AD367" s="60" t="n">
        <f aca="false">Z367*P1_CPROD+AA367*P2_CPROD</f>
        <v>0</v>
      </c>
      <c r="AE367" s="60" t="n">
        <f aca="false">IF(ISNUMBER(I367),I367,D367*P1_LOG+E367*P2_LOG)+IF(ISNUMBER(J367),J367,X367*P1_LOG+Y367*P2_LOG)*TASA_USADA</f>
        <v>0</v>
      </c>
      <c r="AF367" s="60" t="n">
        <f aca="false">AB367*COSTE_DEV</f>
        <v>0</v>
      </c>
      <c r="AG367" s="60" t="n">
        <f aca="false">Z367*P1_IVAN+AA367*P2_IVAN-AB367*IVA_DEV</f>
        <v>0</v>
      </c>
      <c r="AH367" s="60" t="n">
        <f aca="false">K367*(1+RECARGO_ADS)</f>
        <v>0</v>
      </c>
      <c r="AI367" s="58" t="n">
        <f aca="false">IF(ISNUMBER(I367),D367+E367+X367+Y367,0)</f>
        <v>0</v>
      </c>
      <c r="AJ367" s="60" t="n">
        <f aca="false">M367*COMISION</f>
        <v>0</v>
      </c>
    </row>
    <row r="368" customFormat="false" ht="15" hidden="false" customHeight="false" outlineLevel="0" collapsed="false">
      <c r="A368" s="53" t="n">
        <v>46662</v>
      </c>
      <c r="B368" s="54"/>
      <c r="C368" s="54"/>
      <c r="D368" s="54"/>
      <c r="E368" s="54"/>
      <c r="F368" s="54"/>
      <c r="G368" s="54"/>
      <c r="H368" s="54"/>
      <c r="I368" s="55"/>
      <c r="J368" s="55"/>
      <c r="K368" s="55"/>
      <c r="L368" s="56"/>
      <c r="M368" s="31" t="n">
        <f aca="false">B368+C368</f>
        <v>0</v>
      </c>
      <c r="N368" s="31" t="n">
        <f aca="false">X368+Y368</f>
        <v>0</v>
      </c>
      <c r="O368" s="32" t="n">
        <f aca="false">B368*P1_PVP+C368*P2_PVP</f>
        <v>0</v>
      </c>
      <c r="P368" s="32" t="str">
        <f aca="false">IF(M368&gt;0,O368/M368,"")</f>
        <v/>
      </c>
      <c r="Q368" s="32" t="str">
        <f aca="false">IF(M368&gt;0,K368/M368,"")</f>
        <v/>
      </c>
      <c r="R368" s="57" t="str">
        <f aca="false">IF(K368&gt;0,O368/K368,"")</f>
        <v/>
      </c>
      <c r="S368" s="34" t="str">
        <f aca="false">IF(D368+E368+F368+G368&gt;0,(D368+E368)/(D368+E368+F368+G368),"")</f>
        <v/>
      </c>
      <c r="T368" s="33" t="n">
        <f aca="false">D368*(P1_PVP-P1_CPROD)+E368*(P2_PVP-P2_CPROD)-IF(ISNUMBER(I368),I368,D368*P1_LOG+E368*P2_LOG)</f>
        <v>0</v>
      </c>
      <c r="U368" s="33" t="n">
        <f aca="false">T368-(D368*P1_IVAN+E368*P2_IVAN)-(F368+G368)*(COSTE_DEV-IVA_DEV)-AH368-AJ368</f>
        <v>0</v>
      </c>
      <c r="V368" s="33" t="n">
        <f aca="false">AC368-AD368-AE368-AF368-AG368-AH368-AJ368</f>
        <v>0</v>
      </c>
      <c r="X368" s="58" t="n">
        <f aca="false">MAX(0,B368-D368-F368)</f>
        <v>0</v>
      </c>
      <c r="Y368" s="58" t="n">
        <f aca="false">MAX(0,C368-E368-G368)</f>
        <v>0</v>
      </c>
      <c r="Z368" s="59" t="n">
        <f aca="false">D368+X368*TASA_USADA</f>
        <v>0</v>
      </c>
      <c r="AA368" s="59" t="n">
        <f aca="false">E368+Y368*TASA_USADA</f>
        <v>0</v>
      </c>
      <c r="AB368" s="59" t="n">
        <f aca="false">F368+G368+(X368+Y368)*(1-TASA_USADA)</f>
        <v>0</v>
      </c>
      <c r="AC368" s="60" t="n">
        <f aca="false">Z368*P1_PVP+AA368*P2_PVP</f>
        <v>0</v>
      </c>
      <c r="AD368" s="60" t="n">
        <f aca="false">Z368*P1_CPROD+AA368*P2_CPROD</f>
        <v>0</v>
      </c>
      <c r="AE368" s="60" t="n">
        <f aca="false">IF(ISNUMBER(I368),I368,D368*P1_LOG+E368*P2_LOG)+IF(ISNUMBER(J368),J368,X368*P1_LOG+Y368*P2_LOG)*TASA_USADA</f>
        <v>0</v>
      </c>
      <c r="AF368" s="60" t="n">
        <f aca="false">AB368*COSTE_DEV</f>
        <v>0</v>
      </c>
      <c r="AG368" s="60" t="n">
        <f aca="false">Z368*P1_IVAN+AA368*P2_IVAN-AB368*IVA_DEV</f>
        <v>0</v>
      </c>
      <c r="AH368" s="60" t="n">
        <f aca="false">K368*(1+RECARGO_ADS)</f>
        <v>0</v>
      </c>
      <c r="AI368" s="58" t="n">
        <f aca="false">IF(ISNUMBER(I368),D368+E368+X368+Y368,0)</f>
        <v>0</v>
      </c>
      <c r="AJ368" s="60" t="n">
        <f aca="false">M368*COMISION</f>
        <v>0</v>
      </c>
    </row>
    <row r="369" customFormat="false" ht="15" hidden="false" customHeight="false" outlineLevel="0" collapsed="false">
      <c r="A369" s="53" t="n">
        <v>46663</v>
      </c>
      <c r="B369" s="54"/>
      <c r="C369" s="54"/>
      <c r="D369" s="54"/>
      <c r="E369" s="54"/>
      <c r="F369" s="54"/>
      <c r="G369" s="54"/>
      <c r="H369" s="54"/>
      <c r="I369" s="55"/>
      <c r="J369" s="55"/>
      <c r="K369" s="55"/>
      <c r="L369" s="56"/>
      <c r="M369" s="31" t="n">
        <f aca="false">B369+C369</f>
        <v>0</v>
      </c>
      <c r="N369" s="31" t="n">
        <f aca="false">X369+Y369</f>
        <v>0</v>
      </c>
      <c r="O369" s="32" t="n">
        <f aca="false">B369*P1_PVP+C369*P2_PVP</f>
        <v>0</v>
      </c>
      <c r="P369" s="32" t="str">
        <f aca="false">IF(M369&gt;0,O369/M369,"")</f>
        <v/>
      </c>
      <c r="Q369" s="32" t="str">
        <f aca="false">IF(M369&gt;0,K369/M369,"")</f>
        <v/>
      </c>
      <c r="R369" s="57" t="str">
        <f aca="false">IF(K369&gt;0,O369/K369,"")</f>
        <v/>
      </c>
      <c r="S369" s="34" t="str">
        <f aca="false">IF(D369+E369+F369+G369&gt;0,(D369+E369)/(D369+E369+F369+G369),"")</f>
        <v/>
      </c>
      <c r="T369" s="33" t="n">
        <f aca="false">D369*(P1_PVP-P1_CPROD)+E369*(P2_PVP-P2_CPROD)-IF(ISNUMBER(I369),I369,D369*P1_LOG+E369*P2_LOG)</f>
        <v>0</v>
      </c>
      <c r="U369" s="33" t="n">
        <f aca="false">T369-(D369*P1_IVAN+E369*P2_IVAN)-(F369+G369)*(COSTE_DEV-IVA_DEV)-AH369-AJ369</f>
        <v>0</v>
      </c>
      <c r="V369" s="33" t="n">
        <f aca="false">AC369-AD369-AE369-AF369-AG369-AH369-AJ369</f>
        <v>0</v>
      </c>
      <c r="X369" s="58" t="n">
        <f aca="false">MAX(0,B369-D369-F369)</f>
        <v>0</v>
      </c>
      <c r="Y369" s="58" t="n">
        <f aca="false">MAX(0,C369-E369-G369)</f>
        <v>0</v>
      </c>
      <c r="Z369" s="59" t="n">
        <f aca="false">D369+X369*TASA_USADA</f>
        <v>0</v>
      </c>
      <c r="AA369" s="59" t="n">
        <f aca="false">E369+Y369*TASA_USADA</f>
        <v>0</v>
      </c>
      <c r="AB369" s="59" t="n">
        <f aca="false">F369+G369+(X369+Y369)*(1-TASA_USADA)</f>
        <v>0</v>
      </c>
      <c r="AC369" s="60" t="n">
        <f aca="false">Z369*P1_PVP+AA369*P2_PVP</f>
        <v>0</v>
      </c>
      <c r="AD369" s="60" t="n">
        <f aca="false">Z369*P1_CPROD+AA369*P2_CPROD</f>
        <v>0</v>
      </c>
      <c r="AE369" s="60" t="n">
        <f aca="false">IF(ISNUMBER(I369),I369,D369*P1_LOG+E369*P2_LOG)+IF(ISNUMBER(J369),J369,X369*P1_LOG+Y369*P2_LOG)*TASA_USADA</f>
        <v>0</v>
      </c>
      <c r="AF369" s="60" t="n">
        <f aca="false">AB369*COSTE_DEV</f>
        <v>0</v>
      </c>
      <c r="AG369" s="60" t="n">
        <f aca="false">Z369*P1_IVAN+AA369*P2_IVAN-AB369*IVA_DEV</f>
        <v>0</v>
      </c>
      <c r="AH369" s="60" t="n">
        <f aca="false">K369*(1+RECARGO_ADS)</f>
        <v>0</v>
      </c>
      <c r="AI369" s="58" t="n">
        <f aca="false">IF(ISNUMBER(I369),D369+E369+X369+Y369,0)</f>
        <v>0</v>
      </c>
      <c r="AJ369" s="60" t="n">
        <f aca="false">M369*COMISION</f>
        <v>0</v>
      </c>
    </row>
    <row r="370" customFormat="false" ht="15" hidden="false" customHeight="false" outlineLevel="0" collapsed="false">
      <c r="A370" s="53" t="n">
        <v>46664</v>
      </c>
      <c r="B370" s="54"/>
      <c r="C370" s="54"/>
      <c r="D370" s="54"/>
      <c r="E370" s="54"/>
      <c r="F370" s="54"/>
      <c r="G370" s="54"/>
      <c r="H370" s="54"/>
      <c r="I370" s="55"/>
      <c r="J370" s="55"/>
      <c r="K370" s="55"/>
      <c r="L370" s="56"/>
      <c r="M370" s="31" t="n">
        <f aca="false">B370+C370</f>
        <v>0</v>
      </c>
      <c r="N370" s="31" t="n">
        <f aca="false">X370+Y370</f>
        <v>0</v>
      </c>
      <c r="O370" s="32" t="n">
        <f aca="false">B370*P1_PVP+C370*P2_PVP</f>
        <v>0</v>
      </c>
      <c r="P370" s="32" t="str">
        <f aca="false">IF(M370&gt;0,O370/M370,"")</f>
        <v/>
      </c>
      <c r="Q370" s="32" t="str">
        <f aca="false">IF(M370&gt;0,K370/M370,"")</f>
        <v/>
      </c>
      <c r="R370" s="57" t="str">
        <f aca="false">IF(K370&gt;0,O370/K370,"")</f>
        <v/>
      </c>
      <c r="S370" s="34" t="str">
        <f aca="false">IF(D370+E370+F370+G370&gt;0,(D370+E370)/(D370+E370+F370+G370),"")</f>
        <v/>
      </c>
      <c r="T370" s="33" t="n">
        <f aca="false">D370*(P1_PVP-P1_CPROD)+E370*(P2_PVP-P2_CPROD)-IF(ISNUMBER(I370),I370,D370*P1_LOG+E370*P2_LOG)</f>
        <v>0</v>
      </c>
      <c r="U370" s="33" t="n">
        <f aca="false">T370-(D370*P1_IVAN+E370*P2_IVAN)-(F370+G370)*(COSTE_DEV-IVA_DEV)-AH370-AJ370</f>
        <v>0</v>
      </c>
      <c r="V370" s="33" t="n">
        <f aca="false">AC370-AD370-AE370-AF370-AG370-AH370-AJ370</f>
        <v>0</v>
      </c>
      <c r="X370" s="58" t="n">
        <f aca="false">MAX(0,B370-D370-F370)</f>
        <v>0</v>
      </c>
      <c r="Y370" s="58" t="n">
        <f aca="false">MAX(0,C370-E370-G370)</f>
        <v>0</v>
      </c>
      <c r="Z370" s="59" t="n">
        <f aca="false">D370+X370*TASA_USADA</f>
        <v>0</v>
      </c>
      <c r="AA370" s="59" t="n">
        <f aca="false">E370+Y370*TASA_USADA</f>
        <v>0</v>
      </c>
      <c r="AB370" s="59" t="n">
        <f aca="false">F370+G370+(X370+Y370)*(1-TASA_USADA)</f>
        <v>0</v>
      </c>
      <c r="AC370" s="60" t="n">
        <f aca="false">Z370*P1_PVP+AA370*P2_PVP</f>
        <v>0</v>
      </c>
      <c r="AD370" s="60" t="n">
        <f aca="false">Z370*P1_CPROD+AA370*P2_CPROD</f>
        <v>0</v>
      </c>
      <c r="AE370" s="60" t="n">
        <f aca="false">IF(ISNUMBER(I370),I370,D370*P1_LOG+E370*P2_LOG)+IF(ISNUMBER(J370),J370,X370*P1_LOG+Y370*P2_LOG)*TASA_USADA</f>
        <v>0</v>
      </c>
      <c r="AF370" s="60" t="n">
        <f aca="false">AB370*COSTE_DEV</f>
        <v>0</v>
      </c>
      <c r="AG370" s="60" t="n">
        <f aca="false">Z370*P1_IVAN+AA370*P2_IVAN-AB370*IVA_DEV</f>
        <v>0</v>
      </c>
      <c r="AH370" s="60" t="n">
        <f aca="false">K370*(1+RECARGO_ADS)</f>
        <v>0</v>
      </c>
      <c r="AI370" s="58" t="n">
        <f aca="false">IF(ISNUMBER(I370),D370+E370+X370+Y370,0)</f>
        <v>0</v>
      </c>
      <c r="AJ370" s="60" t="n">
        <f aca="false">M370*COMISION</f>
        <v>0</v>
      </c>
    </row>
  </sheetData>
  <conditionalFormatting sqref="B6:C370">
    <cfRule type="expression" priority="2" aboveAverage="0" equalAverage="0" bottom="0" percent="0" rank="0" text="" dxfId="9">
      <formula>AND($K6&gt;0,$B6="",$C6="",$A6&lt;TODAY())</formula>
    </cfRule>
  </conditionalFormatting>
  <conditionalFormatting sqref="H6:H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U6:V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102</v>
      </c>
    </row>
    <row r="3" customFormat="false" ht="15" hidden="false" customHeight="false" outlineLevel="0" collapsed="false">
      <c r="A3" s="2" t="s">
        <v>103</v>
      </c>
    </row>
    <row r="4" customFormat="false" ht="15" hidden="false" customHeight="false" outlineLevel="0" collapsed="false">
      <c r="A4" s="52" t="s">
        <v>49</v>
      </c>
      <c r="B4" s="52" t="s">
        <v>104</v>
      </c>
      <c r="C4" s="52" t="s">
        <v>105</v>
      </c>
      <c r="D4" s="52" t="s">
        <v>106</v>
      </c>
      <c r="E4" s="52" t="s">
        <v>81</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5"/>
    <col collapsed="false" customWidth="true" hidden="false" outlineLevel="0" max="5" min="5" style="0" width="72"/>
  </cols>
  <sheetData>
    <row r="1" customFormat="false" ht="19.7" hidden="false" customHeight="false" outlineLevel="0" collapsed="false">
      <c r="B1" s="1" t="s">
        <v>107</v>
      </c>
    </row>
    <row r="2" customFormat="false" ht="15" hidden="false" customHeight="false" outlineLevel="0" collapsed="false">
      <c r="B2" s="2" t="s">
        <v>108</v>
      </c>
    </row>
    <row r="4" customFormat="false" ht="15" hidden="false" customHeight="false" outlineLevel="0" collapsed="false">
      <c r="B4" s="62" t="s">
        <v>109</v>
      </c>
      <c r="C4" s="29" t="s">
        <v>110</v>
      </c>
      <c r="D4" s="29" t="s">
        <v>111</v>
      </c>
      <c r="E4" s="29" t="s">
        <v>112</v>
      </c>
    </row>
    <row r="5" customFormat="false" ht="15" hidden="false" customHeight="false" outlineLevel="0" collapsed="false">
      <c r="B5" s="63" t="s">
        <v>113</v>
      </c>
      <c r="C5" s="64" t="n">
        <v>29.99</v>
      </c>
      <c r="D5" s="64" t="n">
        <v>39.99</v>
      </c>
      <c r="E5" s="65" t="s">
        <v>114</v>
      </c>
    </row>
    <row r="6" customFormat="false" ht="15" hidden="false" customHeight="false" outlineLevel="0" collapsed="false">
      <c r="B6" s="63" t="s">
        <v>115</v>
      </c>
      <c r="C6" s="66" t="n">
        <v>1</v>
      </c>
      <c r="D6" s="66" t="n">
        <v>2</v>
      </c>
      <c r="E6" s="65" t="s">
        <v>116</v>
      </c>
    </row>
    <row r="7" customFormat="false" ht="15" hidden="false" customHeight="false" outlineLevel="0" collapsed="false">
      <c r="B7" s="63" t="s">
        <v>117</v>
      </c>
      <c r="C7" s="64" t="n">
        <v>1.99</v>
      </c>
      <c r="D7" s="64" t="n">
        <v>1.99</v>
      </c>
      <c r="E7" s="65" t="s">
        <v>118</v>
      </c>
    </row>
    <row r="8" customFormat="false" ht="22.35" hidden="false" customHeight="false" outlineLevel="0" collapsed="false">
      <c r="B8" s="63" t="s">
        <v>119</v>
      </c>
      <c r="C8" s="64" t="n">
        <v>8.06</v>
      </c>
      <c r="D8" s="64" t="n">
        <v>8.06</v>
      </c>
      <c r="E8" s="65" t="s">
        <v>120</v>
      </c>
    </row>
    <row r="9" customFormat="false" ht="15" hidden="false" customHeight="false" outlineLevel="0" collapsed="false">
      <c r="B9" s="63" t="s">
        <v>121</v>
      </c>
      <c r="C9" s="32" t="n">
        <f aca="false">C6*C7*(1+IVA_PROD)</f>
        <v>2.4079</v>
      </c>
      <c r="D9" s="32" t="n">
        <f aca="false">D6*D7*(1+IVA_PROD)</f>
        <v>4.8158</v>
      </c>
      <c r="E9" s="67" t="s">
        <v>122</v>
      </c>
    </row>
    <row r="10" customFormat="false" ht="15" hidden="false" customHeight="false" outlineLevel="0" collapsed="false">
      <c r="B10" s="63" t="s">
        <v>123</v>
      </c>
      <c r="C10" s="32" t="n">
        <f aca="false">C9+C8</f>
        <v>10.4679</v>
      </c>
      <c r="D10" s="32" t="n">
        <f aca="false">D9+D8</f>
        <v>12.8758</v>
      </c>
      <c r="E10" s="67" t="s">
        <v>124</v>
      </c>
    </row>
    <row r="11" customFormat="false" ht="15" hidden="false" customHeight="false" outlineLevel="0" collapsed="false">
      <c r="B11" s="68" t="s">
        <v>125</v>
      </c>
      <c r="C11" s="33" t="n">
        <f aca="false">C5-C10</f>
        <v>19.5221</v>
      </c>
      <c r="D11" s="33" t="n">
        <f aca="false">D5-D10</f>
        <v>27.1142</v>
      </c>
      <c r="E11" s="67" t="s">
        <v>126</v>
      </c>
    </row>
    <row r="12" customFormat="false" ht="15" hidden="false" customHeight="false" outlineLevel="0" collapsed="false">
      <c r="B12" s="63" t="s">
        <v>127</v>
      </c>
      <c r="C12" s="32" t="n">
        <f aca="false">C5*IVA_VENTAS/(1+IVA_VENTAS)</f>
        <v>5.20487603305785</v>
      </c>
      <c r="D12" s="32" t="n">
        <f aca="false">D5*IVA_VENTAS/(1+IVA_VENTAS)</f>
        <v>6.9404132231405</v>
      </c>
      <c r="E12" s="67" t="s">
        <v>128</v>
      </c>
    </row>
    <row r="13" customFormat="false" ht="15" hidden="false" customHeight="false" outlineLevel="0" collapsed="false">
      <c r="B13" s="63" t="s">
        <v>129</v>
      </c>
      <c r="C13" s="32" t="n">
        <f aca="false">C6*C7*IVA_PROD+IF(LOG_IVA=1,C8*IVA_VENTAS/(1+IVA_VENTAS),0)</f>
        <v>0.4179</v>
      </c>
      <c r="D13" s="32" t="n">
        <f aca="false">D6*D7*IVA_PROD+IF(LOG_IVA=1,D8*IVA_VENTAS/(1+IVA_VENTAS),0)</f>
        <v>0.8358</v>
      </c>
      <c r="E13" s="67" t="s">
        <v>130</v>
      </c>
    </row>
    <row r="14" customFormat="false" ht="15" hidden="false" customHeight="false" outlineLevel="0" collapsed="false">
      <c r="B14" s="63" t="s">
        <v>131</v>
      </c>
      <c r="C14" s="32" t="n">
        <f aca="false">IF(APLICA_IVA=1,C12-C13,0)</f>
        <v>4.78697603305785</v>
      </c>
      <c r="D14" s="32" t="n">
        <f aca="false">IF(APLICA_IVA=1,D12-D13,0)</f>
        <v>6.1046132231405</v>
      </c>
      <c r="E14" s="67" t="s">
        <v>132</v>
      </c>
    </row>
    <row r="15" customFormat="false" ht="15" hidden="false" customHeight="false" outlineLevel="0" collapsed="false">
      <c r="B15" s="68" t="s">
        <v>133</v>
      </c>
      <c r="C15" s="33" t="n">
        <f aca="false">C11-C14</f>
        <v>14.7351239669421</v>
      </c>
      <c r="D15" s="33" t="n">
        <f aca="false">D11-D14</f>
        <v>21.0095867768595</v>
      </c>
      <c r="E15" s="67" t="s">
        <v>134</v>
      </c>
    </row>
    <row r="17" customFormat="false" ht="15" hidden="false" customHeight="false" outlineLevel="0" collapsed="false">
      <c r="B17" s="62" t="s">
        <v>135</v>
      </c>
      <c r="C17" s="29" t="s">
        <v>136</v>
      </c>
      <c r="D17" s="29"/>
      <c r="E17" s="29" t="s">
        <v>137</v>
      </c>
    </row>
    <row r="18" customFormat="false" ht="15" hidden="false" customHeight="false" outlineLevel="0" collapsed="false">
      <c r="B18" s="63" t="s">
        <v>138</v>
      </c>
      <c r="C18" s="69" t="n">
        <v>0.21</v>
      </c>
      <c r="E18" s="65" t="s">
        <v>139</v>
      </c>
    </row>
    <row r="19" customFormat="false" ht="15" hidden="false" customHeight="false" outlineLevel="0" collapsed="false">
      <c r="B19" s="63" t="s">
        <v>140</v>
      </c>
      <c r="C19" s="69" t="n">
        <v>0.21</v>
      </c>
      <c r="E19" s="65" t="s">
        <v>141</v>
      </c>
    </row>
    <row r="20" customFormat="false" ht="22.35" hidden="false" customHeight="false" outlineLevel="0" collapsed="false">
      <c r="B20" s="63" t="s">
        <v>142</v>
      </c>
      <c r="C20" s="70" t="s">
        <v>143</v>
      </c>
      <c r="E20" s="65" t="s">
        <v>144</v>
      </c>
    </row>
    <row r="21" customFormat="false" ht="22.35" hidden="false" customHeight="false" outlineLevel="0" collapsed="false">
      <c r="B21" s="63" t="s">
        <v>145</v>
      </c>
      <c r="C21" s="70" t="s">
        <v>146</v>
      </c>
      <c r="E21" s="65" t="s">
        <v>147</v>
      </c>
    </row>
    <row r="22" customFormat="false" ht="22.35" hidden="false" customHeight="false" outlineLevel="0" collapsed="false">
      <c r="B22" s="63" t="s">
        <v>148</v>
      </c>
      <c r="C22" s="64" t="n">
        <v>8.06</v>
      </c>
      <c r="E22" s="65" t="s">
        <v>149</v>
      </c>
    </row>
    <row r="23" customFormat="false" ht="15" hidden="false" customHeight="false" outlineLevel="0" collapsed="false">
      <c r="B23" s="63" t="s">
        <v>150</v>
      </c>
      <c r="C23" s="69" t="n">
        <v>0</v>
      </c>
      <c r="E23" s="65" t="s">
        <v>151</v>
      </c>
    </row>
    <row r="24" customFormat="false" ht="15" hidden="false" customHeight="false" outlineLevel="0" collapsed="false">
      <c r="B24" s="63" t="s">
        <v>152</v>
      </c>
      <c r="C24" s="69" t="n">
        <v>0.8</v>
      </c>
      <c r="E24" s="65" t="s">
        <v>153</v>
      </c>
    </row>
    <row r="25" customFormat="false" ht="15" hidden="false" customHeight="false" outlineLevel="0" collapsed="false">
      <c r="B25" s="63" t="s">
        <v>154</v>
      </c>
      <c r="C25" s="66" t="n">
        <v>30</v>
      </c>
      <c r="E25" s="65" t="s">
        <v>155</v>
      </c>
    </row>
    <row r="26" customFormat="false" ht="15" hidden="false" customHeight="false" outlineLevel="0" collapsed="false">
      <c r="B26" s="63" t="s">
        <v>156</v>
      </c>
      <c r="C26" s="69" t="n">
        <v>0.3</v>
      </c>
      <c r="E26" s="65" t="s">
        <v>157</v>
      </c>
    </row>
    <row r="27" customFormat="false" ht="15" hidden="false" customHeight="false" outlineLevel="0" collapsed="false">
      <c r="B27" s="63" t="s">
        <v>29</v>
      </c>
      <c r="C27" s="71" t="n">
        <v>10000</v>
      </c>
      <c r="E27" s="65" t="s">
        <v>158</v>
      </c>
    </row>
    <row r="28" customFormat="false" ht="15" hidden="false" customHeight="false" outlineLevel="0" collapsed="false">
      <c r="B28" s="63" t="s">
        <v>159</v>
      </c>
      <c r="C28" s="4" t="n">
        <v>46300</v>
      </c>
      <c r="E28" s="65" t="s">
        <v>160</v>
      </c>
    </row>
    <row r="29" customFormat="false" ht="15" hidden="false" customHeight="false" outlineLevel="0" collapsed="false">
      <c r="B29" s="63" t="s">
        <v>161</v>
      </c>
      <c r="C29" s="70" t="s">
        <v>162</v>
      </c>
      <c r="E29" s="65" t="s">
        <v>163</v>
      </c>
    </row>
    <row r="30" customFormat="false" ht="15" hidden="false" customHeight="false" outlineLevel="0" collapsed="false">
      <c r="B30" s="63" t="s">
        <v>164</v>
      </c>
      <c r="C30" s="70" t="s">
        <v>165</v>
      </c>
      <c r="E30" s="65" t="s">
        <v>166</v>
      </c>
    </row>
    <row r="31" customFormat="false" ht="15" hidden="false" customHeight="false" outlineLevel="0" collapsed="false">
      <c r="B31" s="63" t="s">
        <v>167</v>
      </c>
      <c r="C31" s="64" t="n">
        <v>0.95</v>
      </c>
      <c r="E31" s="65" t="s">
        <v>168</v>
      </c>
    </row>
    <row r="32" customFormat="false" ht="19.5" hidden="false" customHeight="true" outlineLevel="0" collapsed="false">
      <c r="B32" s="62" t="s">
        <v>169</v>
      </c>
      <c r="C32" s="29" t="s">
        <v>136</v>
      </c>
      <c r="D32" s="29"/>
      <c r="E32" s="29" t="s">
        <v>170</v>
      </c>
    </row>
    <row r="33" customFormat="false" ht="15" hidden="false" customHeight="false" outlineLevel="0" collapsed="false">
      <c r="B33" s="63" t="s">
        <v>171</v>
      </c>
      <c r="C33" s="31" t="n">
        <f aca="false">IF(C20="SÍ",1,0)</f>
        <v>1</v>
      </c>
      <c r="E33" s="67"/>
    </row>
    <row r="34" customFormat="false" ht="15" hidden="false" customHeight="false" outlineLevel="0" collapsed="false">
      <c r="B34" s="63" t="s">
        <v>172</v>
      </c>
      <c r="C34" s="31" t="n">
        <f aca="false">IF(C21="SÍ",1,0)</f>
        <v>0</v>
      </c>
      <c r="E34" s="67"/>
    </row>
    <row r="35" customFormat="false" ht="15" hidden="false" customHeight="false" outlineLevel="0" collapsed="false">
      <c r="B35" s="63" t="s">
        <v>173</v>
      </c>
      <c r="C35" s="32" t="n">
        <f aca="false">IF(AND(APLICA_IVA=1,LOG_IVA=1),C22*IVA_VENTAS/(1+IVA_VENTAS),0)</f>
        <v>0</v>
      </c>
      <c r="E35" s="67"/>
    </row>
    <row r="36" customFormat="false" ht="15" hidden="false" customHeight="false" outlineLevel="0" collapsed="false">
      <c r="B36" s="63" t="s">
        <v>174</v>
      </c>
      <c r="C36" s="32" t="n">
        <f aca="false">C22-C35</f>
        <v>8.06</v>
      </c>
      <c r="E36" s="67"/>
    </row>
    <row r="37" customFormat="false" ht="15" hidden="false" customHeight="false" outlineLevel="0" collapsed="false">
      <c r="B37" s="63" t="s">
        <v>175</v>
      </c>
      <c r="C37" s="31" t="n">
        <f aca="false">(SUM(Diario!$D$6:$D$370)+SUM(Diario!$E$6:$E$370))+(SUM(Diario!$F$6:$F$370)+SUM(Diario!$G$6:$G$370))</f>
        <v>7</v>
      </c>
      <c r="E37" s="67" t="s">
        <v>176</v>
      </c>
    </row>
    <row r="38" customFormat="false" ht="15" hidden="false" customHeight="false" outlineLevel="0" collapsed="false">
      <c r="B38" s="63" t="s">
        <v>177</v>
      </c>
      <c r="C38" s="34" t="n">
        <f aca="false">IF(C37&gt;0,(SUM(Diario!$D$6:$D$370)+SUM(Diario!$E$6:$E$370))/C37,"")</f>
        <v>1</v>
      </c>
      <c r="E38" s="67" t="s">
        <v>178</v>
      </c>
    </row>
    <row r="39" customFormat="false" ht="15" hidden="false" customHeight="false" outlineLevel="0" collapsed="false">
      <c r="B39" s="63" t="s">
        <v>179</v>
      </c>
      <c r="C39" s="34" t="n">
        <f aca="false">IF(AND(C37&gt;=C25,C38&lt;&gt;""),C38,C24)</f>
        <v>0.8</v>
      </c>
      <c r="E39" s="67" t="s">
        <v>180</v>
      </c>
    </row>
    <row r="40" customFormat="false" ht="15" hidden="false" customHeight="false" outlineLevel="0" collapsed="false">
      <c r="B40" s="63" t="s">
        <v>181</v>
      </c>
      <c r="C40" s="34" t="n">
        <f aca="false">IF(SUM(Diario!$M$6:$M$370)&gt;0,SUM(Diario!$C$6:$C$370)/SUM(Diario!$M$6:$M$370),"")</f>
        <v>0.260869565217391</v>
      </c>
      <c r="E40" s="67" t="s">
        <v>182</v>
      </c>
    </row>
    <row r="41" customFormat="false" ht="15" hidden="false" customHeight="false" outlineLevel="0" collapsed="false">
      <c r="B41" s="63" t="s">
        <v>183</v>
      </c>
      <c r="C41" s="34" t="n">
        <f aca="false">IF(C40="",C26,C40)</f>
        <v>0.260869565217391</v>
      </c>
      <c r="E41" s="67"/>
    </row>
    <row r="42" customFormat="false" ht="15" hidden="false" customHeight="false" outlineLevel="0" collapsed="false">
      <c r="B42" s="63" t="s">
        <v>184</v>
      </c>
      <c r="C42" s="32" t="n">
        <f aca="false">IF(SUM(Diario!$AI$6:$AI$370)&gt;0,(SUM(Diario!$I$6:$I$370)+SUM(Diario!$J$6:$J$370))/SUM(Diario!$AI$6:$AI$370),"")</f>
        <v>7.78434782608696</v>
      </c>
      <c r="E42" s="67" t="s">
        <v>185</v>
      </c>
    </row>
    <row r="43" customFormat="false" ht="15" hidden="false" customHeight="false" outlineLevel="0" collapsed="false">
      <c r="B43" s="63" t="s">
        <v>186</v>
      </c>
      <c r="C43" s="32" t="n">
        <f aca="false">(1-C41)*C5+C41*D5</f>
        <v>32.5986956521739</v>
      </c>
      <c r="E43" s="67"/>
    </row>
    <row r="44" customFormat="false" ht="15" hidden="false" customHeight="false" outlineLevel="0" collapsed="false">
      <c r="B44" s="63" t="s">
        <v>187</v>
      </c>
      <c r="C44" s="32" t="n">
        <f aca="false">(1-C41)*(C5-C9-IF(C42="",C8,C42)-C14)+C41*(D5-D9-IF(C42="",D8,C42)-D14)</f>
        <v>16.647592526051</v>
      </c>
      <c r="E44" s="67" t="s">
        <v>188</v>
      </c>
    </row>
    <row r="45" customFormat="false" ht="15" hidden="false" customHeight="false" outlineLevel="0" collapsed="false">
      <c r="B45" s="63" t="s">
        <v>189</v>
      </c>
      <c r="C45" s="32" t="n">
        <f aca="false">C39*C44-(1-C39)*C36-COMISION</f>
        <v>10.7560740208408</v>
      </c>
      <c r="E45" s="67" t="s">
        <v>190</v>
      </c>
    </row>
    <row r="46" customFormat="false" ht="15" hidden="false" customHeight="false" outlineLevel="0" collapsed="false">
      <c r="B46" s="68" t="s">
        <v>191</v>
      </c>
      <c r="C46" s="33" t="n">
        <f aca="false">C45/(1+RECARGO_ADS)</f>
        <v>10.7560740208408</v>
      </c>
      <c r="E46" s="67" t="s">
        <v>192</v>
      </c>
    </row>
    <row r="47" customFormat="false" ht="15" hidden="false" customHeight="false" outlineLevel="0" collapsed="false">
      <c r="B47" s="68" t="s">
        <v>193</v>
      </c>
      <c r="C47" s="72" t="n">
        <f aca="false">IF(C46&gt;0,C43/C46,"")</f>
        <v>3.0307243692272</v>
      </c>
      <c r="E47" s="67" t="s">
        <v>194</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195</v>
      </c>
    </row>
    <row r="4" customFormat="false" ht="15" hidden="false" customHeight="false" outlineLevel="0" collapsed="false">
      <c r="B4" s="73" t="s">
        <v>196</v>
      </c>
    </row>
    <row r="5" customFormat="false" ht="15" hidden="false" customHeight="false" outlineLevel="0" collapsed="false">
      <c r="B5" s="74" t="s">
        <v>197</v>
      </c>
    </row>
    <row r="6" customFormat="false" ht="15" hidden="false" customHeight="false" outlineLevel="0" collapsed="false">
      <c r="B6" s="74" t="s">
        <v>198</v>
      </c>
    </row>
    <row r="7" customFormat="false" ht="15" hidden="false" customHeight="false" outlineLevel="0" collapsed="false">
      <c r="B7" s="74" t="s">
        <v>199</v>
      </c>
    </row>
    <row r="8" customFormat="false" ht="15" hidden="false" customHeight="false" outlineLevel="0" collapsed="false">
      <c r="B8" s="74" t="s">
        <v>200</v>
      </c>
    </row>
    <row r="10" customFormat="false" ht="15" hidden="false" customHeight="false" outlineLevel="0" collapsed="false">
      <c r="B10" s="73" t="s">
        <v>201</v>
      </c>
    </row>
    <row r="11" customFormat="false" ht="23.85" hidden="false" customHeight="false" outlineLevel="0" collapsed="false">
      <c r="B11" s="74" t="s">
        <v>202</v>
      </c>
    </row>
    <row r="12" customFormat="false" ht="15" hidden="false" customHeight="false" outlineLevel="0" collapsed="false">
      <c r="B12" s="74" t="s">
        <v>203</v>
      </c>
    </row>
    <row r="13" customFormat="false" ht="15" hidden="false" customHeight="false" outlineLevel="0" collapsed="false">
      <c r="B13" s="74" t="s">
        <v>204</v>
      </c>
    </row>
    <row r="15" customFormat="false" ht="15" hidden="false" customHeight="false" outlineLevel="0" collapsed="false">
      <c r="B15" s="73" t="s">
        <v>205</v>
      </c>
    </row>
    <row r="16" customFormat="false" ht="15" hidden="false" customHeight="false" outlineLevel="0" collapsed="false">
      <c r="B16" s="74" t="s">
        <v>206</v>
      </c>
    </row>
    <row r="17" customFormat="false" ht="23.85" hidden="false" customHeight="false" outlineLevel="0" collapsed="false">
      <c r="B17" s="74" t="s">
        <v>207</v>
      </c>
    </row>
    <row r="18" customFormat="false" ht="15" hidden="false" customHeight="false" outlineLevel="0" collapsed="false">
      <c r="B18" s="74" t="s">
        <v>208</v>
      </c>
    </row>
    <row r="20" customFormat="false" ht="15" hidden="false" customHeight="false" outlineLevel="0" collapsed="false">
      <c r="B20" s="73" t="s">
        <v>209</v>
      </c>
    </row>
    <row r="21" customFormat="false" ht="15" hidden="false" customHeight="false" outlineLevel="0" collapsed="false">
      <c r="B21" s="74" t="s">
        <v>210</v>
      </c>
    </row>
    <row r="22" customFormat="false" ht="23.85" hidden="false" customHeight="false" outlineLevel="0" collapsed="false">
      <c r="B22" s="74" t="s">
        <v>211</v>
      </c>
    </row>
    <row r="23" customFormat="false" ht="15" hidden="false" customHeight="false" outlineLevel="0" collapsed="false">
      <c r="B23" s="74" t="s">
        <v>212</v>
      </c>
    </row>
    <row r="25" customFormat="false" ht="15" hidden="false" customHeight="false" outlineLevel="0" collapsed="false">
      <c r="B25" s="73" t="s">
        <v>213</v>
      </c>
    </row>
    <row r="26" customFormat="false" ht="15" hidden="false" customHeight="false" outlineLevel="0" collapsed="false">
      <c r="B26" s="74" t="s">
        <v>214</v>
      </c>
    </row>
    <row r="27" customFormat="false" ht="15" hidden="false" customHeight="false" outlineLevel="0" collapsed="false">
      <c r="B27" s="74" t="s">
        <v>215</v>
      </c>
    </row>
    <row r="28" customFormat="false" ht="15" hidden="false" customHeight="false" outlineLevel="0" collapsed="false">
      <c r="B28" s="74" t="s">
        <v>216</v>
      </c>
    </row>
    <row r="30" customFormat="false" ht="15" hidden="false" customHeight="false" outlineLevel="0" collapsed="false">
      <c r="B30" s="73" t="s">
        <v>217</v>
      </c>
    </row>
    <row r="31" customFormat="false" ht="15" hidden="false" customHeight="false" outlineLevel="0" collapsed="false">
      <c r="B31" s="74" t="s">
        <v>218</v>
      </c>
    </row>
    <row r="32" customFormat="false" ht="15" hidden="false" customHeight="false" outlineLevel="0" collapsed="false">
      <c r="B32" s="74" t="s">
        <v>219</v>
      </c>
    </row>
    <row r="33" customFormat="false" ht="15" hidden="false" customHeight="false" outlineLevel="0" collapsed="false">
      <c r="B33" s="74" t="s">
        <v>220</v>
      </c>
    </row>
    <row r="34" customFormat="false" ht="23.85" hidden="false" customHeight="false" outlineLevel="0" collapsed="false">
      <c r="B34" s="74" t="s">
        <v>221</v>
      </c>
    </row>
    <row r="36" customFormat="false" ht="15" hidden="false" customHeight="false" outlineLevel="0" collapsed="false">
      <c r="B36" s="73" t="s">
        <v>222</v>
      </c>
    </row>
    <row r="37" customFormat="false" ht="15" hidden="false" customHeight="false" outlineLevel="0" collapsed="false">
      <c r="B37" s="74" t="s">
        <v>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2026-10-08T00:59:43Z</dcterms:created>
  <dc:creator>openpyxl</dc:creator>
  <dc:description/>
  <dc:language>en-US</dc:language>
  <cp:lastModifiedBy/>
  <dcterms:modified xsi:type="dcterms:W3CDTF">2026-10-08T00:59:56Z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