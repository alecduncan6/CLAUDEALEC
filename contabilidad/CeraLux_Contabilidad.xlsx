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iario" sheetId="2" state="visible" r:id="rId4"/>
    <sheet name="Gastos" sheetId="3" state="visible" r:id="rId5"/>
    <sheet name="Config" sheetId="4" state="visible" r:id="rId6"/>
    <sheet name="Guía" sheetId="5" state="visible" r:id="rId7"/>
  </sheets>
  <definedNames>
    <definedName function="false" hidden="false" name="APLICA_IVA" vbProcedure="false">Config!$C$33</definedName>
    <definedName function="false" hidden="false" name="BEN_PEDIDO" vbProcedure="false">Config!$C$45</definedName>
    <definedName function="false" hidden="false" name="CDF_INC" vbProcedure="false">Config!$C$63:$G$63</definedName>
    <definedName function="false" hidden="false" name="COMISION" vbProcedure="false">Config!$C$31</definedName>
    <definedName function="false" hidden="false" name="COSTE_DEV" vbProcedure="false">Config!$C$22</definedName>
    <definedName function="false" hidden="false" name="CPA_BE" vbProcedure="false">Config!$C$46</definedName>
    <definedName function="false" hidden="false" name="FECHA_EXPORT" vbProcedure="false">Config!$C$62</definedName>
    <definedName function="false" hidden="false" name="FECHA_INICIO" vbProcedure="false">Config!$C$28</definedName>
    <definedName function="false" hidden="false" name="FESTIVOS" vbProcedure="false">Config!$C$64:$L$64</definedName>
    <definedName function="false" hidden="false" name="IVA_DEV" vbProcedure="false">Config!$C$35</definedName>
    <definedName function="false" hidden="false" name="IVA_PROD" vbProcedure="false">Config!$C$19</definedName>
    <definedName function="false" hidden="false" name="IVA_VENTAS" vbProcedure="false">Config!$C$18</definedName>
    <definedName function="false" hidden="false" name="LOG_IVA" vbProcedure="false">Config!$C$34</definedName>
    <definedName function="false" hidden="false" name="OBJETIVO_MES" vbProcedure="false">Config!$C$27</definedName>
    <definedName function="false" hidden="false" name="P1_CPROD" vbProcedure="false">Config!$C$9</definedName>
    <definedName function="false" hidden="false" name="P1_IVAN" vbProcedure="false">Config!$C$14</definedName>
    <definedName function="false" hidden="false" name="P1_LOG" vbProcedure="false">Config!$C$8</definedName>
    <definedName function="false" hidden="false" name="P1_PVP" vbProcedure="false">Config!$C$5</definedName>
    <definedName function="false" hidden="false" name="P2_CPROD" vbProcedure="false">Config!$D$9</definedName>
    <definedName function="false" hidden="false" name="P2_IVAN" vbProcedure="false">Config!$D$14</definedName>
    <definedName function="false" hidden="false" name="P2_LOG" vbProcedure="false">Config!$D$8</definedName>
    <definedName function="false" hidden="false" name="P2_PVP" vbProcedure="false">Config!$D$5</definedName>
    <definedName function="false" hidden="false" name="P3A_CPROD" vbProcedure="false">Config!$G$9</definedName>
    <definedName function="false" hidden="false" name="P3A_IVAN" vbProcedure="false">Config!$G$14</definedName>
    <definedName function="false" hidden="false" name="P3A_PVP" vbProcedure="false">Config!$G$5</definedName>
    <definedName function="false" hidden="false" name="P3_CPROD" vbProcedure="false">Config!$E$9</definedName>
    <definedName function="false" hidden="false" name="P3_DESDE" vbProcedure="false">Config!$C$16</definedName>
    <definedName function="false" hidden="false" name="P3_IVAN" vbProcedure="false">Config!$E$14</definedName>
    <definedName function="false" hidden="false" name="P3_LOG" vbProcedure="false">Config!$E$8</definedName>
    <definedName function="false" hidden="false" name="P3_PVP" vbProcedure="false">Config!$E$5</definedName>
    <definedName function="false" hidden="false" name="Q_INC" vbProcedure="false">Config!$C$61</definedName>
    <definedName function="false" hidden="false" name="RECARGO_ADS" vbProcedure="false">Config!$C$23</definedName>
    <definedName function="false" hidden="false" name="ROAS_BE" vbProcedure="false">Config!$C$47</definedName>
    <definedName function="false" hidden="false" name="TASA_BE" vbProcedure="false">Config!$C$58</definedName>
    <definedName function="false" hidden="false" name="TASA_INC" vbProcedure="false">Config!$C$54</definedName>
    <definedName function="false" hidden="false" name="TASA_USADA" vbProcedure="false">Config!$C$39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Escribe una fecha para fijar el periodo. Por defecto: día 1 del mes actual.</t>
        </r>
      </text>
    </comment>
    <comment ref="F3" authorId="0">
      <text>
        <r>
          <rPr>
            <sz val="10"/>
            <rFont val="Arial"/>
            <family val="2"/>
          </rPr>
          <t xml:space="preserve">Por defecto: hoy.</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K5" authorId="0">
      <text>
        <r>
          <rPr>
            <sz val="10"/>
            <rFont val="Arial"/>
            <family val="2"/>
          </rPr>
          <t xml:space="preserve">Pedidos en INCIDENCIA (p. ej. destinatario ausente). Siguen pendientes: no son venta perdida hasta que el almacén los marca como Devuelto.</t>
        </r>
      </text>
    </comment>
    <comment ref="L5" authorId="0">
      <text>
        <r>
          <rPr>
            <sz val="10"/>
            <rFont val="Arial"/>
            <family val="2"/>
          </rPr>
          <t xml:space="preserve">Suma del 'Coste de envío (sin IVA)' real de los pedidos entregados. Vacío = se usa la tarifa estándar de Config.</t>
        </r>
      </text>
    </comment>
    <comment ref="M5" authorId="0">
      <text>
        <r>
          <rPr>
            <sz val="10"/>
            <rFont val="Arial"/>
            <family val="2"/>
          </rPr>
          <t xml:space="preserve">Suma del envío real de los pedidos pendientes (preparado, en ruta, incidencia).</t>
        </r>
      </text>
    </comment>
    <comment ref="N5" authorId="0">
      <text>
        <r>
          <rPr>
            <sz val="10"/>
            <rFont val="Arial"/>
            <family val="2"/>
          </rPr>
          <t xml:space="preserve">Lo trae Claude del conector de Meta Ads (cuenta HeatioShop, campañas 'CeraLux').</t>
        </r>
      </text>
    </comment>
    <comment ref="W5" authorId="0">
      <text>
        <r>
          <rPr>
            <sz val="10"/>
            <rFont val="Arial"/>
            <family val="2"/>
          </rPr>
          <t xml:space="preserve">Lo que te liquida el almacén por lo entregado: PVP − coste total del pedido. Debe cuadrar con su panel.</t>
        </r>
      </text>
    </comment>
    <comment ref="X5" authorId="0">
      <text>
        <r>
          <rPr>
            <sz val="10"/>
            <rFont val="Arial"/>
            <family val="2"/>
          </rPr>
          <t xml:space="preserve">Dinero ya ganado: liquidación − IVA − devoluciones − Ads − comisión del almacén. Los días recientes salen negativos porque aún hay pedidos pendientes.</t>
        </r>
      </text>
    </comment>
    <comment ref="Y5" authorId="0">
      <text>
        <r>
          <rPr>
            <sz val="10"/>
            <rFont val="Arial"/>
            <family val="2"/>
          </rPr>
          <t xml:space="preserve">Lo que dejará el día cuando se resuelvan los pendientes, con la tasa de Config: los normales a la de sin incidencia y las incidencias a la suya.</t>
        </r>
      </text>
    </comment>
  </commentList>
</comments>
</file>

<file path=xl/sharedStrings.xml><?xml version="1.0" encoding="utf-8"?>
<sst xmlns="http://schemas.openxmlformats.org/spreadsheetml/2006/main" count="281" uniqueCount="262">
  <si>
    <t xml:space="preserve">CeraLux · Dashboard de rentabilidad</t>
  </si>
  <si>
    <t xml:space="preserve">Spray reparación de arañazos 120ml · contra reembolso · Ads: Meta (HeatioShop)</t>
  </si>
  <si>
    <t xml:space="preserve">Desde</t>
  </si>
  <si>
    <t xml:space="preserve">Hasta</t>
  </si>
  <si>
    <t xml:space="preserve">Días</t>
  </si>
  <si>
    <t xml:space="preserve">Tasa entrega esperada</t>
  </si>
  <si>
    <t xml:space="preserve">RESUMEN DEL PERIODO</t>
  </si>
  <si>
    <t xml:space="preserve">BENEFICIO NETO PROYECTADO</t>
  </si>
  <si>
    <t xml:space="preserve">LIQUIDACIÓN ALMACÉN</t>
  </si>
  <si>
    <t xml:space="preserve">BENEFICIO COBRADO (REAL)</t>
  </si>
  <si>
    <t xml:space="preserve">PEDIDOS</t>
  </si>
  <si>
    <t xml:space="preserve">FACTURACIÓN BRUTA</t>
  </si>
  <si>
    <t xml:space="preserve">GASTO ADS</t>
  </si>
  <si>
    <t xml:space="preserve">CPA (COSTE POR PEDIDO)</t>
  </si>
  <si>
    <t xml:space="preserve">CPA BREAK-EVEN</t>
  </si>
  <si>
    <t xml:space="preserve">ROAS</t>
  </si>
  <si>
    <t xml:space="preserve">ROAS BREAK-EVEN</t>
  </si>
  <si>
    <t xml:space="preserve">TICKET MEDIO</t>
  </si>
  <si>
    <t xml:space="preserve">% PACK 2 O PACK 3</t>
  </si>
  <si>
    <t xml:space="preserve">ENTREGADOS</t>
  </si>
  <si>
    <t xml:space="preserve">PENDIENTES</t>
  </si>
  <si>
    <t xml:space="preserve">EN INCIDENCIA</t>
  </si>
  <si>
    <t xml:space="preserve">DEVUELTOS</t>
  </si>
  <si>
    <t xml:space="preserve">TASA DE ENTREGA</t>
  </si>
  <si>
    <t xml:space="preserve">SEMÁFORO CAMPAÑA</t>
  </si>
  <si>
    <t xml:space="preserve">CUENTA DE RESULTADOS (proyectada)</t>
  </si>
  <si>
    <t xml:space="preserve">CAMINO A 10.000 €/MES</t>
  </si>
  <si>
    <t xml:space="preserve">Ventas esperadas (IVA incl.)</t>
  </si>
  <si>
    <t xml:space="preserve">% ventas</t>
  </si>
  <si>
    <t xml:space="preserve">Objetivo de beneficio neto mensual</t>
  </si>
  <si>
    <t xml:space="preserve">− Coste de producto</t>
  </si>
  <si>
    <t xml:space="preserve">Beneficio neto por día (periodo)</t>
  </si>
  <si>
    <t xml:space="preserve">− Envíos</t>
  </si>
  <si>
    <t xml:space="preserve">Ritmo a 30 días</t>
  </si>
  <si>
    <t xml:space="preserve">− Devoluciones</t>
  </si>
  <si>
    <t xml:space="preserve">% del objetivo</t>
  </si>
  <si>
    <t xml:space="preserve">− Comisión almacén (0,95 €/pedido)</t>
  </si>
  <si>
    <t xml:space="preserve">Beneficio esperado por pedido (antes de Ads)</t>
  </si>
  <si>
    <t xml:space="preserve">− IVA a liquidar (neto)</t>
  </si>
  <si>
    <t xml:space="preserve">CPA actual</t>
  </si>
  <si>
    <t xml:space="preserve">− Publicidad Meta</t>
  </si>
  <si>
    <t xml:space="preserve">Margen por pedido después de Ads</t>
  </si>
  <si>
    <t xml:space="preserve">Beneficio de campaña</t>
  </si>
  <si>
    <t xml:space="preserve">Pedidos/día necesarios para el objetivo</t>
  </si>
  <si>
    <t xml:space="preserve">− Otros gastos</t>
  </si>
  <si>
    <t xml:space="preserve">Inversión diaria en Ads a ese CPA</t>
  </si>
  <si>
    <t xml:space="preserve">BENEFICIO NETO</t>
  </si>
  <si>
    <t xml:space="preserve">Margen neto sobre ventas</t>
  </si>
  <si>
    <t xml:space="preserve">ÚLTIMOS 14 DÍAS (hasta la fecha 'Hasta')</t>
  </si>
  <si>
    <t xml:space="preserve">Fecha</t>
  </si>
  <si>
    <t xml:space="preserve">Pedidos</t>
  </si>
  <si>
    <t xml:space="preserve">Gasto Ads</t>
  </si>
  <si>
    <t xml:space="preserve">CPA</t>
  </si>
  <si>
    <t xml:space="preserve">Beneficio proyectado</t>
  </si>
  <si>
    <t xml:space="preserve">Tasa entrega</t>
  </si>
  <si>
    <t xml:space="preserve">RESUMEN MENSUAL</t>
  </si>
  <si>
    <t xml:space="preserve">Mes</t>
  </si>
  <si>
    <t xml:space="preserve">Facturación bruta</t>
  </si>
  <si>
    <t xml:space="preserve">Entregados</t>
  </si>
  <si>
    <t xml:space="preserve">Devueltos</t>
  </si>
  <si>
    <t xml:space="preserve">Beneficio campaña</t>
  </si>
  <si>
    <t xml:space="preserve">Otros gastos</t>
  </si>
  <si>
    <t xml:space="preserve">Beneficio neto</t>
  </si>
  <si>
    <t xml:space="preserve">% objetivo</t>
  </si>
  <si>
    <t xml:space="preserve">Objetivo</t>
  </si>
  <si>
    <t xml:space="preserve">TOTAL</t>
  </si>
  <si>
    <t xml:space="preserve">Diario de pedidos</t>
  </si>
  <si>
    <t xml:space="preserve">Una fila por día de PEDIDO. Lo amarillo se rellena (lo hace Claude con el export del almacén). Pendientes = preparados + en ruta + incidencias; una incidencia no es venta perdida hasta que pasa a Devuelto.</t>
  </si>
  <si>
    <t xml:space="preserve">Ejemplo: el 05/10 entran 5 Pack 1, 4 Pack 2 y 1 Pack 3 → B=5, C=4, D=1. Luego se entregan 3 Pack 1 y 1 Pack 2 → E=3, F=1. 3 de los pendientes están en incidencia → K=3.</t>
  </si>
  <si>
    <t xml:space="preserve">Cálculos auxiliares (no tocar) →</t>
  </si>
  <si>
    <t xml:space="preserve">Fecha del pedido</t>
  </si>
  <si>
    <t xml:space="preserve">Pedidos Pack 1</t>
  </si>
  <si>
    <t xml:space="preserve">Pedidos Pack 2</t>
  </si>
  <si>
    <t xml:space="preserve">Pedidos Pack 3</t>
  </si>
  <si>
    <t xml:space="preserve">Entregados Pack 1</t>
  </si>
  <si>
    <t xml:space="preserve">Entregados Pack 2</t>
  </si>
  <si>
    <t xml:space="preserve">Entregados Pack 3</t>
  </si>
  <si>
    <t xml:space="preserve">Devueltos Pack 1</t>
  </si>
  <si>
    <t xml:space="preserve">Devueltos Pack 2</t>
  </si>
  <si>
    <t xml:space="preserve">Devueltos Pack 3</t>
  </si>
  <si>
    <t xml:space="preserve">Incidencias (pendientes)</t>
  </si>
  <si>
    <t xml:space="preserve">Envío real entregados (€)</t>
  </si>
  <si>
    <t xml:space="preserve">Envío real pendientes (€)</t>
  </si>
  <si>
    <t xml:space="preserve">Gasto Ads Meta (€)</t>
  </si>
  <si>
    <t xml:space="preserve">Notas</t>
  </si>
  <si>
    <t xml:space="preserve">Pedidos totales</t>
  </si>
  <si>
    <t xml:space="preserve">Pendientes</t>
  </si>
  <si>
    <t xml:space="preserve">Ticket medio</t>
  </si>
  <si>
    <t xml:space="preserve">Tasa de entrega</t>
  </si>
  <si>
    <t xml:space="preserve">Liquidación almacén (entregados)</t>
  </si>
  <si>
    <t xml:space="preserve">Beneficio cobrado (real)</t>
  </si>
  <si>
    <t xml:space="preserve">Pendientes Pack 1</t>
  </si>
  <si>
    <t xml:space="preserve">Pendientes Pack 2</t>
  </si>
  <si>
    <t xml:space="preserve">Pendientes Pack 3</t>
  </si>
  <si>
    <t xml:space="preserve">Entregados proy. P1</t>
  </si>
  <si>
    <t xml:space="preserve">Entregados proy. P2</t>
  </si>
  <si>
    <t xml:space="preserve">Entregados proy. P3</t>
  </si>
  <si>
    <t xml:space="preserve">Devueltos proy.</t>
  </si>
  <si>
    <t xml:space="preserve">Ventas proy. (IVA incl.)</t>
  </si>
  <si>
    <t xml:space="preserve">Coste producto proy.</t>
  </si>
  <si>
    <t xml:space="preserve">Envíos proy.</t>
  </si>
  <si>
    <t xml:space="preserve">Devoluciones proy.</t>
  </si>
  <si>
    <t xml:space="preserve">IVA neto proy.</t>
  </si>
  <si>
    <t xml:space="preserve">Ads total (con recargo)</t>
  </si>
  <si>
    <t xml:space="preserve">Pedidos con envío real</t>
  </si>
  <si>
    <t xml:space="preserve">Comisión almacén</t>
  </si>
  <si>
    <t xml:space="preserve">Pendientes en incidencia</t>
  </si>
  <si>
    <t xml:space="preserve">Tasa de entrega de sus pendientes</t>
  </si>
  <si>
    <t xml:space="preserve">Días laborables desde el pedido</t>
  </si>
  <si>
    <t xml:space="preserve">Incidencias ya visibles</t>
  </si>
  <si>
    <t xml:space="preserve">Tasa de sus pendientes sin incidencia</t>
  </si>
  <si>
    <t xml:space="preserve">Arranca campaña CeraLux ES - Test 3 ángulos</t>
  </si>
  <si>
    <t xml:space="preserve">Primer rehusado: #1184 (pack 2, 39,99 €) rechazado en la puerta</t>
  </si>
  <si>
    <t xml:space="preserve">Todo lo que no es producto, envío ni Ads: Shopify, apps, dominio, muestras, gestoría...</t>
  </si>
  <si>
    <t xml:space="preserve">Ejemplo de fila: 01/10/2026 | Shopify Basic | Suscripciones | 36,00 € | mensual</t>
  </si>
  <si>
    <t xml:space="preserve">Concepto</t>
  </si>
  <si>
    <t xml:space="preserve">Categoría</t>
  </si>
  <si>
    <t xml:space="preserve">Importe (€)</t>
  </si>
  <si>
    <t xml:space="preserve">Configuración · CeraLux</t>
  </si>
  <si>
    <t xml:space="preserve">Celdas azules con fondo amarillo = editables. Todo lo demás se calcula solo.</t>
  </si>
  <si>
    <t xml:space="preserve">Unit economics por pack</t>
  </si>
  <si>
    <t xml:space="preserve">Pack 1 ud</t>
  </si>
  <si>
    <t xml:space="preserve">Pack 2 uds</t>
  </si>
  <si>
    <t xml:space="preserve">Pack 3 + aspirador</t>
  </si>
  <si>
    <t xml:space="preserve">De dónde sale</t>
  </si>
  <si>
    <t xml:space="preserve">Pack 3 antes</t>
  </si>
  <si>
    <t xml:space="preserve">PVP contra reembolso (IVA incl.)</t>
  </si>
  <si>
    <t xml:space="preserve">Importe que cobra el repartidor. Dato de Alec.</t>
  </si>
  <si>
    <t xml:space="preserve">Unidades en el pack</t>
  </si>
  <si>
    <t xml:space="preserve">Dato de Alec.</t>
  </si>
  <si>
    <t xml:space="preserve">Coste producto por unidad (sin IVA)</t>
  </si>
  <si>
    <t xml:space="preserve">Export del almacén: 1,99 € por spray (sin IVA). Pack 3 desde el 15/10: (3 × 1,99 + aspirador 4,19) / 3.</t>
  </si>
  <si>
    <t xml:space="preserve">Coste de envío estándar (sin IVA)</t>
  </si>
  <si>
    <t xml:space="preserve">Envío medio que te cobra Dropi al confirmar (7,55 € según la cartera). Si el día tiene envío real del export, se usa el real (6,75-8,06 €).</t>
  </si>
  <si>
    <t xml:space="preserve">Coste producto (IVA incl.)</t>
  </si>
  <si>
    <t xml:space="preserve">Uds × coste × (1 + IVA producto).</t>
  </si>
  <si>
    <t xml:space="preserve">Coste total del pedido</t>
  </si>
  <si>
    <t xml:space="preserve">Cuadra con 'Coste total pedido' del almacén: 10,47 €, 12,88 € y 20,35 € (Pack 3 + aspirador; 15,28 € el de antes).</t>
  </si>
  <si>
    <t xml:space="preserve">Beneficio dropshipper por pedido ENTREGADO</t>
  </si>
  <si>
    <t xml:space="preserve">Lo que te liquida el almacén: 19,52 €, 27,11 € y 39,64 € (34,71 € el Pack 3 de antes).</t>
  </si>
  <si>
    <t xml:space="preserve">IVA repercutido (dentro del PVP)</t>
  </si>
  <si>
    <t xml:space="preserve">PVP × 21/121.</t>
  </si>
  <si>
    <t xml:space="preserve">IVA soportado deducible</t>
  </si>
  <si>
    <t xml:space="preserve">IVA del producto (+ IVA del envío solo si en Parámetros dices que lo lleva).</t>
  </si>
  <si>
    <t xml:space="preserve">IVA neto a pagar por pedido entregado</t>
  </si>
  <si>
    <t xml:space="preserve">0 si en Parámetros pones NO al IVA.</t>
  </si>
  <si>
    <t xml:space="preserve">Beneficio neto por pedido entregado (antes de Ads)</t>
  </si>
  <si>
    <t xml:space="preserve">Lo que te queda de verdad por cada entrega.</t>
  </si>
  <si>
    <t xml:space="preserve">Pack 3 actual vigente desde (antes: columna G)</t>
  </si>
  <si>
    <t xml:space="preserve">Parámetros</t>
  </si>
  <si>
    <t xml:space="preserve">Valor</t>
  </si>
  <si>
    <t xml:space="preserve">Qué significa</t>
  </si>
  <si>
    <t xml:space="preserve">IVA de las ventas</t>
  </si>
  <si>
    <t xml:space="preserve">IVA general en España.</t>
  </si>
  <si>
    <t xml:space="preserve">IVA del producto (lo aplica el almacén)</t>
  </si>
  <si>
    <t xml:space="preserve">Coste producto × 1,21 en el export.</t>
  </si>
  <si>
    <t xml:space="preserve">¿Descontar el IVA del beneficio?</t>
  </si>
  <si>
    <t xml:space="preserve">NO</t>
  </si>
  <si>
    <t xml:space="preserve">SÍ si facturas como autónomo o SL (Hacienda se queda ~4,8 € por Pack 1 entregado). NO solo para ver el bruto.</t>
  </si>
  <si>
    <t xml:space="preserve">¿El envío lleva IVA deducible?</t>
  </si>
  <si>
    <t xml:space="preserve">NO: el export dice 'Coste de envío (SIN IVA)' y el coste total no le suma IVA, así que no hay IVA que deducir.</t>
  </si>
  <si>
    <t xml:space="preserve">Coste por pedido devuelto</t>
  </si>
  <si>
    <t xml:space="preserve">El envío que ya pagaste al confirmar (7,55 € de media): la vuelta no se cobra aparte y el producto vuelve.</t>
  </si>
  <si>
    <t xml:space="preserve">Recargo sobre el gasto en Ads</t>
  </si>
  <si>
    <t xml:space="preserve">0% si Meta factura sin IVA (alta en ROI) o lo deduces. 21% si te cobran IVA y no lo recuperas.</t>
  </si>
  <si>
    <t xml:space="preserve">Tasa de entrega estimada (pedidos sin incidencia)</t>
  </si>
  <si>
    <t xml:space="preserve">Para proyectar los pendientes normales mientras no tengas datos propios.</t>
  </si>
  <si>
    <t xml:space="preserve">Pedidos resueltos para usar tu tasa real</t>
  </si>
  <si>
    <t xml:space="preserve">Con estos entregados + devueltos SIN incidencia, el libro pasa a usar tu tasa real.</t>
  </si>
  <si>
    <t xml:space="preserve">% de Pack 2 (C) y de Pack 3 (D) estimado, sin datos</t>
  </si>
  <si>
    <t xml:space="preserve">Solo se usa hasta que haya pedidos.</t>
  </si>
  <si>
    <t xml:space="preserve">La meta: 10.000 €/mes.</t>
  </si>
  <si>
    <t xml:space="preserve">Fecha de inicio</t>
  </si>
  <si>
    <t xml:space="preserve">Primer día del Diario y del resumen mensual.</t>
  </si>
  <si>
    <t xml:space="preserve">Cuenta publicitaria Meta</t>
  </si>
  <si>
    <t xml:space="preserve">HeatioShop (26290722800581380)</t>
  </si>
  <si>
    <t xml:space="preserve">De aquí sale el gasto en Ads (conector de Meta).</t>
  </si>
  <si>
    <t xml:space="preserve">Filtro de campañas</t>
  </si>
  <si>
    <t xml:space="preserve">CeraLux</t>
  </si>
  <si>
    <t xml:space="preserve">Solo cuenta campañas cuyo nombre contiene este texto.</t>
  </si>
  <si>
    <t xml:space="preserve">Comisión del almacén por pedido confirmado</t>
  </si>
  <si>
    <t xml:space="preserve">Dropi cobra 0,95 € por cada pedido confirmado, se entregue o se devuelva.</t>
  </si>
  <si>
    <t xml:space="preserve">Calculado con tus datos</t>
  </si>
  <si>
    <t xml:space="preserve">Cómo se calcula</t>
  </si>
  <si>
    <t xml:space="preserve">IVA aplicado (1 = sí)</t>
  </si>
  <si>
    <t xml:space="preserve">Envío con IVA deducible (1 = sí)</t>
  </si>
  <si>
    <t xml:space="preserve">IVA recuperable por devolución</t>
  </si>
  <si>
    <t xml:space="preserve">Coste neto por devolución</t>
  </si>
  <si>
    <t xml:space="preserve">Pedidos resueltos (entregados + devueltos)</t>
  </si>
  <si>
    <t xml:space="preserve">Histórico.</t>
  </si>
  <si>
    <t xml:space="preserve">Tasa de entrega real</t>
  </si>
  <si>
    <t xml:space="preserve">Entregados ÷ (entregados + devueltos).</t>
  </si>
  <si>
    <t xml:space="preserve">Tasa de entrega USADA (pendientes sin incidencia)</t>
  </si>
  <si>
    <t xml:space="preserve">La real sin incidencias si hay suficientes resueltos; si no, la estimada. Las incidencias van con la suya (C54).</t>
  </si>
  <si>
    <t xml:space="preserve">% de Pack 2 (C) y de Pack 3 (D) real</t>
  </si>
  <si>
    <t xml:space="preserve">Upsell real.</t>
  </si>
  <si>
    <t xml:space="preserve">% de Pack 2 (C) y de Pack 3 (D) usado</t>
  </si>
  <si>
    <t xml:space="preserve">Envío medio real por pedido (sin IVA)</t>
  </si>
  <si>
    <t xml:space="preserve">Media de los envíos reales del export del almacén.</t>
  </si>
  <si>
    <t xml:space="preserve">Ticket medio esperado</t>
  </si>
  <si>
    <t xml:space="preserve">Beneficio neto medio por pedido entregado</t>
  </si>
  <si>
    <t xml:space="preserve">Mezcla de packs, con tu envío medio real.</t>
  </si>
  <si>
    <t xml:space="preserve">Beneficio esperado por pedido confirmado (antes de Ads)</t>
  </si>
  <si>
    <t xml:space="preserve">Tasa final esperada (C58) × beneficio por entrega − (1 − tasa) × coste de devolución − comisión del almacén.</t>
  </si>
  <si>
    <t xml:space="preserve">CPA break-even (máximo que puedes pagar por pedido)</t>
  </si>
  <si>
    <t xml:space="preserve">Por encima de este CPA pierdes dinero.</t>
  </si>
  <si>
    <t xml:space="preserve">ROAS break-even</t>
  </si>
  <si>
    <t xml:space="preserve">Facturación bruta ÷ Ads mínima para no perder.</t>
  </si>
  <si>
    <t xml:space="preserve">Incidencias (tablero del equipo)</t>
  </si>
  <si>
    <t xml:space="preserve">Tasa de entrega estimada de las incidencias</t>
  </si>
  <si>
    <t xml:space="preserve">Punto de partida (35%). Se va corrigiendo con las incidencias que el equipo cierra.</t>
  </si>
  <si>
    <t xml:space="preserve">Peso de la estimación (en incidencias)</t>
  </si>
  <si>
    <t xml:space="preserve">La estimación cuenta como 10 incidencias: con pocas cerradas manda ella, con muchas manda lo real.</t>
  </si>
  <si>
    <t xml:space="preserve">Incidencias cerradas (entregadas + devueltas)</t>
  </si>
  <si>
    <t xml:space="preserve">Del tablero de Incidencias del dashboard (lo rellena Claude al regenerar).</t>
  </si>
  <si>
    <t xml:space="preserve">… de ellas entregadas</t>
  </si>
  <si>
    <t xml:space="preserve">Tasa de entrega USADA para incidencias</t>
  </si>
  <si>
    <t xml:space="preserve">(entregadas + estimada × peso) ÷ (cerradas + peso).</t>
  </si>
  <si>
    <t xml:space="preserve">Tasa de entrega real sin incidencias</t>
  </si>
  <si>
    <t xml:space="preserve">(Entregados − incidencias entregadas) ÷ (resueltos − incidencias cerradas).</t>
  </si>
  <si>
    <t xml:space="preserve">Pendientes ahora</t>
  </si>
  <si>
    <t xml:space="preserve">… de ellos en incidencia</t>
  </si>
  <si>
    <t xml:space="preserve">Tasa final esperada (la del break-even)</t>
  </si>
  <si>
    <t xml:space="preserve">(Entregados + pendientes × su tasa) ÷ todo lo enviado. Es la que manda en el CPA break-even.</t>
  </si>
  <si>
    <t xml:space="preserve">Pedidos recientes</t>
  </si>
  <si>
    <t xml:space="preserve">% de pedidos que acaban en incidencia</t>
  </si>
  <si>
    <t xml:space="preserve">Incidencias del tablero ÷ pedidos (corrigiendo los días recientes). Lo rellena Claude al regenerar.</t>
  </si>
  <si>
    <t xml:space="preserve">Fecha del último Excel del almacén</t>
  </si>
  <si>
    <t xml:space="preserve">La edad de cada pedido se cuenta hasta aquí.</t>
  </si>
  <si>
    <t xml:space="preserve">Incidencias ya visibles a 0 / 1 / 2 / 3 / 4 días laborables</t>
  </si>
  <si>
    <t xml:space="preserve">Festivos nacionales (sin entregas ni abonos)</t>
  </si>
  <si>
    <t xml:space="preserve">Tasa de entrega de un pedido nuevo</t>
  </si>
  <si>
    <t xml:space="preserve">(1 − % incidencia) × tasa sin incidencia + % incidencia × tasa de incidencias.</t>
  </si>
  <si>
    <t xml:space="preserve">Cómo usar este libro</t>
  </si>
  <si>
    <t xml:space="preserve">Hojas</t>
  </si>
  <si>
    <t xml:space="preserve">Dashboard: tus números del periodo que elijas (celdas Desde / Hasta). Todo se calcula solo.</t>
  </si>
  <si>
    <t xml:space="preserve">Diario: una fila por día de pedido, con pedidos y estados de cada pack.</t>
  </si>
  <si>
    <t xml:space="preserve">Gastos: Shopify, apps, muestras, gestoría... todo lo que no es producto, envío ni Ads.</t>
  </si>
  <si>
    <t xml:space="preserve">Config: precios, costes de tus 3 packs y supuestos. Si el almacén cambia tarifas, se cambia aquí.</t>
  </si>
  <si>
    <t xml:space="preserve">Rutina diaria (2 minutos)</t>
  </si>
  <si>
    <t xml:space="preserve">1. Descarga el Excel de pedidos del almacén y pásaselo a Claude. Lo importa entero: pedidos por pack, estados, incidencias y coste de envío real. Sin datos personales: solo totales por día.</t>
  </si>
  <si>
    <t xml:space="preserve">2. Si no tienes el export a mano, basta con decir "hoy 9 Pack 1, 4 Pack 2 y 1 Pack 3" o apuntarlo en el dashboard web.</t>
  </si>
  <si>
    <t xml:space="preserve">3. El gasto de Meta Ads lo trae Claude del conector (y el dashboard web lo lee en directo).</t>
  </si>
  <si>
    <t xml:space="preserve">Estados del almacén</t>
  </si>
  <si>
    <t xml:space="preserve">Preparado, En ruta e Incidencia = pendientes. Una incidencia NO es venta perdida hasta que pasa a Devuelto.</t>
  </si>
  <si>
    <t xml:space="preserve">Entregado = cobrado. Devuelto = coste de devolución. Rechazado y carritos abandonados no cuentan como pedido. Los pedidos de test se excluyen.</t>
  </si>
  <si>
    <t xml:space="preserve">Por qué por fecha de pedido: así el gasto de Ads de un día se compara con lo que esos pedidos acaban dejando.</t>
  </si>
  <si>
    <t xml:space="preserve">Los tres beneficios</t>
  </si>
  <si>
    <t xml:space="preserve">Liquidación almacén: PVP − coste total del pedido de lo ya entregado. Es lo que te paga el almacén y cuadra con su panel.</t>
  </si>
  <si>
    <t xml:space="preserve">Beneficio cobrado (real): liquidación − IVA − devoluciones − Ads. Es caja. Los días recientes salen en negativo porque los pedidos aún están pendientes.</t>
  </si>
  <si>
    <t xml:space="preserve">Beneficio proyectado: lo mismo, suponiendo que los pendientes normales se entregan a tu tasa sin incidencia y los que están en incidencia a la de incidencias (Config, filas 49-58). Es el número para decidir si escalar o cortar.</t>
  </si>
  <si>
    <t xml:space="preserve">Semáforo de campaña (CPA = gasto en Ads ÷ pedidos confirmados)</t>
  </si>
  <si>
    <t xml:space="preserve">ESCALAR: CPA ≤ 75% del CPA break-even. Hay margen de sobra: sube presupuesto un 20-30% cada 48 h.</t>
  </si>
  <si>
    <t xml:space="preserve">VIGILAR: CPA entre el 75% y el 100% del break-even. Ganas poco: prueba creatividades nuevas antes de escalar.</t>
  </si>
  <si>
    <t xml:space="preserve">CORTAR: CPA por encima del break-even. Cada pedido te cuesta dinero: apaga o cambia el ángulo.</t>
  </si>
  <si>
    <t xml:space="preserve">Supuestos que debes confirmar (Config)</t>
  </si>
  <si>
    <t xml:space="preserve">• Coste de un pedido devuelto = el envío que ya pagaste (7,55 € de media según la cartera de Dropi).</t>
  </si>
  <si>
    <t xml:space="preserve">• El envío no lleva IVA deducible (el export lo da 'sin IVA' y no le suma IVA al coste total).</t>
  </si>
  <si>
    <t xml:space="preserve">• Meta te factura sin IVA (alta en ROI). Si no, pon 21% en 'Recargo sobre el gasto en Ads'.</t>
  </si>
  <si>
    <t xml:space="preserve">• El IVA se descuenta del beneficio (SÍ). Si aún no facturas con IVA, ponlo en NO para ver el bruto, pero ese IVA te lo reclamará Hacienda cuando te des de alta.</t>
  </si>
  <si>
    <t xml:space="preserve">Colores</t>
  </si>
  <si>
    <t xml:space="preserve">Azul sobre amarillo = dato que escribes tú. Negro = fórmula. Verde = viene de otra hoja.</t>
  </si>
</sst>
</file>

<file path=xl/styles.xml><?xml version="1.0" encoding="utf-8"?>
<styleSheet xmlns="http://schemas.openxmlformats.org/spreadsheetml/2006/main">
  <numFmts count="12">
    <numFmt numFmtId="164" formatCode="General"/>
    <numFmt numFmtId="165" formatCode="dd/mm/yyyy"/>
    <numFmt numFmtId="166" formatCode="#,##0;[RED]\-#,##0;\-"/>
    <numFmt numFmtId="167" formatCode="0.0%;[RED]\-0.0%;\-"/>
    <numFmt numFmtId="168" formatCode="#,##0.00&quot; €&quot;;[RED]\-#,##0.00&quot; €&quot;;\-"/>
    <numFmt numFmtId="169" formatCode="0.00\x;[RED]\-0.00\x;\-"/>
    <numFmt numFmtId="170" formatCode="#,##0&quot; €&quot;;[RED]\-#,##0&quot; €&quot;;\-"/>
    <numFmt numFmtId="171" formatCode="0.0%;\-0.0%;\-"/>
    <numFmt numFmtId="172" formatCode="ddd\ dd/mm"/>
    <numFmt numFmtId="173" formatCode="mmm\ yyyy"/>
    <numFmt numFmtId="174" formatCode="#,##0&quot; €&quot;"/>
    <numFmt numFmtId="175" formatCode="0.0;\-0.0;\-"/>
  </numFmts>
  <fonts count="24">
    <font>
      <sz val="11"/>
      <color theme="1"/>
      <name val="Calibri"/>
      <family val="2"/>
      <charset val="1"/>
    </font>
    <font>
      <sz val="10"/>
      <name val="Arial"/>
      <family val="0"/>
    </font>
    <font>
      <sz val="10"/>
      <name val="Arial"/>
      <family val="0"/>
    </font>
    <font>
      <sz val="10"/>
      <name val="Arial"/>
      <family val="0"/>
    </font>
    <font>
      <b val="true"/>
      <sz val="16"/>
      <color rgb="FF1B2537"/>
      <name val="Arial"/>
      <family val="0"/>
      <charset val="1"/>
    </font>
    <font>
      <i val="true"/>
      <sz val="9"/>
      <color rgb="FF6B7686"/>
      <name val="Arial"/>
      <family val="0"/>
      <charset val="1"/>
    </font>
    <font>
      <b val="true"/>
      <sz val="10"/>
      <color rgb="FF1B2537"/>
      <name val="Arial"/>
      <family val="0"/>
      <charset val="1"/>
    </font>
    <font>
      <sz val="10"/>
      <color rgb="FF0000FF"/>
      <name val="Arial"/>
      <family val="0"/>
      <charset val="1"/>
    </font>
    <font>
      <b val="true"/>
      <sz val="10"/>
      <color rgb="FF000000"/>
      <name val="Arial"/>
      <family val="0"/>
      <charset val="1"/>
    </font>
    <font>
      <b val="true"/>
      <sz val="10"/>
      <color rgb="FF008000"/>
      <name val="Arial"/>
      <family val="0"/>
      <charset val="1"/>
    </font>
    <font>
      <b val="true"/>
      <sz val="10"/>
      <color rgb="FFFFFFFF"/>
      <name val="Arial"/>
      <family val="0"/>
      <charset val="1"/>
    </font>
    <font>
      <b val="true"/>
      <sz val="8"/>
      <color rgb="FF6B7686"/>
      <name val="Arial"/>
      <family val="0"/>
      <charset val="1"/>
    </font>
    <font>
      <b val="true"/>
      <sz val="15"/>
      <color rgb="FF1B2537"/>
      <name val="Arial"/>
      <family val="0"/>
      <charset val="1"/>
    </font>
    <font>
      <sz val="10"/>
      <color rgb="FF000000"/>
      <name val="Arial"/>
      <family val="0"/>
      <charset val="1"/>
    </font>
    <font>
      <sz val="8"/>
      <color rgb="FF6B7686"/>
      <name val="Arial"/>
      <family val="0"/>
      <charset val="1"/>
    </font>
    <font>
      <sz val="9"/>
      <color rgb="FF6B7686"/>
      <name val="Arial"/>
      <family val="0"/>
      <charset val="1"/>
    </font>
    <font>
      <i val="true"/>
      <sz val="10"/>
      <color rgb="FF6B7686"/>
      <name val="Arial"/>
      <family val="0"/>
      <charset val="1"/>
    </font>
    <font>
      <b val="true"/>
      <sz val="9"/>
      <color rgb="FF1B2537"/>
      <name val="Arial"/>
      <family val="0"/>
      <charset val="1"/>
    </font>
    <font>
      <sz val="10"/>
      <name val="Arial"/>
      <family val="2"/>
    </font>
    <font>
      <b val="true"/>
      <sz val="18"/>
      <color rgb="FF000000"/>
      <name val="Calibri"/>
      <family val="2"/>
    </font>
    <font>
      <sz val="10"/>
      <color rgb="FF000000"/>
      <name val="Calibri"/>
      <family val="2"/>
    </font>
    <font>
      <b val="true"/>
      <sz val="9"/>
      <color rgb="FF5A4300"/>
      <name val="Arial"/>
      <family val="0"/>
      <charset val="1"/>
    </font>
    <font>
      <sz val="10"/>
      <color rgb="FF6B7686"/>
      <name val="Arial"/>
      <family val="0"/>
      <charset val="1"/>
    </font>
    <font>
      <b val="true"/>
      <sz val="11"/>
      <color rgb="FF1B2537"/>
      <name val="Arial"/>
      <family val="0"/>
      <charset val="1"/>
    </font>
  </fonts>
  <fills count="6">
    <fill>
      <patternFill patternType="none"/>
    </fill>
    <fill>
      <patternFill patternType="gray125"/>
    </fill>
    <fill>
      <patternFill patternType="solid">
        <fgColor rgb="FFFFF4CC"/>
        <bgColor rgb="FFF5E6C4"/>
      </patternFill>
    </fill>
    <fill>
      <patternFill patternType="solid">
        <fgColor rgb="FF1B2537"/>
        <bgColor rgb="FF003366"/>
      </patternFill>
    </fill>
    <fill>
      <patternFill patternType="solid">
        <fgColor rgb="FFF3F5F8"/>
        <bgColor rgb="FFF9F9F9"/>
      </patternFill>
    </fill>
    <fill>
      <patternFill patternType="solid">
        <fgColor rgb="FFE6EAF0"/>
        <bgColor rgb="FFF3F5F8"/>
      </patternFill>
    </fill>
  </fills>
  <borders count="5">
    <border diagonalUp="false" diagonalDown="false">
      <left/>
      <right/>
      <top/>
      <bottom/>
      <diagonal/>
    </border>
    <border diagonalUp="false" diagonalDown="false">
      <left style="thin">
        <color rgb="FFD5DBE3"/>
      </left>
      <right style="thin">
        <color rgb="FFD5DBE3"/>
      </right>
      <top style="thin">
        <color rgb="FFD5DBE3"/>
      </top>
      <bottom style="thin">
        <color rgb="FFD5DBE3"/>
      </bottom>
      <diagonal/>
    </border>
    <border diagonalUp="false" diagonalDown="false">
      <left style="thin">
        <color rgb="FFD5DBE3"/>
      </left>
      <right style="thin">
        <color rgb="FFD5DBE3"/>
      </right>
      <top style="thin">
        <color rgb="FFD5DBE3"/>
      </top>
      <bottom/>
      <diagonal/>
    </border>
    <border diagonalUp="false" diagonalDown="false">
      <left style="thin">
        <color rgb="FFD5DBE3"/>
      </left>
      <right style="thin">
        <color rgb="FFD5DBE3"/>
      </right>
      <top/>
      <bottom style="thin">
        <color rgb="FFD5DBE3"/>
      </bottom>
      <diagonal/>
    </border>
    <border diagonalUp="false" diagonalDown="false">
      <left/>
      <right/>
      <top/>
      <bottom style="thin">
        <color rgb="FFAEB7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1"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8" fontId="12" fillId="4" borderId="3" xfId="0" applyFont="true" applyBorder="true" applyAlignment="true" applyProtection="false">
      <alignment horizontal="center" vertical="center" textRotation="0" wrapText="false" indent="0" shrinkToFit="false"/>
      <protection locked="true" hidden="false"/>
    </xf>
    <xf numFmtId="166" fontId="12" fillId="4" borderId="3" xfId="0" applyFont="true" applyBorder="true" applyAlignment="true" applyProtection="false">
      <alignment horizontal="center" vertical="center" textRotation="0" wrapText="false" indent="0" shrinkToFit="false"/>
      <protection locked="true" hidden="false"/>
    </xf>
    <xf numFmtId="169" fontId="12" fillId="4" borderId="3" xfId="0" applyFont="true" applyBorder="true" applyAlignment="true" applyProtection="false">
      <alignment horizontal="center" vertical="center" textRotation="0" wrapText="false" indent="0" shrinkToFit="false"/>
      <protection locked="true" hidden="false"/>
    </xf>
    <xf numFmtId="167" fontId="12" fillId="4" borderId="3" xfId="0" applyFont="true" applyBorder="true" applyAlignment="true" applyProtection="false">
      <alignment horizontal="center" vertical="center" textRotation="0" wrapText="false" indent="0" shrinkToFit="false"/>
      <protection locked="true" hidden="false"/>
    </xf>
    <xf numFmtId="164" fontId="12" fillId="4" borderId="3"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8" fontId="13" fillId="0" borderId="4" xfId="0" applyFont="true" applyBorder="true" applyAlignment="false" applyProtection="false">
      <alignment horizontal="general" vertical="bottom" textRotation="0" wrapText="false" indent="0" shrinkToFit="false"/>
      <protection locked="true" hidden="false"/>
    </xf>
    <xf numFmtId="170" fontId="13" fillId="0" borderId="4" xfId="0" applyFont="true" applyBorder="true" applyAlignment="true" applyProtection="false">
      <alignment horizontal="right" vertical="center"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68" fontId="13" fillId="0" borderId="4"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right" vertical="center"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71" fontId="15" fillId="4" borderId="0" xfId="0" applyFont="true" applyBorder="false" applyAlignment="false" applyProtection="false">
      <alignment horizontal="general" vertical="bottom" textRotation="0" wrapText="false" indent="0" shrinkToFit="false"/>
      <protection locked="true" hidden="false"/>
    </xf>
    <xf numFmtId="168" fontId="8" fillId="4" borderId="4" xfId="0" applyFont="true" applyBorder="true" applyAlignment="false" applyProtection="false">
      <alignment horizontal="general" vertical="bottom" textRotation="0" wrapText="false" indent="0" shrinkToFit="false"/>
      <protection locked="true" hidden="false"/>
    </xf>
    <xf numFmtId="166" fontId="8" fillId="0" borderId="4"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72" fontId="13"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3" fontId="13" fillId="0" borderId="1" xfId="0" applyFont="true" applyBorder="true" applyAlignment="true" applyProtection="false">
      <alignment horizontal="center" vertical="center"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70" fontId="8" fillId="4" borderId="0" xfId="0" applyFont="true" applyBorder="false" applyAlignment="false" applyProtection="false">
      <alignment horizontal="general" vertical="bottom" textRotation="0" wrapText="fals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6" fontId="22" fillId="0" borderId="1" xfId="0" applyFont="true" applyBorder="true" applyAlignment="false" applyProtection="false">
      <alignment horizontal="general" vertical="bottom" textRotation="0" wrapText="false" indent="0" shrinkToFit="false"/>
      <protection locked="true" hidden="false"/>
    </xf>
    <xf numFmtId="175" fontId="22" fillId="0" borderId="1" xfId="0" applyFont="true" applyBorder="true" applyAlignment="false" applyProtection="false">
      <alignment horizontal="general" vertical="bottom" textRotation="0" wrapText="false" indent="0" shrinkToFit="false"/>
      <protection locked="true" hidden="false"/>
    </xf>
    <xf numFmtId="168" fontId="22" fillId="0" borderId="1" xfId="0" applyFont="true" applyBorder="true" applyAlignment="false" applyProtection="false">
      <alignment horizontal="general" vertical="bottom" textRotation="0" wrapText="false" indent="0" shrinkToFit="false"/>
      <protection locked="true" hidden="false"/>
    </xf>
    <xf numFmtId="167" fontId="22"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70" fontId="7" fillId="2"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FFFFFF"/>
        <sz val="15"/>
      </font>
      <fill>
        <patternFill>
          <bgColor rgb="FF1E8449"/>
        </patternFill>
      </fill>
    </dxf>
    <dxf>
      <font>
        <name val="Arial"/>
        <charset val="1"/>
        <family val="0"/>
        <b val="1"/>
        <color rgb="FFFFFFFF"/>
        <sz val="15"/>
      </font>
      <fill>
        <patternFill>
          <bgColor rgb="FFB9770E"/>
        </patternFill>
      </fill>
    </dxf>
    <dxf>
      <font>
        <name val="Arial"/>
        <charset val="1"/>
        <family val="0"/>
        <b val="1"/>
        <color rgb="FFFFFFFF"/>
        <sz val="15"/>
      </font>
      <fill>
        <patternFill>
          <bgColor rgb="FFC0392B"/>
        </patternFill>
      </fill>
    </dxf>
    <dxf>
      <font>
        <name val="Arial"/>
        <charset val="1"/>
        <family val="0"/>
        <b val="1"/>
        <color rgb="FFC0392B"/>
        <sz val="15"/>
      </font>
    </dxf>
    <dxf>
      <font>
        <name val="Arial"/>
        <charset val="1"/>
        <family val="0"/>
        <b val="1"/>
        <color rgb="FF1E8449"/>
        <sz val="15"/>
      </font>
    </dxf>
    <dxf>
      <font>
        <name val="Arial"/>
        <charset val="1"/>
        <family val="0"/>
        <b val="1"/>
        <color rgb="FFB9770E"/>
        <sz val="15"/>
      </font>
    </dxf>
    <dxf>
      <font>
        <name val="Arial"/>
        <charset val="1"/>
        <family val="0"/>
        <b val="1"/>
        <color rgb="FF1E8449"/>
      </font>
    </dxf>
    <dxf>
      <font>
        <name val="Arial"/>
        <charset val="1"/>
        <family val="0"/>
        <b val="1"/>
        <color rgb="FFC0392B"/>
      </font>
    </dxf>
    <dxf>
      <fill>
        <patternFill>
          <bgColor rgb="FFD5F0DD"/>
        </patternFill>
      </fill>
    </dxf>
    <dxf>
      <fill>
        <patternFill>
          <bgColor rgb="FFFAD7A0"/>
        </patternFill>
      </fill>
    </dxf>
    <dxf>
      <font>
        <name val="Arial"/>
        <charset val="1"/>
        <family val="0"/>
        <b val="1"/>
      </font>
      <fill>
        <patternFill>
          <bgColor rgb="FFF5E6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AEB7C4"/>
      <rgbColor rgb="FF878787"/>
      <rgbColor rgb="FF9999FF"/>
      <rgbColor rgb="FF993366"/>
      <rgbColor rgb="FFFFF4CC"/>
      <rgbColor rgb="FFE6EAF0"/>
      <rgbColor rgb="FF660066"/>
      <rgbColor rgb="FFFF8080"/>
      <rgbColor rgb="FF0066CC"/>
      <rgbColor rgb="FFD5DBE3"/>
      <rgbColor rgb="FF000080"/>
      <rgbColor rgb="FFFF00FF"/>
      <rgbColor rgb="FFFFFF00"/>
      <rgbColor rgb="FF00FFFF"/>
      <rgbColor rgb="FF800080"/>
      <rgbColor rgb="FF800000"/>
      <rgbColor rgb="FF008080"/>
      <rgbColor rgb="FF0000FF"/>
      <rgbColor rgb="FF00CCFF"/>
      <rgbColor rgb="FFF3F5F8"/>
      <rgbColor rgb="FFD5F0DD"/>
      <rgbColor rgb="FFF5E6C4"/>
      <rgbColor rgb="FFD9D9D9"/>
      <rgbColor rgb="FFF9F9F9"/>
      <rgbColor rgb="FFCC99FF"/>
      <rgbColor rgb="FFFAD7A0"/>
      <rgbColor rgb="FF3366FF"/>
      <rgbColor rgb="FF33CCCC"/>
      <rgbColor rgb="FF99CC00"/>
      <rgbColor rgb="FFFFCC00"/>
      <rgbColor rgb="FFFF9900"/>
      <rgbColor rgb="FFFF6600"/>
      <rgbColor rgb="FF6B7686"/>
      <rgbColor rgb="FFB7862B"/>
      <rgbColor rgb="FF003366"/>
      <rgbColor rgb="FF1E8449"/>
      <rgbColor rgb="FF003300"/>
      <rgbColor rgb="FF5A4300"/>
      <rgbColor rgb="FFC0392B"/>
      <rgbColor rgb="FF993366"/>
      <rgbColor rgb="FF333399"/>
      <rgbColor rgb="FF1B25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Beneficio proyectado vs gasto en Ads (€)</a:t>
            </a:r>
          </a:p>
        </c:rich>
      </c:tx>
      <c:overlay val="0"/>
      <c:spPr>
        <a:noFill/>
        <a:ln w="0">
          <a:noFill/>
        </a:ln>
      </c:spPr>
    </c:title>
    <c:autoTitleDeleted val="0"/>
    <c:plotArea>
      <c:barChart>
        <c:barDir val="col"/>
        <c:grouping val="clustered"/>
        <c:varyColors val="0"/>
        <c:ser>
          <c:idx val="0"/>
          <c:order val="0"/>
          <c:tx>
            <c:strRef>
              <c:f>Dashboard!F28</c:f>
              <c:strCache>
                <c:ptCount val="1"/>
                <c:pt idx="0">
                  <c:v>Beneficio proyectado</c:v>
                </c:pt>
              </c:strCache>
            </c:strRef>
          </c:tx>
          <c:spPr>
            <a:solidFill>
              <a:srgbClr val="1b253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Dashboard!$B$29:$B$42</c:f>
              <c:strCache>
                <c:ptCount val="14"/>
                <c:pt idx="0">
                  <c:v>Sat 10/10</c:v>
                </c:pt>
                <c:pt idx="1">
                  <c:v>Sun 11/10</c:v>
                </c:pt>
                <c:pt idx="2">
                  <c:v>Mon 12/10</c:v>
                </c:pt>
                <c:pt idx="3">
                  <c:v>Tue 13/10</c:v>
                </c:pt>
                <c:pt idx="4">
                  <c:v>Wed 14/10</c:v>
                </c:pt>
                <c:pt idx="5">
                  <c:v>Thu 15/10</c:v>
                </c:pt>
                <c:pt idx="6">
                  <c:v>Fri 16/10</c:v>
                </c:pt>
                <c:pt idx="7">
                  <c:v>Sat 17/10</c:v>
                </c:pt>
                <c:pt idx="8">
                  <c:v>Sun 18/10</c:v>
                </c:pt>
                <c:pt idx="9">
                  <c:v>Mon 19/10</c:v>
                </c:pt>
                <c:pt idx="10">
                  <c:v>Tue 20/10</c:v>
                </c:pt>
                <c:pt idx="11">
                  <c:v>Wed 21/10</c:v>
                </c:pt>
                <c:pt idx="12">
                  <c:v>Thu 22/10</c:v>
                </c:pt>
                <c:pt idx="13">
                  <c:v>Fri 23/10</c:v>
                </c:pt>
              </c:strCache>
            </c:strRef>
          </c:cat>
          <c:val>
            <c:numRef>
              <c:f>Dashboard!$F$29:$F$42</c:f>
              <c:numCache>
                <c:formatCode>#,##0.00" €";[RED]\-#,##0.00" €";\-</c:formatCode>
                <c:ptCount val="14"/>
                <c:pt idx="0">
                  <c:v>-5.198066</c:v>
                </c:pt>
                <c:pt idx="1">
                  <c:v>-112.2279</c:v>
                </c:pt>
                <c:pt idx="2">
                  <c:v>49.015501</c:v>
                </c:pt>
                <c:pt idx="3">
                  <c:v>27.170735</c:v>
                </c:pt>
                <c:pt idx="4">
                  <c:v>57.225835</c:v>
                </c:pt>
                <c:pt idx="5">
                  <c:v>37.464167</c:v>
                </c:pt>
                <c:pt idx="6">
                  <c:v>65.510936</c:v>
                </c:pt>
                <c:pt idx="7">
                  <c:v>64.4834474680882</c:v>
                </c:pt>
                <c:pt idx="8">
                  <c:v>108.753112885588</c:v>
                </c:pt>
                <c:pt idx="9">
                  <c:v>93.1131284195949</c:v>
                </c:pt>
                <c:pt idx="10">
                  <c:v>46.153395853322</c:v>
                </c:pt>
                <c:pt idx="11">
                  <c:v>18.0858670313511</c:v>
                </c:pt>
                <c:pt idx="12">
                  <c:v>5.65287932381606</c:v>
                </c:pt>
                <c:pt idx="13">
                  <c:v>16.6358521326894</c:v>
                </c:pt>
              </c:numCache>
            </c:numRef>
          </c:val>
        </c:ser>
        <c:gapWidth val="150"/>
        <c:overlap val="0"/>
        <c:axId val="15490503"/>
        <c:axId val="91935071"/>
      </c:barChart>
      <c:lineChart>
        <c:grouping val="standard"/>
        <c:varyColors val="0"/>
        <c:ser>
          <c:idx val="1"/>
          <c:order val="1"/>
          <c:tx>
            <c:strRef>
              <c:f>Dashboard!D28</c:f>
              <c:strCache>
                <c:ptCount val="1"/>
                <c:pt idx="0">
                  <c:v>Gasto Ads</c:v>
                </c:pt>
              </c:strCache>
            </c:strRef>
          </c:tx>
          <c:spPr>
            <a:solidFill>
              <a:srgbClr val="b7862b"/>
            </a:solidFill>
            <a:ln w="28080">
              <a:solidFill>
                <a:srgbClr val="b7862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Dashboard!$B$29:$B$42</c:f>
              <c:strCache>
                <c:ptCount val="14"/>
                <c:pt idx="0">
                  <c:v>Sat 10/10</c:v>
                </c:pt>
                <c:pt idx="1">
                  <c:v>Sun 11/10</c:v>
                </c:pt>
                <c:pt idx="2">
                  <c:v>Mon 12/10</c:v>
                </c:pt>
                <c:pt idx="3">
                  <c:v>Tue 13/10</c:v>
                </c:pt>
                <c:pt idx="4">
                  <c:v>Wed 14/10</c:v>
                </c:pt>
                <c:pt idx="5">
                  <c:v>Thu 15/10</c:v>
                </c:pt>
                <c:pt idx="6">
                  <c:v>Fri 16/10</c:v>
                </c:pt>
                <c:pt idx="7">
                  <c:v>Sat 17/10</c:v>
                </c:pt>
                <c:pt idx="8">
                  <c:v>Sun 18/10</c:v>
                </c:pt>
                <c:pt idx="9">
                  <c:v>Mon 19/10</c:v>
                </c:pt>
                <c:pt idx="10">
                  <c:v>Tue 20/10</c:v>
                </c:pt>
                <c:pt idx="11">
                  <c:v>Wed 21/10</c:v>
                </c:pt>
                <c:pt idx="12">
                  <c:v>Thu 22/10</c:v>
                </c:pt>
                <c:pt idx="13">
                  <c:v>Fri 23/10</c:v>
                </c:pt>
              </c:strCache>
            </c:strRef>
          </c:cat>
          <c:val>
            <c:numRef>
              <c:f>Dashboard!$D$29:$D$42</c:f>
              <c:numCache>
                <c:formatCode>#,##0.00" €";[RED]\-#,##0.00" €";\-</c:formatCode>
                <c:ptCount val="14"/>
                <c:pt idx="0">
                  <c:v>64.81</c:v>
                </c:pt>
                <c:pt idx="1">
                  <c:v>89.51</c:v>
                </c:pt>
                <c:pt idx="2">
                  <c:v>78.33</c:v>
                </c:pt>
                <c:pt idx="3">
                  <c:v>68.05</c:v>
                </c:pt>
                <c:pt idx="4">
                  <c:v>73.35</c:v>
                </c:pt>
                <c:pt idx="5">
                  <c:v>60.8</c:v>
                </c:pt>
                <c:pt idx="6">
                  <c:v>100.4</c:v>
                </c:pt>
                <c:pt idx="7">
                  <c:v>81.87</c:v>
                </c:pt>
                <c:pt idx="8">
                  <c:v>149.88</c:v>
                </c:pt>
                <c:pt idx="9">
                  <c:v>85.31</c:v>
                </c:pt>
                <c:pt idx="10">
                  <c:v>71.96</c:v>
                </c:pt>
                <c:pt idx="11">
                  <c:v>79.53</c:v>
                </c:pt>
                <c:pt idx="12">
                  <c:v>83.29</c:v>
                </c:pt>
                <c:pt idx="13">
                  <c:v>29.29</c:v>
                </c:pt>
              </c:numCache>
            </c:numRef>
          </c:val>
          <c:smooth val="0"/>
        </c:ser>
        <c:hiLowLines>
          <c:spPr>
            <a:ln w="0">
              <a:noFill/>
            </a:ln>
          </c:spPr>
        </c:hiLowLines>
        <c:marker val="0"/>
        <c:axId val="15490503"/>
        <c:axId val="91935071"/>
      </c:lineChart>
      <c:catAx>
        <c:axId val="15490503"/>
        <c:scaling>
          <c:orientation val="minMax"/>
        </c:scaling>
        <c:delete val="0"/>
        <c:axPos val="b"/>
        <c:numFmt formatCode="dd/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935071"/>
        <c:crosses val="autoZero"/>
        <c:auto val="1"/>
        <c:lblAlgn val="ctr"/>
        <c:lblOffset val="100"/>
        <c:noMultiLvlLbl val="0"/>
      </c:catAx>
      <c:valAx>
        <c:axId val="91935071"/>
        <c:scaling>
          <c:orientation val="minMax"/>
        </c:scaling>
        <c:delete val="0"/>
        <c:axPos val="l"/>
        <c:majorGridlines>
          <c:spPr>
            <a:ln w="9360">
              <a:solidFill>
                <a:srgbClr val="878787"/>
              </a:solidFill>
              <a:round/>
            </a:ln>
          </c:spPr>
        </c:majorGridlines>
        <c:numFmt formatCode="#,##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49050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Beneficio neto mensual vs objetivo (€)</a:t>
            </a:r>
          </a:p>
        </c:rich>
      </c:tx>
      <c:overlay val="0"/>
      <c:spPr>
        <a:noFill/>
        <a:ln w="0">
          <a:noFill/>
        </a:ln>
      </c:spPr>
    </c:title>
    <c:autoTitleDeleted val="0"/>
    <c:plotArea>
      <c:barChart>
        <c:barDir val="col"/>
        <c:grouping val="clustered"/>
        <c:varyColors val="0"/>
        <c:ser>
          <c:idx val="0"/>
          <c:order val="0"/>
          <c:tx>
            <c:strRef>
              <c:f>Dashboard!L46</c:f>
              <c:strCache>
                <c:ptCount val="1"/>
                <c:pt idx="0">
                  <c:v>Beneficio neto</c:v>
                </c:pt>
              </c:strCache>
            </c:strRef>
          </c:tx>
          <c:spPr>
            <a:solidFill>
              <a:srgbClr val="1b253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Dashboard!$B$47:$B$58</c:f>
              <c:strCache>
                <c:ptCount val="12"/>
                <c:pt idx="0">
                  <c:v>Oct 2026</c:v>
                </c:pt>
                <c:pt idx="1">
                  <c:v>Nov 2026</c:v>
                </c:pt>
                <c:pt idx="2">
                  <c:v>Dec 2026</c:v>
                </c:pt>
                <c:pt idx="3">
                  <c:v>Jan 2027</c:v>
                </c:pt>
                <c:pt idx="4">
                  <c:v>Feb 2027</c:v>
                </c:pt>
                <c:pt idx="5">
                  <c:v>Mar 2027</c:v>
                </c:pt>
                <c:pt idx="6">
                  <c:v>Apr 2027</c:v>
                </c:pt>
                <c:pt idx="7">
                  <c:v>May 2027</c:v>
                </c:pt>
                <c:pt idx="8">
                  <c:v>Jun 2027</c:v>
                </c:pt>
                <c:pt idx="9">
                  <c:v>Jul 2027</c:v>
                </c:pt>
                <c:pt idx="10">
                  <c:v>Aug 2027</c:v>
                </c:pt>
                <c:pt idx="11">
                  <c:v>Sep 2027</c:v>
                </c:pt>
              </c:strCache>
            </c:strRef>
          </c:cat>
          <c:val>
            <c:numRef>
              <c:f>Dashboard!$L$47:$L$58</c:f>
              <c:numCache>
                <c:formatCode>#,##0" €";[RED]\-#,##0" €";\-</c:formatCode>
                <c:ptCount val="12"/>
                <c:pt idx="0">
                  <c:v>528.87645911445</c:v>
                </c:pt>
                <c:pt idx="1">
                  <c:v>0</c:v>
                </c:pt>
                <c:pt idx="2">
                  <c:v>0</c:v>
                </c:pt>
                <c:pt idx="3">
                  <c:v>0</c:v>
                </c:pt>
                <c:pt idx="4">
                  <c:v>0</c:v>
                </c:pt>
                <c:pt idx="5">
                  <c:v>0</c:v>
                </c:pt>
                <c:pt idx="6">
                  <c:v>0</c:v>
                </c:pt>
                <c:pt idx="7">
                  <c:v>0</c:v>
                </c:pt>
                <c:pt idx="8">
                  <c:v>0</c:v>
                </c:pt>
                <c:pt idx="9">
                  <c:v>0</c:v>
                </c:pt>
                <c:pt idx="10">
                  <c:v>0</c:v>
                </c:pt>
                <c:pt idx="11">
                  <c:v>0</c:v>
                </c:pt>
              </c:numCache>
            </c:numRef>
          </c:val>
        </c:ser>
        <c:gapWidth val="150"/>
        <c:overlap val="0"/>
        <c:axId val="91573966"/>
        <c:axId val="56211911"/>
      </c:barChart>
      <c:lineChart>
        <c:grouping val="standard"/>
        <c:varyColors val="0"/>
        <c:ser>
          <c:idx val="1"/>
          <c:order val="1"/>
          <c:tx>
            <c:strRef>
              <c:f>Dashboard!O46</c:f>
              <c:strCache>
                <c:ptCount val="1"/>
                <c:pt idx="0">
                  <c:v/>
                </c:pt>
              </c:strCache>
            </c:strRef>
          </c:tx>
          <c:spPr>
            <a:solidFill>
              <a:srgbClr val="b7862b"/>
            </a:solidFill>
            <a:ln w="47520">
              <a:solidFill>
                <a:srgbClr val="b7862b"/>
              </a:solidFill>
              <a:prstDash val="dash"/>
              <a:round/>
            </a:ln>
          </c:spPr>
          <c:marker>
            <c:symbol val="none"/>
          </c:marker>
          <c:cat>
            <c:strRef>
              <c:f>Dashboard!$B$47:$B$58</c:f>
              <c:strCache>
                <c:ptCount val="12"/>
                <c:pt idx="0">
                  <c:v>Oct 2026</c:v>
                </c:pt>
                <c:pt idx="1">
                  <c:v>Nov 2026</c:v>
                </c:pt>
                <c:pt idx="2">
                  <c:v>Dec 2026</c:v>
                </c:pt>
                <c:pt idx="3">
                  <c:v>Jan 2027</c:v>
                </c:pt>
                <c:pt idx="4">
                  <c:v>Feb 2027</c:v>
                </c:pt>
                <c:pt idx="5">
                  <c:v>Mar 2027</c:v>
                </c:pt>
                <c:pt idx="6">
                  <c:v>Apr 2027</c:v>
                </c:pt>
                <c:pt idx="7">
                  <c:v>May 2027</c:v>
                </c:pt>
                <c:pt idx="8">
                  <c:v>Jun 2027</c:v>
                </c:pt>
                <c:pt idx="9">
                  <c:v>Jul 2027</c:v>
                </c:pt>
                <c:pt idx="10">
                  <c:v>Aug 2027</c:v>
                </c:pt>
                <c:pt idx="11">
                  <c:v>Sep 2027</c:v>
                </c:pt>
              </c:strCache>
            </c:strRef>
          </c:cat>
          <c:val>
            <c:numRef>
              <c:f>Dashboard!$O$47:$O$58</c:f>
              <c:numCache>
                <c:formatCode>General</c:formatCode>
                <c:ptCount val="0"/>
              </c:numCache>
            </c:numRef>
          </c:val>
          <c:smooth val="0"/>
        </c:ser>
        <c:hiLowLines>
          <c:spPr>
            <a:ln w="0">
              <a:noFill/>
            </a:ln>
          </c:spPr>
        </c:hiLowLines>
        <c:marker val="0"/>
        <c:axId val="91573966"/>
        <c:axId val="56211911"/>
      </c:lineChart>
      <c:catAx>
        <c:axId val="91573966"/>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11911"/>
        <c:crosses val="autoZero"/>
        <c:auto val="1"/>
        <c:lblAlgn val="ctr"/>
        <c:lblOffset val="100"/>
        <c:noMultiLvlLbl val="0"/>
      </c:catAx>
      <c:valAx>
        <c:axId val="56211911"/>
        <c:scaling>
          <c:orientation val="minMax"/>
        </c:scaling>
        <c:delete val="0"/>
        <c:axPos val="l"/>
        <c:majorGridlines>
          <c:spPr>
            <a:ln w="9360">
              <a:solidFill>
                <a:srgbClr val="878787"/>
              </a:solidFill>
              <a:round/>
            </a:ln>
          </c:spPr>
        </c:majorGridlines>
        <c:numFmt formatCode="#,##0&quot; €&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57396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25</xdr:row>
      <xdr:rowOff>131040</xdr:rowOff>
    </xdr:from>
    <xdr:to>
      <xdr:col>15</xdr:col>
      <xdr:colOff>573480</xdr:colOff>
      <xdr:row>39</xdr:row>
      <xdr:rowOff>106200</xdr:rowOff>
    </xdr:to>
    <xdr:graphicFrame>
      <xdr:nvGraphicFramePr>
        <xdr:cNvPr id="0" name="Chart 1"/>
        <xdr:cNvGraphicFramePr/>
      </xdr:nvGraphicFramePr>
      <xdr:xfrm>
        <a:off x="5006520" y="5524560"/>
        <a:ext cx="5579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59</xdr:row>
      <xdr:rowOff>37440</xdr:rowOff>
    </xdr:from>
    <xdr:to>
      <xdr:col>17</xdr:col>
      <xdr:colOff>65160</xdr:colOff>
      <xdr:row>74</xdr:row>
      <xdr:rowOff>59400</xdr:rowOff>
    </xdr:to>
    <xdr:graphicFrame>
      <xdr:nvGraphicFramePr>
        <xdr:cNvPr id="1" name="Chart 2"/>
        <xdr:cNvGraphicFramePr/>
      </xdr:nvGraphicFramePr>
      <xdr:xfrm>
        <a:off x="141120" y="12163320"/>
        <a:ext cx="111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1.5"/>
    <col collapsed="false" customWidth="true" hidden="false" outlineLevel="0" max="14" min="14" style="0" width="2"/>
    <col collapsed="false" customWidth="true" hidden="true" outlineLevel="0" max="15" min="15" style="0" width="13"/>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4" t="n">
        <f aca="true">DATE(YEAR(TODAY()),MONTH(TODAY()),1)</f>
        <v>46296</v>
      </c>
      <c r="D3" s="4"/>
      <c r="E3" s="3" t="s">
        <v>3</v>
      </c>
      <c r="F3" s="4" t="n">
        <f aca="true">TODAY()</f>
        <v>46318</v>
      </c>
      <c r="G3" s="4"/>
      <c r="H3" s="3" t="s">
        <v>4</v>
      </c>
      <c r="I3" s="5" t="n">
        <f aca="false">MAX(1,$F$3-$C$3+1)</f>
        <v>23</v>
      </c>
      <c r="J3" s="6" t="s">
        <v>5</v>
      </c>
      <c r="K3" s="6"/>
      <c r="L3" s="7" t="n">
        <f aca="false">TASA_BE</f>
        <v>0.631128098525661</v>
      </c>
    </row>
    <row r="5" customFormat="false" ht="15" hidden="false" customHeight="false" outlineLevel="0" collapsed="false">
      <c r="B5" s="8" t="s">
        <v>6</v>
      </c>
      <c r="C5" s="8"/>
      <c r="D5" s="8"/>
      <c r="E5" s="8"/>
      <c r="F5" s="8"/>
      <c r="G5" s="8"/>
      <c r="H5" s="8"/>
      <c r="I5" s="8"/>
      <c r="J5" s="8"/>
      <c r="K5" s="8"/>
      <c r="L5" s="8"/>
      <c r="M5" s="8"/>
    </row>
    <row r="6" customFormat="false" ht="15" hidden="false" customHeight="false" outlineLevel="0" collapsed="false">
      <c r="B6" s="9" t="s">
        <v>7</v>
      </c>
      <c r="C6" s="9"/>
      <c r="D6" s="9" t="s">
        <v>8</v>
      </c>
      <c r="E6" s="9"/>
      <c r="F6" s="9" t="s">
        <v>9</v>
      </c>
      <c r="G6" s="9"/>
      <c r="H6" s="9" t="s">
        <v>10</v>
      </c>
      <c r="I6" s="9"/>
      <c r="J6" s="9" t="s">
        <v>11</v>
      </c>
      <c r="K6" s="9"/>
      <c r="L6" s="9" t="s">
        <v>12</v>
      </c>
      <c r="M6" s="9"/>
    </row>
    <row r="7" customFormat="false" ht="30" hidden="false" customHeight="true" outlineLevel="0" collapsed="false">
      <c r="B7" s="10" t="n">
        <f aca="false">F25</f>
        <v>528.87645911445</v>
      </c>
      <c r="C7" s="10"/>
      <c r="D7" s="10" t="n">
        <f aca="false">SUMIFS(Diario!$W$6:$W$370,Diario!$A$6:$A$370,"&gt;="&amp;$C$3,Diario!$A$6:$A$370,"&lt;="&amp;$F$3)</f>
        <v>1828.071437</v>
      </c>
      <c r="E7" s="10"/>
      <c r="F7" s="10" t="n">
        <f aca="false">SUMIFS(Diario!$X$6:$X$370,Diario!$A$6:$A$370,"&gt;="&amp;$C$3,Diario!$A$6:$A$370,"&lt;="&amp;$F$3)+F24</f>
        <v>26.6414369999998</v>
      </c>
      <c r="G7" s="10"/>
      <c r="H7" s="11" t="n">
        <f aca="false">SUMIFS(Diario!$P$6:$P$370,Diario!$A$6:$A$370,"&gt;="&amp;$C$3,Diario!$A$6:$A$370,"&lt;="&amp;$F$3)</f>
        <v>159</v>
      </c>
      <c r="I7" s="11"/>
      <c r="J7" s="10" t="n">
        <f aca="false">SUMIFS(Diario!$R$6:$R$370,Diario!$A$6:$A$370,"&gt;="&amp;$C$3,Diario!$A$6:$A$370,"&lt;="&amp;$F$3)</f>
        <v>5678.41</v>
      </c>
      <c r="K7" s="10"/>
      <c r="L7" s="10" t="n">
        <f aca="false">SUMIFS(Diario!$N$6:$N$370,Diario!$A$6:$A$370,"&gt;="&amp;$C$3,Diario!$A$6:$A$370,"&lt;="&amp;$F$3)</f>
        <v>1393.68</v>
      </c>
      <c r="M7" s="10"/>
    </row>
    <row r="9" customFormat="false" ht="15" hidden="false" customHeight="false" outlineLevel="0" collapsed="false">
      <c r="B9" s="9" t="s">
        <v>13</v>
      </c>
      <c r="C9" s="9"/>
      <c r="D9" s="9" t="s">
        <v>14</v>
      </c>
      <c r="E9" s="9"/>
      <c r="F9" s="9" t="s">
        <v>15</v>
      </c>
      <c r="G9" s="9"/>
      <c r="H9" s="9" t="s">
        <v>16</v>
      </c>
      <c r="I9" s="9"/>
      <c r="J9" s="9" t="s">
        <v>17</v>
      </c>
      <c r="K9" s="9"/>
      <c r="L9" s="9" t="s">
        <v>18</v>
      </c>
      <c r="M9" s="9"/>
    </row>
    <row r="10" customFormat="false" ht="30" hidden="false" customHeight="true" outlineLevel="0" collapsed="false">
      <c r="B10" s="10" t="n">
        <f aca="false">IF(H7&gt;0,L7/H7,"")</f>
        <v>8.76528301886792</v>
      </c>
      <c r="C10" s="10"/>
      <c r="D10" s="10" t="n">
        <f aca="false">CPA_BE</f>
        <v>11.8519320911406</v>
      </c>
      <c r="E10" s="10"/>
      <c r="F10" s="12" t="n">
        <f aca="false">IF(L7&gt;0,J7/L7,"")</f>
        <v>4.07440014924516</v>
      </c>
      <c r="G10" s="12"/>
      <c r="H10" s="12" t="n">
        <f aca="false">ROAS_BE</f>
        <v>3.03981963210772</v>
      </c>
      <c r="I10" s="12"/>
      <c r="J10" s="10" t="n">
        <f aca="false">IF(H7&gt;0,J7/H7,"")</f>
        <v>35.7132704402516</v>
      </c>
      <c r="K10" s="10"/>
      <c r="L10" s="13" t="n">
        <f aca="false">IF(H7&gt;0,(SUMIFS(Diario!$C$6:$C$370,Diario!$A$6:$A$370,"&gt;="&amp;$C$3,Diario!$A$6:$A$370,"&lt;="&amp;$F$3)+SUMIFS(Diario!$D$6:$D$370,Diario!$A$6:$A$370,"&gt;="&amp;$C$3,Diario!$A$6:$A$370,"&lt;="&amp;$F$3))/H7,"")</f>
        <v>0.440251572327044</v>
      </c>
      <c r="M10" s="13"/>
    </row>
    <row r="12" customFormat="false" ht="15" hidden="false" customHeight="false" outlineLevel="0" collapsed="false">
      <c r="B12" s="9" t="s">
        <v>19</v>
      </c>
      <c r="C12" s="9"/>
      <c r="D12" s="9" t="s">
        <v>20</v>
      </c>
      <c r="E12" s="9"/>
      <c r="F12" s="9" t="s">
        <v>21</v>
      </c>
      <c r="G12" s="9"/>
      <c r="H12" s="9" t="s">
        <v>22</v>
      </c>
      <c r="I12" s="9"/>
      <c r="J12" s="9" t="s">
        <v>23</v>
      </c>
      <c r="K12" s="9"/>
      <c r="L12" s="9" t="s">
        <v>24</v>
      </c>
      <c r="M12" s="9"/>
    </row>
    <row r="13" customFormat="false" ht="30" hidden="false" customHeight="true" outlineLevel="0" collapsed="false">
      <c r="B13" s="11" t="n">
        <f aca="false">SUMIFS(Diario!$E$6:$E$370,Diario!$A$6:$A$370,"&gt;="&amp;$C$3,Diario!$A$6:$A$370,"&lt;="&amp;$F$3)+SUMIFS(Diario!$F$6:$F$370,Diario!$A$6:$A$370,"&gt;="&amp;$C$3,Diario!$A$6:$A$370,"&lt;="&amp;$F$3)+SUMIFS(Diario!$G$6:$G$370,Diario!$A$6:$A$370,"&gt;="&amp;$C$3,Diario!$A$6:$A$370,"&lt;="&amp;$F$3)</f>
        <v>74</v>
      </c>
      <c r="C13" s="11"/>
      <c r="D13" s="11" t="n">
        <f aca="false">SUMIFS(Diario!$Q$6:$Q$370,Diario!$A$6:$A$370,"&gt;="&amp;$C$3,Diario!$A$6:$A$370,"&lt;="&amp;$F$3)</f>
        <v>51</v>
      </c>
      <c r="E13" s="11"/>
      <c r="F13" s="11" t="n">
        <f aca="false">SUMIFS(Diario!$K$6:$K$370,Diario!$A$6:$A$370,"&gt;="&amp;$C$3,Diario!$A$6:$A$370,"&lt;="&amp;$F$3)</f>
        <v>29</v>
      </c>
      <c r="G13" s="11"/>
      <c r="H13" s="11" t="n">
        <f aca="false">SUMIFS(Diario!$H$6:$H$370,Diario!$A$6:$A$370,"&gt;="&amp;$C$3,Diario!$A$6:$A$370,"&lt;="&amp;$F$3)+SUMIFS(Diario!$I$6:$I$370,Diario!$A$6:$A$370,"&gt;="&amp;$C$3,Diario!$A$6:$A$370,"&lt;="&amp;$F$3)+SUMIFS(Diario!$J$6:$J$370,Diario!$A$6:$A$370,"&gt;="&amp;$C$3,Diario!$A$6:$A$370,"&lt;="&amp;$F$3)</f>
        <v>34</v>
      </c>
      <c r="I13" s="11"/>
      <c r="J13" s="13" t="n">
        <f aca="false">IF(B13+H13&gt;0,B13/(B13+H13),"")</f>
        <v>0.685185185185185</v>
      </c>
      <c r="K13" s="13"/>
      <c r="L13" s="14" t="str">
        <f aca="false">IF(B10="","SIN DATOS",IF(B10&lt;=D10*0.75,"ESCALAR",IF(B10&lt;=D10,"VIGILAR","CORTAR")))</f>
        <v>ESCALAR</v>
      </c>
      <c r="M13" s="14"/>
    </row>
    <row r="15" customFormat="false" ht="15" hidden="false" customHeight="false" outlineLevel="0" collapsed="false">
      <c r="B15" s="8" t="s">
        <v>25</v>
      </c>
      <c r="C15" s="8"/>
      <c r="D15" s="8"/>
      <c r="E15" s="8"/>
      <c r="F15" s="8"/>
      <c r="H15" s="8" t="s">
        <v>26</v>
      </c>
      <c r="I15" s="8"/>
      <c r="J15" s="8"/>
      <c r="K15" s="8"/>
      <c r="L15" s="8"/>
      <c r="M15" s="8"/>
    </row>
    <row r="16" customFormat="false" ht="15" hidden="false" customHeight="false" outlineLevel="0" collapsed="false">
      <c r="B16" s="15" t="s">
        <v>27</v>
      </c>
      <c r="C16" s="15"/>
      <c r="D16" s="15"/>
      <c r="E16" s="16" t="s">
        <v>28</v>
      </c>
      <c r="F16" s="17" t="n">
        <f aca="false">SUMIFS(Diario!$AH$6:$AH$370,Diario!$A$6:$A$370,"&gt;="&amp;$C$3,Diario!$A$6:$A$370,"&lt;="&amp;$F$3)</f>
        <v>3652.99035603471</v>
      </c>
      <c r="H16" s="15" t="s">
        <v>29</v>
      </c>
      <c r="I16" s="15"/>
      <c r="J16" s="15"/>
      <c r="K16" s="15"/>
      <c r="L16" s="18" t="n">
        <f aca="false">OBJETIVO_MES</f>
        <v>10000</v>
      </c>
      <c r="M16" s="18"/>
    </row>
    <row r="17" customFormat="false" ht="15" hidden="false" customHeight="false" outlineLevel="0" collapsed="false">
      <c r="B17" s="15" t="s">
        <v>30</v>
      </c>
      <c r="C17" s="15"/>
      <c r="D17" s="15"/>
      <c r="E17" s="19" t="n">
        <f aca="false">IF($F$16&gt;0,F17/$F$16,"")</f>
        <v>-0.113087726257809</v>
      </c>
      <c r="F17" s="17" t="n">
        <f aca="false">-SUMIFS(Diario!$AI$6:$AI$370,Diario!$A$6:$A$370,"&gt;="&amp;$C$3,Diario!$A$6:$A$370,"&lt;="&amp;$F$3)</f>
        <v>-413.108373405669</v>
      </c>
      <c r="H17" s="15" t="s">
        <v>31</v>
      </c>
      <c r="I17" s="15"/>
      <c r="J17" s="15"/>
      <c r="K17" s="15"/>
      <c r="L17" s="20" t="n">
        <f aca="false">F25/I3</f>
        <v>22.99462865715</v>
      </c>
      <c r="M17" s="20"/>
    </row>
    <row r="18" customFormat="false" ht="15" hidden="false" customHeight="false" outlineLevel="0" collapsed="false">
      <c r="B18" s="15" t="s">
        <v>32</v>
      </c>
      <c r="C18" s="15"/>
      <c r="D18" s="15"/>
      <c r="E18" s="19" t="n">
        <f aca="false">IF($F$16&gt;0,F18/$F$16,"")</f>
        <v>-0.198046854461186</v>
      </c>
      <c r="F18" s="17" t="n">
        <f aca="false">-SUMIFS(Diario!$AJ$6:$AJ$370,Diario!$A$6:$A$370,"&gt;="&amp;$C$3,Diario!$A$6:$A$370,"&lt;="&amp;$F$3)</f>
        <v>-723.463249389724</v>
      </c>
      <c r="H18" s="15" t="s">
        <v>33</v>
      </c>
      <c r="I18" s="15"/>
      <c r="J18" s="15"/>
      <c r="K18" s="15"/>
      <c r="L18" s="18" t="n">
        <f aca="false">L17*30</f>
        <v>689.8388597145</v>
      </c>
      <c r="M18" s="18"/>
    </row>
    <row r="19" customFormat="false" ht="15" hidden="false" customHeight="false" outlineLevel="0" collapsed="false">
      <c r="B19" s="15" t="s">
        <v>34</v>
      </c>
      <c r="C19" s="15"/>
      <c r="D19" s="15"/>
      <c r="E19" s="19" t="n">
        <f aca="false">IF($F$16&gt;0,F19/$F$16,"")</f>
        <v>-0.121219119397167</v>
      </c>
      <c r="F19" s="17" t="n">
        <f aca="false">-SUMIFS(Diario!$AK$6:$AK$370,Diario!$A$6:$A$370,"&gt;="&amp;$C$3,Diario!$A$6:$A$370,"&lt;="&amp;$F$3)</f>
        <v>-442.812274124871</v>
      </c>
      <c r="H19" s="21" t="s">
        <v>35</v>
      </c>
      <c r="I19" s="21"/>
      <c r="J19" s="21"/>
      <c r="K19" s="21"/>
      <c r="L19" s="22" t="n">
        <f aca="false">IF(L16&gt;0,L18/L16,"")</f>
        <v>0.06898388597145</v>
      </c>
      <c r="M19" s="22"/>
    </row>
    <row r="20" customFormat="false" ht="15" hidden="false" customHeight="false" outlineLevel="0" collapsed="false">
      <c r="B20" s="15" t="s">
        <v>36</v>
      </c>
      <c r="C20" s="15"/>
      <c r="D20" s="15"/>
      <c r="E20" s="19" t="n">
        <f aca="false">IF($F$16&gt;0,F20/$F$16,"")</f>
        <v>-0.0413496848548933</v>
      </c>
      <c r="F20" s="17" t="n">
        <f aca="false">-SUMIFS(Diario!$AO$6:$AO$370,Diario!$A$6:$A$370,"&gt;="&amp;$C$3,Diario!$A$6:$A$370,"&lt;="&amp;$F$3)</f>
        <v>-151.05</v>
      </c>
      <c r="H20" s="15" t="s">
        <v>37</v>
      </c>
      <c r="I20" s="15"/>
      <c r="J20" s="15"/>
      <c r="K20" s="15"/>
      <c r="L20" s="20" t="n">
        <f aca="false">BEN_PEDIDO</f>
        <v>11.8519320911406</v>
      </c>
      <c r="M20" s="20"/>
    </row>
    <row r="21" customFormat="false" ht="15" hidden="false" customHeight="false" outlineLevel="0" collapsed="false">
      <c r="B21" s="15" t="s">
        <v>38</v>
      </c>
      <c r="C21" s="15"/>
      <c r="D21" s="15"/>
      <c r="E21" s="19" t="n">
        <f aca="false">IF($F$16&gt;0,F21/$F$16,"")</f>
        <v>-0</v>
      </c>
      <c r="F21" s="17" t="n">
        <f aca="false">-SUMIFS(Diario!$AL$6:$AL$370,Diario!$A$6:$A$370,"&gt;="&amp;$C$3,Diario!$A$6:$A$370,"&lt;="&amp;$F$3)</f>
        <v>-0</v>
      </c>
      <c r="H21" s="15" t="s">
        <v>39</v>
      </c>
      <c r="I21" s="15"/>
      <c r="J21" s="15"/>
      <c r="K21" s="15"/>
      <c r="L21" s="20" t="n">
        <f aca="false">B10</f>
        <v>8.76528301886792</v>
      </c>
      <c r="M21" s="20"/>
    </row>
    <row r="22" customFormat="false" ht="15" hidden="false" customHeight="false" outlineLevel="0" collapsed="false">
      <c r="B22" s="15" t="s">
        <v>40</v>
      </c>
      <c r="C22" s="15"/>
      <c r="D22" s="15"/>
      <c r="E22" s="19" t="n">
        <f aca="false">IF($F$16&gt;0,F22/$F$16,"")</f>
        <v>-0.381517568941197</v>
      </c>
      <c r="F22" s="17" t="n">
        <f aca="false">-SUMIFS(Diario!$AM$6:$AM$370,Diario!$A$6:$A$370,"&gt;="&amp;$C$3,Diario!$A$6:$A$370,"&lt;="&amp;$F$3)</f>
        <v>-1393.68</v>
      </c>
      <c r="H22" s="15" t="s">
        <v>41</v>
      </c>
      <c r="I22" s="15"/>
      <c r="J22" s="15"/>
      <c r="K22" s="15"/>
      <c r="L22" s="20" t="n">
        <f aca="false">IF(ISNUMBER(L21),L20-L21*(1+RECARGO_ADS),"")</f>
        <v>3.08664907227266</v>
      </c>
      <c r="M22" s="20"/>
    </row>
    <row r="23" customFormat="false" ht="15" hidden="false" customHeight="false" outlineLevel="0" collapsed="false">
      <c r="B23" s="23" t="s">
        <v>42</v>
      </c>
      <c r="C23" s="23"/>
      <c r="D23" s="23"/>
      <c r="E23" s="24" t="n">
        <f aca="false">IF($F$16&gt;0,F23/$F$16,"")</f>
        <v>0.144779046087748</v>
      </c>
      <c r="F23" s="25" t="n">
        <f aca="false">SUM(F16:F22)</f>
        <v>528.87645911445</v>
      </c>
      <c r="H23" s="21" t="s">
        <v>43</v>
      </c>
      <c r="I23" s="21"/>
      <c r="J23" s="21"/>
      <c r="K23" s="21"/>
      <c r="L23" s="26" t="n">
        <f aca="false">IF(NOT(ISNUMBER(L22)),"",IF(L22&lt;=0,"Baja el CPA",ROUNDUP((L16-F24/I3*30)/30/L22,0)))</f>
        <v>108</v>
      </c>
      <c r="M23" s="26"/>
    </row>
    <row r="24" customFormat="false" ht="15" hidden="false" customHeight="false" outlineLevel="0" collapsed="false">
      <c r="B24" s="15" t="s">
        <v>44</v>
      </c>
      <c r="C24" s="15"/>
      <c r="D24" s="15"/>
      <c r="E24" s="19" t="n">
        <f aca="false">IF($F$16&gt;0,F24/$F$16,"")</f>
        <v>-0</v>
      </c>
      <c r="F24" s="17" t="n">
        <f aca="false">-SUMIFS(Gastos!$D$5:$D$304,Gastos!$A$5:$A$304,"&gt;="&amp;$C$3,Gastos!$A$5:$A$304,"&lt;="&amp;$F$3)</f>
        <v>-0</v>
      </c>
      <c r="H24" s="15" t="s">
        <v>45</v>
      </c>
      <c r="I24" s="15"/>
      <c r="J24" s="15"/>
      <c r="K24" s="15"/>
      <c r="L24" s="18" t="n">
        <f aca="false">IF(ISNUMBER(L23),L23*L21,"")</f>
        <v>946.650566037736</v>
      </c>
      <c r="M24" s="18"/>
    </row>
    <row r="25" customFormat="false" ht="15" hidden="false" customHeight="false" outlineLevel="0" collapsed="false">
      <c r="B25" s="23" t="s">
        <v>46</v>
      </c>
      <c r="C25" s="23"/>
      <c r="D25" s="23"/>
      <c r="E25" s="24" t="n">
        <f aca="false">IF($F$16&gt;0,F25/$F$16,"")</f>
        <v>0.144779046087748</v>
      </c>
      <c r="F25" s="25" t="n">
        <f aca="false">F23+F24</f>
        <v>528.87645911445</v>
      </c>
    </row>
    <row r="26" customFormat="false" ht="15" hidden="false" customHeight="false" outlineLevel="0" collapsed="false">
      <c r="B26" s="27" t="s">
        <v>47</v>
      </c>
      <c r="C26" s="27"/>
      <c r="D26" s="27"/>
      <c r="F26" s="28" t="n">
        <f aca="false">IF(F16&gt;0,F25/F16,"")</f>
        <v>0.144779046087748</v>
      </c>
    </row>
    <row r="27" customFormat="false" ht="15" hidden="false" customHeight="false" outlineLevel="0" collapsed="false">
      <c r="B27" s="8" t="s">
        <v>48</v>
      </c>
      <c r="C27" s="8"/>
      <c r="D27" s="8"/>
      <c r="E27" s="8"/>
      <c r="F27" s="8"/>
      <c r="G27" s="8"/>
    </row>
    <row r="28" customFormat="false" ht="22.35" hidden="false" customHeight="false" outlineLevel="0" collapsed="false">
      <c r="B28" s="29" t="s">
        <v>49</v>
      </c>
      <c r="C28" s="29" t="s">
        <v>50</v>
      </c>
      <c r="D28" s="29" t="s">
        <v>51</v>
      </c>
      <c r="E28" s="29" t="s">
        <v>52</v>
      </c>
      <c r="F28" s="29" t="s">
        <v>53</v>
      </c>
      <c r="G28" s="29" t="s">
        <v>54</v>
      </c>
    </row>
    <row r="29" customFormat="false" ht="15" hidden="false" customHeight="false" outlineLevel="0" collapsed="false">
      <c r="B29" s="30" t="n">
        <f aca="false">$F$3-13</f>
        <v>46305</v>
      </c>
      <c r="C29" s="31" t="n">
        <f aca="false">SUMIFS(Diario!$P$6:$P$370,Diario!$A$6:$A$370,$B29)</f>
        <v>9</v>
      </c>
      <c r="D29" s="32" t="n">
        <f aca="false">SUMIFS(Diario!$N$6:$N$370,Diario!$A$6:$A$370,$B29)</f>
        <v>64.81</v>
      </c>
      <c r="E29" s="32" t="n">
        <f aca="false">IF(C29&gt;0,D29/C29,"")</f>
        <v>7.20111111111111</v>
      </c>
      <c r="F29" s="33" t="n">
        <f aca="false">SUMIFS(Diario!$Y$6:$Y$370,Diario!$A$6:$A$370,$B29)</f>
        <v>-5.198066</v>
      </c>
      <c r="G29" s="34" t="n">
        <f aca="false">IF((SUMIFS(Diario!$E$6:$E$370,Diario!$A$6:$A$370,$B29)+SUMIFS(Diario!$F$6:$F$370,Diario!$A$6:$A$370,$B29)+SUMIFS(Diario!$G$6:$G$370,Diario!$A$6:$A$370,$B29)+SUMIFS(Diario!$H$6:$H$370,Diario!$A$6:$A$370,$B29)+SUMIFS(Diario!$I$6:$I$370,Diario!$A$6:$A$370,$B29)+SUMIFS(Diario!$J$6:$J$370,Diario!$A$6:$A$370,$B29))&gt;0,(SUMIFS(Diario!$E$6:$E$370,Diario!$A$6:$A$370,$B29)+SUMIFS(Diario!$F$6:$F$370,Diario!$A$6:$A$370,$B29)+SUMIFS(Diario!$G$6:$G$370,Diario!$A$6:$A$370,$B29))/(SUMIFS(Diario!$E$6:$E$370,Diario!$A$6:$A$370,$B29)+SUMIFS(Diario!$F$6:$F$370,Diario!$A$6:$A$370,$B29)+SUMIFS(Diario!$G$6:$G$370,Diario!$A$6:$A$370,$B29)+SUMIFS(Diario!$H$6:$H$370,Diario!$A$6:$A$370,$B29)+SUMIFS(Diario!$I$6:$I$370,Diario!$A$6:$A$370,$B29)+SUMIFS(Diario!$J$6:$J$370,Diario!$A$6:$A$370,$B29)),"")</f>
        <v>0.5</v>
      </c>
    </row>
    <row r="30" customFormat="false" ht="15" hidden="false" customHeight="false" outlineLevel="0" collapsed="false">
      <c r="B30" s="30" t="n">
        <f aca="false">$F$3-12</f>
        <v>46306</v>
      </c>
      <c r="C30" s="31" t="n">
        <f aca="false">SUMIFS(Diario!$P$6:$P$370,Diario!$A$6:$A$370,$B30)</f>
        <v>6</v>
      </c>
      <c r="D30" s="32" t="n">
        <f aca="false">SUMIFS(Diario!$N$6:$N$370,Diario!$A$6:$A$370,$B30)</f>
        <v>89.51</v>
      </c>
      <c r="E30" s="32" t="n">
        <f aca="false">IF(C30&gt;0,D30/C30,"")</f>
        <v>14.9183333333333</v>
      </c>
      <c r="F30" s="33" t="n">
        <f aca="false">SUMIFS(Diario!$Y$6:$Y$370,Diario!$A$6:$A$370,$B30)</f>
        <v>-112.2279</v>
      </c>
      <c r="G30" s="34" t="n">
        <f aca="false">IF((SUMIFS(Diario!$E$6:$E$370,Diario!$A$6:$A$370,$B30)+SUMIFS(Diario!$F$6:$F$370,Diario!$A$6:$A$370,$B30)+SUMIFS(Diario!$G$6:$G$370,Diario!$A$6:$A$370,$B30)+SUMIFS(Diario!$H$6:$H$370,Diario!$A$6:$A$370,$B30)+SUMIFS(Diario!$I$6:$I$370,Diario!$A$6:$A$370,$B30)+SUMIFS(Diario!$J$6:$J$370,Diario!$A$6:$A$370,$B30))&gt;0,(SUMIFS(Diario!$E$6:$E$370,Diario!$A$6:$A$370,$B30)+SUMIFS(Diario!$F$6:$F$370,Diario!$A$6:$A$370,$B30)+SUMIFS(Diario!$G$6:$G$370,Diario!$A$6:$A$370,$B30))/(SUMIFS(Diario!$E$6:$E$370,Diario!$A$6:$A$370,$B30)+SUMIFS(Diario!$F$6:$F$370,Diario!$A$6:$A$370,$B30)+SUMIFS(Diario!$G$6:$G$370,Diario!$A$6:$A$370,$B30)+SUMIFS(Diario!$H$6:$H$370,Diario!$A$6:$A$370,$B30)+SUMIFS(Diario!$I$6:$I$370,Diario!$A$6:$A$370,$B30)+SUMIFS(Diario!$J$6:$J$370,Diario!$A$6:$A$370,$B30)),"")</f>
        <v>0.166666666666667</v>
      </c>
    </row>
    <row r="31" customFormat="false" ht="15" hidden="false" customHeight="false" outlineLevel="0" collapsed="false">
      <c r="B31" s="30" t="n">
        <f aca="false">$F$3-11</f>
        <v>46307</v>
      </c>
      <c r="C31" s="31" t="n">
        <f aca="false">SUMIFS(Diario!$P$6:$P$370,Diario!$A$6:$A$370,$B31)</f>
        <v>14</v>
      </c>
      <c r="D31" s="32" t="n">
        <f aca="false">SUMIFS(Diario!$N$6:$N$370,Diario!$A$6:$A$370,$B31)</f>
        <v>78.33</v>
      </c>
      <c r="E31" s="32" t="n">
        <f aca="false">IF(C31&gt;0,D31/C31,"")</f>
        <v>5.595</v>
      </c>
      <c r="F31" s="33" t="n">
        <f aca="false">SUMIFS(Diario!$Y$6:$Y$370,Diario!$A$6:$A$370,$B31)</f>
        <v>49.015501</v>
      </c>
      <c r="G31" s="34" t="n">
        <f aca="false">IF((SUMIFS(Diario!$E$6:$E$370,Diario!$A$6:$A$370,$B31)+SUMIFS(Diario!$F$6:$F$370,Diario!$A$6:$A$370,$B31)+SUMIFS(Diario!$G$6:$G$370,Diario!$A$6:$A$370,$B31)+SUMIFS(Diario!$H$6:$H$370,Diario!$A$6:$A$370,$B31)+SUMIFS(Diario!$I$6:$I$370,Diario!$A$6:$A$370,$B31)+SUMIFS(Diario!$J$6:$J$370,Diario!$A$6:$A$370,$B31))&gt;0,(SUMIFS(Diario!$E$6:$E$370,Diario!$A$6:$A$370,$B31)+SUMIFS(Diario!$F$6:$F$370,Diario!$A$6:$A$370,$B31)+SUMIFS(Diario!$G$6:$G$370,Diario!$A$6:$A$370,$B31))/(SUMIFS(Diario!$E$6:$E$370,Diario!$A$6:$A$370,$B31)+SUMIFS(Diario!$F$6:$F$370,Diario!$A$6:$A$370,$B31)+SUMIFS(Diario!$G$6:$G$370,Diario!$A$6:$A$370,$B31)+SUMIFS(Diario!$H$6:$H$370,Diario!$A$6:$A$370,$B31)+SUMIFS(Diario!$I$6:$I$370,Diario!$A$6:$A$370,$B31)+SUMIFS(Diario!$J$6:$J$370,Diario!$A$6:$A$370,$B31)),"")</f>
        <v>0.636363636363636</v>
      </c>
    </row>
    <row r="32" customFormat="false" ht="15" hidden="false" customHeight="false" outlineLevel="0" collapsed="false">
      <c r="B32" s="30" t="n">
        <f aca="false">$F$3-10</f>
        <v>46308</v>
      </c>
      <c r="C32" s="31" t="n">
        <f aca="false">SUMIFS(Diario!$P$6:$P$370,Diario!$A$6:$A$370,$B32)</f>
        <v>9</v>
      </c>
      <c r="D32" s="32" t="n">
        <f aca="false">SUMIFS(Diario!$N$6:$N$370,Diario!$A$6:$A$370,$B32)</f>
        <v>68.05</v>
      </c>
      <c r="E32" s="32" t="n">
        <f aca="false">IF(C32&gt;0,D32/C32,"")</f>
        <v>7.56111111111111</v>
      </c>
      <c r="F32" s="33" t="n">
        <f aca="false">SUMIFS(Diario!$Y$6:$Y$370,Diario!$A$6:$A$370,$B32)</f>
        <v>27.170735</v>
      </c>
      <c r="G32" s="34" t="n">
        <f aca="false">IF((SUMIFS(Diario!$E$6:$E$370,Diario!$A$6:$A$370,$B32)+SUMIFS(Diario!$F$6:$F$370,Diario!$A$6:$A$370,$B32)+SUMIFS(Diario!$G$6:$G$370,Diario!$A$6:$A$370,$B32)+SUMIFS(Diario!$H$6:$H$370,Diario!$A$6:$A$370,$B32)+SUMIFS(Diario!$I$6:$I$370,Diario!$A$6:$A$370,$B32)+SUMIFS(Diario!$J$6:$J$370,Diario!$A$6:$A$370,$B32))&gt;0,(SUMIFS(Diario!$E$6:$E$370,Diario!$A$6:$A$370,$B32)+SUMIFS(Diario!$F$6:$F$370,Diario!$A$6:$A$370,$B32)+SUMIFS(Diario!$G$6:$G$370,Diario!$A$6:$A$370,$B32))/(SUMIFS(Diario!$E$6:$E$370,Diario!$A$6:$A$370,$B32)+SUMIFS(Diario!$F$6:$F$370,Diario!$A$6:$A$370,$B32)+SUMIFS(Diario!$G$6:$G$370,Diario!$A$6:$A$370,$B32)+SUMIFS(Diario!$H$6:$H$370,Diario!$A$6:$A$370,$B32)+SUMIFS(Diario!$I$6:$I$370,Diario!$A$6:$A$370,$B32)+SUMIFS(Diario!$J$6:$J$370,Diario!$A$6:$A$370,$B32)),"")</f>
        <v>0.833333333333333</v>
      </c>
    </row>
    <row r="33" customFormat="false" ht="15" hidden="false" customHeight="false" outlineLevel="0" collapsed="false">
      <c r="B33" s="30" t="n">
        <f aca="false">$F$3-9</f>
        <v>46309</v>
      </c>
      <c r="C33" s="31" t="n">
        <f aca="false">SUMIFS(Diario!$P$6:$P$370,Diario!$A$6:$A$370,$B33)</f>
        <v>9</v>
      </c>
      <c r="D33" s="32" t="n">
        <f aca="false">SUMIFS(Diario!$N$6:$N$370,Diario!$A$6:$A$370,$B33)</f>
        <v>73.35</v>
      </c>
      <c r="E33" s="32" t="n">
        <f aca="false">IF(C33&gt;0,D33/C33,"")</f>
        <v>8.15</v>
      </c>
      <c r="F33" s="33" t="n">
        <f aca="false">SUMIFS(Diario!$Y$6:$Y$370,Diario!$A$6:$A$370,$B33)</f>
        <v>57.225835</v>
      </c>
      <c r="G33" s="34" t="n">
        <f aca="false">IF((SUMIFS(Diario!$E$6:$E$370,Diario!$A$6:$A$370,$B33)+SUMIFS(Diario!$F$6:$F$370,Diario!$A$6:$A$370,$B33)+SUMIFS(Diario!$G$6:$G$370,Diario!$A$6:$A$370,$B33)+SUMIFS(Diario!$H$6:$H$370,Diario!$A$6:$A$370,$B33)+SUMIFS(Diario!$I$6:$I$370,Diario!$A$6:$A$370,$B33)+SUMIFS(Diario!$J$6:$J$370,Diario!$A$6:$A$370,$B33))&gt;0,(SUMIFS(Diario!$E$6:$E$370,Diario!$A$6:$A$370,$B33)+SUMIFS(Diario!$F$6:$F$370,Diario!$A$6:$A$370,$B33)+SUMIFS(Diario!$G$6:$G$370,Diario!$A$6:$A$370,$B33))/(SUMIFS(Diario!$E$6:$E$370,Diario!$A$6:$A$370,$B33)+SUMIFS(Diario!$F$6:$F$370,Diario!$A$6:$A$370,$B33)+SUMIFS(Diario!$G$6:$G$370,Diario!$A$6:$A$370,$B33)+SUMIFS(Diario!$H$6:$H$370,Diario!$A$6:$A$370,$B33)+SUMIFS(Diario!$I$6:$I$370,Diario!$A$6:$A$370,$B33)+SUMIFS(Diario!$J$6:$J$370,Diario!$A$6:$A$370,$B33)),"")</f>
        <v>1</v>
      </c>
    </row>
    <row r="34" customFormat="false" ht="15" hidden="false" customHeight="false" outlineLevel="0" collapsed="false">
      <c r="B34" s="30" t="n">
        <f aca="false">$F$3-8</f>
        <v>46310</v>
      </c>
      <c r="C34" s="31" t="n">
        <f aca="false">SUMIFS(Diario!$P$6:$P$370,Diario!$A$6:$A$370,$B34)</f>
        <v>5</v>
      </c>
      <c r="D34" s="32" t="n">
        <f aca="false">SUMIFS(Diario!$N$6:$N$370,Diario!$A$6:$A$370,$B34)</f>
        <v>60.8</v>
      </c>
      <c r="E34" s="32" t="n">
        <f aca="false">IF(C34&gt;0,D34/C34,"")</f>
        <v>12.16</v>
      </c>
      <c r="F34" s="33" t="n">
        <f aca="false">SUMIFS(Diario!$Y$6:$Y$370,Diario!$A$6:$A$370,$B34)</f>
        <v>37.464167</v>
      </c>
      <c r="G34" s="34" t="n">
        <f aca="false">IF((SUMIFS(Diario!$E$6:$E$370,Diario!$A$6:$A$370,$B34)+SUMIFS(Diario!$F$6:$F$370,Diario!$A$6:$A$370,$B34)+SUMIFS(Diario!$G$6:$G$370,Diario!$A$6:$A$370,$B34)+SUMIFS(Diario!$H$6:$H$370,Diario!$A$6:$A$370,$B34)+SUMIFS(Diario!$I$6:$I$370,Diario!$A$6:$A$370,$B34)+SUMIFS(Diario!$J$6:$J$370,Diario!$A$6:$A$370,$B34))&gt;0,(SUMIFS(Diario!$E$6:$E$370,Diario!$A$6:$A$370,$B34)+SUMIFS(Diario!$F$6:$F$370,Diario!$A$6:$A$370,$B34)+SUMIFS(Diario!$G$6:$G$370,Diario!$A$6:$A$370,$B34))/(SUMIFS(Diario!$E$6:$E$370,Diario!$A$6:$A$370,$B34)+SUMIFS(Diario!$F$6:$F$370,Diario!$A$6:$A$370,$B34)+SUMIFS(Diario!$G$6:$G$370,Diario!$A$6:$A$370,$B34)+SUMIFS(Diario!$H$6:$H$370,Diario!$A$6:$A$370,$B34)+SUMIFS(Diario!$I$6:$I$370,Diario!$A$6:$A$370,$B34)+SUMIFS(Diario!$J$6:$J$370,Diario!$A$6:$A$370,$B34)),"")</f>
        <v>1</v>
      </c>
    </row>
    <row r="35" customFormat="false" ht="15" hidden="false" customHeight="false" outlineLevel="0" collapsed="false">
      <c r="B35" s="30" t="n">
        <f aca="false">$F$3-7</f>
        <v>46311</v>
      </c>
      <c r="C35" s="31" t="n">
        <f aca="false">SUMIFS(Diario!$P$6:$P$370,Diario!$A$6:$A$370,$B35)</f>
        <v>12</v>
      </c>
      <c r="D35" s="32" t="n">
        <f aca="false">SUMIFS(Diario!$N$6:$N$370,Diario!$A$6:$A$370,$B35)</f>
        <v>100.4</v>
      </c>
      <c r="E35" s="32" t="n">
        <f aca="false">IF(C35&gt;0,D35/C35,"")</f>
        <v>8.36666666666667</v>
      </c>
      <c r="F35" s="33" t="n">
        <f aca="false">SUMIFS(Diario!$Y$6:$Y$370,Diario!$A$6:$A$370,$B35)</f>
        <v>65.510936</v>
      </c>
      <c r="G35" s="34" t="n">
        <f aca="false">IF((SUMIFS(Diario!$E$6:$E$370,Diario!$A$6:$A$370,$B35)+SUMIFS(Diario!$F$6:$F$370,Diario!$A$6:$A$370,$B35)+SUMIFS(Diario!$G$6:$G$370,Diario!$A$6:$A$370,$B35)+SUMIFS(Diario!$H$6:$H$370,Diario!$A$6:$A$370,$B35)+SUMIFS(Diario!$I$6:$I$370,Diario!$A$6:$A$370,$B35)+SUMIFS(Diario!$J$6:$J$370,Diario!$A$6:$A$370,$B35))&gt;0,(SUMIFS(Diario!$E$6:$E$370,Diario!$A$6:$A$370,$B35)+SUMIFS(Diario!$F$6:$F$370,Diario!$A$6:$A$370,$B35)+SUMIFS(Diario!$G$6:$G$370,Diario!$A$6:$A$370,$B35))/(SUMIFS(Diario!$E$6:$E$370,Diario!$A$6:$A$370,$B35)+SUMIFS(Diario!$F$6:$F$370,Diario!$A$6:$A$370,$B35)+SUMIFS(Diario!$G$6:$G$370,Diario!$A$6:$A$370,$B35)+SUMIFS(Diario!$H$6:$H$370,Diario!$A$6:$A$370,$B35)+SUMIFS(Diario!$I$6:$I$370,Diario!$A$6:$A$370,$B35)+SUMIFS(Diario!$J$6:$J$370,Diario!$A$6:$A$370,$B35)),"")</f>
        <v>1</v>
      </c>
    </row>
    <row r="36" customFormat="false" ht="15" hidden="false" customHeight="false" outlineLevel="0" collapsed="false">
      <c r="B36" s="30" t="n">
        <f aca="false">$F$3-6</f>
        <v>46312</v>
      </c>
      <c r="C36" s="31" t="n">
        <f aca="false">SUMIFS(Diario!$P$6:$P$370,Diario!$A$6:$A$370,$B36)</f>
        <v>9</v>
      </c>
      <c r="D36" s="32" t="n">
        <f aca="false">SUMIFS(Diario!$N$6:$N$370,Diario!$A$6:$A$370,$B36)</f>
        <v>81.87</v>
      </c>
      <c r="E36" s="32" t="n">
        <f aca="false">IF(C36&gt;0,D36/C36,"")</f>
        <v>9.09666666666667</v>
      </c>
      <c r="F36" s="33" t="n">
        <f aca="false">SUMIFS(Diario!$Y$6:$Y$370,Diario!$A$6:$A$370,$B36)</f>
        <v>64.4834474680882</v>
      </c>
      <c r="G36" s="34" t="n">
        <f aca="false">IF((SUMIFS(Diario!$E$6:$E$370,Diario!$A$6:$A$370,$B36)+SUMIFS(Diario!$F$6:$F$370,Diario!$A$6:$A$370,$B36)+SUMIFS(Diario!$G$6:$G$370,Diario!$A$6:$A$370,$B36)+SUMIFS(Diario!$H$6:$H$370,Diario!$A$6:$A$370,$B36)+SUMIFS(Diario!$I$6:$I$370,Diario!$A$6:$A$370,$B36)+SUMIFS(Diario!$J$6:$J$370,Diario!$A$6:$A$370,$B36))&gt;0,(SUMIFS(Diario!$E$6:$E$370,Diario!$A$6:$A$370,$B36)+SUMIFS(Diario!$F$6:$F$370,Diario!$A$6:$A$370,$B36)+SUMIFS(Diario!$G$6:$G$370,Diario!$A$6:$A$370,$B36))/(SUMIFS(Diario!$E$6:$E$370,Diario!$A$6:$A$370,$B36)+SUMIFS(Diario!$F$6:$F$370,Diario!$A$6:$A$370,$B36)+SUMIFS(Diario!$G$6:$G$370,Diario!$A$6:$A$370,$B36)+SUMIFS(Diario!$H$6:$H$370,Diario!$A$6:$A$370,$B36)+SUMIFS(Diario!$I$6:$I$370,Diario!$A$6:$A$370,$B36)+SUMIFS(Diario!$J$6:$J$370,Diario!$A$6:$A$370,$B36)),"")</f>
        <v>1</v>
      </c>
    </row>
    <row r="37" customFormat="false" ht="15" hidden="false" customHeight="false" outlineLevel="0" collapsed="false">
      <c r="B37" s="30" t="n">
        <f aca="false">$F$3-5</f>
        <v>46313</v>
      </c>
      <c r="C37" s="31" t="n">
        <f aca="false">SUMIFS(Diario!$P$6:$P$370,Diario!$A$6:$A$370,$B37)</f>
        <v>12</v>
      </c>
      <c r="D37" s="32" t="n">
        <f aca="false">SUMIFS(Diario!$N$6:$N$370,Diario!$A$6:$A$370,$B37)</f>
        <v>149.88</v>
      </c>
      <c r="E37" s="32" t="n">
        <f aca="false">IF(C37&gt;0,D37/C37,"")</f>
        <v>12.49</v>
      </c>
      <c r="F37" s="33" t="n">
        <f aca="false">SUMIFS(Diario!$Y$6:$Y$370,Diario!$A$6:$A$370,$B37)</f>
        <v>108.753112885588</v>
      </c>
      <c r="G37" s="34" t="n">
        <f aca="false">IF((SUMIFS(Diario!$E$6:$E$370,Diario!$A$6:$A$370,$B37)+SUMIFS(Diario!$F$6:$F$370,Diario!$A$6:$A$370,$B37)+SUMIFS(Diario!$G$6:$G$370,Diario!$A$6:$A$370,$B37)+SUMIFS(Diario!$H$6:$H$370,Diario!$A$6:$A$370,$B37)+SUMIFS(Diario!$I$6:$I$370,Diario!$A$6:$A$370,$B37)+SUMIFS(Diario!$J$6:$J$370,Diario!$A$6:$A$370,$B37))&gt;0,(SUMIFS(Diario!$E$6:$E$370,Diario!$A$6:$A$370,$B37)+SUMIFS(Diario!$F$6:$F$370,Diario!$A$6:$A$370,$B37)+SUMIFS(Diario!$G$6:$G$370,Diario!$A$6:$A$370,$B37))/(SUMIFS(Diario!$E$6:$E$370,Diario!$A$6:$A$370,$B37)+SUMIFS(Diario!$F$6:$F$370,Diario!$A$6:$A$370,$B37)+SUMIFS(Diario!$G$6:$G$370,Diario!$A$6:$A$370,$B37)+SUMIFS(Diario!$H$6:$H$370,Diario!$A$6:$A$370,$B37)+SUMIFS(Diario!$I$6:$I$370,Diario!$A$6:$A$370,$B37)+SUMIFS(Diario!$J$6:$J$370,Diario!$A$6:$A$370,$B37)),"")</f>
        <v>1</v>
      </c>
    </row>
    <row r="38" customFormat="false" ht="15" hidden="false" customHeight="false" outlineLevel="0" collapsed="false">
      <c r="B38" s="30" t="n">
        <f aca="false">$F$3-4</f>
        <v>46314</v>
      </c>
      <c r="C38" s="31" t="n">
        <f aca="false">SUMIFS(Diario!$P$6:$P$370,Diario!$A$6:$A$370,$B38)</f>
        <v>8</v>
      </c>
      <c r="D38" s="32" t="n">
        <f aca="false">SUMIFS(Diario!$N$6:$N$370,Diario!$A$6:$A$370,$B38)</f>
        <v>85.31</v>
      </c>
      <c r="E38" s="32" t="n">
        <f aca="false">IF(C38&gt;0,D38/C38,"")</f>
        <v>10.66375</v>
      </c>
      <c r="F38" s="33" t="n">
        <f aca="false">SUMIFS(Diario!$Y$6:$Y$370,Diario!$A$6:$A$370,$B38)</f>
        <v>93.1131284195949</v>
      </c>
      <c r="G38" s="34" t="n">
        <f aca="false">IF((SUMIFS(Diario!$E$6:$E$370,Diario!$A$6:$A$370,$B38)+SUMIFS(Diario!$F$6:$F$370,Diario!$A$6:$A$370,$B38)+SUMIFS(Diario!$G$6:$G$370,Diario!$A$6:$A$370,$B38)+SUMIFS(Diario!$H$6:$H$370,Diario!$A$6:$A$370,$B38)+SUMIFS(Diario!$I$6:$I$370,Diario!$A$6:$A$370,$B38)+SUMIFS(Diario!$J$6:$J$370,Diario!$A$6:$A$370,$B38))&gt;0,(SUMIFS(Diario!$E$6:$E$370,Diario!$A$6:$A$370,$B38)+SUMIFS(Diario!$F$6:$F$370,Diario!$A$6:$A$370,$B38)+SUMIFS(Diario!$G$6:$G$370,Diario!$A$6:$A$370,$B38))/(SUMIFS(Diario!$E$6:$E$370,Diario!$A$6:$A$370,$B38)+SUMIFS(Diario!$F$6:$F$370,Diario!$A$6:$A$370,$B38)+SUMIFS(Diario!$G$6:$G$370,Diario!$A$6:$A$370,$B38)+SUMIFS(Diario!$H$6:$H$370,Diario!$A$6:$A$370,$B38)+SUMIFS(Diario!$I$6:$I$370,Diario!$A$6:$A$370,$B38)+SUMIFS(Diario!$J$6:$J$370,Diario!$A$6:$A$370,$B38)),"")</f>
        <v>1</v>
      </c>
    </row>
    <row r="39" customFormat="false" ht="15" hidden="false" customHeight="false" outlineLevel="0" collapsed="false">
      <c r="B39" s="30" t="n">
        <f aca="false">$F$3-3</f>
        <v>46315</v>
      </c>
      <c r="C39" s="31" t="n">
        <f aca="false">SUMIFS(Diario!$P$6:$P$370,Diario!$A$6:$A$370,$B39)</f>
        <v>6</v>
      </c>
      <c r="D39" s="32" t="n">
        <f aca="false">SUMIFS(Diario!$N$6:$N$370,Diario!$A$6:$A$370,$B39)</f>
        <v>71.96</v>
      </c>
      <c r="E39" s="32" t="n">
        <f aca="false">IF(C39&gt;0,D39/C39,"")</f>
        <v>11.9933333333333</v>
      </c>
      <c r="F39" s="33" t="n">
        <f aca="false">SUMIFS(Diario!$Y$6:$Y$370,Diario!$A$6:$A$370,$B39)</f>
        <v>46.153395853322</v>
      </c>
      <c r="G39" s="34" t="n">
        <f aca="false">IF((SUMIFS(Diario!$E$6:$E$370,Diario!$A$6:$A$370,$B39)+SUMIFS(Diario!$F$6:$F$370,Diario!$A$6:$A$370,$B39)+SUMIFS(Diario!$G$6:$G$370,Diario!$A$6:$A$370,$B39)+SUMIFS(Diario!$H$6:$H$370,Diario!$A$6:$A$370,$B39)+SUMIFS(Diario!$I$6:$I$370,Diario!$A$6:$A$370,$B39)+SUMIFS(Diario!$J$6:$J$370,Diario!$A$6:$A$370,$B39))&gt;0,(SUMIFS(Diario!$E$6:$E$370,Diario!$A$6:$A$370,$B39)+SUMIFS(Diario!$F$6:$F$370,Diario!$A$6:$A$370,$B39)+SUMIFS(Diario!$G$6:$G$370,Diario!$A$6:$A$370,$B39))/(SUMIFS(Diario!$E$6:$E$370,Diario!$A$6:$A$370,$B39)+SUMIFS(Diario!$F$6:$F$370,Diario!$A$6:$A$370,$B39)+SUMIFS(Diario!$G$6:$G$370,Diario!$A$6:$A$370,$B39)+SUMIFS(Diario!$H$6:$H$370,Diario!$A$6:$A$370,$B39)+SUMIFS(Diario!$I$6:$I$370,Diario!$A$6:$A$370,$B39)+SUMIFS(Diario!$J$6:$J$370,Diario!$A$6:$A$370,$B39)),"")</f>
        <v>1</v>
      </c>
    </row>
    <row r="40" customFormat="false" ht="15" hidden="false" customHeight="false" outlineLevel="0" collapsed="false">
      <c r="B40" s="30" t="n">
        <f aca="false">$F$3-2</f>
        <v>46316</v>
      </c>
      <c r="C40" s="31" t="n">
        <f aca="false">SUMIFS(Diario!$P$6:$P$370,Diario!$A$6:$A$370,$B40)</f>
        <v>5</v>
      </c>
      <c r="D40" s="32" t="n">
        <f aca="false">SUMIFS(Diario!$N$6:$N$370,Diario!$A$6:$A$370,$B40)</f>
        <v>79.53</v>
      </c>
      <c r="E40" s="32" t="n">
        <f aca="false">IF(C40&gt;0,D40/C40,"")</f>
        <v>15.906</v>
      </c>
      <c r="F40" s="33" t="n">
        <f aca="false">SUMIFS(Diario!$Y$6:$Y$370,Diario!$A$6:$A$370,$B40)</f>
        <v>18.0858670313511</v>
      </c>
      <c r="G40" s="34" t="n">
        <f aca="false">IF((SUMIFS(Diario!$E$6:$E$370,Diario!$A$6:$A$370,$B40)+SUMIFS(Diario!$F$6:$F$370,Diario!$A$6:$A$370,$B40)+SUMIFS(Diario!$G$6:$G$370,Diario!$A$6:$A$370,$B40)+SUMIFS(Diario!$H$6:$H$370,Diario!$A$6:$A$370,$B40)+SUMIFS(Diario!$I$6:$I$370,Diario!$A$6:$A$370,$B40)+SUMIFS(Diario!$J$6:$J$370,Diario!$A$6:$A$370,$B40))&gt;0,(SUMIFS(Diario!$E$6:$E$370,Diario!$A$6:$A$370,$B40)+SUMIFS(Diario!$F$6:$F$370,Diario!$A$6:$A$370,$B40)+SUMIFS(Diario!$G$6:$G$370,Diario!$A$6:$A$370,$B40))/(SUMIFS(Diario!$E$6:$E$370,Diario!$A$6:$A$370,$B40)+SUMIFS(Diario!$F$6:$F$370,Diario!$A$6:$A$370,$B40)+SUMIFS(Diario!$G$6:$G$370,Diario!$A$6:$A$370,$B40)+SUMIFS(Diario!$H$6:$H$370,Diario!$A$6:$A$370,$B40)+SUMIFS(Diario!$I$6:$I$370,Diario!$A$6:$A$370,$B40)+SUMIFS(Diario!$J$6:$J$370,Diario!$A$6:$A$370,$B40)),"")</f>
        <v>1</v>
      </c>
    </row>
    <row r="41" customFormat="false" ht="15" hidden="false" customHeight="false" outlineLevel="0" collapsed="false">
      <c r="B41" s="30" t="n">
        <f aca="false">$F$3-1</f>
        <v>46317</v>
      </c>
      <c r="C41" s="31" t="n">
        <f aca="false">SUMIFS(Diario!$P$6:$P$370,Diario!$A$6:$A$370,$B41)</f>
        <v>6</v>
      </c>
      <c r="D41" s="32" t="n">
        <f aca="false">SUMIFS(Diario!$N$6:$N$370,Diario!$A$6:$A$370,$B41)</f>
        <v>83.29</v>
      </c>
      <c r="E41" s="32" t="n">
        <f aca="false">IF(C41&gt;0,D41/C41,"")</f>
        <v>13.8816666666667</v>
      </c>
      <c r="F41" s="33" t="n">
        <f aca="false">SUMIFS(Diario!$Y$6:$Y$370,Diario!$A$6:$A$370,$B41)</f>
        <v>5.65287932381606</v>
      </c>
      <c r="G41" s="34" t="n">
        <f aca="false">IF((SUMIFS(Diario!$E$6:$E$370,Diario!$A$6:$A$370,$B41)+SUMIFS(Diario!$F$6:$F$370,Diario!$A$6:$A$370,$B41)+SUMIFS(Diario!$G$6:$G$370,Diario!$A$6:$A$370,$B41)+SUMIFS(Diario!$H$6:$H$370,Diario!$A$6:$A$370,$B41)+SUMIFS(Diario!$I$6:$I$370,Diario!$A$6:$A$370,$B41)+SUMIFS(Diario!$J$6:$J$370,Diario!$A$6:$A$370,$B41))&gt;0,(SUMIFS(Diario!$E$6:$E$370,Diario!$A$6:$A$370,$B41)+SUMIFS(Diario!$F$6:$F$370,Diario!$A$6:$A$370,$B41)+SUMIFS(Diario!$G$6:$G$370,Diario!$A$6:$A$370,$B41))/(SUMIFS(Diario!$E$6:$E$370,Diario!$A$6:$A$370,$B41)+SUMIFS(Diario!$F$6:$F$370,Diario!$A$6:$A$370,$B41)+SUMIFS(Diario!$G$6:$G$370,Diario!$A$6:$A$370,$B41)+SUMIFS(Diario!$H$6:$H$370,Diario!$A$6:$A$370,$B41)+SUMIFS(Diario!$I$6:$I$370,Diario!$A$6:$A$370,$B41)+SUMIFS(Diario!$J$6:$J$370,Diario!$A$6:$A$370,$B41)),"")</f>
        <v>1</v>
      </c>
    </row>
    <row r="42" customFormat="false" ht="15" hidden="false" customHeight="false" outlineLevel="0" collapsed="false">
      <c r="B42" s="30" t="n">
        <f aca="false">$F$3-0</f>
        <v>46318</v>
      </c>
      <c r="C42" s="31" t="n">
        <f aca="false">SUMIFS(Diario!$P$6:$P$370,Diario!$A$6:$A$370,$B42)</f>
        <v>4</v>
      </c>
      <c r="D42" s="32" t="n">
        <f aca="false">SUMIFS(Diario!$N$6:$N$370,Diario!$A$6:$A$370,$B42)</f>
        <v>29.29</v>
      </c>
      <c r="E42" s="32" t="n">
        <f aca="false">IF(C42&gt;0,D42/C42,"")</f>
        <v>7.3225</v>
      </c>
      <c r="F42" s="33" t="n">
        <f aca="false">SUMIFS(Diario!$Y$6:$Y$370,Diario!$A$6:$A$370,$B42)</f>
        <v>16.6358521326894</v>
      </c>
      <c r="G42" s="34" t="str">
        <f aca="false">IF((SUMIFS(Diario!$E$6:$E$370,Diario!$A$6:$A$370,$B42)+SUMIFS(Diario!$F$6:$F$370,Diario!$A$6:$A$370,$B42)+SUMIFS(Diario!$G$6:$G$370,Diario!$A$6:$A$370,$B42)+SUMIFS(Diario!$H$6:$H$370,Diario!$A$6:$A$370,$B42)+SUMIFS(Diario!$I$6:$I$370,Diario!$A$6:$A$370,$B42)+SUMIFS(Diario!$J$6:$J$370,Diario!$A$6:$A$370,$B42))&gt;0,(SUMIFS(Diario!$E$6:$E$370,Diario!$A$6:$A$370,$B42)+SUMIFS(Diario!$F$6:$F$370,Diario!$A$6:$A$370,$B42)+SUMIFS(Diario!$G$6:$G$370,Diario!$A$6:$A$370,$B42))/(SUMIFS(Diario!$E$6:$E$370,Diario!$A$6:$A$370,$B42)+SUMIFS(Diario!$F$6:$F$370,Diario!$A$6:$A$370,$B42)+SUMIFS(Diario!$G$6:$G$370,Diario!$A$6:$A$370,$B42)+SUMIFS(Diario!$H$6:$H$370,Diario!$A$6:$A$370,$B42)+SUMIFS(Diario!$I$6:$I$370,Diario!$A$6:$A$370,$B42)+SUMIFS(Diario!$J$6:$J$370,Diario!$A$6:$A$370,$B42)),"")</f>
        <v/>
      </c>
    </row>
    <row r="45" customFormat="false" ht="15" hidden="false" customHeight="false" outlineLevel="0" collapsed="false">
      <c r="B45" s="8" t="s">
        <v>55</v>
      </c>
      <c r="C45" s="8"/>
      <c r="D45" s="8"/>
      <c r="E45" s="8"/>
      <c r="F45" s="8"/>
      <c r="G45" s="8"/>
      <c r="H45" s="8"/>
      <c r="I45" s="8"/>
      <c r="J45" s="8"/>
      <c r="K45" s="8"/>
      <c r="L45" s="8"/>
      <c r="M45" s="8"/>
    </row>
    <row r="46" customFormat="false" ht="27.75" hidden="false" customHeight="true" outlineLevel="0" collapsed="false">
      <c r="B46" s="29" t="s">
        <v>56</v>
      </c>
      <c r="C46" s="29" t="s">
        <v>50</v>
      </c>
      <c r="D46" s="29" t="s">
        <v>51</v>
      </c>
      <c r="E46" s="29" t="s">
        <v>52</v>
      </c>
      <c r="F46" s="29" t="s">
        <v>57</v>
      </c>
      <c r="G46" s="29" t="s">
        <v>58</v>
      </c>
      <c r="H46" s="29" t="s">
        <v>59</v>
      </c>
      <c r="I46" s="29" t="s">
        <v>54</v>
      </c>
      <c r="J46" s="29" t="s">
        <v>60</v>
      </c>
      <c r="K46" s="29" t="s">
        <v>61</v>
      </c>
      <c r="L46" s="29" t="s">
        <v>62</v>
      </c>
      <c r="M46" s="29" t="s">
        <v>63</v>
      </c>
      <c r="O46" s="35" t="s">
        <v>64</v>
      </c>
    </row>
    <row r="47" customFormat="false" ht="15" hidden="false" customHeight="false" outlineLevel="0" collapsed="false">
      <c r="B47" s="36" t="n">
        <f aca="false">DATE(YEAR(FECHA_INICIO),MONTH(FECHA_INICIO)+0,1)</f>
        <v>46296</v>
      </c>
      <c r="C47" s="31" t="n">
        <f aca="false">SUMIFS(Diario!$P$6:$P$370,Diario!$A$6:$A$370,"&gt;="&amp;$B47,Diario!$A$6:$A$370,"&lt;="&amp;EOMONTH($B47,0))</f>
        <v>159</v>
      </c>
      <c r="D47" s="37" t="n">
        <f aca="false">SUMIFS(Diario!$N$6:$N$370,Diario!$A$6:$A$370,"&gt;="&amp;$B47,Diario!$A$6:$A$370,"&lt;="&amp;EOMONTH($B47,0))</f>
        <v>1393.68</v>
      </c>
      <c r="E47" s="32" t="n">
        <f aca="false">IF(C47&gt;0,D47/C47,"")</f>
        <v>8.76528301886792</v>
      </c>
      <c r="F47" s="37" t="n">
        <f aca="false">SUMIFS(Diario!$R$6:$R$370,Diario!$A$6:$A$370,"&gt;="&amp;$B47,Diario!$A$6:$A$370,"&lt;="&amp;EOMONTH($B47,0))</f>
        <v>5678.41</v>
      </c>
      <c r="G47" s="31" t="n">
        <f aca="false">SUMIFS(Diario!$E$6:$E$370,Diario!$A$6:$A$370,"&gt;="&amp;$B47,Diario!$A$6:$A$370,"&lt;="&amp;EOMONTH($B47,0))+SUMIFS(Diario!$F$6:$F$370,Diario!$A$6:$A$370,"&gt;="&amp;$B47,Diario!$A$6:$A$370,"&lt;="&amp;EOMONTH($B47,0))+SUMIFS(Diario!$G$6:$G$370,Diario!$A$6:$A$370,"&gt;="&amp;$B47,Diario!$A$6:$A$370,"&lt;="&amp;EOMONTH($B47,0))</f>
        <v>74</v>
      </c>
      <c r="H47" s="31" t="n">
        <f aca="false">SUMIFS(Diario!$H$6:$H$370,Diario!$A$6:$A$370,"&gt;="&amp;$B47,Diario!$A$6:$A$370,"&lt;="&amp;EOMONTH($B47,0))+SUMIFS(Diario!$I$6:$I$370,Diario!$A$6:$A$370,"&gt;="&amp;$B47,Diario!$A$6:$A$370,"&lt;="&amp;EOMONTH($B47,0))+SUMIFS(Diario!$J$6:$J$370,Diario!$A$6:$A$370,"&gt;="&amp;$B47,Diario!$A$6:$A$370,"&lt;="&amp;EOMONTH($B47,0))</f>
        <v>34</v>
      </c>
      <c r="I47" s="34" t="n">
        <f aca="false">IF(G47+H47&gt;0,G47/(G47+H47),"")</f>
        <v>0.685185185185185</v>
      </c>
      <c r="J47" s="37" t="n">
        <f aca="false">SUMIFS(Diario!$Y$6:$Y$370,Diario!$A$6:$A$370,"&gt;="&amp;$B47,Diario!$A$6:$A$370,"&lt;="&amp;EOMONTH($B47,0))</f>
        <v>528.87645911445</v>
      </c>
      <c r="K47" s="37" t="n">
        <f aca="false">-SUMIFS(Gastos!$D$5:$D$304,Gastos!$A$5:$A$304,"&gt;="&amp;$B47,Gastos!$A$5:$A$304,"&lt;="&amp;EOMONTH($B47,0))</f>
        <v>-0</v>
      </c>
      <c r="L47" s="38" t="n">
        <f aca="false">J47+K47</f>
        <v>528.87645911445</v>
      </c>
      <c r="M47" s="34" t="n">
        <f aca="false">IF(OBJETIVO_MES&gt;0,L47/OBJETIVO_MES,"")</f>
        <v>0.052887645911445</v>
      </c>
      <c r="O47" s="39" t="n">
        <f aca="false">OBJETIVO_MES</f>
        <v>10000</v>
      </c>
    </row>
    <row r="48" customFormat="false" ht="15" hidden="false" customHeight="false" outlineLevel="0" collapsed="false">
      <c r="B48" s="36" t="n">
        <f aca="false">DATE(YEAR(FECHA_INICIO),MONTH(FECHA_INICIO)+1,1)</f>
        <v>46327</v>
      </c>
      <c r="C48" s="31" t="n">
        <f aca="false">SUMIFS(Diario!$P$6:$P$370,Diario!$A$6:$A$370,"&gt;="&amp;$B48,Diario!$A$6:$A$370,"&lt;="&amp;EOMONTH($B48,0))</f>
        <v>0</v>
      </c>
      <c r="D48" s="37" t="n">
        <f aca="false">SUMIFS(Diario!$N$6:$N$370,Diario!$A$6:$A$370,"&gt;="&amp;$B48,Diario!$A$6:$A$370,"&lt;="&amp;EOMONTH($B48,0))</f>
        <v>0</v>
      </c>
      <c r="E48" s="32" t="str">
        <f aca="false">IF(C48&gt;0,D48/C48,"")</f>
        <v/>
      </c>
      <c r="F48" s="37" t="n">
        <f aca="false">SUMIFS(Diario!$R$6:$R$370,Diario!$A$6:$A$370,"&gt;="&amp;$B48,Diario!$A$6:$A$370,"&lt;="&amp;EOMONTH($B48,0))</f>
        <v>0</v>
      </c>
      <c r="G48" s="31" t="n">
        <f aca="false">SUMIFS(Diario!$E$6:$E$370,Diario!$A$6:$A$370,"&gt;="&amp;$B48,Diario!$A$6:$A$370,"&lt;="&amp;EOMONTH($B48,0))+SUMIFS(Diario!$F$6:$F$370,Diario!$A$6:$A$370,"&gt;="&amp;$B48,Diario!$A$6:$A$370,"&lt;="&amp;EOMONTH($B48,0))+SUMIFS(Diario!$G$6:$G$370,Diario!$A$6:$A$370,"&gt;="&amp;$B48,Diario!$A$6:$A$370,"&lt;="&amp;EOMONTH($B48,0))</f>
        <v>0</v>
      </c>
      <c r="H48" s="31" t="n">
        <f aca="false">SUMIFS(Diario!$H$6:$H$370,Diario!$A$6:$A$370,"&gt;="&amp;$B48,Diario!$A$6:$A$370,"&lt;="&amp;EOMONTH($B48,0))+SUMIFS(Diario!$I$6:$I$370,Diario!$A$6:$A$370,"&gt;="&amp;$B48,Diario!$A$6:$A$370,"&lt;="&amp;EOMONTH($B48,0))+SUMIFS(Diario!$J$6:$J$370,Diario!$A$6:$A$370,"&gt;="&amp;$B48,Diario!$A$6:$A$370,"&lt;="&amp;EOMONTH($B48,0))</f>
        <v>0</v>
      </c>
      <c r="I48" s="34" t="str">
        <f aca="false">IF(G48+H48&gt;0,G48/(G48+H48),"")</f>
        <v/>
      </c>
      <c r="J48" s="37" t="n">
        <f aca="false">SUMIFS(Diario!$Y$6:$Y$370,Diario!$A$6:$A$370,"&gt;="&amp;$B48,Diario!$A$6:$A$370,"&lt;="&amp;EOMONTH($B48,0))</f>
        <v>0</v>
      </c>
      <c r="K48" s="37" t="n">
        <f aca="false">-SUMIFS(Gastos!$D$5:$D$304,Gastos!$A$5:$A$304,"&gt;="&amp;$B48,Gastos!$A$5:$A$304,"&lt;="&amp;EOMONTH($B48,0))</f>
        <v>-0</v>
      </c>
      <c r="L48" s="38" t="n">
        <f aca="false">J48+K48</f>
        <v>0</v>
      </c>
      <c r="M48" s="34" t="n">
        <f aca="false">IF(OBJETIVO_MES&gt;0,L48/OBJETIVO_MES,"")</f>
        <v>0</v>
      </c>
      <c r="O48" s="39" t="n">
        <f aca="false">OBJETIVO_MES</f>
        <v>10000</v>
      </c>
    </row>
    <row r="49" customFormat="false" ht="15" hidden="false" customHeight="false" outlineLevel="0" collapsed="false">
      <c r="B49" s="36" t="n">
        <f aca="false">DATE(YEAR(FECHA_INICIO),MONTH(FECHA_INICIO)+2,1)</f>
        <v>46357</v>
      </c>
      <c r="C49" s="31" t="n">
        <f aca="false">SUMIFS(Diario!$P$6:$P$370,Diario!$A$6:$A$370,"&gt;="&amp;$B49,Diario!$A$6:$A$370,"&lt;="&amp;EOMONTH($B49,0))</f>
        <v>0</v>
      </c>
      <c r="D49" s="37" t="n">
        <f aca="false">SUMIFS(Diario!$N$6:$N$370,Diario!$A$6:$A$370,"&gt;="&amp;$B49,Diario!$A$6:$A$370,"&lt;="&amp;EOMONTH($B49,0))</f>
        <v>0</v>
      </c>
      <c r="E49" s="32" t="str">
        <f aca="false">IF(C49&gt;0,D49/C49,"")</f>
        <v/>
      </c>
      <c r="F49" s="37" t="n">
        <f aca="false">SUMIFS(Diario!$R$6:$R$370,Diario!$A$6:$A$370,"&gt;="&amp;$B49,Diario!$A$6:$A$370,"&lt;="&amp;EOMONTH($B49,0))</f>
        <v>0</v>
      </c>
      <c r="G49" s="31" t="n">
        <f aca="false">SUMIFS(Diario!$E$6:$E$370,Diario!$A$6:$A$370,"&gt;="&amp;$B49,Diario!$A$6:$A$370,"&lt;="&amp;EOMONTH($B49,0))+SUMIFS(Diario!$F$6:$F$370,Diario!$A$6:$A$370,"&gt;="&amp;$B49,Diario!$A$6:$A$370,"&lt;="&amp;EOMONTH($B49,0))+SUMIFS(Diario!$G$6:$G$370,Diario!$A$6:$A$370,"&gt;="&amp;$B49,Diario!$A$6:$A$370,"&lt;="&amp;EOMONTH($B49,0))</f>
        <v>0</v>
      </c>
      <c r="H49" s="31" t="n">
        <f aca="false">SUMIFS(Diario!$H$6:$H$370,Diario!$A$6:$A$370,"&gt;="&amp;$B49,Diario!$A$6:$A$370,"&lt;="&amp;EOMONTH($B49,0))+SUMIFS(Diario!$I$6:$I$370,Diario!$A$6:$A$370,"&gt;="&amp;$B49,Diario!$A$6:$A$370,"&lt;="&amp;EOMONTH($B49,0))+SUMIFS(Diario!$J$6:$J$370,Diario!$A$6:$A$370,"&gt;="&amp;$B49,Diario!$A$6:$A$370,"&lt;="&amp;EOMONTH($B49,0))</f>
        <v>0</v>
      </c>
      <c r="I49" s="34" t="str">
        <f aca="false">IF(G49+H49&gt;0,G49/(G49+H49),"")</f>
        <v/>
      </c>
      <c r="J49" s="37" t="n">
        <f aca="false">SUMIFS(Diario!$Y$6:$Y$370,Diario!$A$6:$A$370,"&gt;="&amp;$B49,Diario!$A$6:$A$370,"&lt;="&amp;EOMONTH($B49,0))</f>
        <v>0</v>
      </c>
      <c r="K49" s="37" t="n">
        <f aca="false">-SUMIFS(Gastos!$D$5:$D$304,Gastos!$A$5:$A$304,"&gt;="&amp;$B49,Gastos!$A$5:$A$304,"&lt;="&amp;EOMONTH($B49,0))</f>
        <v>-0</v>
      </c>
      <c r="L49" s="38" t="n">
        <f aca="false">J49+K49</f>
        <v>0</v>
      </c>
      <c r="M49" s="34" t="n">
        <f aca="false">IF(OBJETIVO_MES&gt;0,L49/OBJETIVO_MES,"")</f>
        <v>0</v>
      </c>
      <c r="O49" s="39" t="n">
        <f aca="false">OBJETIVO_MES</f>
        <v>10000</v>
      </c>
    </row>
    <row r="50" customFormat="false" ht="15" hidden="false" customHeight="false" outlineLevel="0" collapsed="false">
      <c r="B50" s="36" t="n">
        <f aca="false">DATE(YEAR(FECHA_INICIO),MONTH(FECHA_INICIO)+3,1)</f>
        <v>46388</v>
      </c>
      <c r="C50" s="31" t="n">
        <f aca="false">SUMIFS(Diario!$P$6:$P$370,Diario!$A$6:$A$370,"&gt;="&amp;$B50,Diario!$A$6:$A$370,"&lt;="&amp;EOMONTH($B50,0))</f>
        <v>0</v>
      </c>
      <c r="D50" s="37" t="n">
        <f aca="false">SUMIFS(Diario!$N$6:$N$370,Diario!$A$6:$A$370,"&gt;="&amp;$B50,Diario!$A$6:$A$370,"&lt;="&amp;EOMONTH($B50,0))</f>
        <v>0</v>
      </c>
      <c r="E50" s="32" t="str">
        <f aca="false">IF(C50&gt;0,D50/C50,"")</f>
        <v/>
      </c>
      <c r="F50" s="37" t="n">
        <f aca="false">SUMIFS(Diario!$R$6:$R$370,Diario!$A$6:$A$370,"&gt;="&amp;$B50,Diario!$A$6:$A$370,"&lt;="&amp;EOMONTH($B50,0))</f>
        <v>0</v>
      </c>
      <c r="G50" s="31" t="n">
        <f aca="false">SUMIFS(Diario!$E$6:$E$370,Diario!$A$6:$A$370,"&gt;="&amp;$B50,Diario!$A$6:$A$370,"&lt;="&amp;EOMONTH($B50,0))+SUMIFS(Diario!$F$6:$F$370,Diario!$A$6:$A$370,"&gt;="&amp;$B50,Diario!$A$6:$A$370,"&lt;="&amp;EOMONTH($B50,0))+SUMIFS(Diario!$G$6:$G$370,Diario!$A$6:$A$370,"&gt;="&amp;$B50,Diario!$A$6:$A$370,"&lt;="&amp;EOMONTH($B50,0))</f>
        <v>0</v>
      </c>
      <c r="H50" s="31" t="n">
        <f aca="false">SUMIFS(Diario!$H$6:$H$370,Diario!$A$6:$A$370,"&gt;="&amp;$B50,Diario!$A$6:$A$370,"&lt;="&amp;EOMONTH($B50,0))+SUMIFS(Diario!$I$6:$I$370,Diario!$A$6:$A$370,"&gt;="&amp;$B50,Diario!$A$6:$A$370,"&lt;="&amp;EOMONTH($B50,0))+SUMIFS(Diario!$J$6:$J$370,Diario!$A$6:$A$370,"&gt;="&amp;$B50,Diario!$A$6:$A$370,"&lt;="&amp;EOMONTH($B50,0))</f>
        <v>0</v>
      </c>
      <c r="I50" s="34" t="str">
        <f aca="false">IF(G50+H50&gt;0,G50/(G50+H50),"")</f>
        <v/>
      </c>
      <c r="J50" s="37" t="n">
        <f aca="false">SUMIFS(Diario!$Y$6:$Y$370,Diario!$A$6:$A$370,"&gt;="&amp;$B50,Diario!$A$6:$A$370,"&lt;="&amp;EOMONTH($B50,0))</f>
        <v>0</v>
      </c>
      <c r="K50" s="37" t="n">
        <f aca="false">-SUMIFS(Gastos!$D$5:$D$304,Gastos!$A$5:$A$304,"&gt;="&amp;$B50,Gastos!$A$5:$A$304,"&lt;="&amp;EOMONTH($B50,0))</f>
        <v>-0</v>
      </c>
      <c r="L50" s="38" t="n">
        <f aca="false">J50+K50</f>
        <v>0</v>
      </c>
      <c r="M50" s="34" t="n">
        <f aca="false">IF(OBJETIVO_MES&gt;0,L50/OBJETIVO_MES,"")</f>
        <v>0</v>
      </c>
      <c r="O50" s="39" t="n">
        <f aca="false">OBJETIVO_MES</f>
        <v>10000</v>
      </c>
    </row>
    <row r="51" customFormat="false" ht="15" hidden="false" customHeight="false" outlineLevel="0" collapsed="false">
      <c r="B51" s="36" t="n">
        <f aca="false">DATE(YEAR(FECHA_INICIO),MONTH(FECHA_INICIO)+4,1)</f>
        <v>46419</v>
      </c>
      <c r="C51" s="31" t="n">
        <f aca="false">SUMIFS(Diario!$P$6:$P$370,Diario!$A$6:$A$370,"&gt;="&amp;$B51,Diario!$A$6:$A$370,"&lt;="&amp;EOMONTH($B51,0))</f>
        <v>0</v>
      </c>
      <c r="D51" s="37" t="n">
        <f aca="false">SUMIFS(Diario!$N$6:$N$370,Diario!$A$6:$A$370,"&gt;="&amp;$B51,Diario!$A$6:$A$370,"&lt;="&amp;EOMONTH($B51,0))</f>
        <v>0</v>
      </c>
      <c r="E51" s="32" t="str">
        <f aca="false">IF(C51&gt;0,D51/C51,"")</f>
        <v/>
      </c>
      <c r="F51" s="37" t="n">
        <f aca="false">SUMIFS(Diario!$R$6:$R$370,Diario!$A$6:$A$370,"&gt;="&amp;$B51,Diario!$A$6:$A$370,"&lt;="&amp;EOMONTH($B51,0))</f>
        <v>0</v>
      </c>
      <c r="G51" s="31" t="n">
        <f aca="false">SUMIFS(Diario!$E$6:$E$370,Diario!$A$6:$A$370,"&gt;="&amp;$B51,Diario!$A$6:$A$370,"&lt;="&amp;EOMONTH($B51,0))+SUMIFS(Diario!$F$6:$F$370,Diario!$A$6:$A$370,"&gt;="&amp;$B51,Diario!$A$6:$A$370,"&lt;="&amp;EOMONTH($B51,0))+SUMIFS(Diario!$G$6:$G$370,Diario!$A$6:$A$370,"&gt;="&amp;$B51,Diario!$A$6:$A$370,"&lt;="&amp;EOMONTH($B51,0))</f>
        <v>0</v>
      </c>
      <c r="H51" s="31" t="n">
        <f aca="false">SUMIFS(Diario!$H$6:$H$370,Diario!$A$6:$A$370,"&gt;="&amp;$B51,Diario!$A$6:$A$370,"&lt;="&amp;EOMONTH($B51,0))+SUMIFS(Diario!$I$6:$I$370,Diario!$A$6:$A$370,"&gt;="&amp;$B51,Diario!$A$6:$A$370,"&lt;="&amp;EOMONTH($B51,0))+SUMIFS(Diario!$J$6:$J$370,Diario!$A$6:$A$370,"&gt;="&amp;$B51,Diario!$A$6:$A$370,"&lt;="&amp;EOMONTH($B51,0))</f>
        <v>0</v>
      </c>
      <c r="I51" s="34" t="str">
        <f aca="false">IF(G51+H51&gt;0,G51/(G51+H51),"")</f>
        <v/>
      </c>
      <c r="J51" s="37" t="n">
        <f aca="false">SUMIFS(Diario!$Y$6:$Y$370,Diario!$A$6:$A$370,"&gt;="&amp;$B51,Diario!$A$6:$A$370,"&lt;="&amp;EOMONTH($B51,0))</f>
        <v>0</v>
      </c>
      <c r="K51" s="37" t="n">
        <f aca="false">-SUMIFS(Gastos!$D$5:$D$304,Gastos!$A$5:$A$304,"&gt;="&amp;$B51,Gastos!$A$5:$A$304,"&lt;="&amp;EOMONTH($B51,0))</f>
        <v>-0</v>
      </c>
      <c r="L51" s="38" t="n">
        <f aca="false">J51+K51</f>
        <v>0</v>
      </c>
      <c r="M51" s="34" t="n">
        <f aca="false">IF(OBJETIVO_MES&gt;0,L51/OBJETIVO_MES,"")</f>
        <v>0</v>
      </c>
      <c r="O51" s="39" t="n">
        <f aca="false">OBJETIVO_MES</f>
        <v>10000</v>
      </c>
    </row>
    <row r="52" customFormat="false" ht="15" hidden="false" customHeight="false" outlineLevel="0" collapsed="false">
      <c r="B52" s="36" t="n">
        <f aca="false">DATE(YEAR(FECHA_INICIO),MONTH(FECHA_INICIO)+5,1)</f>
        <v>46447</v>
      </c>
      <c r="C52" s="31" t="n">
        <f aca="false">SUMIFS(Diario!$P$6:$P$370,Diario!$A$6:$A$370,"&gt;="&amp;$B52,Diario!$A$6:$A$370,"&lt;="&amp;EOMONTH($B52,0))</f>
        <v>0</v>
      </c>
      <c r="D52" s="37" t="n">
        <f aca="false">SUMIFS(Diario!$N$6:$N$370,Diario!$A$6:$A$370,"&gt;="&amp;$B52,Diario!$A$6:$A$370,"&lt;="&amp;EOMONTH($B52,0))</f>
        <v>0</v>
      </c>
      <c r="E52" s="32" t="str">
        <f aca="false">IF(C52&gt;0,D52/C52,"")</f>
        <v/>
      </c>
      <c r="F52" s="37" t="n">
        <f aca="false">SUMIFS(Diario!$R$6:$R$370,Diario!$A$6:$A$370,"&gt;="&amp;$B52,Diario!$A$6:$A$370,"&lt;="&amp;EOMONTH($B52,0))</f>
        <v>0</v>
      </c>
      <c r="G52" s="31" t="n">
        <f aca="false">SUMIFS(Diario!$E$6:$E$370,Diario!$A$6:$A$370,"&gt;="&amp;$B52,Diario!$A$6:$A$370,"&lt;="&amp;EOMONTH($B52,0))+SUMIFS(Diario!$F$6:$F$370,Diario!$A$6:$A$370,"&gt;="&amp;$B52,Diario!$A$6:$A$370,"&lt;="&amp;EOMONTH($B52,0))+SUMIFS(Diario!$G$6:$G$370,Diario!$A$6:$A$370,"&gt;="&amp;$B52,Diario!$A$6:$A$370,"&lt;="&amp;EOMONTH($B52,0))</f>
        <v>0</v>
      </c>
      <c r="H52" s="31" t="n">
        <f aca="false">SUMIFS(Diario!$H$6:$H$370,Diario!$A$6:$A$370,"&gt;="&amp;$B52,Diario!$A$6:$A$370,"&lt;="&amp;EOMONTH($B52,0))+SUMIFS(Diario!$I$6:$I$370,Diario!$A$6:$A$370,"&gt;="&amp;$B52,Diario!$A$6:$A$370,"&lt;="&amp;EOMONTH($B52,0))+SUMIFS(Diario!$J$6:$J$370,Diario!$A$6:$A$370,"&gt;="&amp;$B52,Diario!$A$6:$A$370,"&lt;="&amp;EOMONTH($B52,0))</f>
        <v>0</v>
      </c>
      <c r="I52" s="34" t="str">
        <f aca="false">IF(G52+H52&gt;0,G52/(G52+H52),"")</f>
        <v/>
      </c>
      <c r="J52" s="37" t="n">
        <f aca="false">SUMIFS(Diario!$Y$6:$Y$370,Diario!$A$6:$A$370,"&gt;="&amp;$B52,Diario!$A$6:$A$370,"&lt;="&amp;EOMONTH($B52,0))</f>
        <v>0</v>
      </c>
      <c r="K52" s="37" t="n">
        <f aca="false">-SUMIFS(Gastos!$D$5:$D$304,Gastos!$A$5:$A$304,"&gt;="&amp;$B52,Gastos!$A$5:$A$304,"&lt;="&amp;EOMONTH($B52,0))</f>
        <v>-0</v>
      </c>
      <c r="L52" s="38" t="n">
        <f aca="false">J52+K52</f>
        <v>0</v>
      </c>
      <c r="M52" s="34" t="n">
        <f aca="false">IF(OBJETIVO_MES&gt;0,L52/OBJETIVO_MES,"")</f>
        <v>0</v>
      </c>
      <c r="O52" s="39" t="n">
        <f aca="false">OBJETIVO_MES</f>
        <v>10000</v>
      </c>
    </row>
    <row r="53" customFormat="false" ht="15" hidden="false" customHeight="false" outlineLevel="0" collapsed="false">
      <c r="B53" s="36" t="n">
        <f aca="false">DATE(YEAR(FECHA_INICIO),MONTH(FECHA_INICIO)+6,1)</f>
        <v>46478</v>
      </c>
      <c r="C53" s="31" t="n">
        <f aca="false">SUMIFS(Diario!$P$6:$P$370,Diario!$A$6:$A$370,"&gt;="&amp;$B53,Diario!$A$6:$A$370,"&lt;="&amp;EOMONTH($B53,0))</f>
        <v>0</v>
      </c>
      <c r="D53" s="37" t="n">
        <f aca="false">SUMIFS(Diario!$N$6:$N$370,Diario!$A$6:$A$370,"&gt;="&amp;$B53,Diario!$A$6:$A$370,"&lt;="&amp;EOMONTH($B53,0))</f>
        <v>0</v>
      </c>
      <c r="E53" s="32" t="str">
        <f aca="false">IF(C53&gt;0,D53/C53,"")</f>
        <v/>
      </c>
      <c r="F53" s="37" t="n">
        <f aca="false">SUMIFS(Diario!$R$6:$R$370,Diario!$A$6:$A$370,"&gt;="&amp;$B53,Diario!$A$6:$A$370,"&lt;="&amp;EOMONTH($B53,0))</f>
        <v>0</v>
      </c>
      <c r="G53" s="31" t="n">
        <f aca="false">SUMIFS(Diario!$E$6:$E$370,Diario!$A$6:$A$370,"&gt;="&amp;$B53,Diario!$A$6:$A$370,"&lt;="&amp;EOMONTH($B53,0))+SUMIFS(Diario!$F$6:$F$370,Diario!$A$6:$A$370,"&gt;="&amp;$B53,Diario!$A$6:$A$370,"&lt;="&amp;EOMONTH($B53,0))+SUMIFS(Diario!$G$6:$G$370,Diario!$A$6:$A$370,"&gt;="&amp;$B53,Diario!$A$6:$A$370,"&lt;="&amp;EOMONTH($B53,0))</f>
        <v>0</v>
      </c>
      <c r="H53" s="31" t="n">
        <f aca="false">SUMIFS(Diario!$H$6:$H$370,Diario!$A$6:$A$370,"&gt;="&amp;$B53,Diario!$A$6:$A$370,"&lt;="&amp;EOMONTH($B53,0))+SUMIFS(Diario!$I$6:$I$370,Diario!$A$6:$A$370,"&gt;="&amp;$B53,Diario!$A$6:$A$370,"&lt;="&amp;EOMONTH($B53,0))+SUMIFS(Diario!$J$6:$J$370,Diario!$A$6:$A$370,"&gt;="&amp;$B53,Diario!$A$6:$A$370,"&lt;="&amp;EOMONTH($B53,0))</f>
        <v>0</v>
      </c>
      <c r="I53" s="34" t="str">
        <f aca="false">IF(G53+H53&gt;0,G53/(G53+H53),"")</f>
        <v/>
      </c>
      <c r="J53" s="37" t="n">
        <f aca="false">SUMIFS(Diario!$Y$6:$Y$370,Diario!$A$6:$A$370,"&gt;="&amp;$B53,Diario!$A$6:$A$370,"&lt;="&amp;EOMONTH($B53,0))</f>
        <v>0</v>
      </c>
      <c r="K53" s="37" t="n">
        <f aca="false">-SUMIFS(Gastos!$D$5:$D$304,Gastos!$A$5:$A$304,"&gt;="&amp;$B53,Gastos!$A$5:$A$304,"&lt;="&amp;EOMONTH($B53,0))</f>
        <v>-0</v>
      </c>
      <c r="L53" s="38" t="n">
        <f aca="false">J53+K53</f>
        <v>0</v>
      </c>
      <c r="M53" s="34" t="n">
        <f aca="false">IF(OBJETIVO_MES&gt;0,L53/OBJETIVO_MES,"")</f>
        <v>0</v>
      </c>
      <c r="O53" s="39" t="n">
        <f aca="false">OBJETIVO_MES</f>
        <v>10000</v>
      </c>
    </row>
    <row r="54" customFormat="false" ht="15" hidden="false" customHeight="false" outlineLevel="0" collapsed="false">
      <c r="B54" s="36" t="n">
        <f aca="false">DATE(YEAR(FECHA_INICIO),MONTH(FECHA_INICIO)+7,1)</f>
        <v>46508</v>
      </c>
      <c r="C54" s="31" t="n">
        <f aca="false">SUMIFS(Diario!$P$6:$P$370,Diario!$A$6:$A$370,"&gt;="&amp;$B54,Diario!$A$6:$A$370,"&lt;="&amp;EOMONTH($B54,0))</f>
        <v>0</v>
      </c>
      <c r="D54" s="37" t="n">
        <f aca="false">SUMIFS(Diario!$N$6:$N$370,Diario!$A$6:$A$370,"&gt;="&amp;$B54,Diario!$A$6:$A$370,"&lt;="&amp;EOMONTH($B54,0))</f>
        <v>0</v>
      </c>
      <c r="E54" s="32" t="str">
        <f aca="false">IF(C54&gt;0,D54/C54,"")</f>
        <v/>
      </c>
      <c r="F54" s="37" t="n">
        <f aca="false">SUMIFS(Diario!$R$6:$R$370,Diario!$A$6:$A$370,"&gt;="&amp;$B54,Diario!$A$6:$A$370,"&lt;="&amp;EOMONTH($B54,0))</f>
        <v>0</v>
      </c>
      <c r="G54" s="31" t="n">
        <f aca="false">SUMIFS(Diario!$E$6:$E$370,Diario!$A$6:$A$370,"&gt;="&amp;$B54,Diario!$A$6:$A$370,"&lt;="&amp;EOMONTH($B54,0))+SUMIFS(Diario!$F$6:$F$370,Diario!$A$6:$A$370,"&gt;="&amp;$B54,Diario!$A$6:$A$370,"&lt;="&amp;EOMONTH($B54,0))+SUMIFS(Diario!$G$6:$G$370,Diario!$A$6:$A$370,"&gt;="&amp;$B54,Diario!$A$6:$A$370,"&lt;="&amp;EOMONTH($B54,0))</f>
        <v>0</v>
      </c>
      <c r="H54" s="31" t="n">
        <f aca="false">SUMIFS(Diario!$H$6:$H$370,Diario!$A$6:$A$370,"&gt;="&amp;$B54,Diario!$A$6:$A$370,"&lt;="&amp;EOMONTH($B54,0))+SUMIFS(Diario!$I$6:$I$370,Diario!$A$6:$A$370,"&gt;="&amp;$B54,Diario!$A$6:$A$370,"&lt;="&amp;EOMONTH($B54,0))+SUMIFS(Diario!$J$6:$J$370,Diario!$A$6:$A$370,"&gt;="&amp;$B54,Diario!$A$6:$A$370,"&lt;="&amp;EOMONTH($B54,0))</f>
        <v>0</v>
      </c>
      <c r="I54" s="34" t="str">
        <f aca="false">IF(G54+H54&gt;0,G54/(G54+H54),"")</f>
        <v/>
      </c>
      <c r="J54" s="37" t="n">
        <f aca="false">SUMIFS(Diario!$Y$6:$Y$370,Diario!$A$6:$A$370,"&gt;="&amp;$B54,Diario!$A$6:$A$370,"&lt;="&amp;EOMONTH($B54,0))</f>
        <v>0</v>
      </c>
      <c r="K54" s="37" t="n">
        <f aca="false">-SUMIFS(Gastos!$D$5:$D$304,Gastos!$A$5:$A$304,"&gt;="&amp;$B54,Gastos!$A$5:$A$304,"&lt;="&amp;EOMONTH($B54,0))</f>
        <v>-0</v>
      </c>
      <c r="L54" s="38" t="n">
        <f aca="false">J54+K54</f>
        <v>0</v>
      </c>
      <c r="M54" s="34" t="n">
        <f aca="false">IF(OBJETIVO_MES&gt;0,L54/OBJETIVO_MES,"")</f>
        <v>0</v>
      </c>
      <c r="O54" s="39" t="n">
        <f aca="false">OBJETIVO_MES</f>
        <v>10000</v>
      </c>
    </row>
    <row r="55" customFormat="false" ht="15" hidden="false" customHeight="false" outlineLevel="0" collapsed="false">
      <c r="B55" s="36" t="n">
        <f aca="false">DATE(YEAR(FECHA_INICIO),MONTH(FECHA_INICIO)+8,1)</f>
        <v>46539</v>
      </c>
      <c r="C55" s="31" t="n">
        <f aca="false">SUMIFS(Diario!$P$6:$P$370,Diario!$A$6:$A$370,"&gt;="&amp;$B55,Diario!$A$6:$A$370,"&lt;="&amp;EOMONTH($B55,0))</f>
        <v>0</v>
      </c>
      <c r="D55" s="37" t="n">
        <f aca="false">SUMIFS(Diario!$N$6:$N$370,Diario!$A$6:$A$370,"&gt;="&amp;$B55,Diario!$A$6:$A$370,"&lt;="&amp;EOMONTH($B55,0))</f>
        <v>0</v>
      </c>
      <c r="E55" s="32" t="str">
        <f aca="false">IF(C55&gt;0,D55/C55,"")</f>
        <v/>
      </c>
      <c r="F55" s="37" t="n">
        <f aca="false">SUMIFS(Diario!$R$6:$R$370,Diario!$A$6:$A$370,"&gt;="&amp;$B55,Diario!$A$6:$A$370,"&lt;="&amp;EOMONTH($B55,0))</f>
        <v>0</v>
      </c>
      <c r="G55" s="31" t="n">
        <f aca="false">SUMIFS(Diario!$E$6:$E$370,Diario!$A$6:$A$370,"&gt;="&amp;$B55,Diario!$A$6:$A$370,"&lt;="&amp;EOMONTH($B55,0))+SUMIFS(Diario!$F$6:$F$370,Diario!$A$6:$A$370,"&gt;="&amp;$B55,Diario!$A$6:$A$370,"&lt;="&amp;EOMONTH($B55,0))+SUMIFS(Diario!$G$6:$G$370,Diario!$A$6:$A$370,"&gt;="&amp;$B55,Diario!$A$6:$A$370,"&lt;="&amp;EOMONTH($B55,0))</f>
        <v>0</v>
      </c>
      <c r="H55" s="31" t="n">
        <f aca="false">SUMIFS(Diario!$H$6:$H$370,Diario!$A$6:$A$370,"&gt;="&amp;$B55,Diario!$A$6:$A$370,"&lt;="&amp;EOMONTH($B55,0))+SUMIFS(Diario!$I$6:$I$370,Diario!$A$6:$A$370,"&gt;="&amp;$B55,Diario!$A$6:$A$370,"&lt;="&amp;EOMONTH($B55,0))+SUMIFS(Diario!$J$6:$J$370,Diario!$A$6:$A$370,"&gt;="&amp;$B55,Diario!$A$6:$A$370,"&lt;="&amp;EOMONTH($B55,0))</f>
        <v>0</v>
      </c>
      <c r="I55" s="34" t="str">
        <f aca="false">IF(G55+H55&gt;0,G55/(G55+H55),"")</f>
        <v/>
      </c>
      <c r="J55" s="37" t="n">
        <f aca="false">SUMIFS(Diario!$Y$6:$Y$370,Diario!$A$6:$A$370,"&gt;="&amp;$B55,Diario!$A$6:$A$370,"&lt;="&amp;EOMONTH($B55,0))</f>
        <v>0</v>
      </c>
      <c r="K55" s="37" t="n">
        <f aca="false">-SUMIFS(Gastos!$D$5:$D$304,Gastos!$A$5:$A$304,"&gt;="&amp;$B55,Gastos!$A$5:$A$304,"&lt;="&amp;EOMONTH($B55,0))</f>
        <v>-0</v>
      </c>
      <c r="L55" s="38" t="n">
        <f aca="false">J55+K55</f>
        <v>0</v>
      </c>
      <c r="M55" s="34" t="n">
        <f aca="false">IF(OBJETIVO_MES&gt;0,L55/OBJETIVO_MES,"")</f>
        <v>0</v>
      </c>
      <c r="O55" s="39" t="n">
        <f aca="false">OBJETIVO_MES</f>
        <v>10000</v>
      </c>
    </row>
    <row r="56" customFormat="false" ht="15" hidden="false" customHeight="false" outlineLevel="0" collapsed="false">
      <c r="B56" s="36" t="n">
        <f aca="false">DATE(YEAR(FECHA_INICIO),MONTH(FECHA_INICIO)+9,1)</f>
        <v>46569</v>
      </c>
      <c r="C56" s="31" t="n">
        <f aca="false">SUMIFS(Diario!$P$6:$P$370,Diario!$A$6:$A$370,"&gt;="&amp;$B56,Diario!$A$6:$A$370,"&lt;="&amp;EOMONTH($B56,0))</f>
        <v>0</v>
      </c>
      <c r="D56" s="37" t="n">
        <f aca="false">SUMIFS(Diario!$N$6:$N$370,Diario!$A$6:$A$370,"&gt;="&amp;$B56,Diario!$A$6:$A$370,"&lt;="&amp;EOMONTH($B56,0))</f>
        <v>0</v>
      </c>
      <c r="E56" s="32" t="str">
        <f aca="false">IF(C56&gt;0,D56/C56,"")</f>
        <v/>
      </c>
      <c r="F56" s="37" t="n">
        <f aca="false">SUMIFS(Diario!$R$6:$R$370,Diario!$A$6:$A$370,"&gt;="&amp;$B56,Diario!$A$6:$A$370,"&lt;="&amp;EOMONTH($B56,0))</f>
        <v>0</v>
      </c>
      <c r="G56" s="31" t="n">
        <f aca="false">SUMIFS(Diario!$E$6:$E$370,Diario!$A$6:$A$370,"&gt;="&amp;$B56,Diario!$A$6:$A$370,"&lt;="&amp;EOMONTH($B56,0))+SUMIFS(Diario!$F$6:$F$370,Diario!$A$6:$A$370,"&gt;="&amp;$B56,Diario!$A$6:$A$370,"&lt;="&amp;EOMONTH($B56,0))+SUMIFS(Diario!$G$6:$G$370,Diario!$A$6:$A$370,"&gt;="&amp;$B56,Diario!$A$6:$A$370,"&lt;="&amp;EOMONTH($B56,0))</f>
        <v>0</v>
      </c>
      <c r="H56" s="31" t="n">
        <f aca="false">SUMIFS(Diario!$H$6:$H$370,Diario!$A$6:$A$370,"&gt;="&amp;$B56,Diario!$A$6:$A$370,"&lt;="&amp;EOMONTH($B56,0))+SUMIFS(Diario!$I$6:$I$370,Diario!$A$6:$A$370,"&gt;="&amp;$B56,Diario!$A$6:$A$370,"&lt;="&amp;EOMONTH($B56,0))+SUMIFS(Diario!$J$6:$J$370,Diario!$A$6:$A$370,"&gt;="&amp;$B56,Diario!$A$6:$A$370,"&lt;="&amp;EOMONTH($B56,0))</f>
        <v>0</v>
      </c>
      <c r="I56" s="34" t="str">
        <f aca="false">IF(G56+H56&gt;0,G56/(G56+H56),"")</f>
        <v/>
      </c>
      <c r="J56" s="37" t="n">
        <f aca="false">SUMIFS(Diario!$Y$6:$Y$370,Diario!$A$6:$A$370,"&gt;="&amp;$B56,Diario!$A$6:$A$370,"&lt;="&amp;EOMONTH($B56,0))</f>
        <v>0</v>
      </c>
      <c r="K56" s="37" t="n">
        <f aca="false">-SUMIFS(Gastos!$D$5:$D$304,Gastos!$A$5:$A$304,"&gt;="&amp;$B56,Gastos!$A$5:$A$304,"&lt;="&amp;EOMONTH($B56,0))</f>
        <v>-0</v>
      </c>
      <c r="L56" s="38" t="n">
        <f aca="false">J56+K56</f>
        <v>0</v>
      </c>
      <c r="M56" s="34" t="n">
        <f aca="false">IF(OBJETIVO_MES&gt;0,L56/OBJETIVO_MES,"")</f>
        <v>0</v>
      </c>
      <c r="O56" s="39" t="n">
        <f aca="false">OBJETIVO_MES</f>
        <v>10000</v>
      </c>
    </row>
    <row r="57" customFormat="false" ht="15" hidden="false" customHeight="false" outlineLevel="0" collapsed="false">
      <c r="B57" s="36" t="n">
        <f aca="false">DATE(YEAR(FECHA_INICIO),MONTH(FECHA_INICIO)+10,1)</f>
        <v>46600</v>
      </c>
      <c r="C57" s="31" t="n">
        <f aca="false">SUMIFS(Diario!$P$6:$P$370,Diario!$A$6:$A$370,"&gt;="&amp;$B57,Diario!$A$6:$A$370,"&lt;="&amp;EOMONTH($B57,0))</f>
        <v>0</v>
      </c>
      <c r="D57" s="37" t="n">
        <f aca="false">SUMIFS(Diario!$N$6:$N$370,Diario!$A$6:$A$370,"&gt;="&amp;$B57,Diario!$A$6:$A$370,"&lt;="&amp;EOMONTH($B57,0))</f>
        <v>0</v>
      </c>
      <c r="E57" s="32" t="str">
        <f aca="false">IF(C57&gt;0,D57/C57,"")</f>
        <v/>
      </c>
      <c r="F57" s="37" t="n">
        <f aca="false">SUMIFS(Diario!$R$6:$R$370,Diario!$A$6:$A$370,"&gt;="&amp;$B57,Diario!$A$6:$A$370,"&lt;="&amp;EOMONTH($B57,0))</f>
        <v>0</v>
      </c>
      <c r="G57" s="31" t="n">
        <f aca="false">SUMIFS(Diario!$E$6:$E$370,Diario!$A$6:$A$370,"&gt;="&amp;$B57,Diario!$A$6:$A$370,"&lt;="&amp;EOMONTH($B57,0))+SUMIFS(Diario!$F$6:$F$370,Diario!$A$6:$A$370,"&gt;="&amp;$B57,Diario!$A$6:$A$370,"&lt;="&amp;EOMONTH($B57,0))+SUMIFS(Diario!$G$6:$G$370,Diario!$A$6:$A$370,"&gt;="&amp;$B57,Diario!$A$6:$A$370,"&lt;="&amp;EOMONTH($B57,0))</f>
        <v>0</v>
      </c>
      <c r="H57" s="31" t="n">
        <f aca="false">SUMIFS(Diario!$H$6:$H$370,Diario!$A$6:$A$370,"&gt;="&amp;$B57,Diario!$A$6:$A$370,"&lt;="&amp;EOMONTH($B57,0))+SUMIFS(Diario!$I$6:$I$370,Diario!$A$6:$A$370,"&gt;="&amp;$B57,Diario!$A$6:$A$370,"&lt;="&amp;EOMONTH($B57,0))+SUMIFS(Diario!$J$6:$J$370,Diario!$A$6:$A$370,"&gt;="&amp;$B57,Diario!$A$6:$A$370,"&lt;="&amp;EOMONTH($B57,0))</f>
        <v>0</v>
      </c>
      <c r="I57" s="34" t="str">
        <f aca="false">IF(G57+H57&gt;0,G57/(G57+H57),"")</f>
        <v/>
      </c>
      <c r="J57" s="37" t="n">
        <f aca="false">SUMIFS(Diario!$Y$6:$Y$370,Diario!$A$6:$A$370,"&gt;="&amp;$B57,Diario!$A$6:$A$370,"&lt;="&amp;EOMONTH($B57,0))</f>
        <v>0</v>
      </c>
      <c r="K57" s="37" t="n">
        <f aca="false">-SUMIFS(Gastos!$D$5:$D$304,Gastos!$A$5:$A$304,"&gt;="&amp;$B57,Gastos!$A$5:$A$304,"&lt;="&amp;EOMONTH($B57,0))</f>
        <v>-0</v>
      </c>
      <c r="L57" s="38" t="n">
        <f aca="false">J57+K57</f>
        <v>0</v>
      </c>
      <c r="M57" s="34" t="n">
        <f aca="false">IF(OBJETIVO_MES&gt;0,L57/OBJETIVO_MES,"")</f>
        <v>0</v>
      </c>
      <c r="O57" s="39" t="n">
        <f aca="false">OBJETIVO_MES</f>
        <v>10000</v>
      </c>
    </row>
    <row r="58" customFormat="false" ht="15" hidden="false" customHeight="false" outlineLevel="0" collapsed="false">
      <c r="B58" s="36" t="n">
        <f aca="false">DATE(YEAR(FECHA_INICIO),MONTH(FECHA_INICIO)+11,1)</f>
        <v>46631</v>
      </c>
      <c r="C58" s="31" t="n">
        <f aca="false">SUMIFS(Diario!$P$6:$P$370,Diario!$A$6:$A$370,"&gt;="&amp;$B58,Diario!$A$6:$A$370,"&lt;="&amp;EOMONTH($B58,0))</f>
        <v>0</v>
      </c>
      <c r="D58" s="37" t="n">
        <f aca="false">SUMIFS(Diario!$N$6:$N$370,Diario!$A$6:$A$370,"&gt;="&amp;$B58,Diario!$A$6:$A$370,"&lt;="&amp;EOMONTH($B58,0))</f>
        <v>0</v>
      </c>
      <c r="E58" s="32" t="str">
        <f aca="false">IF(C58&gt;0,D58/C58,"")</f>
        <v/>
      </c>
      <c r="F58" s="37" t="n">
        <f aca="false">SUMIFS(Diario!$R$6:$R$370,Diario!$A$6:$A$370,"&gt;="&amp;$B58,Diario!$A$6:$A$370,"&lt;="&amp;EOMONTH($B58,0))</f>
        <v>0</v>
      </c>
      <c r="G58" s="31" t="n">
        <f aca="false">SUMIFS(Diario!$E$6:$E$370,Diario!$A$6:$A$370,"&gt;="&amp;$B58,Diario!$A$6:$A$370,"&lt;="&amp;EOMONTH($B58,0))+SUMIFS(Diario!$F$6:$F$370,Diario!$A$6:$A$370,"&gt;="&amp;$B58,Diario!$A$6:$A$370,"&lt;="&amp;EOMONTH($B58,0))+SUMIFS(Diario!$G$6:$G$370,Diario!$A$6:$A$370,"&gt;="&amp;$B58,Diario!$A$6:$A$370,"&lt;="&amp;EOMONTH($B58,0))</f>
        <v>0</v>
      </c>
      <c r="H58" s="31" t="n">
        <f aca="false">SUMIFS(Diario!$H$6:$H$370,Diario!$A$6:$A$370,"&gt;="&amp;$B58,Diario!$A$6:$A$370,"&lt;="&amp;EOMONTH($B58,0))+SUMIFS(Diario!$I$6:$I$370,Diario!$A$6:$A$370,"&gt;="&amp;$B58,Diario!$A$6:$A$370,"&lt;="&amp;EOMONTH($B58,0))+SUMIFS(Diario!$J$6:$J$370,Diario!$A$6:$A$370,"&gt;="&amp;$B58,Diario!$A$6:$A$370,"&lt;="&amp;EOMONTH($B58,0))</f>
        <v>0</v>
      </c>
      <c r="I58" s="34" t="str">
        <f aca="false">IF(G58+H58&gt;0,G58/(G58+H58),"")</f>
        <v/>
      </c>
      <c r="J58" s="37" t="n">
        <f aca="false">SUMIFS(Diario!$Y$6:$Y$370,Diario!$A$6:$A$370,"&gt;="&amp;$B58,Diario!$A$6:$A$370,"&lt;="&amp;EOMONTH($B58,0))</f>
        <v>0</v>
      </c>
      <c r="K58" s="37" t="n">
        <f aca="false">-SUMIFS(Gastos!$D$5:$D$304,Gastos!$A$5:$A$304,"&gt;="&amp;$B58,Gastos!$A$5:$A$304,"&lt;="&amp;EOMONTH($B58,0))</f>
        <v>-0</v>
      </c>
      <c r="L58" s="38" t="n">
        <f aca="false">J58+K58</f>
        <v>0</v>
      </c>
      <c r="M58" s="34" t="n">
        <f aca="false">IF(OBJETIVO_MES&gt;0,L58/OBJETIVO_MES,"")</f>
        <v>0</v>
      </c>
      <c r="O58" s="39" t="n">
        <f aca="false">OBJETIVO_MES</f>
        <v>10000</v>
      </c>
    </row>
    <row r="59" customFormat="false" ht="15" hidden="false" customHeight="false" outlineLevel="0" collapsed="false">
      <c r="B59" s="40" t="s">
        <v>65</v>
      </c>
      <c r="C59" s="41" t="n">
        <f aca="false">SUM(C47:C58)</f>
        <v>159</v>
      </c>
      <c r="D59" s="42" t="n">
        <f aca="false">SUM(D47:D58)</f>
        <v>1393.68</v>
      </c>
      <c r="E59" s="43" t="n">
        <f aca="false">IF(C59&gt;0,D59/C59,"")</f>
        <v>8.76528301886792</v>
      </c>
      <c r="F59" s="42" t="n">
        <f aca="false">SUM(F47:F58)</f>
        <v>5678.41</v>
      </c>
      <c r="G59" s="41" t="n">
        <f aca="false">SUM(G47:G58)</f>
        <v>74</v>
      </c>
      <c r="H59" s="41" t="n">
        <f aca="false">SUM(H47:H58)</f>
        <v>34</v>
      </c>
      <c r="I59" s="44" t="n">
        <f aca="false">IF(G59+H59&gt;0,G59/(G59+H59),"")</f>
        <v>0.685185185185185</v>
      </c>
      <c r="J59" s="42" t="n">
        <f aca="false">SUM(J47:J58)</f>
        <v>528.87645911445</v>
      </c>
      <c r="K59" s="42" t="n">
        <f aca="false">SUM(K47:K58)</f>
        <v>0</v>
      </c>
      <c r="L59" s="42" t="n">
        <f aca="false">SUM(L47:L58)</f>
        <v>528.87645911445</v>
      </c>
      <c r="M59" s="45"/>
    </row>
  </sheetData>
  <mergeCells count="73">
    <mergeCell ref="C3:D3"/>
    <mergeCell ref="F3:G3"/>
    <mergeCell ref="J3:K3"/>
    <mergeCell ref="B5:M5"/>
    <mergeCell ref="B6:C6"/>
    <mergeCell ref="D6:E6"/>
    <mergeCell ref="F6:G6"/>
    <mergeCell ref="H6:I6"/>
    <mergeCell ref="J6:K6"/>
    <mergeCell ref="L6:M6"/>
    <mergeCell ref="B7:C7"/>
    <mergeCell ref="D7:E7"/>
    <mergeCell ref="F7:G7"/>
    <mergeCell ref="H7:I7"/>
    <mergeCell ref="J7:K7"/>
    <mergeCell ref="L7:M7"/>
    <mergeCell ref="B9:C9"/>
    <mergeCell ref="D9:E9"/>
    <mergeCell ref="F9:G9"/>
    <mergeCell ref="H9:I9"/>
    <mergeCell ref="J9:K9"/>
    <mergeCell ref="L9:M9"/>
    <mergeCell ref="B10:C10"/>
    <mergeCell ref="D10:E10"/>
    <mergeCell ref="F10:G10"/>
    <mergeCell ref="H10:I10"/>
    <mergeCell ref="J10:K10"/>
    <mergeCell ref="L10:M10"/>
    <mergeCell ref="B12:C12"/>
    <mergeCell ref="D12:E12"/>
    <mergeCell ref="F12:G12"/>
    <mergeCell ref="H12:I12"/>
    <mergeCell ref="J12:K12"/>
    <mergeCell ref="L12:M12"/>
    <mergeCell ref="B13:C13"/>
    <mergeCell ref="D13:E13"/>
    <mergeCell ref="F13:G13"/>
    <mergeCell ref="H13:I13"/>
    <mergeCell ref="J13:K13"/>
    <mergeCell ref="L13:M13"/>
    <mergeCell ref="B15:F15"/>
    <mergeCell ref="H15:M15"/>
    <mergeCell ref="B16:D16"/>
    <mergeCell ref="H16:K16"/>
    <mergeCell ref="L16:M16"/>
    <mergeCell ref="B17:D17"/>
    <mergeCell ref="H17:K17"/>
    <mergeCell ref="L17:M17"/>
    <mergeCell ref="B18:D18"/>
    <mergeCell ref="H18:K18"/>
    <mergeCell ref="L18:M18"/>
    <mergeCell ref="B19:D19"/>
    <mergeCell ref="H19:K19"/>
    <mergeCell ref="L19:M19"/>
    <mergeCell ref="B20:D20"/>
    <mergeCell ref="H20:K20"/>
    <mergeCell ref="L20:M20"/>
    <mergeCell ref="B21:D21"/>
    <mergeCell ref="H21:K21"/>
    <mergeCell ref="L21:M21"/>
    <mergeCell ref="B22:D22"/>
    <mergeCell ref="H22:K22"/>
    <mergeCell ref="L22:M22"/>
    <mergeCell ref="B23:D23"/>
    <mergeCell ref="H23:K23"/>
    <mergeCell ref="L23:M23"/>
    <mergeCell ref="B24:D24"/>
    <mergeCell ref="H24:K24"/>
    <mergeCell ref="L24:M24"/>
    <mergeCell ref="B25:D25"/>
    <mergeCell ref="B26:D26"/>
    <mergeCell ref="B27:G27"/>
    <mergeCell ref="B45:M45"/>
  </mergeCells>
  <conditionalFormatting sqref="L13">
    <cfRule type="cellIs" priority="2" operator="equal" aboveAverage="0" equalAverage="0" bottom="0" percent="0" rank="0" text="" dxfId="0">
      <formula>"ESCALAR"</formula>
    </cfRule>
    <cfRule type="cellIs" priority="3" operator="equal" aboveAverage="0" equalAverage="0" bottom="0" percent="0" rank="0" text="" dxfId="1">
      <formula>"VIGILAR"</formula>
    </cfRule>
    <cfRule type="cellIs" priority="4" operator="equal" aboveAverage="0" equalAverage="0" bottom="0" percent="0" rank="0" text="" dxfId="2">
      <formula>"CORTAR"</formula>
    </cfRule>
  </conditionalFormatting>
  <conditionalFormatting sqref="B7">
    <cfRule type="cellIs" priority="5" operator="lessThan" aboveAverage="0" equalAverage="0" bottom="0" percent="0" rank="0" text="" dxfId="3">
      <formula>0</formula>
    </cfRule>
    <cfRule type="cellIs" priority="6" operator="greaterThan" aboveAverage="0" equalAverage="0" bottom="0" percent="0" rank="0" text="" dxfId="4">
      <formula>0</formula>
    </cfRule>
  </conditionalFormatting>
  <conditionalFormatting sqref="B10">
    <cfRule type="expression" priority="7" aboveAverage="0" equalAverage="0" bottom="0" percent="0" rank="0" text="" dxfId="3">
      <formula>AND(ISNUMBER(B10),B10&gt;D10)</formula>
    </cfRule>
  </conditionalFormatting>
  <conditionalFormatting sqref="F13">
    <cfRule type="cellIs" priority="8" operator="greaterThan" aboveAverage="0" equalAverage="0" bottom="0" percent="0" rank="0" text="" dxfId="5">
      <formula>0</formula>
    </cfRule>
  </conditionalFormatting>
  <conditionalFormatting sqref="L19">
    <cfRule type="cellIs" priority="9" operator="greaterThanOrEqual" aboveAverage="0" equalAverage="0" bottom="0" percent="0" rank="0" text="" dxfId="6">
      <formula>1</formula>
    </cfRule>
  </conditionalFormatting>
  <conditionalFormatting sqref="L47:L58">
    <cfRule type="cellIs" priority="10" operator="lessThan" aboveAverage="0" equalAverage="0" bottom="0" percent="0" rank="0" text="" dxfId="7">
      <formula>0</formula>
    </cfRule>
  </conditionalFormatting>
  <conditionalFormatting sqref="M47:M58">
    <cfRule type="cellIs" priority="11" operator="greaterThanOrEqual" aboveAverage="0" equalAverage="0" bottom="0" percent="0" rank="0" text="" dxfId="8">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3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2" style="0" width="8"/>
    <col collapsed="false" customWidth="true" hidden="false" outlineLevel="0" max="10" min="5" style="0" width="9"/>
    <col collapsed="false" customWidth="true" hidden="false" outlineLevel="0" max="14" min="11" style="0" width="10"/>
    <col collapsed="false" customWidth="true" hidden="false" outlineLevel="0" max="15" min="15" style="0" width="24"/>
    <col collapsed="false" customWidth="true" hidden="false" outlineLevel="0" max="16" min="16" style="0" width="8"/>
    <col collapsed="false" customWidth="true" hidden="false" outlineLevel="0" max="17" min="17" style="0" width="9"/>
    <col collapsed="false" customWidth="true" hidden="false" outlineLevel="0" max="18" min="18" style="0" width="11"/>
    <col collapsed="false" customWidth="true" hidden="false" outlineLevel="0" max="20" min="19" style="0" width="9"/>
    <col collapsed="false" customWidth="true" hidden="false" outlineLevel="0" max="21" min="21" style="0" width="8"/>
    <col collapsed="false" customWidth="true" hidden="false" outlineLevel="0" max="22" min="22" style="0" width="9"/>
    <col collapsed="false" customWidth="true" hidden="false" outlineLevel="0" max="25" min="23" style="0" width="12"/>
    <col collapsed="false" customWidth="true" hidden="false" outlineLevel="0" max="26" min="26" style="0" width="2"/>
    <col collapsed="false" customWidth="true" hidden="false" outlineLevel="0" max="33" min="27" style="0" width="9"/>
    <col collapsed="false" customWidth="true" hidden="false" outlineLevel="0" max="34" min="34" style="0" width="11"/>
    <col collapsed="false" customWidth="true" hidden="false" outlineLevel="0" max="39" min="35" style="0" width="10"/>
    <col collapsed="false" customWidth="true" hidden="false" outlineLevel="0" max="46" min="40" style="0" width="9"/>
  </cols>
  <sheetData>
    <row r="1" customFormat="false" ht="19.7" hidden="false" customHeight="false" outlineLevel="0" collapsed="false">
      <c r="A1" s="1" t="s">
        <v>66</v>
      </c>
    </row>
    <row r="2" customFormat="false" ht="15" hidden="false" customHeight="false" outlineLevel="0" collapsed="false">
      <c r="A2" s="2" t="s">
        <v>67</v>
      </c>
    </row>
    <row r="3" customFormat="false" ht="15" hidden="false" customHeight="false" outlineLevel="0" collapsed="false">
      <c r="A3" s="2" t="s">
        <v>68</v>
      </c>
      <c r="AA3" s="2" t="s">
        <v>69</v>
      </c>
    </row>
    <row r="4" customFormat="false" ht="15" hidden="false" customHeight="false" outlineLevel="0" collapsed="false">
      <c r="A4" s="46" t="s">
        <v>65</v>
      </c>
      <c r="B4" s="47" t="n">
        <f aca="false">SUM(B6:B370)</f>
        <v>89</v>
      </c>
      <c r="C4" s="47" t="n">
        <f aca="false">SUM(C6:C370)</f>
        <v>57</v>
      </c>
      <c r="D4" s="47" t="n">
        <f aca="false">SUM(D6:D370)</f>
        <v>13</v>
      </c>
      <c r="E4" s="47" t="n">
        <f aca="false">SUM(E6:E370)</f>
        <v>39</v>
      </c>
      <c r="F4" s="47" t="n">
        <f aca="false">SUM(F6:F370)</f>
        <v>29</v>
      </c>
      <c r="G4" s="47" t="n">
        <f aca="false">SUM(G6:G370)</f>
        <v>6</v>
      </c>
      <c r="H4" s="47" t="n">
        <f aca="false">SUM(H6:H370)</f>
        <v>25</v>
      </c>
      <c r="I4" s="47" t="n">
        <f aca="false">SUM(I6:I370)</f>
        <v>8</v>
      </c>
      <c r="J4" s="47" t="n">
        <f aca="false">SUM(J6:J370)</f>
        <v>1</v>
      </c>
      <c r="K4" s="47" t="n">
        <f aca="false">SUM(K6:K370)</f>
        <v>29</v>
      </c>
      <c r="L4" s="48" t="n">
        <f aca="false">SUM(L6:L370)</f>
        <v>539.07</v>
      </c>
      <c r="M4" s="48" t="n">
        <f aca="false">SUM(M6:M370)</f>
        <v>367.36</v>
      </c>
      <c r="N4" s="48" t="n">
        <f aca="false">SUM(N6:N370)</f>
        <v>1393.68</v>
      </c>
      <c r="P4" s="47" t="n">
        <f aca="false">SUM(P6:P370)</f>
        <v>159</v>
      </c>
      <c r="Q4" s="47" t="n">
        <f aca="false">SUM(Q6:Q370)</f>
        <v>51</v>
      </c>
      <c r="R4" s="48" t="n">
        <f aca="false">SUM(R6:R370)</f>
        <v>5678.41</v>
      </c>
      <c r="S4" s="48" t="n">
        <f aca="false">IF(P4&gt;0,R4/P4,"")</f>
        <v>35.7132704402516</v>
      </c>
      <c r="T4" s="48" t="n">
        <f aca="false">IF(P4&gt;0,N4/P4,"")</f>
        <v>8.76528301886792</v>
      </c>
      <c r="U4" s="49" t="n">
        <f aca="false">IF(N4&gt;0,R4/N4,"")</f>
        <v>4.07440014924516</v>
      </c>
      <c r="V4" s="50" t="n">
        <f aca="false">IF(E4+F4+G4+H4+I4+J4&gt;0,(E4+F4+G4)/(E4+F4+G4+H4+I4+J4),"")</f>
        <v>0.685185185185185</v>
      </c>
      <c r="W4" s="48" t="n">
        <f aca="false">SUM(W6:W370)</f>
        <v>1828.071437</v>
      </c>
      <c r="X4" s="48" t="n">
        <f aca="false">SUM(X6:X370)</f>
        <v>26.6414369999998</v>
      </c>
      <c r="Y4" s="48" t="n">
        <f aca="false">SUM(Y6:Y370)</f>
        <v>528.87645911445</v>
      </c>
      <c r="AA4" s="47" t="n">
        <f aca="false">SUM(AA6:AA370)</f>
        <v>25</v>
      </c>
      <c r="AB4" s="47" t="n">
        <f aca="false">SUM(AB6:AB370)</f>
        <v>20</v>
      </c>
      <c r="AC4" s="47" t="n">
        <f aca="false">SUM(AC6:AC370)</f>
        <v>6</v>
      </c>
      <c r="AD4" s="51" t="n">
        <f aca="false">SUM(AD6:AD370)</f>
        <v>51.6835086847801</v>
      </c>
      <c r="AE4" s="51" t="n">
        <f aca="false">SUM(AE6:AE370)</f>
        <v>39.1881474840015</v>
      </c>
      <c r="AF4" s="51" t="n">
        <f aca="false">SUM(AF6:AF370)</f>
        <v>9.4777114967984</v>
      </c>
      <c r="AG4" s="51" t="n">
        <f aca="false">SUM(AG6:AG370)</f>
        <v>58.65063233442</v>
      </c>
      <c r="AH4" s="48" t="n">
        <f aca="false">SUM(AH6:AH370)</f>
        <v>3652.99035603471</v>
      </c>
      <c r="AI4" s="48" t="n">
        <f aca="false">SUM(AI6:AI370)</f>
        <v>413.108373405669</v>
      </c>
      <c r="AJ4" s="48" t="n">
        <f aca="false">SUM(AJ6:AJ370)</f>
        <v>723.463249389724</v>
      </c>
      <c r="AK4" s="48" t="n">
        <f aca="false">SUM(AK6:AK370)</f>
        <v>442.812274124871</v>
      </c>
      <c r="AL4" s="48" t="n">
        <f aca="false">SUM(AL6:AL370)</f>
        <v>0</v>
      </c>
      <c r="AM4" s="48" t="n">
        <f aca="false">SUM(AM6:AM370)</f>
        <v>1393.68</v>
      </c>
      <c r="AN4" s="47" t="n">
        <f aca="false">SUM(AN6:AN370)</f>
        <v>125</v>
      </c>
      <c r="AO4" s="48" t="n">
        <f aca="false">SUM(AO6:AO370)</f>
        <v>151.05</v>
      </c>
      <c r="AP4" s="47" t="n">
        <f aca="false">SUM(AP6:AP370)</f>
        <v>29</v>
      </c>
    </row>
    <row r="5" customFormat="false" ht="54" hidden="false" customHeight="true" outlineLevel="0" collapsed="false">
      <c r="A5" s="29" t="s">
        <v>70</v>
      </c>
      <c r="B5" s="52" t="s">
        <v>71</v>
      </c>
      <c r="C5" s="52" t="s">
        <v>72</v>
      </c>
      <c r="D5" s="52" t="s">
        <v>73</v>
      </c>
      <c r="E5" s="52" t="s">
        <v>74</v>
      </c>
      <c r="F5" s="52" t="s">
        <v>75</v>
      </c>
      <c r="G5" s="52" t="s">
        <v>76</v>
      </c>
      <c r="H5" s="52" t="s">
        <v>77</v>
      </c>
      <c r="I5" s="52" t="s">
        <v>78</v>
      </c>
      <c r="J5" s="52" t="s">
        <v>79</v>
      </c>
      <c r="K5" s="52" t="s">
        <v>80</v>
      </c>
      <c r="L5" s="52" t="s">
        <v>81</v>
      </c>
      <c r="M5" s="52" t="s">
        <v>82</v>
      </c>
      <c r="N5" s="52" t="s">
        <v>83</v>
      </c>
      <c r="O5" s="52" t="s">
        <v>84</v>
      </c>
      <c r="P5" s="29" t="s">
        <v>85</v>
      </c>
      <c r="Q5" s="29" t="s">
        <v>86</v>
      </c>
      <c r="R5" s="29" t="s">
        <v>57</v>
      </c>
      <c r="S5" s="29" t="s">
        <v>87</v>
      </c>
      <c r="T5" s="29" t="s">
        <v>52</v>
      </c>
      <c r="U5" s="29" t="s">
        <v>15</v>
      </c>
      <c r="V5" s="29" t="s">
        <v>88</v>
      </c>
      <c r="W5" s="29" t="s">
        <v>89</v>
      </c>
      <c r="X5" s="29" t="s">
        <v>90</v>
      </c>
      <c r="Y5" s="29" t="s">
        <v>53</v>
      </c>
      <c r="AA5" s="29" t="s">
        <v>91</v>
      </c>
      <c r="AB5" s="29" t="s">
        <v>92</v>
      </c>
      <c r="AC5" s="29" t="s">
        <v>93</v>
      </c>
      <c r="AD5" s="29" t="s">
        <v>94</v>
      </c>
      <c r="AE5" s="29" t="s">
        <v>95</v>
      </c>
      <c r="AF5" s="29" t="s">
        <v>96</v>
      </c>
      <c r="AG5" s="29" t="s">
        <v>97</v>
      </c>
      <c r="AH5" s="29" t="s">
        <v>98</v>
      </c>
      <c r="AI5" s="29" t="s">
        <v>99</v>
      </c>
      <c r="AJ5" s="29" t="s">
        <v>100</v>
      </c>
      <c r="AK5" s="29" t="s">
        <v>101</v>
      </c>
      <c r="AL5" s="29" t="s">
        <v>102</v>
      </c>
      <c r="AM5" s="29" t="s">
        <v>103</v>
      </c>
      <c r="AN5" s="29" t="s">
        <v>104</v>
      </c>
      <c r="AO5" s="29" t="s">
        <v>105</v>
      </c>
      <c r="AP5" s="29" t="s">
        <v>106</v>
      </c>
      <c r="AQ5" s="29" t="s">
        <v>107</v>
      </c>
      <c r="AR5" s="29" t="s">
        <v>108</v>
      </c>
      <c r="AS5" s="29" t="s">
        <v>109</v>
      </c>
      <c r="AT5" s="29" t="s">
        <v>110</v>
      </c>
    </row>
    <row r="6" customFormat="false" ht="15" hidden="false" customHeight="false" outlineLevel="0" collapsed="false">
      <c r="A6" s="53" t="n">
        <v>46300</v>
      </c>
      <c r="B6" s="54" t="n">
        <v>5</v>
      </c>
      <c r="C6" s="54" t="n">
        <v>4</v>
      </c>
      <c r="D6" s="54" t="n">
        <v>0</v>
      </c>
      <c r="E6" s="54" t="n">
        <v>3</v>
      </c>
      <c r="F6" s="54" t="n">
        <v>2</v>
      </c>
      <c r="G6" s="54"/>
      <c r="H6" s="54" t="n">
        <v>1</v>
      </c>
      <c r="I6" s="54" t="n">
        <v>2</v>
      </c>
      <c r="J6" s="54"/>
      <c r="K6" s="54" t="n">
        <v>1</v>
      </c>
      <c r="L6" s="55" t="n">
        <v>38.42</v>
      </c>
      <c r="M6" s="55" t="n">
        <v>8.06</v>
      </c>
      <c r="N6" s="55" t="n">
        <v>67.67</v>
      </c>
      <c r="O6" s="56" t="s">
        <v>111</v>
      </c>
      <c r="P6" s="31" t="n">
        <f aca="false">B6+C6+D6</f>
        <v>9</v>
      </c>
      <c r="Q6" s="31" t="n">
        <f aca="false">AA6+AB6+AC6</f>
        <v>1</v>
      </c>
      <c r="R6" s="32" t="n">
        <f aca="false">B6*P1_PVP+C6*P2_PVP+D6*IF($A6&lt;P3_DESDE,P3A_PVP,P3_PVP)</f>
        <v>309.91</v>
      </c>
      <c r="S6" s="32" t="n">
        <f aca="false">IF(P6&gt;0,R6/P6,"")</f>
        <v>34.4344444444444</v>
      </c>
      <c r="T6" s="32" t="n">
        <f aca="false">IF(P6&gt;0,N6/P6,"")</f>
        <v>7.51888888888889</v>
      </c>
      <c r="U6" s="57" t="n">
        <f aca="false">IF(N6&gt;0,R6/N6,"")</f>
        <v>4.57972513669277</v>
      </c>
      <c r="V6" s="34" t="n">
        <f aca="false">IF(E6+F6+G6+H6+I6+J6&gt;0,(E6+F6+G6)/(E6+F6+G6+H6+I6+J6),"")</f>
        <v>0.625</v>
      </c>
      <c r="W6" s="33" t="n">
        <f aca="false">E6*(P1_PVP-P1_CPROD)+F6*(P2_PVP-P2_CPROD)+G6*(IF($A6&lt;P3_DESDE,P3A_PVP,P3_PVP)-IF($A6&lt;P3_DESDE,P3A_CPROD,P3_CPROD))-IF(ISNUMBER(L6),L6,E6*P1_LOG+F6*P2_LOG+G6*P3_LOG)</f>
        <v>114.6747</v>
      </c>
      <c r="X6" s="33" t="n">
        <f aca="false">W6-(E6*P1_IVAN+F6*P2_IVAN+G6*IF($A6&lt;P3_DESDE,P3A_IVAN,P3_IVAN))-(H6+I6+J6)*(COSTE_DEV-IVA_DEV)-AM6-AO6</f>
        <v>15.8047</v>
      </c>
      <c r="Y6" s="33" t="n">
        <f aca="false">AH6-AI6-AJ6-AK6-AL6-AM6-AO6</f>
        <v>15.564167</v>
      </c>
      <c r="AA6" s="58" t="n">
        <f aca="false">MAX(0,B6-E6-H6)</f>
        <v>1</v>
      </c>
      <c r="AB6" s="58" t="n">
        <f aca="false">MAX(0,C6-F6-I6)</f>
        <v>0</v>
      </c>
      <c r="AC6" s="58" t="n">
        <f aca="false">MAX(0,D6-G6-J6)</f>
        <v>0</v>
      </c>
      <c r="AD6" s="59" t="n">
        <f aca="false">E6+AA6*AQ6</f>
        <v>3.27</v>
      </c>
      <c r="AE6" s="59" t="n">
        <f aca="false">F6+AB6*AQ6</f>
        <v>2</v>
      </c>
      <c r="AF6" s="59" t="n">
        <f aca="false">G6+AC6*AQ6</f>
        <v>0</v>
      </c>
      <c r="AG6" s="59" t="n">
        <f aca="false">H6+I6+J6+(AA6+AB6+AC6)*(1-AQ6)</f>
        <v>3.73</v>
      </c>
      <c r="AH6" s="60" t="n">
        <f aca="false">AD6*P1_PVP+AE6*P2_PVP+AF6*IF($A6&lt;P3_DESDE,P3A_PVP,P3_PVP)</f>
        <v>178.0473</v>
      </c>
      <c r="AI6" s="60" t="n">
        <f aca="false">AD6*P1_CPROD+AE6*P2_CPROD+AF6*IF($A6&lt;P3_DESDE,P3A_CPROD,P3_CPROD)</f>
        <v>17.505433</v>
      </c>
      <c r="AJ6" s="60" t="n">
        <f aca="false">IF(ISNUMBER(L6),L6,E6*P1_LOG+F6*P2_LOG+G6*P3_LOG)+IF(ISNUMBER(M6),M6,AA6*P1_LOG+AB6*P2_LOG+AC6*P3_LOG)*AQ6</f>
        <v>40.5962</v>
      </c>
      <c r="AK6" s="60" t="n">
        <f aca="false">AG6*COSTE_DEV</f>
        <v>28.1615</v>
      </c>
      <c r="AL6" s="60" t="n">
        <f aca="false">AD6*P1_IVAN+AE6*P2_IVAN+AF6*IF($A6&lt;P3_DESDE,P3A_IVAN,P3_IVAN)-AG6*IVA_DEV</f>
        <v>0</v>
      </c>
      <c r="AM6" s="60" t="n">
        <f aca="false">N6*(1+RECARGO_ADS)</f>
        <v>67.67</v>
      </c>
      <c r="AN6" s="58" t="n">
        <f aca="false">IF(ISNUMBER(L6),E6+F6+G6+AA6+AB6+AC6,0)</f>
        <v>6</v>
      </c>
      <c r="AO6" s="60" t="n">
        <f aca="false">P6*COMISION</f>
        <v>8.55</v>
      </c>
      <c r="AP6" s="58" t="n">
        <f aca="false">MIN(N(K6),Q6)</f>
        <v>1</v>
      </c>
      <c r="AQ6" s="61" t="n">
        <f aca="false">IF(Q6&gt;0,((Q6-AP6)*AT6+AP6*TASA_INC)/Q6,AT6)</f>
        <v>0.27</v>
      </c>
      <c r="AR6" s="58" t="n">
        <f aca="false">IF($A6&lt;FECHA_EXPORT,NETWORKDAYS($A6+1,FECHA_EXPORT,FESTIVOS),0)</f>
        <v>13</v>
      </c>
      <c r="AS6" s="61" t="n">
        <f aca="false">IF(AR6&gt;=5,1,INDEX(CDF_INC,1,AR6+1))</f>
        <v>1</v>
      </c>
      <c r="AT6" s="61" t="n">
        <f aca="false">TASA_USADA+(TASA_INC-TASA_USADA)*Q_INC*(1-AS6)/(1-Q_INC*AS6)</f>
        <v>0.941176470588235</v>
      </c>
    </row>
    <row r="7" customFormat="false" ht="15" hidden="false" customHeight="false" outlineLevel="0" collapsed="false">
      <c r="A7" s="53" t="n">
        <v>46301</v>
      </c>
      <c r="B7" s="54" t="n">
        <v>7</v>
      </c>
      <c r="C7" s="54" t="n">
        <v>1</v>
      </c>
      <c r="D7" s="54" t="n">
        <v>0</v>
      </c>
      <c r="E7" s="54" t="n">
        <v>2</v>
      </c>
      <c r="F7" s="54" t="n">
        <v>1</v>
      </c>
      <c r="G7" s="54"/>
      <c r="H7" s="54" t="n">
        <v>5</v>
      </c>
      <c r="I7" s="54"/>
      <c r="J7" s="54"/>
      <c r="K7" s="54"/>
      <c r="L7" s="55" t="n">
        <v>22.11</v>
      </c>
      <c r="M7" s="55" t="n">
        <v>0</v>
      </c>
      <c r="N7" s="55" t="n">
        <v>70.18</v>
      </c>
      <c r="O7" s="56"/>
      <c r="P7" s="31" t="n">
        <f aca="false">B7+C7+D7</f>
        <v>8</v>
      </c>
      <c r="Q7" s="31" t="n">
        <f aca="false">AA7+AB7+AC7</f>
        <v>0</v>
      </c>
      <c r="R7" s="32" t="n">
        <f aca="false">B7*P1_PVP+C7*P2_PVP+D7*IF($A7&lt;P3_DESDE,P3A_PVP,P3_PVP)</f>
        <v>249.92</v>
      </c>
      <c r="S7" s="32" t="n">
        <f aca="false">IF(P7&gt;0,R7/P7,"")</f>
        <v>31.24</v>
      </c>
      <c r="T7" s="32" t="n">
        <f aca="false">IF(P7&gt;0,N7/P7,"")</f>
        <v>8.7725</v>
      </c>
      <c r="U7" s="57" t="n">
        <f aca="false">IF(N7&gt;0,R7/N7,"")</f>
        <v>3.56112852664577</v>
      </c>
      <c r="V7" s="34" t="n">
        <f aca="false">IF(E7+F7+G7+H7+I7+J7&gt;0,(E7+F7+G7)/(E7+F7+G7+H7+I7+J7),"")</f>
        <v>0.375</v>
      </c>
      <c r="W7" s="33" t="n">
        <f aca="false">E7*(P1_PVP-P1_CPROD)+F7*(P2_PVP-P2_CPROD)+G7*(IF($A7&lt;P3_DESDE,P3A_PVP,P3_PVP)-IF($A7&lt;P3_DESDE,P3A_CPROD,P3_CPROD))-IF(ISNUMBER(L7),L7,E7*P1_LOG+F7*P2_LOG+G7*P3_LOG)</f>
        <v>68.2284</v>
      </c>
      <c r="X7" s="33" t="n">
        <f aca="false">W7-(E7*P1_IVAN+F7*P2_IVAN+G7*IF($A7&lt;P3_DESDE,P3A_IVAN,P3_IVAN))-(H7+I7+J7)*(COSTE_DEV-IVA_DEV)-AM7-AO7</f>
        <v>-47.3016</v>
      </c>
      <c r="Y7" s="33" t="n">
        <f aca="false">AH7-AI7-AJ7-AK7-AL7-AM7-AO7</f>
        <v>-47.3016</v>
      </c>
      <c r="AA7" s="58" t="n">
        <f aca="false">MAX(0,B7-E7-H7)</f>
        <v>0</v>
      </c>
      <c r="AB7" s="58" t="n">
        <f aca="false">MAX(0,C7-F7-I7)</f>
        <v>0</v>
      </c>
      <c r="AC7" s="58" t="n">
        <f aca="false">MAX(0,D7-G7-J7)</f>
        <v>0</v>
      </c>
      <c r="AD7" s="59" t="n">
        <f aca="false">E7+AA7*AQ7</f>
        <v>2</v>
      </c>
      <c r="AE7" s="59" t="n">
        <f aca="false">F7+AB7*AQ7</f>
        <v>1</v>
      </c>
      <c r="AF7" s="59" t="n">
        <f aca="false">G7+AC7*AQ7</f>
        <v>0</v>
      </c>
      <c r="AG7" s="59" t="n">
        <f aca="false">H7+I7+J7+(AA7+AB7+AC7)*(1-AQ7)</f>
        <v>5</v>
      </c>
      <c r="AH7" s="60" t="n">
        <f aca="false">AD7*P1_PVP+AE7*P2_PVP+AF7*IF($A7&lt;P3_DESDE,P3A_PVP,P3_PVP)</f>
        <v>99.97</v>
      </c>
      <c r="AI7" s="60" t="n">
        <f aca="false">AD7*P1_CPROD+AE7*P2_CPROD+AF7*IF($A7&lt;P3_DESDE,P3A_CPROD,P3_CPROD)</f>
        <v>9.6316</v>
      </c>
      <c r="AJ7" s="60" t="n">
        <f aca="false">IF(ISNUMBER(L7),L7,E7*P1_LOG+F7*P2_LOG+G7*P3_LOG)+IF(ISNUMBER(M7),M7,AA7*P1_LOG+AB7*P2_LOG+AC7*P3_LOG)*AQ7</f>
        <v>22.11</v>
      </c>
      <c r="AK7" s="60" t="n">
        <f aca="false">AG7*COSTE_DEV</f>
        <v>37.75</v>
      </c>
      <c r="AL7" s="60" t="n">
        <f aca="false">AD7*P1_IVAN+AE7*P2_IVAN+AF7*IF($A7&lt;P3_DESDE,P3A_IVAN,P3_IVAN)-AG7*IVA_DEV</f>
        <v>0</v>
      </c>
      <c r="AM7" s="60" t="n">
        <f aca="false">N7*(1+RECARGO_ADS)</f>
        <v>70.18</v>
      </c>
      <c r="AN7" s="58" t="n">
        <f aca="false">IF(ISNUMBER(L7),E7+F7+G7+AA7+AB7+AC7,0)</f>
        <v>3</v>
      </c>
      <c r="AO7" s="60" t="n">
        <f aca="false">P7*COMISION</f>
        <v>7.6</v>
      </c>
      <c r="AP7" s="58" t="n">
        <f aca="false">MIN(N(K7),Q7)</f>
        <v>0</v>
      </c>
      <c r="AQ7" s="61" t="n">
        <f aca="false">IF(Q7&gt;0,((Q7-AP7)*AT7+AP7*TASA_INC)/Q7,AT7)</f>
        <v>0.941176470588235</v>
      </c>
      <c r="AR7" s="58" t="n">
        <f aca="false">IF($A7&lt;FECHA_EXPORT,NETWORKDAYS($A7+1,FECHA_EXPORT,FESTIVOS),0)</f>
        <v>12</v>
      </c>
      <c r="AS7" s="61" t="n">
        <f aca="false">IF(AR7&gt;=5,1,INDEX(CDF_INC,1,AR7+1))</f>
        <v>1</v>
      </c>
      <c r="AT7" s="61" t="n">
        <f aca="false">TASA_USADA+(TASA_INC-TASA_USADA)*Q_INC*(1-AS7)/(1-Q_INC*AS7)</f>
        <v>0.941176470588235</v>
      </c>
    </row>
    <row r="8" customFormat="false" ht="15" hidden="false" customHeight="false" outlineLevel="0" collapsed="false">
      <c r="A8" s="53" t="n">
        <v>46302</v>
      </c>
      <c r="B8" s="54" t="n">
        <v>6</v>
      </c>
      <c r="C8" s="54" t="n">
        <v>1</v>
      </c>
      <c r="D8" s="54" t="n">
        <v>0</v>
      </c>
      <c r="E8" s="54" t="n">
        <v>2</v>
      </c>
      <c r="F8" s="54" t="n">
        <v>1</v>
      </c>
      <c r="G8" s="54"/>
      <c r="H8" s="54" t="n">
        <v>4</v>
      </c>
      <c r="I8" s="54"/>
      <c r="J8" s="54"/>
      <c r="K8" s="54"/>
      <c r="L8" s="55" t="n">
        <v>22.65</v>
      </c>
      <c r="M8" s="55" t="n">
        <v>0</v>
      </c>
      <c r="N8" s="55" t="n">
        <v>47.78</v>
      </c>
      <c r="O8" s="56"/>
      <c r="P8" s="31" t="n">
        <f aca="false">B8+C8+D8</f>
        <v>7</v>
      </c>
      <c r="Q8" s="31" t="n">
        <f aca="false">AA8+AB8+AC8</f>
        <v>0</v>
      </c>
      <c r="R8" s="32" t="n">
        <f aca="false">B8*P1_PVP+C8*P2_PVP+D8*IF($A8&lt;P3_DESDE,P3A_PVP,P3_PVP)</f>
        <v>219.93</v>
      </c>
      <c r="S8" s="32" t="n">
        <f aca="false">IF(P8&gt;0,R8/P8,"")</f>
        <v>31.4185714285714</v>
      </c>
      <c r="T8" s="32" t="n">
        <f aca="false">IF(P8&gt;0,N8/P8,"")</f>
        <v>6.82571428571429</v>
      </c>
      <c r="U8" s="57" t="n">
        <f aca="false">IF(N8&gt;0,R8/N8,"")</f>
        <v>4.6029719547928</v>
      </c>
      <c r="V8" s="34" t="n">
        <f aca="false">IF(E8+F8+G8+H8+I8+J8&gt;0,(E8+F8+G8)/(E8+F8+G8+H8+I8+J8),"")</f>
        <v>0.428571428571429</v>
      </c>
      <c r="W8" s="33" t="n">
        <f aca="false">E8*(P1_PVP-P1_CPROD)+F8*(P2_PVP-P2_CPROD)+G8*(IF($A8&lt;P3_DESDE,P3A_PVP,P3_PVP)-IF($A8&lt;P3_DESDE,P3A_CPROD,P3_CPROD))-IF(ISNUMBER(L8),L8,E8*P1_LOG+F8*P2_LOG+G8*P3_LOG)</f>
        <v>67.6884</v>
      </c>
      <c r="X8" s="33" t="n">
        <f aca="false">W8-(E8*P1_IVAN+F8*P2_IVAN+G8*IF($A8&lt;P3_DESDE,P3A_IVAN,P3_IVAN))-(H8+I8+J8)*(COSTE_DEV-IVA_DEV)-AM8-AO8</f>
        <v>-16.9416</v>
      </c>
      <c r="Y8" s="33" t="n">
        <f aca="false">AH8-AI8-AJ8-AK8-AL8-AM8-AO8</f>
        <v>-16.9416</v>
      </c>
      <c r="AA8" s="58" t="n">
        <f aca="false">MAX(0,B8-E8-H8)</f>
        <v>0</v>
      </c>
      <c r="AB8" s="58" t="n">
        <f aca="false">MAX(0,C8-F8-I8)</f>
        <v>0</v>
      </c>
      <c r="AC8" s="58" t="n">
        <f aca="false">MAX(0,D8-G8-J8)</f>
        <v>0</v>
      </c>
      <c r="AD8" s="59" t="n">
        <f aca="false">E8+AA8*AQ8</f>
        <v>2</v>
      </c>
      <c r="AE8" s="59" t="n">
        <f aca="false">F8+AB8*AQ8</f>
        <v>1</v>
      </c>
      <c r="AF8" s="59" t="n">
        <f aca="false">G8+AC8*AQ8</f>
        <v>0</v>
      </c>
      <c r="AG8" s="59" t="n">
        <f aca="false">H8+I8+J8+(AA8+AB8+AC8)*(1-AQ8)</f>
        <v>4</v>
      </c>
      <c r="AH8" s="60" t="n">
        <f aca="false">AD8*P1_PVP+AE8*P2_PVP+AF8*IF($A8&lt;P3_DESDE,P3A_PVP,P3_PVP)</f>
        <v>99.97</v>
      </c>
      <c r="AI8" s="60" t="n">
        <f aca="false">AD8*P1_CPROD+AE8*P2_CPROD+AF8*IF($A8&lt;P3_DESDE,P3A_CPROD,P3_CPROD)</f>
        <v>9.6316</v>
      </c>
      <c r="AJ8" s="60" t="n">
        <f aca="false">IF(ISNUMBER(L8),L8,E8*P1_LOG+F8*P2_LOG+G8*P3_LOG)+IF(ISNUMBER(M8),M8,AA8*P1_LOG+AB8*P2_LOG+AC8*P3_LOG)*AQ8</f>
        <v>22.65</v>
      </c>
      <c r="AK8" s="60" t="n">
        <f aca="false">AG8*COSTE_DEV</f>
        <v>30.2</v>
      </c>
      <c r="AL8" s="60" t="n">
        <f aca="false">AD8*P1_IVAN+AE8*P2_IVAN+AF8*IF($A8&lt;P3_DESDE,P3A_IVAN,P3_IVAN)-AG8*IVA_DEV</f>
        <v>0</v>
      </c>
      <c r="AM8" s="60" t="n">
        <f aca="false">N8*(1+RECARGO_ADS)</f>
        <v>47.78</v>
      </c>
      <c r="AN8" s="58" t="n">
        <f aca="false">IF(ISNUMBER(L8),E8+F8+G8+AA8+AB8+AC8,0)</f>
        <v>3</v>
      </c>
      <c r="AO8" s="60" t="n">
        <f aca="false">P8*COMISION</f>
        <v>6.65</v>
      </c>
      <c r="AP8" s="58" t="n">
        <f aca="false">MIN(N(K8),Q8)</f>
        <v>0</v>
      </c>
      <c r="AQ8" s="61" t="n">
        <f aca="false">IF(Q8&gt;0,((Q8-AP8)*AT8+AP8*TASA_INC)/Q8,AT8)</f>
        <v>0.941176470588235</v>
      </c>
      <c r="AR8" s="58" t="n">
        <f aca="false">IF($A8&lt;FECHA_EXPORT,NETWORKDAYS($A8+1,FECHA_EXPORT,FESTIVOS),0)</f>
        <v>11</v>
      </c>
      <c r="AS8" s="61" t="n">
        <f aca="false">IF(AR8&gt;=5,1,INDEX(CDF_INC,1,AR8+1))</f>
        <v>1</v>
      </c>
      <c r="AT8" s="61" t="n">
        <f aca="false">TASA_USADA+(TASA_INC-TASA_USADA)*Q_INC*(1-AS8)/(1-Q_INC*AS8)</f>
        <v>0.941176470588235</v>
      </c>
    </row>
    <row r="9" customFormat="false" ht="15" hidden="false" customHeight="false" outlineLevel="0" collapsed="false">
      <c r="A9" s="53" t="n">
        <v>46303</v>
      </c>
      <c r="B9" s="54" t="n">
        <v>9</v>
      </c>
      <c r="C9" s="54" t="n">
        <v>6</v>
      </c>
      <c r="D9" s="54" t="n">
        <v>1</v>
      </c>
      <c r="E9" s="54" t="n">
        <v>4</v>
      </c>
      <c r="F9" s="54" t="n">
        <v>2</v>
      </c>
      <c r="G9" s="54" t="n">
        <v>1</v>
      </c>
      <c r="H9" s="54" t="n">
        <v>4</v>
      </c>
      <c r="I9" s="54" t="n">
        <v>3</v>
      </c>
      <c r="J9" s="54"/>
      <c r="K9" s="54" t="n">
        <v>2</v>
      </c>
      <c r="L9" s="55" t="n">
        <v>50.21</v>
      </c>
      <c r="M9" s="55" t="n">
        <v>16.12</v>
      </c>
      <c r="N9" s="55" t="n">
        <v>50.46</v>
      </c>
      <c r="O9" s="56" t="s">
        <v>112</v>
      </c>
      <c r="P9" s="31" t="n">
        <f aca="false">B9+C9+D9</f>
        <v>16</v>
      </c>
      <c r="Q9" s="31" t="n">
        <f aca="false">AA9+AB9+AC9</f>
        <v>2</v>
      </c>
      <c r="R9" s="32" t="n">
        <f aca="false">B9*P1_PVP+C9*P2_PVP+D9*IF($A9&lt;P3_DESDE,P3A_PVP,P3_PVP)</f>
        <v>559.84</v>
      </c>
      <c r="S9" s="32" t="n">
        <f aca="false">IF(P9&gt;0,R9/P9,"")</f>
        <v>34.99</v>
      </c>
      <c r="T9" s="32" t="n">
        <f aca="false">IF(P9&gt;0,N9/P9,"")</f>
        <v>3.15375</v>
      </c>
      <c r="U9" s="57" t="n">
        <f aca="false">IF(N9&gt;0,R9/N9,"")</f>
        <v>11.0947284978201</v>
      </c>
      <c r="V9" s="34" t="n">
        <f aca="false">IF(E9+F9+G9+H9+I9+J9&gt;0,(E9+F9+G9)/(E9+F9+G9+H9+I9+J9),"")</f>
        <v>0.5</v>
      </c>
      <c r="W9" s="33" t="n">
        <f aca="false">E9*(P1_PVP-P1_CPROD)+F9*(P2_PVP-P2_CPROD)+G9*(IF($A9&lt;P3_DESDE,P3A_PVP,P3_PVP)-IF($A9&lt;P3_DESDE,P3A_CPROD,P3_CPROD))-IF(ISNUMBER(L9),L9,E9*P1_LOG+F9*P2_LOG+G9*P3_LOG)</f>
        <v>173.2331</v>
      </c>
      <c r="X9" s="33" t="n">
        <f aca="false">W9-(E9*P1_IVAN+F9*P2_IVAN+G9*IF($A9&lt;P3_DESDE,P3A_IVAN,P3_IVAN))-(H9+I9+J9)*(COSTE_DEV-IVA_DEV)-AM9-AO9</f>
        <v>54.7231</v>
      </c>
      <c r="Y9" s="33" t="n">
        <f aca="false">AH9-AI9-AJ9-AK9-AL9-AM9-AO9</f>
        <v>56.291901</v>
      </c>
      <c r="AA9" s="58" t="n">
        <f aca="false">MAX(0,B9-E9-H9)</f>
        <v>1</v>
      </c>
      <c r="AB9" s="58" t="n">
        <f aca="false">MAX(0,C9-F9-I9)</f>
        <v>1</v>
      </c>
      <c r="AC9" s="58" t="n">
        <f aca="false">MAX(0,D9-G9-J9)</f>
        <v>0</v>
      </c>
      <c r="AD9" s="59" t="n">
        <f aca="false">E9+AA9*AQ9</f>
        <v>4.27</v>
      </c>
      <c r="AE9" s="59" t="n">
        <f aca="false">F9+AB9*AQ9</f>
        <v>2.27</v>
      </c>
      <c r="AF9" s="59" t="n">
        <f aca="false">G9+AC9*AQ9</f>
        <v>1</v>
      </c>
      <c r="AG9" s="59" t="n">
        <f aca="false">H9+I9+J9+(AA9+AB9+AC9)*(1-AQ9)</f>
        <v>8.46</v>
      </c>
      <c r="AH9" s="60" t="n">
        <f aca="false">AD9*P1_PVP+AE9*P2_PVP+AF9*IF($A9&lt;P3_DESDE,P3A_PVP,P3_PVP)</f>
        <v>268.8246</v>
      </c>
      <c r="AI9" s="60" t="n">
        <f aca="false">AD9*P1_CPROD+AE9*P2_CPROD+AF9*IF($A9&lt;P3_DESDE,P3A_CPROD,P3_CPROD)</f>
        <v>28.437299</v>
      </c>
      <c r="AJ9" s="60" t="n">
        <f aca="false">IF(ISNUMBER(L9),L9,E9*P1_LOG+F9*P2_LOG+G9*P3_LOG)+IF(ISNUMBER(M9),M9,AA9*P1_LOG+AB9*P2_LOG+AC9*P3_LOG)*AQ9</f>
        <v>54.5624</v>
      </c>
      <c r="AK9" s="60" t="n">
        <f aca="false">AG9*COSTE_DEV</f>
        <v>63.873</v>
      </c>
      <c r="AL9" s="60" t="n">
        <f aca="false">AD9*P1_IVAN+AE9*P2_IVAN+AF9*IF($A9&lt;P3_DESDE,P3A_IVAN,P3_IVAN)-AG9*IVA_DEV</f>
        <v>0</v>
      </c>
      <c r="AM9" s="60" t="n">
        <f aca="false">N9*(1+RECARGO_ADS)</f>
        <v>50.46</v>
      </c>
      <c r="AN9" s="58" t="n">
        <f aca="false">IF(ISNUMBER(L9),E9+F9+G9+AA9+AB9+AC9,0)</f>
        <v>9</v>
      </c>
      <c r="AO9" s="60" t="n">
        <f aca="false">P9*COMISION</f>
        <v>15.2</v>
      </c>
      <c r="AP9" s="58" t="n">
        <f aca="false">MIN(N(K9),Q9)</f>
        <v>2</v>
      </c>
      <c r="AQ9" s="61" t="n">
        <f aca="false">IF(Q9&gt;0,((Q9-AP9)*AT9+AP9*TASA_INC)/Q9,AT9)</f>
        <v>0.27</v>
      </c>
      <c r="AR9" s="58" t="n">
        <f aca="false">IF($A9&lt;FECHA_EXPORT,NETWORKDAYS($A9+1,FECHA_EXPORT,FESTIVOS),0)</f>
        <v>10</v>
      </c>
      <c r="AS9" s="61" t="n">
        <f aca="false">IF(AR9&gt;=5,1,INDEX(CDF_INC,1,AR9+1))</f>
        <v>1</v>
      </c>
      <c r="AT9" s="61" t="n">
        <f aca="false">TASA_USADA+(TASA_INC-TASA_USADA)*Q_INC*(1-AS9)/(1-Q_INC*AS9)</f>
        <v>0.941176470588235</v>
      </c>
    </row>
    <row r="10" customFormat="false" ht="15" hidden="false" customHeight="false" outlineLevel="0" collapsed="false">
      <c r="A10" s="53" t="n">
        <v>46304</v>
      </c>
      <c r="B10" s="54" t="n">
        <v>2</v>
      </c>
      <c r="C10" s="54" t="n">
        <v>3</v>
      </c>
      <c r="D10" s="54" t="n">
        <v>0</v>
      </c>
      <c r="E10" s="54" t="n">
        <v>1</v>
      </c>
      <c r="F10" s="54" t="n">
        <v>3</v>
      </c>
      <c r="G10" s="54"/>
      <c r="H10" s="54" t="n">
        <v>1</v>
      </c>
      <c r="I10" s="54"/>
      <c r="J10" s="54"/>
      <c r="K10" s="54"/>
      <c r="L10" s="55" t="n">
        <v>30.17</v>
      </c>
      <c r="M10" s="55" t="n">
        <v>0</v>
      </c>
      <c r="N10" s="55" t="n">
        <v>41.21</v>
      </c>
      <c r="O10" s="56"/>
      <c r="P10" s="31" t="n">
        <f aca="false">B10+C10+D10</f>
        <v>5</v>
      </c>
      <c r="Q10" s="31" t="n">
        <f aca="false">AA10+AB10+AC10</f>
        <v>0</v>
      </c>
      <c r="R10" s="32" t="n">
        <f aca="false">B10*P1_PVP+C10*P2_PVP+D10*IF($A10&lt;P3_DESDE,P3A_PVP,P3_PVP)</f>
        <v>179.95</v>
      </c>
      <c r="S10" s="32" t="n">
        <f aca="false">IF(P10&gt;0,R10/P10,"")</f>
        <v>35.99</v>
      </c>
      <c r="T10" s="32" t="n">
        <f aca="false">IF(P10&gt;0,N10/P10,"")</f>
        <v>8.242</v>
      </c>
      <c r="U10" s="57" t="n">
        <f aca="false">IF(N10&gt;0,R10/N10,"")</f>
        <v>4.36665857801505</v>
      </c>
      <c r="V10" s="34" t="n">
        <f aca="false">IF(E10+F10+G10+H10+I10+J10&gt;0,(E10+F10+G10)/(E10+F10+G10+H10+I10+J10),"")</f>
        <v>0.8</v>
      </c>
      <c r="W10" s="33" t="n">
        <f aca="false">E10*(P1_PVP-P1_CPROD)+F10*(P2_PVP-P2_CPROD)+G10*(IF($A10&lt;P3_DESDE,P3A_PVP,P3_PVP)-IF($A10&lt;P3_DESDE,P3A_CPROD,P3_CPROD))-IF(ISNUMBER(L10),L10,E10*P1_LOG+F10*P2_LOG+G10*P3_LOG)</f>
        <v>102.9347</v>
      </c>
      <c r="X10" s="33" t="n">
        <f aca="false">W10-(E10*P1_IVAN+F10*P2_IVAN+G10*IF($A10&lt;P3_DESDE,P3A_IVAN,P3_IVAN))-(H10+I10+J10)*(COSTE_DEV-IVA_DEV)-AM10-AO10</f>
        <v>49.4247</v>
      </c>
      <c r="Y10" s="33" t="n">
        <f aca="false">AH10-AI10-AJ10-AK10-AL10-AM10-AO10</f>
        <v>49.4247</v>
      </c>
      <c r="AA10" s="58" t="n">
        <f aca="false">MAX(0,B10-E10-H10)</f>
        <v>0</v>
      </c>
      <c r="AB10" s="58" t="n">
        <f aca="false">MAX(0,C10-F10-I10)</f>
        <v>0</v>
      </c>
      <c r="AC10" s="58" t="n">
        <f aca="false">MAX(0,D10-G10-J10)</f>
        <v>0</v>
      </c>
      <c r="AD10" s="59" t="n">
        <f aca="false">E10+AA10*AQ10</f>
        <v>1</v>
      </c>
      <c r="AE10" s="59" t="n">
        <f aca="false">F10+AB10*AQ10</f>
        <v>3</v>
      </c>
      <c r="AF10" s="59" t="n">
        <f aca="false">G10+AC10*AQ10</f>
        <v>0</v>
      </c>
      <c r="AG10" s="59" t="n">
        <f aca="false">H10+I10+J10+(AA10+AB10+AC10)*(1-AQ10)</f>
        <v>1</v>
      </c>
      <c r="AH10" s="60" t="n">
        <f aca="false">AD10*P1_PVP+AE10*P2_PVP+AF10*IF($A10&lt;P3_DESDE,P3A_PVP,P3_PVP)</f>
        <v>149.96</v>
      </c>
      <c r="AI10" s="60" t="n">
        <f aca="false">AD10*P1_CPROD+AE10*P2_CPROD+AF10*IF($A10&lt;P3_DESDE,P3A_CPROD,P3_CPROD)</f>
        <v>16.8553</v>
      </c>
      <c r="AJ10" s="60" t="n">
        <f aca="false">IF(ISNUMBER(L10),L10,E10*P1_LOG+F10*P2_LOG+G10*P3_LOG)+IF(ISNUMBER(M10),M10,AA10*P1_LOG+AB10*P2_LOG+AC10*P3_LOG)*AQ10</f>
        <v>30.17</v>
      </c>
      <c r="AK10" s="60" t="n">
        <f aca="false">AG10*COSTE_DEV</f>
        <v>7.55</v>
      </c>
      <c r="AL10" s="60" t="n">
        <f aca="false">AD10*P1_IVAN+AE10*P2_IVAN+AF10*IF($A10&lt;P3_DESDE,P3A_IVAN,P3_IVAN)-AG10*IVA_DEV</f>
        <v>0</v>
      </c>
      <c r="AM10" s="60" t="n">
        <f aca="false">N10*(1+RECARGO_ADS)</f>
        <v>41.21</v>
      </c>
      <c r="AN10" s="58" t="n">
        <f aca="false">IF(ISNUMBER(L10),E10+F10+G10+AA10+AB10+AC10,0)</f>
        <v>4</v>
      </c>
      <c r="AO10" s="60" t="n">
        <f aca="false">P10*COMISION</f>
        <v>4.75</v>
      </c>
      <c r="AP10" s="58" t="n">
        <f aca="false">MIN(N(K10),Q10)</f>
        <v>0</v>
      </c>
      <c r="AQ10" s="61" t="n">
        <f aca="false">IF(Q10&gt;0,((Q10-AP10)*AT10+AP10*TASA_INC)/Q10,AT10)</f>
        <v>0.941176470588235</v>
      </c>
      <c r="AR10" s="58" t="n">
        <f aca="false">IF($A10&lt;FECHA_EXPORT,NETWORKDAYS($A10+1,FECHA_EXPORT,FESTIVOS),0)</f>
        <v>9</v>
      </c>
      <c r="AS10" s="61" t="n">
        <f aca="false">IF(AR10&gt;=5,1,INDEX(CDF_INC,1,AR10+1))</f>
        <v>1</v>
      </c>
      <c r="AT10" s="61" t="n">
        <f aca="false">TASA_USADA+(TASA_INC-TASA_USADA)*Q_INC*(1-AS10)/(1-Q_INC*AS10)</f>
        <v>0.941176470588235</v>
      </c>
    </row>
    <row r="11" customFormat="false" ht="15" hidden="false" customHeight="false" outlineLevel="0" collapsed="false">
      <c r="A11" s="53" t="n">
        <v>46305</v>
      </c>
      <c r="B11" s="54" t="n">
        <v>6</v>
      </c>
      <c r="C11" s="54" t="n">
        <v>2</v>
      </c>
      <c r="D11" s="54" t="n">
        <v>1</v>
      </c>
      <c r="E11" s="54" t="n">
        <v>3</v>
      </c>
      <c r="F11" s="54"/>
      <c r="G11" s="54" t="n">
        <v>1</v>
      </c>
      <c r="H11" s="54" t="n">
        <v>3</v>
      </c>
      <c r="I11" s="54" t="n">
        <v>1</v>
      </c>
      <c r="J11" s="54"/>
      <c r="K11" s="54" t="n">
        <v>1</v>
      </c>
      <c r="L11" s="55" t="n">
        <v>28.96</v>
      </c>
      <c r="M11" s="55" t="n">
        <v>8.06</v>
      </c>
      <c r="N11" s="55" t="n">
        <v>64.81</v>
      </c>
      <c r="O11" s="56"/>
      <c r="P11" s="31" t="n">
        <f aca="false">B11+C11+D11</f>
        <v>9</v>
      </c>
      <c r="Q11" s="31" t="n">
        <f aca="false">AA11+AB11+AC11</f>
        <v>1</v>
      </c>
      <c r="R11" s="32" t="n">
        <f aca="false">B11*P1_PVP+C11*P2_PVP+D11*IF($A11&lt;P3_DESDE,P3A_PVP,P3_PVP)</f>
        <v>309.91</v>
      </c>
      <c r="S11" s="32" t="n">
        <f aca="false">IF(P11&gt;0,R11/P11,"")</f>
        <v>34.4344444444444</v>
      </c>
      <c r="T11" s="32" t="n">
        <f aca="false">IF(P11&gt;0,N11/P11,"")</f>
        <v>7.20111111111111</v>
      </c>
      <c r="U11" s="57" t="n">
        <f aca="false">IF(N11&gt;0,R11/N11,"")</f>
        <v>4.7818237926246</v>
      </c>
      <c r="V11" s="34" t="n">
        <f aca="false">IF(E11+F11+G11+H11+I11+J11&gt;0,(E11+F11+G11)/(E11+F11+G11+H11+I11+J11),"")</f>
        <v>0.5</v>
      </c>
      <c r="W11" s="33" t="n">
        <f aca="false">E11*(P1_PVP-P1_CPROD)+F11*(P2_PVP-P2_CPROD)+G11*(IF($A11&lt;P3_DESDE,P3A_PVP,P3_PVP)-IF($A11&lt;P3_DESDE,P3A_CPROD,P3_CPROD))-IF(ISNUMBER(L11),L11,E11*P1_LOG+F11*P2_LOG+G11*P3_LOG)</f>
        <v>96.5526</v>
      </c>
      <c r="X11" s="33" t="n">
        <f aca="false">W11-(E11*P1_IVAN+F11*P2_IVAN+G11*IF($A11&lt;P3_DESDE,P3A_IVAN,P3_IVAN))-(H11+I11+J11)*(COSTE_DEV-IVA_DEV)-AM11-AO11</f>
        <v>-7.00740000000002</v>
      </c>
      <c r="Y11" s="33" t="n">
        <f aca="false">AH11-AI11-AJ11-AK11-AL11-AM11-AO11</f>
        <v>-5.198066</v>
      </c>
      <c r="AA11" s="58" t="n">
        <f aca="false">MAX(0,B11-E11-H11)</f>
        <v>0</v>
      </c>
      <c r="AB11" s="58" t="n">
        <f aca="false">MAX(0,C11-F11-I11)</f>
        <v>1</v>
      </c>
      <c r="AC11" s="58" t="n">
        <f aca="false">MAX(0,D11-G11-J11)</f>
        <v>0</v>
      </c>
      <c r="AD11" s="59" t="n">
        <f aca="false">E11+AA11*AQ11</f>
        <v>3</v>
      </c>
      <c r="AE11" s="59" t="n">
        <f aca="false">F11+AB11*AQ11</f>
        <v>0.27</v>
      </c>
      <c r="AF11" s="59" t="n">
        <f aca="false">G11+AC11*AQ11</f>
        <v>1</v>
      </c>
      <c r="AG11" s="59" t="n">
        <f aca="false">H11+I11+J11+(AA11+AB11+AC11)*(1-AQ11)</f>
        <v>4.73</v>
      </c>
      <c r="AH11" s="60" t="n">
        <f aca="false">AD11*P1_PVP+AE11*P2_PVP+AF11*IF($A11&lt;P3_DESDE,P3A_PVP,P3_PVP)</f>
        <v>150.7573</v>
      </c>
      <c r="AI11" s="60" t="n">
        <f aca="false">AD11*P1_CPROD+AE11*P2_CPROD+AF11*IF($A11&lt;P3_DESDE,P3A_CPROD,P3_CPROD)</f>
        <v>15.747666</v>
      </c>
      <c r="AJ11" s="60" t="n">
        <f aca="false">IF(ISNUMBER(L11),L11,E11*P1_LOG+F11*P2_LOG+G11*P3_LOG)+IF(ISNUMBER(M11),M11,AA11*P1_LOG+AB11*P2_LOG+AC11*P3_LOG)*AQ11</f>
        <v>31.1362</v>
      </c>
      <c r="AK11" s="60" t="n">
        <f aca="false">AG11*COSTE_DEV</f>
        <v>35.7115</v>
      </c>
      <c r="AL11" s="60" t="n">
        <f aca="false">AD11*P1_IVAN+AE11*P2_IVAN+AF11*IF($A11&lt;P3_DESDE,P3A_IVAN,P3_IVAN)-AG11*IVA_DEV</f>
        <v>0</v>
      </c>
      <c r="AM11" s="60" t="n">
        <f aca="false">N11*(1+RECARGO_ADS)</f>
        <v>64.81</v>
      </c>
      <c r="AN11" s="58" t="n">
        <f aca="false">IF(ISNUMBER(L11),E11+F11+G11+AA11+AB11+AC11,0)</f>
        <v>5</v>
      </c>
      <c r="AO11" s="60" t="n">
        <f aca="false">P11*COMISION</f>
        <v>8.55</v>
      </c>
      <c r="AP11" s="58" t="n">
        <f aca="false">MIN(N(K11),Q11)</f>
        <v>1</v>
      </c>
      <c r="AQ11" s="61" t="n">
        <f aca="false">IF(Q11&gt;0,((Q11-AP11)*AT11+AP11*TASA_INC)/Q11,AT11)</f>
        <v>0.27</v>
      </c>
      <c r="AR11" s="58" t="n">
        <f aca="false">IF($A11&lt;FECHA_EXPORT,NETWORKDAYS($A11+1,FECHA_EXPORT,FESTIVOS),0)</f>
        <v>9</v>
      </c>
      <c r="AS11" s="61" t="n">
        <f aca="false">IF(AR11&gt;=5,1,INDEX(CDF_INC,1,AR11+1))</f>
        <v>1</v>
      </c>
      <c r="AT11" s="61" t="n">
        <f aca="false">TASA_USADA+(TASA_INC-TASA_USADA)*Q_INC*(1-AS11)/(1-Q_INC*AS11)</f>
        <v>0.941176470588235</v>
      </c>
    </row>
    <row r="12" customFormat="false" ht="15" hidden="false" customHeight="false" outlineLevel="0" collapsed="false">
      <c r="A12" s="53" t="n">
        <v>46306</v>
      </c>
      <c r="B12" s="54" t="n">
        <v>5</v>
      </c>
      <c r="C12" s="54" t="n">
        <v>1</v>
      </c>
      <c r="D12" s="54" t="n">
        <v>0</v>
      </c>
      <c r="E12" s="54" t="n">
        <v>1</v>
      </c>
      <c r="F12" s="54"/>
      <c r="G12" s="54"/>
      <c r="H12" s="54" t="n">
        <v>4</v>
      </c>
      <c r="I12" s="54" t="n">
        <v>1</v>
      </c>
      <c r="J12" s="54"/>
      <c r="K12" s="54"/>
      <c r="L12" s="55" t="n">
        <v>6.85</v>
      </c>
      <c r="M12" s="55" t="n">
        <v>0</v>
      </c>
      <c r="N12" s="55" t="n">
        <v>89.51</v>
      </c>
      <c r="O12" s="56"/>
      <c r="P12" s="31" t="n">
        <f aca="false">B12+C12+D12</f>
        <v>6</v>
      </c>
      <c r="Q12" s="31" t="n">
        <f aca="false">AA12+AB12+AC12</f>
        <v>0</v>
      </c>
      <c r="R12" s="32" t="n">
        <f aca="false">B12*P1_PVP+C12*P2_PVP+D12*IF($A12&lt;P3_DESDE,P3A_PVP,P3_PVP)</f>
        <v>189.94</v>
      </c>
      <c r="S12" s="32" t="n">
        <f aca="false">IF(P12&gt;0,R12/P12,"")</f>
        <v>31.6566666666667</v>
      </c>
      <c r="T12" s="32" t="n">
        <f aca="false">IF(P12&gt;0,N12/P12,"")</f>
        <v>14.9183333333333</v>
      </c>
      <c r="U12" s="57" t="n">
        <f aca="false">IF(N12&gt;0,R12/N12,"")</f>
        <v>2.12199754217406</v>
      </c>
      <c r="V12" s="34" t="n">
        <f aca="false">IF(E12+F12+G12+H12+I12+J12&gt;0,(E12+F12+G12)/(E12+F12+G12+H12+I12+J12),"")</f>
        <v>0.166666666666667</v>
      </c>
      <c r="W12" s="33" t="n">
        <f aca="false">E12*(P1_PVP-P1_CPROD)+F12*(P2_PVP-P2_CPROD)+G12*(IF($A12&lt;P3_DESDE,P3A_PVP,P3_PVP)-IF($A12&lt;P3_DESDE,P3A_CPROD,P3_CPROD))-IF(ISNUMBER(L12),L12,E12*P1_LOG+F12*P2_LOG+G12*P3_LOG)</f>
        <v>20.7321</v>
      </c>
      <c r="X12" s="33" t="n">
        <f aca="false">W12-(E12*P1_IVAN+F12*P2_IVAN+G12*IF($A12&lt;P3_DESDE,P3A_IVAN,P3_IVAN))-(H12+I12+J12)*(COSTE_DEV-IVA_DEV)-AM12-AO12</f>
        <v>-112.2279</v>
      </c>
      <c r="Y12" s="33" t="n">
        <f aca="false">AH12-AI12-AJ12-AK12-AL12-AM12-AO12</f>
        <v>-112.2279</v>
      </c>
      <c r="AA12" s="58" t="n">
        <f aca="false">MAX(0,B12-E12-H12)</f>
        <v>0</v>
      </c>
      <c r="AB12" s="58" t="n">
        <f aca="false">MAX(0,C12-F12-I12)</f>
        <v>0</v>
      </c>
      <c r="AC12" s="58" t="n">
        <f aca="false">MAX(0,D12-G12-J12)</f>
        <v>0</v>
      </c>
      <c r="AD12" s="59" t="n">
        <f aca="false">E12+AA12*AQ12</f>
        <v>1</v>
      </c>
      <c r="AE12" s="59" t="n">
        <f aca="false">F12+AB12*AQ12</f>
        <v>0</v>
      </c>
      <c r="AF12" s="59" t="n">
        <f aca="false">G12+AC12*AQ12</f>
        <v>0</v>
      </c>
      <c r="AG12" s="59" t="n">
        <f aca="false">H12+I12+J12+(AA12+AB12+AC12)*(1-AQ12)</f>
        <v>5</v>
      </c>
      <c r="AH12" s="60" t="n">
        <f aca="false">AD12*P1_PVP+AE12*P2_PVP+AF12*IF($A12&lt;P3_DESDE,P3A_PVP,P3_PVP)</f>
        <v>29.99</v>
      </c>
      <c r="AI12" s="60" t="n">
        <f aca="false">AD12*P1_CPROD+AE12*P2_CPROD+AF12*IF($A12&lt;P3_DESDE,P3A_CPROD,P3_CPROD)</f>
        <v>2.4079</v>
      </c>
      <c r="AJ12" s="60" t="n">
        <f aca="false">IF(ISNUMBER(L12),L12,E12*P1_LOG+F12*P2_LOG+G12*P3_LOG)+IF(ISNUMBER(M12),M12,AA12*P1_LOG+AB12*P2_LOG+AC12*P3_LOG)*AQ12</f>
        <v>6.85</v>
      </c>
      <c r="AK12" s="60" t="n">
        <f aca="false">AG12*COSTE_DEV</f>
        <v>37.75</v>
      </c>
      <c r="AL12" s="60" t="n">
        <f aca="false">AD12*P1_IVAN+AE12*P2_IVAN+AF12*IF($A12&lt;P3_DESDE,P3A_IVAN,P3_IVAN)-AG12*IVA_DEV</f>
        <v>0</v>
      </c>
      <c r="AM12" s="60" t="n">
        <f aca="false">N12*(1+RECARGO_ADS)</f>
        <v>89.51</v>
      </c>
      <c r="AN12" s="58" t="n">
        <f aca="false">IF(ISNUMBER(L12),E12+F12+G12+AA12+AB12+AC12,0)</f>
        <v>1</v>
      </c>
      <c r="AO12" s="60" t="n">
        <f aca="false">P12*COMISION</f>
        <v>5.7</v>
      </c>
      <c r="AP12" s="58" t="n">
        <f aca="false">MIN(N(K12),Q12)</f>
        <v>0</v>
      </c>
      <c r="AQ12" s="61" t="n">
        <f aca="false">IF(Q12&gt;0,((Q12-AP12)*AT12+AP12*TASA_INC)/Q12,AT12)</f>
        <v>0.941176470588235</v>
      </c>
      <c r="AR12" s="58" t="n">
        <f aca="false">IF($A12&lt;FECHA_EXPORT,NETWORKDAYS($A12+1,FECHA_EXPORT,FESTIVOS),0)</f>
        <v>9</v>
      </c>
      <c r="AS12" s="61" t="n">
        <f aca="false">IF(AR12&gt;=5,1,INDEX(CDF_INC,1,AR12+1))</f>
        <v>1</v>
      </c>
      <c r="AT12" s="61" t="n">
        <f aca="false">TASA_USADA+(TASA_INC-TASA_USADA)*Q_INC*(1-AS12)/(1-Q_INC*AS12)</f>
        <v>0.941176470588235</v>
      </c>
    </row>
    <row r="13" customFormat="false" ht="15" hidden="false" customHeight="false" outlineLevel="0" collapsed="false">
      <c r="A13" s="53" t="n">
        <v>46307</v>
      </c>
      <c r="B13" s="54" t="n">
        <v>9</v>
      </c>
      <c r="C13" s="54" t="n">
        <v>3</v>
      </c>
      <c r="D13" s="54" t="n">
        <v>2</v>
      </c>
      <c r="E13" s="54" t="n">
        <v>4</v>
      </c>
      <c r="F13" s="54" t="n">
        <v>2</v>
      </c>
      <c r="G13" s="54" t="n">
        <v>1</v>
      </c>
      <c r="H13" s="54" t="n">
        <v>2</v>
      </c>
      <c r="I13" s="54" t="n">
        <v>1</v>
      </c>
      <c r="J13" s="54" t="n">
        <v>1</v>
      </c>
      <c r="K13" s="54" t="n">
        <v>3</v>
      </c>
      <c r="L13" s="55" t="n">
        <v>52.47</v>
      </c>
      <c r="M13" s="55" t="n">
        <v>21.98</v>
      </c>
      <c r="N13" s="55" t="n">
        <v>78.33</v>
      </c>
      <c r="O13" s="56"/>
      <c r="P13" s="31" t="n">
        <f aca="false">B13+C13+D13</f>
        <v>14</v>
      </c>
      <c r="Q13" s="31" t="n">
        <f aca="false">AA13+AB13+AC13</f>
        <v>3</v>
      </c>
      <c r="R13" s="32" t="n">
        <f aca="false">B13*P1_PVP+C13*P2_PVP+D13*IF($A13&lt;P3_DESDE,P3A_PVP,P3_PVP)</f>
        <v>489.86</v>
      </c>
      <c r="S13" s="32" t="n">
        <f aca="false">IF(P13&gt;0,R13/P13,"")</f>
        <v>34.99</v>
      </c>
      <c r="T13" s="32" t="n">
        <f aca="false">IF(P13&gt;0,N13/P13,"")</f>
        <v>5.595</v>
      </c>
      <c r="U13" s="57" t="n">
        <f aca="false">IF(N13&gt;0,R13/N13,"")</f>
        <v>6.25379803395889</v>
      </c>
      <c r="V13" s="34" t="n">
        <f aca="false">IF(E13+F13+G13+H13+I13+J13&gt;0,(E13+F13+G13)/(E13+F13+G13+H13+I13+J13),"")</f>
        <v>0.636363636363636</v>
      </c>
      <c r="W13" s="33" t="n">
        <f aca="false">E13*(P1_PVP-P1_CPROD)+F13*(P2_PVP-P2_CPROD)+G13*(IF($A13&lt;P3_DESDE,P3A_PVP,P3_PVP)-IF($A13&lt;P3_DESDE,P3A_CPROD,P3_CPROD))-IF(ISNUMBER(L13),L13,E13*P1_LOG+F13*P2_LOG+G13*P3_LOG)</f>
        <v>170.9731</v>
      </c>
      <c r="X13" s="33" t="n">
        <f aca="false">W13-(E13*P1_IVAN+F13*P2_IVAN+G13*IF($A13&lt;P3_DESDE,P3A_IVAN,P3_IVAN))-(H13+I13+J13)*(COSTE_DEV-IVA_DEV)-AM13-AO13</f>
        <v>49.1431</v>
      </c>
      <c r="Y13" s="33" t="n">
        <f aca="false">AH13-AI13-AJ13-AK13-AL13-AM13-AO13</f>
        <v>49.015501</v>
      </c>
      <c r="AA13" s="58" t="n">
        <f aca="false">MAX(0,B13-E13-H13)</f>
        <v>3</v>
      </c>
      <c r="AB13" s="58" t="n">
        <f aca="false">MAX(0,C13-F13-I13)</f>
        <v>0</v>
      </c>
      <c r="AC13" s="58" t="n">
        <f aca="false">MAX(0,D13-G13-J13)</f>
        <v>0</v>
      </c>
      <c r="AD13" s="59" t="n">
        <f aca="false">E13+AA13*AQ13</f>
        <v>4.81</v>
      </c>
      <c r="AE13" s="59" t="n">
        <f aca="false">F13+AB13*AQ13</f>
        <v>2</v>
      </c>
      <c r="AF13" s="59" t="n">
        <f aca="false">G13+AC13*AQ13</f>
        <v>1</v>
      </c>
      <c r="AG13" s="59" t="n">
        <f aca="false">H13+I13+J13+(AA13+AB13+AC13)*(1-AQ13)</f>
        <v>6.19</v>
      </c>
      <c r="AH13" s="60" t="n">
        <f aca="false">AD13*P1_PVP+AE13*P2_PVP+AF13*IF($A13&lt;P3_DESDE,P3A_PVP,P3_PVP)</f>
        <v>274.2219</v>
      </c>
      <c r="AI13" s="60" t="n">
        <f aca="false">AD13*P1_CPROD+AE13*P2_CPROD+AF13*IF($A13&lt;P3_DESDE,P3A_CPROD,P3_CPROD)</f>
        <v>28.437299</v>
      </c>
      <c r="AJ13" s="60" t="n">
        <f aca="false">IF(ISNUMBER(L13),L13,E13*P1_LOG+F13*P2_LOG+G13*P3_LOG)+IF(ISNUMBER(M13),M13,AA13*P1_LOG+AB13*P2_LOG+AC13*P3_LOG)*AQ13</f>
        <v>58.4046</v>
      </c>
      <c r="AK13" s="60" t="n">
        <f aca="false">AG13*COSTE_DEV</f>
        <v>46.7345</v>
      </c>
      <c r="AL13" s="60" t="n">
        <f aca="false">AD13*P1_IVAN+AE13*P2_IVAN+AF13*IF($A13&lt;P3_DESDE,P3A_IVAN,P3_IVAN)-AG13*IVA_DEV</f>
        <v>0</v>
      </c>
      <c r="AM13" s="60" t="n">
        <f aca="false">N13*(1+RECARGO_ADS)</f>
        <v>78.33</v>
      </c>
      <c r="AN13" s="58" t="n">
        <f aca="false">IF(ISNUMBER(L13),E13+F13+G13+AA13+AB13+AC13,0)</f>
        <v>10</v>
      </c>
      <c r="AO13" s="60" t="n">
        <f aca="false">P13*COMISION</f>
        <v>13.3</v>
      </c>
      <c r="AP13" s="58" t="n">
        <f aca="false">MIN(N(K13),Q13)</f>
        <v>3</v>
      </c>
      <c r="AQ13" s="61" t="n">
        <f aca="false">IF(Q13&gt;0,((Q13-AP13)*AT13+AP13*TASA_INC)/Q13,AT13)</f>
        <v>0.27</v>
      </c>
      <c r="AR13" s="58" t="n">
        <f aca="false">IF($A13&lt;FECHA_EXPORT,NETWORKDAYS($A13+1,FECHA_EXPORT,FESTIVOS),0)</f>
        <v>9</v>
      </c>
      <c r="AS13" s="61" t="n">
        <f aca="false">IF(AR13&gt;=5,1,INDEX(CDF_INC,1,AR13+1))</f>
        <v>1</v>
      </c>
      <c r="AT13" s="61" t="n">
        <f aca="false">TASA_USADA+(TASA_INC-TASA_USADA)*Q_INC*(1-AS13)/(1-Q_INC*AS13)</f>
        <v>0.941176470588235</v>
      </c>
    </row>
    <row r="14" customFormat="false" ht="15" hidden="false" customHeight="false" outlineLevel="0" collapsed="false">
      <c r="A14" s="53" t="n">
        <v>46308</v>
      </c>
      <c r="B14" s="54" t="n">
        <v>7</v>
      </c>
      <c r="C14" s="54" t="n">
        <v>1</v>
      </c>
      <c r="D14" s="54" t="n">
        <v>1</v>
      </c>
      <c r="E14" s="54" t="n">
        <v>4</v>
      </c>
      <c r="F14" s="54" t="n">
        <v>1</v>
      </c>
      <c r="G14" s="54"/>
      <c r="H14" s="54" t="n">
        <v>1</v>
      </c>
      <c r="I14" s="54"/>
      <c r="J14" s="54"/>
      <c r="K14" s="54" t="n">
        <v>3</v>
      </c>
      <c r="L14" s="55" t="n">
        <v>37.56</v>
      </c>
      <c r="M14" s="55" t="n">
        <v>24.18</v>
      </c>
      <c r="N14" s="55" t="n">
        <v>68.05</v>
      </c>
      <c r="O14" s="56"/>
      <c r="P14" s="31" t="n">
        <f aca="false">B14+C14+D14</f>
        <v>9</v>
      </c>
      <c r="Q14" s="31" t="n">
        <f aca="false">AA14+AB14+AC14</f>
        <v>3</v>
      </c>
      <c r="R14" s="32" t="n">
        <f aca="false">B14*P1_PVP+C14*P2_PVP+D14*IF($A14&lt;P3_DESDE,P3A_PVP,P3_PVP)</f>
        <v>299.91</v>
      </c>
      <c r="S14" s="32" t="n">
        <f aca="false">IF(P14&gt;0,R14/P14,"")</f>
        <v>33.3233333333333</v>
      </c>
      <c r="T14" s="32" t="n">
        <f aca="false">IF(P14&gt;0,N14/P14,"")</f>
        <v>7.56111111111111</v>
      </c>
      <c r="U14" s="57" t="n">
        <f aca="false">IF(N14&gt;0,R14/N14,"")</f>
        <v>4.40720058780309</v>
      </c>
      <c r="V14" s="34" t="n">
        <f aca="false">IF(E14+F14+G14+H14+I14+J14&gt;0,(E14+F14+G14)/(E14+F14+G14+H14+I14+J14),"")</f>
        <v>0.833333333333333</v>
      </c>
      <c r="W14" s="33" t="n">
        <f aca="false">E14*(P1_PVP-P1_CPROD)+F14*(P2_PVP-P2_CPROD)+G14*(IF($A14&lt;P3_DESDE,P3A_PVP,P3_PVP)-IF($A14&lt;P3_DESDE,P3A_CPROD,P3_CPROD))-IF(ISNUMBER(L14),L14,E14*P1_LOG+F14*P2_LOG+G14*P3_LOG)</f>
        <v>107.9426</v>
      </c>
      <c r="X14" s="33" t="n">
        <f aca="false">W14-(E14*P1_IVAN+F14*P2_IVAN+G14*IF($A14&lt;P3_DESDE,P3A_IVAN,P3_IVAN))-(H14+I14+J14)*(COSTE_DEV-IVA_DEV)-AM14-AO14</f>
        <v>23.7926</v>
      </c>
      <c r="Y14" s="33" t="n">
        <f aca="false">AH14-AI14-AJ14-AK14-AL14-AM14-AO14</f>
        <v>27.170735</v>
      </c>
      <c r="AA14" s="58" t="n">
        <f aca="false">MAX(0,B14-E14-H14)</f>
        <v>2</v>
      </c>
      <c r="AB14" s="58" t="n">
        <f aca="false">MAX(0,C14-F14-I14)</f>
        <v>0</v>
      </c>
      <c r="AC14" s="58" t="n">
        <f aca="false">MAX(0,D14-G14-J14)</f>
        <v>1</v>
      </c>
      <c r="AD14" s="59" t="n">
        <f aca="false">E14+AA14*AQ14</f>
        <v>4.54</v>
      </c>
      <c r="AE14" s="59" t="n">
        <f aca="false">F14+AB14*AQ14</f>
        <v>1</v>
      </c>
      <c r="AF14" s="59" t="n">
        <f aca="false">G14+AC14*AQ14</f>
        <v>0.27</v>
      </c>
      <c r="AG14" s="59" t="n">
        <f aca="false">H14+I14+J14+(AA14+AB14+AC14)*(1-AQ14)</f>
        <v>3.19</v>
      </c>
      <c r="AH14" s="60" t="n">
        <f aca="false">AD14*P1_PVP+AE14*P2_PVP+AF14*IF($A14&lt;P3_DESDE,P3A_PVP,P3_PVP)</f>
        <v>189.6419</v>
      </c>
      <c r="AI14" s="60" t="n">
        <f aca="false">AD14*P1_CPROD+AE14*P2_CPROD+AF14*IF($A14&lt;P3_DESDE,P3A_CPROD,P3_CPROD)</f>
        <v>17.698065</v>
      </c>
      <c r="AJ14" s="60" t="n">
        <f aca="false">IF(ISNUMBER(L14),L14,E14*P1_LOG+F14*P2_LOG+G14*P3_LOG)+IF(ISNUMBER(M14),M14,AA14*P1_LOG+AB14*P2_LOG+AC14*P3_LOG)*AQ14</f>
        <v>44.0886</v>
      </c>
      <c r="AK14" s="60" t="n">
        <f aca="false">AG14*COSTE_DEV</f>
        <v>24.0845</v>
      </c>
      <c r="AL14" s="60" t="n">
        <f aca="false">AD14*P1_IVAN+AE14*P2_IVAN+AF14*IF($A14&lt;P3_DESDE,P3A_IVAN,P3_IVAN)-AG14*IVA_DEV</f>
        <v>0</v>
      </c>
      <c r="AM14" s="60" t="n">
        <f aca="false">N14*(1+RECARGO_ADS)</f>
        <v>68.05</v>
      </c>
      <c r="AN14" s="58" t="n">
        <f aca="false">IF(ISNUMBER(L14),E14+F14+G14+AA14+AB14+AC14,0)</f>
        <v>8</v>
      </c>
      <c r="AO14" s="60" t="n">
        <f aca="false">P14*COMISION</f>
        <v>8.55</v>
      </c>
      <c r="AP14" s="58" t="n">
        <f aca="false">MIN(N(K14),Q14)</f>
        <v>3</v>
      </c>
      <c r="AQ14" s="61" t="n">
        <f aca="false">IF(Q14&gt;0,((Q14-AP14)*AT14+AP14*TASA_INC)/Q14,AT14)</f>
        <v>0.27</v>
      </c>
      <c r="AR14" s="58" t="n">
        <f aca="false">IF($A14&lt;FECHA_EXPORT,NETWORKDAYS($A14+1,FECHA_EXPORT,FESTIVOS),0)</f>
        <v>8</v>
      </c>
      <c r="AS14" s="61" t="n">
        <f aca="false">IF(AR14&gt;=5,1,INDEX(CDF_INC,1,AR14+1))</f>
        <v>1</v>
      </c>
      <c r="AT14" s="61" t="n">
        <f aca="false">TASA_USADA+(TASA_INC-TASA_USADA)*Q_INC*(1-AS14)/(1-Q_INC*AS14)</f>
        <v>0.941176470588235</v>
      </c>
    </row>
    <row r="15" customFormat="false" ht="15" hidden="false" customHeight="false" outlineLevel="0" collapsed="false">
      <c r="A15" s="53" t="n">
        <v>46309</v>
      </c>
      <c r="B15" s="54" t="n">
        <v>5</v>
      </c>
      <c r="C15" s="54" t="n">
        <v>4</v>
      </c>
      <c r="D15" s="54" t="n">
        <v>0</v>
      </c>
      <c r="E15" s="54" t="n">
        <v>4</v>
      </c>
      <c r="F15" s="54" t="n">
        <v>2</v>
      </c>
      <c r="G15" s="54"/>
      <c r="H15" s="54"/>
      <c r="I15" s="54"/>
      <c r="J15" s="54"/>
      <c r="K15" s="54" t="n">
        <v>3</v>
      </c>
      <c r="L15" s="55" t="n">
        <v>45.11</v>
      </c>
      <c r="M15" s="55" t="n">
        <v>23.51</v>
      </c>
      <c r="N15" s="55" t="n">
        <v>73.35</v>
      </c>
      <c r="O15" s="56"/>
      <c r="P15" s="31" t="n">
        <f aca="false">B15+C15+D15</f>
        <v>9</v>
      </c>
      <c r="Q15" s="31" t="n">
        <f aca="false">AA15+AB15+AC15</f>
        <v>3</v>
      </c>
      <c r="R15" s="32" t="n">
        <f aca="false">B15*P1_PVP+C15*P2_PVP+D15*IF($A15&lt;P3_DESDE,P3A_PVP,P3_PVP)</f>
        <v>309.91</v>
      </c>
      <c r="S15" s="32" t="n">
        <f aca="false">IF(P15&gt;0,R15/P15,"")</f>
        <v>34.4344444444444</v>
      </c>
      <c r="T15" s="32" t="n">
        <f aca="false">IF(P15&gt;0,N15/P15,"")</f>
        <v>8.15</v>
      </c>
      <c r="U15" s="57" t="n">
        <f aca="false">IF(N15&gt;0,R15/N15,"")</f>
        <v>4.22508520790729</v>
      </c>
      <c r="V15" s="34" t="n">
        <f aca="false">IF(E15+F15+G15+H15+I15+J15&gt;0,(E15+F15+G15)/(E15+F15+G15+H15+I15+J15),"")</f>
        <v>1</v>
      </c>
      <c r="W15" s="33" t="n">
        <f aca="false">E15*(P1_PVP-P1_CPROD)+F15*(P2_PVP-P2_CPROD)+G15*(IF($A15&lt;P3_DESDE,P3A_PVP,P3_PVP)-IF($A15&lt;P3_DESDE,P3A_CPROD,P3_CPROD))-IF(ISNUMBER(L15),L15,E15*P1_LOG+F15*P2_LOG+G15*P3_LOG)</f>
        <v>135.5668</v>
      </c>
      <c r="X15" s="33" t="n">
        <f aca="false">W15-(E15*P1_IVAN+F15*P2_IVAN+G15*IF($A15&lt;P3_DESDE,P3A_IVAN,P3_IVAN))-(H15+I15+J15)*(COSTE_DEV-IVA_DEV)-AM15-AO15</f>
        <v>53.6668</v>
      </c>
      <c r="Y15" s="33" t="n">
        <f aca="false">AH15-AI15-AJ15-AK15-AL15-AM15-AO15</f>
        <v>57.225835</v>
      </c>
      <c r="AA15" s="58" t="n">
        <f aca="false">MAX(0,B15-E15-H15)</f>
        <v>1</v>
      </c>
      <c r="AB15" s="58" t="n">
        <f aca="false">MAX(0,C15-F15-I15)</f>
        <v>2</v>
      </c>
      <c r="AC15" s="58" t="n">
        <f aca="false">MAX(0,D15-G15-J15)</f>
        <v>0</v>
      </c>
      <c r="AD15" s="59" t="n">
        <f aca="false">E15+AA15*AQ15</f>
        <v>4.27</v>
      </c>
      <c r="AE15" s="59" t="n">
        <f aca="false">F15+AB15*AQ15</f>
        <v>2.54</v>
      </c>
      <c r="AF15" s="59" t="n">
        <f aca="false">G15+AC15*AQ15</f>
        <v>0</v>
      </c>
      <c r="AG15" s="59" t="n">
        <f aca="false">H15+I15+J15+(AA15+AB15+AC15)*(1-AQ15)</f>
        <v>2.19</v>
      </c>
      <c r="AH15" s="60" t="n">
        <f aca="false">AD15*P1_PVP+AE15*P2_PVP+AF15*IF($A15&lt;P3_DESDE,P3A_PVP,P3_PVP)</f>
        <v>229.6319</v>
      </c>
      <c r="AI15" s="60" t="n">
        <f aca="false">AD15*P1_CPROD+AE15*P2_CPROD+AF15*IF($A15&lt;P3_DESDE,P3A_CPROD,P3_CPROD)</f>
        <v>22.513865</v>
      </c>
      <c r="AJ15" s="60" t="n">
        <f aca="false">IF(ISNUMBER(L15),L15,E15*P1_LOG+F15*P2_LOG+G15*P3_LOG)+IF(ISNUMBER(M15),M15,AA15*P1_LOG+AB15*P2_LOG+AC15*P3_LOG)*AQ15</f>
        <v>51.4577</v>
      </c>
      <c r="AK15" s="60" t="n">
        <f aca="false">AG15*COSTE_DEV</f>
        <v>16.5345</v>
      </c>
      <c r="AL15" s="60" t="n">
        <f aca="false">AD15*P1_IVAN+AE15*P2_IVAN+AF15*IF($A15&lt;P3_DESDE,P3A_IVAN,P3_IVAN)-AG15*IVA_DEV</f>
        <v>0</v>
      </c>
      <c r="AM15" s="60" t="n">
        <f aca="false">N15*(1+RECARGO_ADS)</f>
        <v>73.35</v>
      </c>
      <c r="AN15" s="58" t="n">
        <f aca="false">IF(ISNUMBER(L15),E15+F15+G15+AA15+AB15+AC15,0)</f>
        <v>9</v>
      </c>
      <c r="AO15" s="60" t="n">
        <f aca="false">P15*COMISION</f>
        <v>8.55</v>
      </c>
      <c r="AP15" s="58" t="n">
        <f aca="false">MIN(N(K15),Q15)</f>
        <v>3</v>
      </c>
      <c r="AQ15" s="61" t="n">
        <f aca="false">IF(Q15&gt;0,((Q15-AP15)*AT15+AP15*TASA_INC)/Q15,AT15)</f>
        <v>0.27</v>
      </c>
      <c r="AR15" s="58" t="n">
        <f aca="false">IF($A15&lt;FECHA_EXPORT,NETWORKDAYS($A15+1,FECHA_EXPORT,FESTIVOS),0)</f>
        <v>7</v>
      </c>
      <c r="AS15" s="61" t="n">
        <f aca="false">IF(AR15&gt;=5,1,INDEX(CDF_INC,1,AR15+1))</f>
        <v>1</v>
      </c>
      <c r="AT15" s="61" t="n">
        <f aca="false">TASA_USADA+(TASA_INC-TASA_USADA)*Q_INC*(1-AS15)/(1-Q_INC*AS15)</f>
        <v>0.941176470588235</v>
      </c>
    </row>
    <row r="16" customFormat="false" ht="15" hidden="false" customHeight="false" outlineLevel="0" collapsed="false">
      <c r="A16" s="53" t="n">
        <v>46310</v>
      </c>
      <c r="B16" s="54" t="n">
        <v>2</v>
      </c>
      <c r="C16" s="54" t="n">
        <v>3</v>
      </c>
      <c r="D16" s="54" t="n">
        <v>0</v>
      </c>
      <c r="E16" s="54" t="n">
        <v>1</v>
      </c>
      <c r="F16" s="54" t="n">
        <v>3</v>
      </c>
      <c r="G16" s="54"/>
      <c r="H16" s="54"/>
      <c r="I16" s="54"/>
      <c r="J16" s="54"/>
      <c r="K16" s="54" t="n">
        <v>1</v>
      </c>
      <c r="L16" s="55" t="n">
        <v>29.85</v>
      </c>
      <c r="M16" s="55" t="n">
        <v>8.06</v>
      </c>
      <c r="N16" s="55" t="n">
        <v>60.8</v>
      </c>
      <c r="O16" s="56"/>
      <c r="P16" s="31" t="n">
        <f aca="false">B16+C16+D16</f>
        <v>5</v>
      </c>
      <c r="Q16" s="31" t="n">
        <f aca="false">AA16+AB16+AC16</f>
        <v>1</v>
      </c>
      <c r="R16" s="32" t="n">
        <f aca="false">B16*P1_PVP+C16*P2_PVP+D16*IF($A16&lt;P3_DESDE,P3A_PVP,P3_PVP)</f>
        <v>179.95</v>
      </c>
      <c r="S16" s="32" t="n">
        <f aca="false">IF(P16&gt;0,R16/P16,"")</f>
        <v>35.99</v>
      </c>
      <c r="T16" s="32" t="n">
        <f aca="false">IF(P16&gt;0,N16/P16,"")</f>
        <v>12.16</v>
      </c>
      <c r="U16" s="57" t="n">
        <f aca="false">IF(N16&gt;0,R16/N16,"")</f>
        <v>2.95970394736842</v>
      </c>
      <c r="V16" s="34" t="n">
        <f aca="false">IF(E16+F16+G16+H16+I16+J16&gt;0,(E16+F16+G16)/(E16+F16+G16+H16+I16+J16),"")</f>
        <v>1</v>
      </c>
      <c r="W16" s="33" t="n">
        <f aca="false">E16*(P1_PVP-P1_CPROD)+F16*(P2_PVP-P2_CPROD)+G16*(IF($A16&lt;P3_DESDE,P3A_PVP,P3_PVP)-IF($A16&lt;P3_DESDE,P3A_CPROD,P3_CPROD))-IF(ISNUMBER(L16),L16,E16*P1_LOG+F16*P2_LOG+G16*P3_LOG)</f>
        <v>103.2547</v>
      </c>
      <c r="X16" s="33" t="n">
        <f aca="false">W16-(E16*P1_IVAN+F16*P2_IVAN+G16*IF($A16&lt;P3_DESDE,P3A_IVAN,P3_IVAN))-(H16+I16+J16)*(COSTE_DEV-IVA_DEV)-AM16-AO16</f>
        <v>37.7047</v>
      </c>
      <c r="Y16" s="33" t="n">
        <f aca="false">AH16-AI16-AJ16-AK16-AL16-AM16-AO16</f>
        <v>37.464167</v>
      </c>
      <c r="AA16" s="58" t="n">
        <f aca="false">MAX(0,B16-E16-H16)</f>
        <v>1</v>
      </c>
      <c r="AB16" s="58" t="n">
        <f aca="false">MAX(0,C16-F16-I16)</f>
        <v>0</v>
      </c>
      <c r="AC16" s="58" t="n">
        <f aca="false">MAX(0,D16-G16-J16)</f>
        <v>0</v>
      </c>
      <c r="AD16" s="59" t="n">
        <f aca="false">E16+AA16*AQ16</f>
        <v>1.27</v>
      </c>
      <c r="AE16" s="59" t="n">
        <f aca="false">F16+AB16*AQ16</f>
        <v>3</v>
      </c>
      <c r="AF16" s="59" t="n">
        <f aca="false">G16+AC16*AQ16</f>
        <v>0</v>
      </c>
      <c r="AG16" s="59" t="n">
        <f aca="false">H16+I16+J16+(AA16+AB16+AC16)*(1-AQ16)</f>
        <v>0.73</v>
      </c>
      <c r="AH16" s="60" t="n">
        <f aca="false">AD16*P1_PVP+AE16*P2_PVP+AF16*IF($A16&lt;P3_DESDE,P3A_PVP,P3_PVP)</f>
        <v>158.0573</v>
      </c>
      <c r="AI16" s="60" t="n">
        <f aca="false">AD16*P1_CPROD+AE16*P2_CPROD+AF16*IF($A16&lt;P3_DESDE,P3A_CPROD,P3_CPROD)</f>
        <v>17.505433</v>
      </c>
      <c r="AJ16" s="60" t="n">
        <f aca="false">IF(ISNUMBER(L16),L16,E16*P1_LOG+F16*P2_LOG+G16*P3_LOG)+IF(ISNUMBER(M16),M16,AA16*P1_LOG+AB16*P2_LOG+AC16*P3_LOG)*AQ16</f>
        <v>32.0262</v>
      </c>
      <c r="AK16" s="60" t="n">
        <f aca="false">AG16*COSTE_DEV</f>
        <v>5.5115</v>
      </c>
      <c r="AL16" s="60" t="n">
        <f aca="false">AD16*P1_IVAN+AE16*P2_IVAN+AF16*IF($A16&lt;P3_DESDE,P3A_IVAN,P3_IVAN)-AG16*IVA_DEV</f>
        <v>0</v>
      </c>
      <c r="AM16" s="60" t="n">
        <f aca="false">N16*(1+RECARGO_ADS)</f>
        <v>60.8</v>
      </c>
      <c r="AN16" s="58" t="n">
        <f aca="false">IF(ISNUMBER(L16),E16+F16+G16+AA16+AB16+AC16,0)</f>
        <v>5</v>
      </c>
      <c r="AO16" s="60" t="n">
        <f aca="false">P16*COMISION</f>
        <v>4.75</v>
      </c>
      <c r="AP16" s="58" t="n">
        <f aca="false">MIN(N(K16),Q16)</f>
        <v>1</v>
      </c>
      <c r="AQ16" s="61" t="n">
        <f aca="false">IF(Q16&gt;0,((Q16-AP16)*AT16+AP16*TASA_INC)/Q16,AT16)</f>
        <v>0.27</v>
      </c>
      <c r="AR16" s="58" t="n">
        <f aca="false">IF($A16&lt;FECHA_EXPORT,NETWORKDAYS($A16+1,FECHA_EXPORT,FESTIVOS),0)</f>
        <v>6</v>
      </c>
      <c r="AS16" s="61" t="n">
        <f aca="false">IF(AR16&gt;=5,1,INDEX(CDF_INC,1,AR16+1))</f>
        <v>1</v>
      </c>
      <c r="AT16" s="61" t="n">
        <f aca="false">TASA_USADA+(TASA_INC-TASA_USADA)*Q_INC*(1-AS16)/(1-Q_INC*AS16)</f>
        <v>0.941176470588235</v>
      </c>
    </row>
    <row r="17" customFormat="false" ht="15" hidden="false" customHeight="false" outlineLevel="0" collapsed="false">
      <c r="A17" s="53" t="n">
        <v>46311</v>
      </c>
      <c r="B17" s="54" t="n">
        <v>5</v>
      </c>
      <c r="C17" s="54" t="n">
        <v>7</v>
      </c>
      <c r="D17" s="54" t="n">
        <v>0</v>
      </c>
      <c r="E17" s="54" t="n">
        <v>3</v>
      </c>
      <c r="F17" s="54" t="n">
        <v>4</v>
      </c>
      <c r="G17" s="54"/>
      <c r="H17" s="54"/>
      <c r="I17" s="54"/>
      <c r="J17" s="54"/>
      <c r="K17" s="54" t="n">
        <v>5</v>
      </c>
      <c r="L17" s="55" t="n">
        <v>51.26</v>
      </c>
      <c r="M17" s="55" t="n">
        <v>39.63</v>
      </c>
      <c r="N17" s="55" t="n">
        <v>100.4</v>
      </c>
      <c r="O17" s="56"/>
      <c r="P17" s="31" t="n">
        <f aca="false">B17+C17+D17</f>
        <v>12</v>
      </c>
      <c r="Q17" s="31" t="n">
        <f aca="false">AA17+AB17+AC17</f>
        <v>5</v>
      </c>
      <c r="R17" s="32" t="n">
        <f aca="false">B17*P1_PVP+C17*P2_PVP+D17*IF($A17&lt;P3_DESDE,P3A_PVP,P3_PVP)</f>
        <v>429.88</v>
      </c>
      <c r="S17" s="32" t="n">
        <f aca="false">IF(P17&gt;0,R17/P17,"")</f>
        <v>35.8233333333333</v>
      </c>
      <c r="T17" s="32" t="n">
        <f aca="false">IF(P17&gt;0,N17/P17,"")</f>
        <v>8.36666666666667</v>
      </c>
      <c r="U17" s="57" t="n">
        <f aca="false">IF(N17&gt;0,R17/N17,"")</f>
        <v>4.28167330677291</v>
      </c>
      <c r="V17" s="34" t="n">
        <f aca="false">IF(E17+F17+G17+H17+I17+J17&gt;0,(E17+F17+G17)/(E17+F17+G17+H17+I17+J17),"")</f>
        <v>1</v>
      </c>
      <c r="W17" s="33" t="n">
        <f aca="false">E17*(P1_PVP-P1_CPROD)+F17*(P2_PVP-P2_CPROD)+G17*(IF($A17&lt;P3_DESDE,P3A_PVP,P3_PVP)-IF($A17&lt;P3_DESDE,P3A_CPROD,P3_CPROD))-IF(ISNUMBER(L17),L17,E17*P1_LOG+F17*P2_LOG+G17*P3_LOG)</f>
        <v>172.1831</v>
      </c>
      <c r="X17" s="33" t="n">
        <f aca="false">W17-(E17*P1_IVAN+F17*P2_IVAN+G17*IF($A17&lt;P3_DESDE,P3A_IVAN,P3_IVAN))-(H17+I17+J17)*(COSTE_DEV-IVA_DEV)-AM17-AO17</f>
        <v>60.3831</v>
      </c>
      <c r="Y17" s="33" t="n">
        <f aca="false">AH17-AI17-AJ17-AK17-AL17-AM17-AO17</f>
        <v>65.510936</v>
      </c>
      <c r="AA17" s="58" t="n">
        <f aca="false">MAX(0,B17-E17-H17)</f>
        <v>2</v>
      </c>
      <c r="AB17" s="58" t="n">
        <f aca="false">MAX(0,C17-F17-I17)</f>
        <v>3</v>
      </c>
      <c r="AC17" s="58" t="n">
        <f aca="false">MAX(0,D17-G17-J17)</f>
        <v>0</v>
      </c>
      <c r="AD17" s="59" t="n">
        <f aca="false">E17+AA17*AQ17</f>
        <v>3.54</v>
      </c>
      <c r="AE17" s="59" t="n">
        <f aca="false">F17+AB17*AQ17</f>
        <v>4.81</v>
      </c>
      <c r="AF17" s="59" t="n">
        <f aca="false">G17+AC17*AQ17</f>
        <v>0</v>
      </c>
      <c r="AG17" s="59" t="n">
        <f aca="false">H17+I17+J17+(AA17+AB17+AC17)*(1-AQ17)</f>
        <v>3.65</v>
      </c>
      <c r="AH17" s="60" t="n">
        <f aca="false">AD17*P1_PVP+AE17*P2_PVP+AF17*IF($A17&lt;P3_DESDE,P3A_PVP,P3_PVP)</f>
        <v>298.5165</v>
      </c>
      <c r="AI17" s="60" t="n">
        <f aca="false">AD17*P1_CPROD+AE17*P2_CPROD+AF17*IF($A17&lt;P3_DESDE,P3A_CPROD,P3_CPROD)</f>
        <v>31.687964</v>
      </c>
      <c r="AJ17" s="60" t="n">
        <f aca="false">IF(ISNUMBER(L17),L17,E17*P1_LOG+F17*P2_LOG+G17*P3_LOG)+IF(ISNUMBER(M17),M17,AA17*P1_LOG+AB17*P2_LOG+AC17*P3_LOG)*AQ17</f>
        <v>61.9601</v>
      </c>
      <c r="AK17" s="60" t="n">
        <f aca="false">AG17*COSTE_DEV</f>
        <v>27.5575</v>
      </c>
      <c r="AL17" s="60" t="n">
        <f aca="false">AD17*P1_IVAN+AE17*P2_IVAN+AF17*IF($A17&lt;P3_DESDE,P3A_IVAN,P3_IVAN)-AG17*IVA_DEV</f>
        <v>0</v>
      </c>
      <c r="AM17" s="60" t="n">
        <f aca="false">N17*(1+RECARGO_ADS)</f>
        <v>100.4</v>
      </c>
      <c r="AN17" s="58" t="n">
        <f aca="false">IF(ISNUMBER(L17),E17+F17+G17+AA17+AB17+AC17,0)</f>
        <v>12</v>
      </c>
      <c r="AO17" s="60" t="n">
        <f aca="false">P17*COMISION</f>
        <v>11.4</v>
      </c>
      <c r="AP17" s="58" t="n">
        <f aca="false">MIN(N(K17),Q17)</f>
        <v>5</v>
      </c>
      <c r="AQ17" s="61" t="n">
        <f aca="false">IF(Q17&gt;0,((Q17-AP17)*AT17+AP17*TASA_INC)/Q17,AT17)</f>
        <v>0.27</v>
      </c>
      <c r="AR17" s="58" t="n">
        <f aca="false">IF($A17&lt;FECHA_EXPORT,NETWORKDAYS($A17+1,FECHA_EXPORT,FESTIVOS),0)</f>
        <v>5</v>
      </c>
      <c r="AS17" s="61" t="n">
        <f aca="false">IF(AR17&gt;=5,1,INDEX(CDF_INC,1,AR17+1))</f>
        <v>1</v>
      </c>
      <c r="AT17" s="61" t="n">
        <f aca="false">TASA_USADA+(TASA_INC-TASA_USADA)*Q_INC*(1-AS17)/(1-Q_INC*AS17)</f>
        <v>0.941176470588235</v>
      </c>
    </row>
    <row r="18" customFormat="false" ht="15" hidden="false" customHeight="false" outlineLevel="0" collapsed="false">
      <c r="A18" s="53" t="n">
        <v>46312</v>
      </c>
      <c r="B18" s="54" t="n">
        <v>3</v>
      </c>
      <c r="C18" s="54" t="n">
        <v>5</v>
      </c>
      <c r="D18" s="54" t="n">
        <v>1</v>
      </c>
      <c r="E18" s="54" t="n">
        <v>3</v>
      </c>
      <c r="F18" s="54" t="n">
        <v>2</v>
      </c>
      <c r="G18" s="54"/>
      <c r="H18" s="54"/>
      <c r="I18" s="54"/>
      <c r="J18" s="54"/>
      <c r="K18" s="54" t="n">
        <v>3</v>
      </c>
      <c r="L18" s="55" t="n">
        <v>35.7</v>
      </c>
      <c r="M18" s="55" t="n">
        <v>28.76</v>
      </c>
      <c r="N18" s="55" t="n">
        <v>81.87</v>
      </c>
      <c r="O18" s="56"/>
      <c r="P18" s="31" t="n">
        <f aca="false">B18+C18+D18</f>
        <v>9</v>
      </c>
      <c r="Q18" s="31" t="n">
        <f aca="false">AA18+AB18+AC18</f>
        <v>4</v>
      </c>
      <c r="R18" s="32" t="n">
        <f aca="false">B18*P1_PVP+C18*P2_PVP+D18*IF($A18&lt;P3_DESDE,P3A_PVP,P3_PVP)</f>
        <v>349.91</v>
      </c>
      <c r="S18" s="32" t="n">
        <f aca="false">IF(P18&gt;0,R18/P18,"")</f>
        <v>38.8788888888889</v>
      </c>
      <c r="T18" s="32" t="n">
        <f aca="false">IF(P18&gt;0,N18/P18,"")</f>
        <v>9.09666666666667</v>
      </c>
      <c r="U18" s="57" t="n">
        <f aca="false">IF(N18&gt;0,R18/N18,"")</f>
        <v>4.27397092952241</v>
      </c>
      <c r="V18" s="34" t="n">
        <f aca="false">IF(E18+F18+G18+H18+I18+J18&gt;0,(E18+F18+G18)/(E18+F18+G18+H18+I18+J18),"")</f>
        <v>1</v>
      </c>
      <c r="W18" s="33" t="n">
        <f aca="false">E18*(P1_PVP-P1_CPROD)+F18*(P2_PVP-P2_CPROD)+G18*(IF($A18&lt;P3_DESDE,P3A_PVP,P3_PVP)-IF($A18&lt;P3_DESDE,P3A_CPROD,P3_CPROD))-IF(ISNUMBER(L18),L18,E18*P1_LOG+F18*P2_LOG+G18*P3_LOG)</f>
        <v>117.3947</v>
      </c>
      <c r="X18" s="33" t="n">
        <f aca="false">W18-(E18*P1_IVAN+F18*P2_IVAN+G18*IF($A18&lt;P3_DESDE,P3A_IVAN,P3_IVAN))-(H18+I18+J18)*(COSTE_DEV-IVA_DEV)-AM18-AO18</f>
        <v>26.9747</v>
      </c>
      <c r="Y18" s="33" t="n">
        <f aca="false">AH18-AI18-AJ18-AK18-AL18-AM18-AO18</f>
        <v>64.4834474680882</v>
      </c>
      <c r="AA18" s="58" t="n">
        <f aca="false">MAX(0,B18-E18-H18)</f>
        <v>0</v>
      </c>
      <c r="AB18" s="58" t="n">
        <f aca="false">MAX(0,C18-F18-I18)</f>
        <v>3</v>
      </c>
      <c r="AC18" s="58" t="n">
        <f aca="false">MAX(0,D18-G18-J18)</f>
        <v>1</v>
      </c>
      <c r="AD18" s="59" t="n">
        <f aca="false">E18+AA18*AQ18</f>
        <v>3</v>
      </c>
      <c r="AE18" s="59" t="n">
        <f aca="false">F18+AB18*AQ18</f>
        <v>3.31338235294118</v>
      </c>
      <c r="AF18" s="59" t="n">
        <f aca="false">G18+AC18*AQ18</f>
        <v>0.437794117647059</v>
      </c>
      <c r="AG18" s="59" t="n">
        <f aca="false">H18+I18+J18+(AA18+AB18+AC18)*(1-AQ18)</f>
        <v>2.24882352941177</v>
      </c>
      <c r="AH18" s="60" t="n">
        <f aca="false">AD18*P1_PVP+AE18*P2_PVP+AF18*IF($A18&lt;P3_DESDE,P3A_PVP,P3_PVP)</f>
        <v>248.735429411765</v>
      </c>
      <c r="AI18" s="60" t="n">
        <f aca="false">AD18*P1_CPROD+AE18*P2_CPROD+AF18*IF($A18&lt;P3_DESDE,P3A_CPROD,P3_CPROD)</f>
        <v>28.5624054730882</v>
      </c>
      <c r="AJ18" s="60" t="n">
        <f aca="false">IF(ISNUMBER(L18),L18,E18*P1_LOG+F18*P2_LOG+G18*P3_LOG)+IF(ISNUMBER(M18),M18,AA18*P1_LOG+AB18*P2_LOG+AC18*P3_LOG)*AQ18</f>
        <v>48.2909588235294</v>
      </c>
      <c r="AK18" s="60" t="n">
        <f aca="false">AG18*COSTE_DEV</f>
        <v>16.9786176470588</v>
      </c>
      <c r="AL18" s="60" t="n">
        <f aca="false">AD18*P1_IVAN+AE18*P2_IVAN+AF18*IF($A18&lt;P3_DESDE,P3A_IVAN,P3_IVAN)-AG18*IVA_DEV</f>
        <v>0</v>
      </c>
      <c r="AM18" s="60" t="n">
        <f aca="false">N18*(1+RECARGO_ADS)</f>
        <v>81.87</v>
      </c>
      <c r="AN18" s="58" t="n">
        <f aca="false">IF(ISNUMBER(L18),E18+F18+G18+AA18+AB18+AC18,0)</f>
        <v>9</v>
      </c>
      <c r="AO18" s="60" t="n">
        <f aca="false">P18*COMISION</f>
        <v>8.55</v>
      </c>
      <c r="AP18" s="58" t="n">
        <f aca="false">MIN(N(K18),Q18)</f>
        <v>3</v>
      </c>
      <c r="AQ18" s="61" t="n">
        <f aca="false">IF(Q18&gt;0,((Q18-AP18)*AT18+AP18*TASA_INC)/Q18,AT18)</f>
        <v>0.437794117647059</v>
      </c>
      <c r="AR18" s="58" t="n">
        <f aca="false">IF($A18&lt;FECHA_EXPORT,NETWORKDAYS($A18+1,FECHA_EXPORT,FESTIVOS),0)</f>
        <v>5</v>
      </c>
      <c r="AS18" s="61" t="n">
        <f aca="false">IF(AR18&gt;=5,1,INDEX(CDF_INC,1,AR18+1))</f>
        <v>1</v>
      </c>
      <c r="AT18" s="61" t="n">
        <f aca="false">TASA_USADA+(TASA_INC-TASA_USADA)*Q_INC*(1-AS18)/(1-Q_INC*AS18)</f>
        <v>0.941176470588235</v>
      </c>
    </row>
    <row r="19" customFormat="false" ht="15" hidden="false" customHeight="false" outlineLevel="0" collapsed="false">
      <c r="A19" s="53" t="n">
        <v>46313</v>
      </c>
      <c r="B19" s="54" t="n">
        <v>4</v>
      </c>
      <c r="C19" s="54" t="n">
        <v>6</v>
      </c>
      <c r="D19" s="54" t="n">
        <v>2</v>
      </c>
      <c r="E19" s="54" t="n">
        <v>1</v>
      </c>
      <c r="F19" s="54" t="n">
        <v>3</v>
      </c>
      <c r="G19" s="54"/>
      <c r="H19" s="54"/>
      <c r="I19" s="54"/>
      <c r="J19" s="54"/>
      <c r="K19" s="54" t="n">
        <v>2</v>
      </c>
      <c r="L19" s="55" t="n">
        <v>27</v>
      </c>
      <c r="M19" s="55" t="n">
        <v>54</v>
      </c>
      <c r="N19" s="55" t="n">
        <v>149.88</v>
      </c>
      <c r="O19" s="56"/>
      <c r="P19" s="31" t="n">
        <f aca="false">B19+C19+D19</f>
        <v>12</v>
      </c>
      <c r="Q19" s="31" t="n">
        <f aca="false">AA19+AB19+AC19</f>
        <v>8</v>
      </c>
      <c r="R19" s="32" t="n">
        <f aca="false">B19*P1_PVP+C19*P2_PVP+D19*IF($A19&lt;P3_DESDE,P3A_PVP,P3_PVP)</f>
        <v>479.88</v>
      </c>
      <c r="S19" s="32" t="n">
        <f aca="false">IF(P19&gt;0,R19/P19,"")</f>
        <v>39.99</v>
      </c>
      <c r="T19" s="32" t="n">
        <f aca="false">IF(P19&gt;0,N19/P19,"")</f>
        <v>12.49</v>
      </c>
      <c r="U19" s="57" t="n">
        <f aca="false">IF(N19&gt;0,R19/N19,"")</f>
        <v>3.2017614091273</v>
      </c>
      <c r="V19" s="34" t="n">
        <f aca="false">IF(E19+F19+G19+H19+I19+J19&gt;0,(E19+F19+G19)/(E19+F19+G19+H19+I19+J19),"")</f>
        <v>1</v>
      </c>
      <c r="W19" s="33" t="n">
        <f aca="false">E19*(P1_PVP-P1_CPROD)+F19*(P2_PVP-P2_CPROD)+G19*(IF($A19&lt;P3_DESDE,P3A_PVP,P3_PVP)-IF($A19&lt;P3_DESDE,P3A_CPROD,P3_CPROD))-IF(ISNUMBER(L19),L19,E19*P1_LOG+F19*P2_LOG+G19*P3_LOG)</f>
        <v>106.1047</v>
      </c>
      <c r="X19" s="33" t="n">
        <f aca="false">W19-(E19*P1_IVAN+F19*P2_IVAN+G19*IF($A19&lt;P3_DESDE,P3A_IVAN,P3_IVAN))-(H19+I19+J19)*(COSTE_DEV-IVA_DEV)-AM19-AO19</f>
        <v>-55.1753</v>
      </c>
      <c r="Y19" s="33" t="n">
        <f aca="false">AH19-AI19-AJ19-AK19-AL19-AM19-AO19</f>
        <v>108.753112885588</v>
      </c>
      <c r="AA19" s="58" t="n">
        <f aca="false">MAX(0,B19-E19-H19)</f>
        <v>3</v>
      </c>
      <c r="AB19" s="58" t="n">
        <f aca="false">MAX(0,C19-F19-I19)</f>
        <v>3</v>
      </c>
      <c r="AC19" s="58" t="n">
        <f aca="false">MAX(0,D19-G19-J19)</f>
        <v>2</v>
      </c>
      <c r="AD19" s="59" t="n">
        <f aca="false">E19+AA19*AQ19</f>
        <v>3.32014705882353</v>
      </c>
      <c r="AE19" s="59" t="n">
        <f aca="false">F19+AB19*AQ19</f>
        <v>5.32014705882353</v>
      </c>
      <c r="AF19" s="59" t="n">
        <f aca="false">G19+AC19*AQ19</f>
        <v>1.54676470588235</v>
      </c>
      <c r="AG19" s="59" t="n">
        <f aca="false">H19+I19+J19+(AA19+AB19+AC19)*(1-AQ19)</f>
        <v>1.81294117647059</v>
      </c>
      <c r="AH19" s="60" t="n">
        <f aca="false">AD19*P1_PVP+AE19*P2_PVP+AF19*IF($A19&lt;P3_DESDE,P3A_PVP,P3_PVP)</f>
        <v>405.114305882353</v>
      </c>
      <c r="AI19" s="60" t="n">
        <f aca="false">AD19*P1_CPROD+AE19*P2_CPROD+AF19*IF($A19&lt;P3_DESDE,P3A_CPROD,P3_CPROD)</f>
        <v>52.6308400555882</v>
      </c>
      <c r="AJ19" s="60" t="n">
        <f aca="false">IF(ISNUMBER(L19),L19,E19*P1_LOG+F19*P2_LOG+G19*P3_LOG)+IF(ISNUMBER(M19),M19,AA19*P1_LOG+AB19*P2_LOG+AC19*P3_LOG)*AQ19</f>
        <v>68.7626470588235</v>
      </c>
      <c r="AK19" s="60" t="n">
        <f aca="false">AG19*COSTE_DEV</f>
        <v>13.6877058823529</v>
      </c>
      <c r="AL19" s="60" t="n">
        <f aca="false">AD19*P1_IVAN+AE19*P2_IVAN+AF19*IF($A19&lt;P3_DESDE,P3A_IVAN,P3_IVAN)-AG19*IVA_DEV</f>
        <v>0</v>
      </c>
      <c r="AM19" s="60" t="n">
        <f aca="false">N19*(1+RECARGO_ADS)</f>
        <v>149.88</v>
      </c>
      <c r="AN19" s="58" t="n">
        <f aca="false">IF(ISNUMBER(L19),E19+F19+G19+AA19+AB19+AC19,0)</f>
        <v>12</v>
      </c>
      <c r="AO19" s="60" t="n">
        <f aca="false">P19*COMISION</f>
        <v>11.4</v>
      </c>
      <c r="AP19" s="58" t="n">
        <f aca="false">MIN(N(K19),Q19)</f>
        <v>2</v>
      </c>
      <c r="AQ19" s="61" t="n">
        <f aca="false">IF(Q19&gt;0,((Q19-AP19)*AT19+AP19*TASA_INC)/Q19,AT19)</f>
        <v>0.773382352941176</v>
      </c>
      <c r="AR19" s="58" t="n">
        <f aca="false">IF($A19&lt;FECHA_EXPORT,NETWORKDAYS($A19+1,FECHA_EXPORT,FESTIVOS),0)</f>
        <v>5</v>
      </c>
      <c r="AS19" s="61" t="n">
        <f aca="false">IF(AR19&gt;=5,1,INDEX(CDF_INC,1,AR19+1))</f>
        <v>1</v>
      </c>
      <c r="AT19" s="61" t="n">
        <f aca="false">TASA_USADA+(TASA_INC-TASA_USADA)*Q_INC*(1-AS19)/(1-Q_INC*AS19)</f>
        <v>0.941176470588235</v>
      </c>
    </row>
    <row r="20" customFormat="false" ht="15" hidden="false" customHeight="false" outlineLevel="0" collapsed="false">
      <c r="A20" s="53" t="n">
        <v>46314</v>
      </c>
      <c r="B20" s="54" t="n">
        <v>5</v>
      </c>
      <c r="C20" s="54" t="n">
        <v>1</v>
      </c>
      <c r="D20" s="54" t="n">
        <v>2</v>
      </c>
      <c r="E20" s="54" t="n">
        <v>2</v>
      </c>
      <c r="F20" s="54"/>
      <c r="G20" s="54" t="n">
        <v>2</v>
      </c>
      <c r="H20" s="54"/>
      <c r="I20" s="54"/>
      <c r="J20" s="54"/>
      <c r="K20" s="54" t="n">
        <v>1</v>
      </c>
      <c r="L20" s="55" t="n">
        <v>27</v>
      </c>
      <c r="M20" s="55" t="n">
        <v>27</v>
      </c>
      <c r="N20" s="55" t="n">
        <v>85.31</v>
      </c>
      <c r="O20" s="56"/>
      <c r="P20" s="31" t="n">
        <f aca="false">B20+C20+D20</f>
        <v>8</v>
      </c>
      <c r="Q20" s="31" t="n">
        <f aca="false">AA20+AB20+AC20</f>
        <v>4</v>
      </c>
      <c r="R20" s="32" t="n">
        <f aca="false">B20*P1_PVP+C20*P2_PVP+D20*IF($A20&lt;P3_DESDE,P3A_PVP,P3_PVP)</f>
        <v>309.92</v>
      </c>
      <c r="S20" s="32" t="n">
        <f aca="false">IF(P20&gt;0,R20/P20,"")</f>
        <v>38.74</v>
      </c>
      <c r="T20" s="32" t="n">
        <f aca="false">IF(P20&gt;0,N20/P20,"")</f>
        <v>10.66375</v>
      </c>
      <c r="U20" s="57" t="n">
        <f aca="false">IF(N20&gt;0,R20/N20,"")</f>
        <v>3.63286836244286</v>
      </c>
      <c r="V20" s="34" t="n">
        <f aca="false">IF(E20+F20+G20+H20+I20+J20&gt;0,(E20+F20+G20)/(E20+F20+G20+H20+I20+J20),"")</f>
        <v>1</v>
      </c>
      <c r="W20" s="33" t="n">
        <f aca="false">E20*(P1_PVP-P1_CPROD)+F20*(P2_PVP-P2_CPROD)+G20*(IF($A20&lt;P3_DESDE,P3A_PVP,P3_PVP)-IF($A20&lt;P3_DESDE,P3A_CPROD,P3_CPROD))-IF(ISNUMBER(L20),L20,E20*P1_LOG+F20*P2_LOG+G20*P3_LOG)</f>
        <v>123.556758</v>
      </c>
      <c r="X20" s="33" t="n">
        <f aca="false">W20-(E20*P1_IVAN+F20*P2_IVAN+G20*IF($A20&lt;P3_DESDE,P3A_IVAN,P3_IVAN))-(H20+I20+J20)*(COSTE_DEV-IVA_DEV)-AM20-AO20</f>
        <v>30.646758</v>
      </c>
      <c r="Y20" s="33" t="n">
        <f aca="false">AH20-AI20-AJ20-AK20-AL20-AM20-AO20</f>
        <v>93.1131284195949</v>
      </c>
      <c r="AA20" s="58" t="n">
        <f aca="false">MAX(0,B20-E20-H20)</f>
        <v>3</v>
      </c>
      <c r="AB20" s="58" t="n">
        <f aca="false">MAX(0,C20-F20-I20)</f>
        <v>1</v>
      </c>
      <c r="AC20" s="58" t="n">
        <f aca="false">MAX(0,D20-G20-J20)</f>
        <v>0</v>
      </c>
      <c r="AD20" s="59" t="n">
        <f aca="false">E20+AA20*AQ20</f>
        <v>4.29522757302674</v>
      </c>
      <c r="AE20" s="59" t="n">
        <f aca="false">F20+AB20*AQ20</f>
        <v>0.765075857675579</v>
      </c>
      <c r="AF20" s="59" t="n">
        <f aca="false">G20+AC20*AQ20</f>
        <v>2</v>
      </c>
      <c r="AG20" s="59" t="n">
        <f aca="false">H20+I20+J20+(AA20+AB20+AC20)*(1-AQ20)</f>
        <v>0.939696569297685</v>
      </c>
      <c r="AH20" s="60" t="n">
        <f aca="false">AD20*P1_PVP+AE20*P2_PVP+AF20*IF($A20&lt;P3_DESDE,P3A_PVP,P3_PVP)</f>
        <v>279.389258463518</v>
      </c>
      <c r="AI20" s="60" t="n">
        <f aca="false">AD20*P1_CPROD+AE20*P2_CPROD+AF20*IF($A20&lt;P3_DESDE,P3A_CPROD,P3_CPROD)</f>
        <v>38.6143727884851</v>
      </c>
      <c r="AJ20" s="60" t="n">
        <f aca="false">IF(ISNUMBER(L20),L20,E20*P1_LOG+F20*P2_LOG+G20*P3_LOG)+IF(ISNUMBER(M20),M20,AA20*P1_LOG+AB20*P2_LOG+AC20*P3_LOG)*AQ20</f>
        <v>47.6570481572406</v>
      </c>
      <c r="AK20" s="60" t="n">
        <f aca="false">AG20*COSTE_DEV</f>
        <v>7.09470909819752</v>
      </c>
      <c r="AL20" s="60" t="n">
        <f aca="false">AD20*P1_IVAN+AE20*P2_IVAN+AF20*IF($A20&lt;P3_DESDE,P3A_IVAN,P3_IVAN)-AG20*IVA_DEV</f>
        <v>0</v>
      </c>
      <c r="AM20" s="60" t="n">
        <f aca="false">N20*(1+RECARGO_ADS)</f>
        <v>85.31</v>
      </c>
      <c r="AN20" s="58" t="n">
        <f aca="false">IF(ISNUMBER(L20),E20+F20+G20+AA20+AB20+AC20,0)</f>
        <v>8</v>
      </c>
      <c r="AO20" s="60" t="n">
        <f aca="false">P20*COMISION</f>
        <v>7.6</v>
      </c>
      <c r="AP20" s="58" t="n">
        <f aca="false">MIN(N(K20),Q20)</f>
        <v>1</v>
      </c>
      <c r="AQ20" s="61" t="n">
        <f aca="false">IF(Q20&gt;0,((Q20-AP20)*AT20+AP20*TASA_INC)/Q20,AT20)</f>
        <v>0.765075857675579</v>
      </c>
      <c r="AR20" s="58" t="n">
        <f aca="false">IF($A20&lt;FECHA_EXPORT,NETWORKDAYS($A20+1,FECHA_EXPORT,FESTIVOS),0)</f>
        <v>4</v>
      </c>
      <c r="AS20" s="61" t="n">
        <f aca="false">IF(AR20&gt;=5,1,INDEX(CDF_INC,1,AR20+1))</f>
        <v>0.98</v>
      </c>
      <c r="AT20" s="61" t="n">
        <f aca="false">TASA_USADA+(TASA_INC-TASA_USADA)*Q_INC*(1-AS20)/(1-Q_INC*AS20)</f>
        <v>0.930101143567438</v>
      </c>
    </row>
    <row r="21" customFormat="false" ht="15" hidden="false" customHeight="false" outlineLevel="0" collapsed="false">
      <c r="A21" s="53" t="n">
        <v>46315</v>
      </c>
      <c r="B21" s="54" t="n">
        <v>3</v>
      </c>
      <c r="C21" s="54" t="n">
        <v>2</v>
      </c>
      <c r="D21" s="54" t="n">
        <v>1</v>
      </c>
      <c r="E21" s="54" t="n">
        <v>1</v>
      </c>
      <c r="F21" s="54" t="n">
        <v>1</v>
      </c>
      <c r="G21" s="54"/>
      <c r="H21" s="54"/>
      <c r="I21" s="54"/>
      <c r="J21" s="54"/>
      <c r="K21" s="54" t="n">
        <v>1</v>
      </c>
      <c r="L21" s="55" t="n">
        <v>13.5</v>
      </c>
      <c r="M21" s="55" t="n">
        <v>27</v>
      </c>
      <c r="N21" s="55" t="n">
        <v>71.96</v>
      </c>
      <c r="O21" s="56"/>
      <c r="P21" s="31" t="n">
        <f aca="false">B21+C21+D21</f>
        <v>6</v>
      </c>
      <c r="Q21" s="31" t="n">
        <f aca="false">AA21+AB21+AC21</f>
        <v>4</v>
      </c>
      <c r="R21" s="32" t="n">
        <f aca="false">B21*P1_PVP+C21*P2_PVP+D21*IF($A21&lt;P3_DESDE,P3A_PVP,P3_PVP)</f>
        <v>229.94</v>
      </c>
      <c r="S21" s="32" t="n">
        <f aca="false">IF(P21&gt;0,R21/P21,"")</f>
        <v>38.3233333333333</v>
      </c>
      <c r="T21" s="32" t="n">
        <f aca="false">IF(P21&gt;0,N21/P21,"")</f>
        <v>11.9933333333333</v>
      </c>
      <c r="U21" s="57" t="n">
        <f aca="false">IF(N21&gt;0,R21/N21,"")</f>
        <v>3.19538632573652</v>
      </c>
      <c r="V21" s="34" t="n">
        <f aca="false">IF(E21+F21+G21+H21+I21+J21&gt;0,(E21+F21+G21)/(E21+F21+G21+H21+I21+J21),"")</f>
        <v>1</v>
      </c>
      <c r="W21" s="33" t="n">
        <f aca="false">E21*(P1_PVP-P1_CPROD)+F21*(P2_PVP-P2_CPROD)+G21*(IF($A21&lt;P3_DESDE,P3A_PVP,P3_PVP)-IF($A21&lt;P3_DESDE,P3A_CPROD,P3_CPROD))-IF(ISNUMBER(L21),L21,E21*P1_LOG+F21*P2_LOG+G21*P3_LOG)</f>
        <v>49.2563</v>
      </c>
      <c r="X21" s="33" t="n">
        <f aca="false">W21-(E21*P1_IVAN+F21*P2_IVAN+G21*IF($A21&lt;P3_DESDE,P3A_IVAN,P3_IVAN))-(H21+I21+J21)*(COSTE_DEV-IVA_DEV)-AM21-AO21</f>
        <v>-28.4037</v>
      </c>
      <c r="Y21" s="33" t="n">
        <f aca="false">AH21-AI21-AJ21-AK21-AL21-AM21-AO21</f>
        <v>46.153395853322</v>
      </c>
      <c r="AA21" s="58" t="n">
        <f aca="false">MAX(0,B21-E21-H21)</f>
        <v>2</v>
      </c>
      <c r="AB21" s="58" t="n">
        <f aca="false">MAX(0,C21-F21-I21)</f>
        <v>1</v>
      </c>
      <c r="AC21" s="58" t="n">
        <f aca="false">MAX(0,D21-G21-J21)</f>
        <v>1</v>
      </c>
      <c r="AD21" s="59" t="n">
        <f aca="false">E21+AA21*AQ21</f>
        <v>2.48344721841754</v>
      </c>
      <c r="AE21" s="59" t="n">
        <f aca="false">F21+AB21*AQ21</f>
        <v>1.74172360920877</v>
      </c>
      <c r="AF21" s="59" t="n">
        <f aca="false">G21+AC21*AQ21</f>
        <v>0.741723609208769</v>
      </c>
      <c r="AG21" s="59" t="n">
        <f aca="false">H21+I21+J21+(AA21+AB21+AC21)*(1-AQ21)</f>
        <v>1.03310556316492</v>
      </c>
      <c r="AH21" s="60" t="n">
        <f aca="false">AD21*P1_PVP+AE21*P2_PVP+AF21*IF($A21&lt;P3_DESDE,P3A_PVP,P3_PVP)</f>
        <v>188.626108529035</v>
      </c>
      <c r="AI21" s="60" t="n">
        <f aca="false">AD21*P1_CPROD+AE21*P2_CPROD+AF21*IF($A21&lt;P3_DESDE,P3A_CPROD,P3_CPROD)</f>
        <v>23.4862282251808</v>
      </c>
      <c r="AJ21" s="60" t="n">
        <f aca="false">IF(ISNUMBER(L21),L21,E21*P1_LOG+F21*P2_LOG+G21*P3_LOG)+IF(ISNUMBER(M21),M21,AA21*P1_LOG+AB21*P2_LOG+AC21*P3_LOG)*AQ21</f>
        <v>33.5265374486368</v>
      </c>
      <c r="AK21" s="60" t="n">
        <f aca="false">AG21*COSTE_DEV</f>
        <v>7.79994700189518</v>
      </c>
      <c r="AL21" s="60" t="n">
        <f aca="false">AD21*P1_IVAN+AE21*P2_IVAN+AF21*IF($A21&lt;P3_DESDE,P3A_IVAN,P3_IVAN)-AG21*IVA_DEV</f>
        <v>0</v>
      </c>
      <c r="AM21" s="60" t="n">
        <f aca="false">N21*(1+RECARGO_ADS)</f>
        <v>71.96</v>
      </c>
      <c r="AN21" s="58" t="n">
        <f aca="false">IF(ISNUMBER(L21),E21+F21+G21+AA21+AB21+AC21,0)</f>
        <v>6</v>
      </c>
      <c r="AO21" s="60" t="n">
        <f aca="false">P21*COMISION</f>
        <v>5.7</v>
      </c>
      <c r="AP21" s="58" t="n">
        <f aca="false">MIN(N(K21),Q21)</f>
        <v>1</v>
      </c>
      <c r="AQ21" s="61" t="n">
        <f aca="false">IF(Q21&gt;0,((Q21-AP21)*AT21+AP21*TASA_INC)/Q21,AT21)</f>
        <v>0.741723609208769</v>
      </c>
      <c r="AR21" s="58" t="n">
        <f aca="false">IF($A21&lt;FECHA_EXPORT,NETWORKDAYS($A21+1,FECHA_EXPORT,FESTIVOS),0)</f>
        <v>3</v>
      </c>
      <c r="AS21" s="61" t="n">
        <f aca="false">IF(AR21&gt;=5,1,INDEX(CDF_INC,1,AR21+1))</f>
        <v>0.92</v>
      </c>
      <c r="AT21" s="61" t="n">
        <f aca="false">TASA_USADA+(TASA_INC-TASA_USADA)*Q_INC*(1-AS21)/(1-Q_INC*AS21)</f>
        <v>0.898964812278359</v>
      </c>
    </row>
    <row r="22" customFormat="false" ht="15" hidden="false" customHeight="false" outlineLevel="0" collapsed="false">
      <c r="A22" s="53" t="n">
        <v>46316</v>
      </c>
      <c r="B22" s="54" t="n">
        <v>1</v>
      </c>
      <c r="C22" s="54" t="n">
        <v>3</v>
      </c>
      <c r="D22" s="54" t="n">
        <v>1</v>
      </c>
      <c r="E22" s="54"/>
      <c r="F22" s="54"/>
      <c r="G22" s="54" t="n">
        <v>1</v>
      </c>
      <c r="H22" s="54"/>
      <c r="I22" s="54"/>
      <c r="J22" s="54"/>
      <c r="K22" s="54" t="n">
        <v>1</v>
      </c>
      <c r="L22" s="55" t="n">
        <v>6.75</v>
      </c>
      <c r="M22" s="55" t="n">
        <v>27</v>
      </c>
      <c r="N22" s="55" t="n">
        <v>79.53</v>
      </c>
      <c r="O22" s="56"/>
      <c r="P22" s="31" t="n">
        <f aca="false">B22+C22+D22</f>
        <v>5</v>
      </c>
      <c r="Q22" s="31" t="n">
        <f aca="false">AA22+AB22+AC22</f>
        <v>4</v>
      </c>
      <c r="R22" s="32" t="n">
        <f aca="false">B22*P1_PVP+C22*P2_PVP+D22*IF($A22&lt;P3_DESDE,P3A_PVP,P3_PVP)</f>
        <v>209.95</v>
      </c>
      <c r="S22" s="32" t="n">
        <f aca="false">IF(P22&gt;0,R22/P22,"")</f>
        <v>41.99</v>
      </c>
      <c r="T22" s="32" t="n">
        <f aca="false">IF(P22&gt;0,N22/P22,"")</f>
        <v>15.906</v>
      </c>
      <c r="U22" s="57" t="n">
        <f aca="false">IF(N22&gt;0,R22/N22,"")</f>
        <v>2.63988432038225</v>
      </c>
      <c r="V22" s="34" t="n">
        <f aca="false">IF(E22+F22+G22+H22+I22+J22&gt;0,(E22+F22+G22)/(E22+F22+G22+H22+I22+J22),"")</f>
        <v>1</v>
      </c>
      <c r="W22" s="33" t="n">
        <f aca="false">E22*(P1_PVP-P1_CPROD)+F22*(P2_PVP-P2_CPROD)+G22*(IF($A22&lt;P3_DESDE,P3A_PVP,P3_PVP)-IF($A22&lt;P3_DESDE,P3A_CPROD,P3_CPROD))-IF(ISNUMBER(L22),L22,E22*P1_LOG+F22*P2_LOG+G22*P3_LOG)</f>
        <v>40.946279</v>
      </c>
      <c r="X22" s="33" t="n">
        <f aca="false">W22-(E22*P1_IVAN+F22*P2_IVAN+G22*IF($A22&lt;P3_DESDE,P3A_IVAN,P3_IVAN))-(H22+I22+J22)*(COSTE_DEV-IVA_DEV)-AM22-AO22</f>
        <v>-43.333721</v>
      </c>
      <c r="Y22" s="33" t="n">
        <f aca="false">AH22-AI22-AJ22-AK22-AL22-AM22-AO22</f>
        <v>18.0858670313511</v>
      </c>
      <c r="AA22" s="58" t="n">
        <f aca="false">MAX(0,B22-E22-H22)</f>
        <v>1</v>
      </c>
      <c r="AB22" s="58" t="n">
        <f aca="false">MAX(0,C22-F22-I22)</f>
        <v>3</v>
      </c>
      <c r="AC22" s="58" t="n">
        <f aca="false">MAX(0,D22-G22-J22)</f>
        <v>0</v>
      </c>
      <c r="AD22" s="59" t="n">
        <f aca="false">E22+AA22*AQ22</f>
        <v>0.672167489685617</v>
      </c>
      <c r="AE22" s="59" t="n">
        <f aca="false">F22+AB22*AQ22</f>
        <v>2.01650246905685</v>
      </c>
      <c r="AF22" s="59" t="n">
        <f aca="false">G22+AC22*AQ22</f>
        <v>1</v>
      </c>
      <c r="AG22" s="59" t="n">
        <f aca="false">H22+I22+J22+(AA22+AB22+AC22)*(1-AQ22)</f>
        <v>1.31133004125753</v>
      </c>
      <c r="AH22" s="60" t="n">
        <f aca="false">AD22*P1_PVP+AE22*P2_PVP+AF22*IF($A22&lt;P3_DESDE,P3A_PVP,P3_PVP)</f>
        <v>160.788236753255</v>
      </c>
      <c r="AI22" s="60" t="n">
        <f aca="false">AD22*P1_CPROD+AE22*P2_CPROD+AF22*IF($A22&lt;P3_DESDE,P3A_CPROD,P3_CPROD)</f>
        <v>23.623305688898</v>
      </c>
      <c r="AJ22" s="60" t="n">
        <f aca="false">IF(ISNUMBER(L22),L22,E22*P1_LOG+F22*P2_LOG+G22*P3_LOG)+IF(ISNUMBER(M22),M22,AA22*P1_LOG+AB22*P2_LOG+AC22*P3_LOG)*AQ22</f>
        <v>24.8985222215116</v>
      </c>
      <c r="AK22" s="60" t="n">
        <f aca="false">AG22*COSTE_DEV</f>
        <v>9.90054181149438</v>
      </c>
      <c r="AL22" s="60" t="n">
        <f aca="false">AD22*P1_IVAN+AE22*P2_IVAN+AF22*IF($A22&lt;P3_DESDE,P3A_IVAN,P3_IVAN)-AG22*IVA_DEV</f>
        <v>0</v>
      </c>
      <c r="AM22" s="60" t="n">
        <f aca="false">N22*(1+RECARGO_ADS)</f>
        <v>79.53</v>
      </c>
      <c r="AN22" s="58" t="n">
        <f aca="false">IF(ISNUMBER(L22),E22+F22+G22+AA22+AB22+AC22,0)</f>
        <v>5</v>
      </c>
      <c r="AO22" s="60" t="n">
        <f aca="false">P22*COMISION</f>
        <v>4.75</v>
      </c>
      <c r="AP22" s="58" t="n">
        <f aca="false">MIN(N(K22),Q22)</f>
        <v>1</v>
      </c>
      <c r="AQ22" s="61" t="n">
        <f aca="false">IF(Q22&gt;0,((Q22-AP22)*AT22+AP22*TASA_INC)/Q22,AT22)</f>
        <v>0.672167489685617</v>
      </c>
      <c r="AR22" s="58" t="n">
        <f aca="false">IF($A22&lt;FECHA_EXPORT,NETWORKDAYS($A22+1,FECHA_EXPORT,FESTIVOS),0)</f>
        <v>2</v>
      </c>
      <c r="AS22" s="61" t="n">
        <f aca="false">IF(AR22&gt;=5,1,INDEX(CDF_INC,1,AR22+1))</f>
        <v>0.7</v>
      </c>
      <c r="AT22" s="61" t="n">
        <f aca="false">TASA_USADA+(TASA_INC-TASA_USADA)*Q_INC*(1-AS22)/(1-Q_INC*AS22)</f>
        <v>0.806223319580822</v>
      </c>
    </row>
    <row r="23" customFormat="false" ht="15" hidden="false" customHeight="false" outlineLevel="0" collapsed="false">
      <c r="A23" s="53" t="n">
        <v>46317</v>
      </c>
      <c r="B23" s="54" t="n">
        <v>2</v>
      </c>
      <c r="C23" s="54" t="n">
        <v>3</v>
      </c>
      <c r="D23" s="54" t="n">
        <v>1</v>
      </c>
      <c r="E23" s="54"/>
      <c r="F23" s="54" t="n">
        <v>2</v>
      </c>
      <c r="G23" s="54"/>
      <c r="H23" s="54"/>
      <c r="I23" s="54"/>
      <c r="J23" s="54"/>
      <c r="K23" s="54" t="n">
        <v>2</v>
      </c>
      <c r="L23" s="55" t="n">
        <v>13.5</v>
      </c>
      <c r="M23" s="55" t="n">
        <v>27</v>
      </c>
      <c r="N23" s="55" t="n">
        <v>83.29</v>
      </c>
      <c r="O23" s="56"/>
      <c r="P23" s="31" t="n">
        <f aca="false">B23+C23+D23</f>
        <v>6</v>
      </c>
      <c r="Q23" s="31" t="n">
        <f aca="false">AA23+AB23+AC23</f>
        <v>4</v>
      </c>
      <c r="R23" s="32" t="n">
        <f aca="false">B23*P1_PVP+C23*P2_PVP+D23*IF($A23&lt;P3_DESDE,P3A_PVP,P3_PVP)</f>
        <v>239.94</v>
      </c>
      <c r="S23" s="32" t="n">
        <f aca="false">IF(P23&gt;0,R23/P23,"")</f>
        <v>39.99</v>
      </c>
      <c r="T23" s="32" t="n">
        <f aca="false">IF(P23&gt;0,N23/P23,"")</f>
        <v>13.8816666666667</v>
      </c>
      <c r="U23" s="57" t="n">
        <f aca="false">IF(N23&gt;0,R23/N23,"")</f>
        <v>2.88077800456237</v>
      </c>
      <c r="V23" s="34" t="n">
        <f aca="false">IF(E23+F23+G23+H23+I23+J23&gt;0,(E23+F23+G23)/(E23+F23+G23+H23+I23+J23),"")</f>
        <v>1</v>
      </c>
      <c r="W23" s="33" t="n">
        <f aca="false">E23*(P1_PVP-P1_CPROD)+F23*(P2_PVP-P2_CPROD)+G23*(IF($A23&lt;P3_DESDE,P3A_PVP,P3_PVP)-IF($A23&lt;P3_DESDE,P3A_CPROD,P3_CPROD))-IF(ISNUMBER(L23),L23,E23*P1_LOG+F23*P2_LOG+G23*P3_LOG)</f>
        <v>56.8484</v>
      </c>
      <c r="X23" s="33" t="n">
        <f aca="false">W23-(E23*P1_IVAN+F23*P2_IVAN+G23*IF($A23&lt;P3_DESDE,P3A_IVAN,P3_IVAN))-(H23+I23+J23)*(COSTE_DEV-IVA_DEV)-AM23-AO23</f>
        <v>-32.1416</v>
      </c>
      <c r="Y23" s="33" t="n">
        <f aca="false">AH23-AI23-AJ23-AK23-AL23-AM23-AO23</f>
        <v>5.65287932381606</v>
      </c>
      <c r="AA23" s="58" t="n">
        <f aca="false">MAX(0,B23-E23-H23)</f>
        <v>2</v>
      </c>
      <c r="AB23" s="58" t="n">
        <f aca="false">MAX(0,C23-F23-I23)</f>
        <v>1</v>
      </c>
      <c r="AC23" s="58" t="n">
        <f aca="false">MAX(0,D23-G23-J23)</f>
        <v>1</v>
      </c>
      <c r="AD23" s="59" t="n">
        <f aca="false">E23+AA23*AQ23</f>
        <v>0.962858128120447</v>
      </c>
      <c r="AE23" s="59" t="n">
        <f aca="false">F23+AB23*AQ23</f>
        <v>2.48142906406022</v>
      </c>
      <c r="AF23" s="59" t="n">
        <f aca="false">G23+AC23*AQ23</f>
        <v>0.481429064060223</v>
      </c>
      <c r="AG23" s="59" t="n">
        <f aca="false">H23+I23+J23+(AA23+AB23+AC23)*(1-AQ23)</f>
        <v>2.07428374375911</v>
      </c>
      <c r="AH23" s="60" t="n">
        <f aca="false">AD23*P1_PVP+AE23*P2_PVP+AF23*IF($A23&lt;P3_DESDE,P3A_PVP,P3_PVP)</f>
        <v>156.989393087073</v>
      </c>
      <c r="AI23" s="60" t="n">
        <f aca="false">AD23*P1_CPROD+AE23*P2_CPROD+AF23*IF($A23&lt;P3_DESDE,P3A_CPROD,P3_CPROD)</f>
        <v>20.18708676825</v>
      </c>
      <c r="AJ23" s="60" t="n">
        <f aca="false">IF(ISNUMBER(L23),L23,E23*P1_LOG+F23*P2_LOG+G23*P3_LOG)+IF(ISNUMBER(M23),M23,AA23*P1_LOG+AB23*P2_LOG+AC23*P3_LOG)*AQ23</f>
        <v>26.498584729626</v>
      </c>
      <c r="AK23" s="60" t="n">
        <f aca="false">AG23*COSTE_DEV</f>
        <v>15.6608422653813</v>
      </c>
      <c r="AL23" s="60" t="n">
        <f aca="false">AD23*P1_IVAN+AE23*P2_IVAN+AF23*IF($A23&lt;P3_DESDE,P3A_IVAN,P3_IVAN)-AG23*IVA_DEV</f>
        <v>0</v>
      </c>
      <c r="AM23" s="60" t="n">
        <f aca="false">N23*(1+RECARGO_ADS)</f>
        <v>83.29</v>
      </c>
      <c r="AN23" s="58" t="n">
        <f aca="false">IF(ISNUMBER(L23),E23+F23+G23+AA23+AB23+AC23,0)</f>
        <v>6</v>
      </c>
      <c r="AO23" s="60" t="n">
        <f aca="false">P23*COMISION</f>
        <v>5.7</v>
      </c>
      <c r="AP23" s="58" t="n">
        <f aca="false">MIN(N(K23),Q23)</f>
        <v>2</v>
      </c>
      <c r="AQ23" s="61" t="n">
        <f aca="false">IF(Q23&gt;0,((Q23-AP23)*AT23+AP23*TASA_INC)/Q23,AT23)</f>
        <v>0.481429064060223</v>
      </c>
      <c r="AR23" s="58" t="n">
        <f aca="false">IF($A23&lt;FECHA_EXPORT,NETWORKDAYS($A23+1,FECHA_EXPORT,FESTIVOS),0)</f>
        <v>1</v>
      </c>
      <c r="AS23" s="61" t="n">
        <f aca="false">IF(AR23&gt;=5,1,INDEX(CDF_INC,1,AR23+1))</f>
        <v>0.3</v>
      </c>
      <c r="AT23" s="61" t="n">
        <f aca="false">TASA_USADA+(TASA_INC-TASA_USADA)*Q_INC*(1-AS23)/(1-Q_INC*AS23)</f>
        <v>0.692858128120447</v>
      </c>
    </row>
    <row r="24" customFormat="false" ht="15" hidden="false" customHeight="false" outlineLevel="0" collapsed="false">
      <c r="A24" s="53" t="n">
        <v>46318</v>
      </c>
      <c r="B24" s="54" t="n">
        <v>3</v>
      </c>
      <c r="C24" s="54" t="n">
        <v>1</v>
      </c>
      <c r="D24" s="54" t="n">
        <v>0</v>
      </c>
      <c r="E24" s="54"/>
      <c r="F24" s="54"/>
      <c r="G24" s="54"/>
      <c r="H24" s="54"/>
      <c r="I24" s="54"/>
      <c r="J24" s="54"/>
      <c r="K24" s="54"/>
      <c r="L24" s="55" t="n">
        <v>0</v>
      </c>
      <c r="M24" s="55" t="n">
        <v>27</v>
      </c>
      <c r="N24" s="55" t="n">
        <v>29.29</v>
      </c>
      <c r="O24" s="56"/>
      <c r="P24" s="31" t="n">
        <f aca="false">B24+C24+D24</f>
        <v>4</v>
      </c>
      <c r="Q24" s="31" t="n">
        <f aca="false">AA24+AB24+AC24</f>
        <v>4</v>
      </c>
      <c r="R24" s="32" t="n">
        <f aca="false">B24*P1_PVP+C24*P2_PVP+D24*IF($A24&lt;P3_DESDE,P3A_PVP,P3_PVP)</f>
        <v>129.96</v>
      </c>
      <c r="S24" s="32" t="n">
        <f aca="false">IF(P24&gt;0,R24/P24,"")</f>
        <v>32.49</v>
      </c>
      <c r="T24" s="32" t="n">
        <f aca="false">IF(P24&gt;0,N24/P24,"")</f>
        <v>7.3225</v>
      </c>
      <c r="U24" s="57" t="n">
        <f aca="false">IF(N24&gt;0,R24/N24,"")</f>
        <v>4.4370092181632</v>
      </c>
      <c r="V24" s="34" t="str">
        <f aca="false">IF(E24+F24+G24+H24+I24+J24&gt;0,(E24+F24+G24)/(E24+F24+G24+H24+I24+J24),"")</f>
        <v/>
      </c>
      <c r="W24" s="33" t="n">
        <f aca="false">E24*(P1_PVP-P1_CPROD)+F24*(P2_PVP-P2_CPROD)+G24*(IF($A24&lt;P3_DESDE,P3A_PVP,P3_PVP)-IF($A24&lt;P3_DESDE,P3A_CPROD,P3_CPROD))-IF(ISNUMBER(L24),L24,E24*P1_LOG+F24*P2_LOG+G24*P3_LOG)</f>
        <v>0</v>
      </c>
      <c r="X24" s="33" t="n">
        <f aca="false">W24-(E24*P1_IVAN+F24*P2_IVAN+G24*IF($A24&lt;P3_DESDE,P3A_IVAN,P3_IVAN))-(H24+I24+J24)*(COSTE_DEV-IVA_DEV)-AM24-AO24</f>
        <v>-33.09</v>
      </c>
      <c r="Y24" s="33" t="n">
        <f aca="false">AH24-AI24-AJ24-AK24-AL24-AM24-AO24</f>
        <v>16.6358521326894</v>
      </c>
      <c r="AA24" s="58" t="n">
        <f aca="false">MAX(0,B24-E24-H24)</f>
        <v>3</v>
      </c>
      <c r="AB24" s="58" t="n">
        <f aca="false">MAX(0,C24-F24-I24)</f>
        <v>1</v>
      </c>
      <c r="AC24" s="58" t="n">
        <f aca="false">MAX(0,D24-G24-J24)</f>
        <v>0</v>
      </c>
      <c r="AD24" s="59" t="n">
        <f aca="false">E24+AA24*AQ24</f>
        <v>1.97966121670624</v>
      </c>
      <c r="AE24" s="59" t="n">
        <f aca="false">F24+AB24*AQ24</f>
        <v>0.659887072235414</v>
      </c>
      <c r="AF24" s="59" t="n">
        <f aca="false">G24+AC24*AQ24</f>
        <v>0</v>
      </c>
      <c r="AG24" s="59" t="n">
        <f aca="false">H24+I24+J24+(AA24+AB24+AC24)*(1-AQ24)</f>
        <v>1.36045171105835</v>
      </c>
      <c r="AH24" s="60" t="n">
        <f aca="false">AD24*P1_PVP+AE24*P2_PVP+AF24*IF($A24&lt;P3_DESDE,P3A_PVP,P3_PVP)</f>
        <v>85.7589239077144</v>
      </c>
      <c r="AI24" s="60" t="n">
        <f aca="false">AD24*P1_CPROD+AE24*P2_CPROD+AF24*IF($A24&lt;P3_DESDE,P3A_CPROD,P3_CPROD)</f>
        <v>7.94471040617826</v>
      </c>
      <c r="AJ24" s="60" t="n">
        <f aca="false">IF(ISNUMBER(L24),L24,E24*P1_LOG+F24*P2_LOG+G24*P3_LOG)+IF(ISNUMBER(M24),M24,AA24*P1_LOG+AB24*P2_LOG+AC24*P3_LOG)*AQ24</f>
        <v>17.8169509503562</v>
      </c>
      <c r="AK24" s="60" t="n">
        <f aca="false">AG24*COSTE_DEV</f>
        <v>10.2714104184905</v>
      </c>
      <c r="AL24" s="60" t="n">
        <f aca="false">AD24*P1_IVAN+AE24*P2_IVAN+AF24*IF($A24&lt;P3_DESDE,P3A_IVAN,P3_IVAN)-AG24*IVA_DEV</f>
        <v>0</v>
      </c>
      <c r="AM24" s="60" t="n">
        <f aca="false">N24*(1+RECARGO_ADS)</f>
        <v>29.29</v>
      </c>
      <c r="AN24" s="58" t="n">
        <f aca="false">IF(ISNUMBER(L24),E24+F24+G24+AA24+AB24+AC24,0)</f>
        <v>4</v>
      </c>
      <c r="AO24" s="60" t="n">
        <f aca="false">P24*COMISION</f>
        <v>3.8</v>
      </c>
      <c r="AP24" s="58" t="n">
        <f aca="false">MIN(N(K24),Q24)</f>
        <v>0</v>
      </c>
      <c r="AQ24" s="61" t="n">
        <f aca="false">IF(Q24&gt;0,((Q24-AP24)*AT24+AP24*TASA_INC)/Q24,AT24)</f>
        <v>0.659887072235414</v>
      </c>
      <c r="AR24" s="58" t="n">
        <f aca="false">IF($A24&lt;FECHA_EXPORT,NETWORKDAYS($A24+1,FECHA_EXPORT,FESTIVOS),0)</f>
        <v>0</v>
      </c>
      <c r="AS24" s="61" t="n">
        <f aca="false">IF(AR24&gt;=5,1,INDEX(CDF_INC,1,AR24+1))</f>
        <v>0.14</v>
      </c>
      <c r="AT24" s="61" t="n">
        <f aca="false">TASA_USADA+(TASA_INC-TASA_USADA)*Q_INC*(1-AS24)/(1-Q_INC*AS24)</f>
        <v>0.659887072235414</v>
      </c>
    </row>
    <row r="25" customFormat="false" ht="15" hidden="false" customHeight="false" outlineLevel="0" collapsed="false">
      <c r="A25" s="53" t="n">
        <v>46319</v>
      </c>
      <c r="B25" s="54"/>
      <c r="C25" s="54"/>
      <c r="D25" s="54"/>
      <c r="E25" s="54"/>
      <c r="F25" s="54"/>
      <c r="G25" s="54"/>
      <c r="H25" s="54"/>
      <c r="I25" s="54"/>
      <c r="J25" s="54"/>
      <c r="K25" s="54"/>
      <c r="L25" s="55"/>
      <c r="M25" s="55"/>
      <c r="N25" s="55"/>
      <c r="O25" s="56"/>
      <c r="P25" s="31" t="n">
        <f aca="false">B25+C25+D25</f>
        <v>0</v>
      </c>
      <c r="Q25" s="31" t="n">
        <f aca="false">AA25+AB25+AC25</f>
        <v>0</v>
      </c>
      <c r="R25" s="32" t="n">
        <f aca="false">B25*P1_PVP+C25*P2_PVP+D25*IF($A25&lt;P3_DESDE,P3A_PVP,P3_PVP)</f>
        <v>0</v>
      </c>
      <c r="S25" s="32" t="str">
        <f aca="false">IF(P25&gt;0,R25/P25,"")</f>
        <v/>
      </c>
      <c r="T25" s="32" t="str">
        <f aca="false">IF(P25&gt;0,N25/P25,"")</f>
        <v/>
      </c>
      <c r="U25" s="57" t="str">
        <f aca="false">IF(N25&gt;0,R25/N25,"")</f>
        <v/>
      </c>
      <c r="V25" s="34" t="str">
        <f aca="false">IF(E25+F25+G25+H25+I25+J25&gt;0,(E25+F25+G25)/(E25+F25+G25+H25+I25+J25),"")</f>
        <v/>
      </c>
      <c r="W25" s="33" t="n">
        <f aca="false">E25*(P1_PVP-P1_CPROD)+F25*(P2_PVP-P2_CPROD)+G25*(IF($A25&lt;P3_DESDE,P3A_PVP,P3_PVP)-IF($A25&lt;P3_DESDE,P3A_CPROD,P3_CPROD))-IF(ISNUMBER(L25),L25,E25*P1_LOG+F25*P2_LOG+G25*P3_LOG)</f>
        <v>0</v>
      </c>
      <c r="X25" s="33" t="n">
        <f aca="false">W25-(E25*P1_IVAN+F25*P2_IVAN+G25*IF($A25&lt;P3_DESDE,P3A_IVAN,P3_IVAN))-(H25+I25+J25)*(COSTE_DEV-IVA_DEV)-AM25-AO25</f>
        <v>0</v>
      </c>
      <c r="Y25" s="33" t="n">
        <f aca="false">AH25-AI25-AJ25-AK25-AL25-AM25-AO25</f>
        <v>0</v>
      </c>
      <c r="AA25" s="58" t="n">
        <f aca="false">MAX(0,B25-E25-H25)</f>
        <v>0</v>
      </c>
      <c r="AB25" s="58" t="n">
        <f aca="false">MAX(0,C25-F25-I25)</f>
        <v>0</v>
      </c>
      <c r="AC25" s="58" t="n">
        <f aca="false">MAX(0,D25-G25-J25)</f>
        <v>0</v>
      </c>
      <c r="AD25" s="59" t="n">
        <f aca="false">E25+AA25*AQ25</f>
        <v>0</v>
      </c>
      <c r="AE25" s="59" t="n">
        <f aca="false">F25+AB25*AQ25</f>
        <v>0</v>
      </c>
      <c r="AF25" s="59" t="n">
        <f aca="false">G25+AC25*AQ25</f>
        <v>0</v>
      </c>
      <c r="AG25" s="59" t="n">
        <f aca="false">H25+I25+J25+(AA25+AB25+AC25)*(1-AQ25)</f>
        <v>0</v>
      </c>
      <c r="AH25" s="60" t="n">
        <f aca="false">AD25*P1_PVP+AE25*P2_PVP+AF25*IF($A25&lt;P3_DESDE,P3A_PVP,P3_PVP)</f>
        <v>0</v>
      </c>
      <c r="AI25" s="60" t="n">
        <f aca="false">AD25*P1_CPROD+AE25*P2_CPROD+AF25*IF($A25&lt;P3_DESDE,P3A_CPROD,P3_CPROD)</f>
        <v>0</v>
      </c>
      <c r="AJ25" s="60" t="n">
        <f aca="false">IF(ISNUMBER(L25),L25,E25*P1_LOG+F25*P2_LOG+G25*P3_LOG)+IF(ISNUMBER(M25),M25,AA25*P1_LOG+AB25*P2_LOG+AC25*P3_LOG)*AQ25</f>
        <v>0</v>
      </c>
      <c r="AK25" s="60" t="n">
        <f aca="false">AG25*COSTE_DEV</f>
        <v>0</v>
      </c>
      <c r="AL25" s="60" t="n">
        <f aca="false">AD25*P1_IVAN+AE25*P2_IVAN+AF25*IF($A25&lt;P3_DESDE,P3A_IVAN,P3_IVAN)-AG25*IVA_DEV</f>
        <v>0</v>
      </c>
      <c r="AM25" s="60" t="n">
        <f aca="false">N25*(1+RECARGO_ADS)</f>
        <v>0</v>
      </c>
      <c r="AN25" s="58" t="n">
        <f aca="false">IF(ISNUMBER(L25),E25+F25+G25+AA25+AB25+AC25,0)</f>
        <v>0</v>
      </c>
      <c r="AO25" s="60" t="n">
        <f aca="false">P25*COMISION</f>
        <v>0</v>
      </c>
      <c r="AP25" s="58" t="n">
        <f aca="false">MIN(N(K25),Q25)</f>
        <v>0</v>
      </c>
      <c r="AQ25" s="61" t="n">
        <f aca="false">IF(Q25&gt;0,((Q25-AP25)*AT25+AP25*TASA_INC)/Q25,AT25)</f>
        <v>0.659887072235414</v>
      </c>
      <c r="AR25" s="58" t="n">
        <f aca="false">IF($A25&lt;FECHA_EXPORT,NETWORKDAYS($A25+1,FECHA_EXPORT,FESTIVOS),0)</f>
        <v>0</v>
      </c>
      <c r="AS25" s="61" t="n">
        <f aca="false">IF(AR25&gt;=5,1,INDEX(CDF_INC,1,AR25+1))</f>
        <v>0.14</v>
      </c>
      <c r="AT25" s="61" t="n">
        <f aca="false">TASA_USADA+(TASA_INC-TASA_USADA)*Q_INC*(1-AS25)/(1-Q_INC*AS25)</f>
        <v>0.659887072235414</v>
      </c>
    </row>
    <row r="26" customFormat="false" ht="15" hidden="false" customHeight="false" outlineLevel="0" collapsed="false">
      <c r="A26" s="53" t="n">
        <v>46320</v>
      </c>
      <c r="B26" s="54"/>
      <c r="C26" s="54"/>
      <c r="D26" s="54"/>
      <c r="E26" s="54"/>
      <c r="F26" s="54"/>
      <c r="G26" s="54"/>
      <c r="H26" s="54"/>
      <c r="I26" s="54"/>
      <c r="J26" s="54"/>
      <c r="K26" s="54"/>
      <c r="L26" s="55"/>
      <c r="M26" s="55"/>
      <c r="N26" s="55"/>
      <c r="O26" s="56"/>
      <c r="P26" s="31" t="n">
        <f aca="false">B26+C26+D26</f>
        <v>0</v>
      </c>
      <c r="Q26" s="31" t="n">
        <f aca="false">AA26+AB26+AC26</f>
        <v>0</v>
      </c>
      <c r="R26" s="32" t="n">
        <f aca="false">B26*P1_PVP+C26*P2_PVP+D26*IF($A26&lt;P3_DESDE,P3A_PVP,P3_PVP)</f>
        <v>0</v>
      </c>
      <c r="S26" s="32" t="str">
        <f aca="false">IF(P26&gt;0,R26/P26,"")</f>
        <v/>
      </c>
      <c r="T26" s="32" t="str">
        <f aca="false">IF(P26&gt;0,N26/P26,"")</f>
        <v/>
      </c>
      <c r="U26" s="57" t="str">
        <f aca="false">IF(N26&gt;0,R26/N26,"")</f>
        <v/>
      </c>
      <c r="V26" s="34" t="str">
        <f aca="false">IF(E26+F26+G26+H26+I26+J26&gt;0,(E26+F26+G26)/(E26+F26+G26+H26+I26+J26),"")</f>
        <v/>
      </c>
      <c r="W26" s="33" t="n">
        <f aca="false">E26*(P1_PVP-P1_CPROD)+F26*(P2_PVP-P2_CPROD)+G26*(IF($A26&lt;P3_DESDE,P3A_PVP,P3_PVP)-IF($A26&lt;P3_DESDE,P3A_CPROD,P3_CPROD))-IF(ISNUMBER(L26),L26,E26*P1_LOG+F26*P2_LOG+G26*P3_LOG)</f>
        <v>0</v>
      </c>
      <c r="X26" s="33" t="n">
        <f aca="false">W26-(E26*P1_IVAN+F26*P2_IVAN+G26*IF($A26&lt;P3_DESDE,P3A_IVAN,P3_IVAN))-(H26+I26+J26)*(COSTE_DEV-IVA_DEV)-AM26-AO26</f>
        <v>0</v>
      </c>
      <c r="Y26" s="33" t="n">
        <f aca="false">AH26-AI26-AJ26-AK26-AL26-AM26-AO26</f>
        <v>0</v>
      </c>
      <c r="AA26" s="58" t="n">
        <f aca="false">MAX(0,B26-E26-H26)</f>
        <v>0</v>
      </c>
      <c r="AB26" s="58" t="n">
        <f aca="false">MAX(0,C26-F26-I26)</f>
        <v>0</v>
      </c>
      <c r="AC26" s="58" t="n">
        <f aca="false">MAX(0,D26-G26-J26)</f>
        <v>0</v>
      </c>
      <c r="AD26" s="59" t="n">
        <f aca="false">E26+AA26*AQ26</f>
        <v>0</v>
      </c>
      <c r="AE26" s="59" t="n">
        <f aca="false">F26+AB26*AQ26</f>
        <v>0</v>
      </c>
      <c r="AF26" s="59" t="n">
        <f aca="false">G26+AC26*AQ26</f>
        <v>0</v>
      </c>
      <c r="AG26" s="59" t="n">
        <f aca="false">H26+I26+J26+(AA26+AB26+AC26)*(1-AQ26)</f>
        <v>0</v>
      </c>
      <c r="AH26" s="60" t="n">
        <f aca="false">AD26*P1_PVP+AE26*P2_PVP+AF26*IF($A26&lt;P3_DESDE,P3A_PVP,P3_PVP)</f>
        <v>0</v>
      </c>
      <c r="AI26" s="60" t="n">
        <f aca="false">AD26*P1_CPROD+AE26*P2_CPROD+AF26*IF($A26&lt;P3_DESDE,P3A_CPROD,P3_CPROD)</f>
        <v>0</v>
      </c>
      <c r="AJ26" s="60" t="n">
        <f aca="false">IF(ISNUMBER(L26),L26,E26*P1_LOG+F26*P2_LOG+G26*P3_LOG)+IF(ISNUMBER(M26),M26,AA26*P1_LOG+AB26*P2_LOG+AC26*P3_LOG)*AQ26</f>
        <v>0</v>
      </c>
      <c r="AK26" s="60" t="n">
        <f aca="false">AG26*COSTE_DEV</f>
        <v>0</v>
      </c>
      <c r="AL26" s="60" t="n">
        <f aca="false">AD26*P1_IVAN+AE26*P2_IVAN+AF26*IF($A26&lt;P3_DESDE,P3A_IVAN,P3_IVAN)-AG26*IVA_DEV</f>
        <v>0</v>
      </c>
      <c r="AM26" s="60" t="n">
        <f aca="false">N26*(1+RECARGO_ADS)</f>
        <v>0</v>
      </c>
      <c r="AN26" s="58" t="n">
        <f aca="false">IF(ISNUMBER(L26),E26+F26+G26+AA26+AB26+AC26,0)</f>
        <v>0</v>
      </c>
      <c r="AO26" s="60" t="n">
        <f aca="false">P26*COMISION</f>
        <v>0</v>
      </c>
      <c r="AP26" s="58" t="n">
        <f aca="false">MIN(N(K26),Q26)</f>
        <v>0</v>
      </c>
      <c r="AQ26" s="61" t="n">
        <f aca="false">IF(Q26&gt;0,((Q26-AP26)*AT26+AP26*TASA_INC)/Q26,AT26)</f>
        <v>0.659887072235414</v>
      </c>
      <c r="AR26" s="58" t="n">
        <f aca="false">IF($A26&lt;FECHA_EXPORT,NETWORKDAYS($A26+1,FECHA_EXPORT,FESTIVOS),0)</f>
        <v>0</v>
      </c>
      <c r="AS26" s="61" t="n">
        <f aca="false">IF(AR26&gt;=5,1,INDEX(CDF_INC,1,AR26+1))</f>
        <v>0.14</v>
      </c>
      <c r="AT26" s="61" t="n">
        <f aca="false">TASA_USADA+(TASA_INC-TASA_USADA)*Q_INC*(1-AS26)/(1-Q_INC*AS26)</f>
        <v>0.659887072235414</v>
      </c>
    </row>
    <row r="27" customFormat="false" ht="15" hidden="false" customHeight="false" outlineLevel="0" collapsed="false">
      <c r="A27" s="53" t="n">
        <v>46321</v>
      </c>
      <c r="B27" s="54"/>
      <c r="C27" s="54"/>
      <c r="D27" s="54"/>
      <c r="E27" s="54"/>
      <c r="F27" s="54"/>
      <c r="G27" s="54"/>
      <c r="H27" s="54"/>
      <c r="I27" s="54"/>
      <c r="J27" s="54"/>
      <c r="K27" s="54"/>
      <c r="L27" s="55"/>
      <c r="M27" s="55"/>
      <c r="N27" s="55"/>
      <c r="O27" s="56"/>
      <c r="P27" s="31" t="n">
        <f aca="false">B27+C27+D27</f>
        <v>0</v>
      </c>
      <c r="Q27" s="31" t="n">
        <f aca="false">AA27+AB27+AC27</f>
        <v>0</v>
      </c>
      <c r="R27" s="32" t="n">
        <f aca="false">B27*P1_PVP+C27*P2_PVP+D27*IF($A27&lt;P3_DESDE,P3A_PVP,P3_PVP)</f>
        <v>0</v>
      </c>
      <c r="S27" s="32" t="str">
        <f aca="false">IF(P27&gt;0,R27/P27,"")</f>
        <v/>
      </c>
      <c r="T27" s="32" t="str">
        <f aca="false">IF(P27&gt;0,N27/P27,"")</f>
        <v/>
      </c>
      <c r="U27" s="57" t="str">
        <f aca="false">IF(N27&gt;0,R27/N27,"")</f>
        <v/>
      </c>
      <c r="V27" s="34" t="str">
        <f aca="false">IF(E27+F27+G27+H27+I27+J27&gt;0,(E27+F27+G27)/(E27+F27+G27+H27+I27+J27),"")</f>
        <v/>
      </c>
      <c r="W27" s="33" t="n">
        <f aca="false">E27*(P1_PVP-P1_CPROD)+F27*(P2_PVP-P2_CPROD)+G27*(IF($A27&lt;P3_DESDE,P3A_PVP,P3_PVP)-IF($A27&lt;P3_DESDE,P3A_CPROD,P3_CPROD))-IF(ISNUMBER(L27),L27,E27*P1_LOG+F27*P2_LOG+G27*P3_LOG)</f>
        <v>0</v>
      </c>
      <c r="X27" s="33" t="n">
        <f aca="false">W27-(E27*P1_IVAN+F27*P2_IVAN+G27*IF($A27&lt;P3_DESDE,P3A_IVAN,P3_IVAN))-(H27+I27+J27)*(COSTE_DEV-IVA_DEV)-AM27-AO27</f>
        <v>0</v>
      </c>
      <c r="Y27" s="33" t="n">
        <f aca="false">AH27-AI27-AJ27-AK27-AL27-AM27-AO27</f>
        <v>0</v>
      </c>
      <c r="AA27" s="58" t="n">
        <f aca="false">MAX(0,B27-E27-H27)</f>
        <v>0</v>
      </c>
      <c r="AB27" s="58" t="n">
        <f aca="false">MAX(0,C27-F27-I27)</f>
        <v>0</v>
      </c>
      <c r="AC27" s="58" t="n">
        <f aca="false">MAX(0,D27-G27-J27)</f>
        <v>0</v>
      </c>
      <c r="AD27" s="59" t="n">
        <f aca="false">E27+AA27*AQ27</f>
        <v>0</v>
      </c>
      <c r="AE27" s="59" t="n">
        <f aca="false">F27+AB27*AQ27</f>
        <v>0</v>
      </c>
      <c r="AF27" s="59" t="n">
        <f aca="false">G27+AC27*AQ27</f>
        <v>0</v>
      </c>
      <c r="AG27" s="59" t="n">
        <f aca="false">H27+I27+J27+(AA27+AB27+AC27)*(1-AQ27)</f>
        <v>0</v>
      </c>
      <c r="AH27" s="60" t="n">
        <f aca="false">AD27*P1_PVP+AE27*P2_PVP+AF27*IF($A27&lt;P3_DESDE,P3A_PVP,P3_PVP)</f>
        <v>0</v>
      </c>
      <c r="AI27" s="60" t="n">
        <f aca="false">AD27*P1_CPROD+AE27*P2_CPROD+AF27*IF($A27&lt;P3_DESDE,P3A_CPROD,P3_CPROD)</f>
        <v>0</v>
      </c>
      <c r="AJ27" s="60" t="n">
        <f aca="false">IF(ISNUMBER(L27),L27,E27*P1_LOG+F27*P2_LOG+G27*P3_LOG)+IF(ISNUMBER(M27),M27,AA27*P1_LOG+AB27*P2_LOG+AC27*P3_LOG)*AQ27</f>
        <v>0</v>
      </c>
      <c r="AK27" s="60" t="n">
        <f aca="false">AG27*COSTE_DEV</f>
        <v>0</v>
      </c>
      <c r="AL27" s="60" t="n">
        <f aca="false">AD27*P1_IVAN+AE27*P2_IVAN+AF27*IF($A27&lt;P3_DESDE,P3A_IVAN,P3_IVAN)-AG27*IVA_DEV</f>
        <v>0</v>
      </c>
      <c r="AM27" s="60" t="n">
        <f aca="false">N27*(1+RECARGO_ADS)</f>
        <v>0</v>
      </c>
      <c r="AN27" s="58" t="n">
        <f aca="false">IF(ISNUMBER(L27),E27+F27+G27+AA27+AB27+AC27,0)</f>
        <v>0</v>
      </c>
      <c r="AO27" s="60" t="n">
        <f aca="false">P27*COMISION</f>
        <v>0</v>
      </c>
      <c r="AP27" s="58" t="n">
        <f aca="false">MIN(N(K27),Q27)</f>
        <v>0</v>
      </c>
      <c r="AQ27" s="61" t="n">
        <f aca="false">IF(Q27&gt;0,((Q27-AP27)*AT27+AP27*TASA_INC)/Q27,AT27)</f>
        <v>0.659887072235414</v>
      </c>
      <c r="AR27" s="58" t="n">
        <f aca="false">IF($A27&lt;FECHA_EXPORT,NETWORKDAYS($A27+1,FECHA_EXPORT,FESTIVOS),0)</f>
        <v>0</v>
      </c>
      <c r="AS27" s="61" t="n">
        <f aca="false">IF(AR27&gt;=5,1,INDEX(CDF_INC,1,AR27+1))</f>
        <v>0.14</v>
      </c>
      <c r="AT27" s="61" t="n">
        <f aca="false">TASA_USADA+(TASA_INC-TASA_USADA)*Q_INC*(1-AS27)/(1-Q_INC*AS27)</f>
        <v>0.659887072235414</v>
      </c>
    </row>
    <row r="28" customFormat="false" ht="15" hidden="false" customHeight="false" outlineLevel="0" collapsed="false">
      <c r="A28" s="53" t="n">
        <v>46322</v>
      </c>
      <c r="B28" s="54"/>
      <c r="C28" s="54"/>
      <c r="D28" s="54"/>
      <c r="E28" s="54"/>
      <c r="F28" s="54"/>
      <c r="G28" s="54"/>
      <c r="H28" s="54"/>
      <c r="I28" s="54"/>
      <c r="J28" s="54"/>
      <c r="K28" s="54"/>
      <c r="L28" s="55"/>
      <c r="M28" s="55"/>
      <c r="N28" s="55"/>
      <c r="O28" s="56"/>
      <c r="P28" s="31" t="n">
        <f aca="false">B28+C28+D28</f>
        <v>0</v>
      </c>
      <c r="Q28" s="31" t="n">
        <f aca="false">AA28+AB28+AC28</f>
        <v>0</v>
      </c>
      <c r="R28" s="32" t="n">
        <f aca="false">B28*P1_PVP+C28*P2_PVP+D28*IF($A28&lt;P3_DESDE,P3A_PVP,P3_PVP)</f>
        <v>0</v>
      </c>
      <c r="S28" s="32" t="str">
        <f aca="false">IF(P28&gt;0,R28/P28,"")</f>
        <v/>
      </c>
      <c r="T28" s="32" t="str">
        <f aca="false">IF(P28&gt;0,N28/P28,"")</f>
        <v/>
      </c>
      <c r="U28" s="57" t="str">
        <f aca="false">IF(N28&gt;0,R28/N28,"")</f>
        <v/>
      </c>
      <c r="V28" s="34" t="str">
        <f aca="false">IF(E28+F28+G28+H28+I28+J28&gt;0,(E28+F28+G28)/(E28+F28+G28+H28+I28+J28),"")</f>
        <v/>
      </c>
      <c r="W28" s="33" t="n">
        <f aca="false">E28*(P1_PVP-P1_CPROD)+F28*(P2_PVP-P2_CPROD)+G28*(IF($A28&lt;P3_DESDE,P3A_PVP,P3_PVP)-IF($A28&lt;P3_DESDE,P3A_CPROD,P3_CPROD))-IF(ISNUMBER(L28),L28,E28*P1_LOG+F28*P2_LOG+G28*P3_LOG)</f>
        <v>0</v>
      </c>
      <c r="X28" s="33" t="n">
        <f aca="false">W28-(E28*P1_IVAN+F28*P2_IVAN+G28*IF($A28&lt;P3_DESDE,P3A_IVAN,P3_IVAN))-(H28+I28+J28)*(COSTE_DEV-IVA_DEV)-AM28-AO28</f>
        <v>0</v>
      </c>
      <c r="Y28" s="33" t="n">
        <f aca="false">AH28-AI28-AJ28-AK28-AL28-AM28-AO28</f>
        <v>0</v>
      </c>
      <c r="AA28" s="58" t="n">
        <f aca="false">MAX(0,B28-E28-H28)</f>
        <v>0</v>
      </c>
      <c r="AB28" s="58" t="n">
        <f aca="false">MAX(0,C28-F28-I28)</f>
        <v>0</v>
      </c>
      <c r="AC28" s="58" t="n">
        <f aca="false">MAX(0,D28-G28-J28)</f>
        <v>0</v>
      </c>
      <c r="AD28" s="59" t="n">
        <f aca="false">E28+AA28*AQ28</f>
        <v>0</v>
      </c>
      <c r="AE28" s="59" t="n">
        <f aca="false">F28+AB28*AQ28</f>
        <v>0</v>
      </c>
      <c r="AF28" s="59" t="n">
        <f aca="false">G28+AC28*AQ28</f>
        <v>0</v>
      </c>
      <c r="AG28" s="59" t="n">
        <f aca="false">H28+I28+J28+(AA28+AB28+AC28)*(1-AQ28)</f>
        <v>0</v>
      </c>
      <c r="AH28" s="60" t="n">
        <f aca="false">AD28*P1_PVP+AE28*P2_PVP+AF28*IF($A28&lt;P3_DESDE,P3A_PVP,P3_PVP)</f>
        <v>0</v>
      </c>
      <c r="AI28" s="60" t="n">
        <f aca="false">AD28*P1_CPROD+AE28*P2_CPROD+AF28*IF($A28&lt;P3_DESDE,P3A_CPROD,P3_CPROD)</f>
        <v>0</v>
      </c>
      <c r="AJ28" s="60" t="n">
        <f aca="false">IF(ISNUMBER(L28),L28,E28*P1_LOG+F28*P2_LOG+G28*P3_LOG)+IF(ISNUMBER(M28),M28,AA28*P1_LOG+AB28*P2_LOG+AC28*P3_LOG)*AQ28</f>
        <v>0</v>
      </c>
      <c r="AK28" s="60" t="n">
        <f aca="false">AG28*COSTE_DEV</f>
        <v>0</v>
      </c>
      <c r="AL28" s="60" t="n">
        <f aca="false">AD28*P1_IVAN+AE28*P2_IVAN+AF28*IF($A28&lt;P3_DESDE,P3A_IVAN,P3_IVAN)-AG28*IVA_DEV</f>
        <v>0</v>
      </c>
      <c r="AM28" s="60" t="n">
        <f aca="false">N28*(1+RECARGO_ADS)</f>
        <v>0</v>
      </c>
      <c r="AN28" s="58" t="n">
        <f aca="false">IF(ISNUMBER(L28),E28+F28+G28+AA28+AB28+AC28,0)</f>
        <v>0</v>
      </c>
      <c r="AO28" s="60" t="n">
        <f aca="false">P28*COMISION</f>
        <v>0</v>
      </c>
      <c r="AP28" s="58" t="n">
        <f aca="false">MIN(N(K28),Q28)</f>
        <v>0</v>
      </c>
      <c r="AQ28" s="61" t="n">
        <f aca="false">IF(Q28&gt;0,((Q28-AP28)*AT28+AP28*TASA_INC)/Q28,AT28)</f>
        <v>0.659887072235414</v>
      </c>
      <c r="AR28" s="58" t="n">
        <f aca="false">IF($A28&lt;FECHA_EXPORT,NETWORKDAYS($A28+1,FECHA_EXPORT,FESTIVOS),0)</f>
        <v>0</v>
      </c>
      <c r="AS28" s="61" t="n">
        <f aca="false">IF(AR28&gt;=5,1,INDEX(CDF_INC,1,AR28+1))</f>
        <v>0.14</v>
      </c>
      <c r="AT28" s="61" t="n">
        <f aca="false">TASA_USADA+(TASA_INC-TASA_USADA)*Q_INC*(1-AS28)/(1-Q_INC*AS28)</f>
        <v>0.659887072235414</v>
      </c>
    </row>
    <row r="29" customFormat="false" ht="15" hidden="false" customHeight="false" outlineLevel="0" collapsed="false">
      <c r="A29" s="53" t="n">
        <v>46323</v>
      </c>
      <c r="B29" s="54"/>
      <c r="C29" s="54"/>
      <c r="D29" s="54"/>
      <c r="E29" s="54"/>
      <c r="F29" s="54"/>
      <c r="G29" s="54"/>
      <c r="H29" s="54"/>
      <c r="I29" s="54"/>
      <c r="J29" s="54"/>
      <c r="K29" s="54"/>
      <c r="L29" s="55"/>
      <c r="M29" s="55"/>
      <c r="N29" s="55"/>
      <c r="O29" s="56"/>
      <c r="P29" s="31" t="n">
        <f aca="false">B29+C29+D29</f>
        <v>0</v>
      </c>
      <c r="Q29" s="31" t="n">
        <f aca="false">AA29+AB29+AC29</f>
        <v>0</v>
      </c>
      <c r="R29" s="32" t="n">
        <f aca="false">B29*P1_PVP+C29*P2_PVP+D29*IF($A29&lt;P3_DESDE,P3A_PVP,P3_PVP)</f>
        <v>0</v>
      </c>
      <c r="S29" s="32" t="str">
        <f aca="false">IF(P29&gt;0,R29/P29,"")</f>
        <v/>
      </c>
      <c r="T29" s="32" t="str">
        <f aca="false">IF(P29&gt;0,N29/P29,"")</f>
        <v/>
      </c>
      <c r="U29" s="57" t="str">
        <f aca="false">IF(N29&gt;0,R29/N29,"")</f>
        <v/>
      </c>
      <c r="V29" s="34" t="str">
        <f aca="false">IF(E29+F29+G29+H29+I29+J29&gt;0,(E29+F29+G29)/(E29+F29+G29+H29+I29+J29),"")</f>
        <v/>
      </c>
      <c r="W29" s="33" t="n">
        <f aca="false">E29*(P1_PVP-P1_CPROD)+F29*(P2_PVP-P2_CPROD)+G29*(IF($A29&lt;P3_DESDE,P3A_PVP,P3_PVP)-IF($A29&lt;P3_DESDE,P3A_CPROD,P3_CPROD))-IF(ISNUMBER(L29),L29,E29*P1_LOG+F29*P2_LOG+G29*P3_LOG)</f>
        <v>0</v>
      </c>
      <c r="X29" s="33" t="n">
        <f aca="false">W29-(E29*P1_IVAN+F29*P2_IVAN+G29*IF($A29&lt;P3_DESDE,P3A_IVAN,P3_IVAN))-(H29+I29+J29)*(COSTE_DEV-IVA_DEV)-AM29-AO29</f>
        <v>0</v>
      </c>
      <c r="Y29" s="33" t="n">
        <f aca="false">AH29-AI29-AJ29-AK29-AL29-AM29-AO29</f>
        <v>0</v>
      </c>
      <c r="AA29" s="58" t="n">
        <f aca="false">MAX(0,B29-E29-H29)</f>
        <v>0</v>
      </c>
      <c r="AB29" s="58" t="n">
        <f aca="false">MAX(0,C29-F29-I29)</f>
        <v>0</v>
      </c>
      <c r="AC29" s="58" t="n">
        <f aca="false">MAX(0,D29-G29-J29)</f>
        <v>0</v>
      </c>
      <c r="AD29" s="59" t="n">
        <f aca="false">E29+AA29*AQ29</f>
        <v>0</v>
      </c>
      <c r="AE29" s="59" t="n">
        <f aca="false">F29+AB29*AQ29</f>
        <v>0</v>
      </c>
      <c r="AF29" s="59" t="n">
        <f aca="false">G29+AC29*AQ29</f>
        <v>0</v>
      </c>
      <c r="AG29" s="59" t="n">
        <f aca="false">H29+I29+J29+(AA29+AB29+AC29)*(1-AQ29)</f>
        <v>0</v>
      </c>
      <c r="AH29" s="60" t="n">
        <f aca="false">AD29*P1_PVP+AE29*P2_PVP+AF29*IF($A29&lt;P3_DESDE,P3A_PVP,P3_PVP)</f>
        <v>0</v>
      </c>
      <c r="AI29" s="60" t="n">
        <f aca="false">AD29*P1_CPROD+AE29*P2_CPROD+AF29*IF($A29&lt;P3_DESDE,P3A_CPROD,P3_CPROD)</f>
        <v>0</v>
      </c>
      <c r="AJ29" s="60" t="n">
        <f aca="false">IF(ISNUMBER(L29),L29,E29*P1_LOG+F29*P2_LOG+G29*P3_LOG)+IF(ISNUMBER(M29),M29,AA29*P1_LOG+AB29*P2_LOG+AC29*P3_LOG)*AQ29</f>
        <v>0</v>
      </c>
      <c r="AK29" s="60" t="n">
        <f aca="false">AG29*COSTE_DEV</f>
        <v>0</v>
      </c>
      <c r="AL29" s="60" t="n">
        <f aca="false">AD29*P1_IVAN+AE29*P2_IVAN+AF29*IF($A29&lt;P3_DESDE,P3A_IVAN,P3_IVAN)-AG29*IVA_DEV</f>
        <v>0</v>
      </c>
      <c r="AM29" s="60" t="n">
        <f aca="false">N29*(1+RECARGO_ADS)</f>
        <v>0</v>
      </c>
      <c r="AN29" s="58" t="n">
        <f aca="false">IF(ISNUMBER(L29),E29+F29+G29+AA29+AB29+AC29,0)</f>
        <v>0</v>
      </c>
      <c r="AO29" s="60" t="n">
        <f aca="false">P29*COMISION</f>
        <v>0</v>
      </c>
      <c r="AP29" s="58" t="n">
        <f aca="false">MIN(N(K29),Q29)</f>
        <v>0</v>
      </c>
      <c r="AQ29" s="61" t="n">
        <f aca="false">IF(Q29&gt;0,((Q29-AP29)*AT29+AP29*TASA_INC)/Q29,AT29)</f>
        <v>0.659887072235414</v>
      </c>
      <c r="AR29" s="58" t="n">
        <f aca="false">IF($A29&lt;FECHA_EXPORT,NETWORKDAYS($A29+1,FECHA_EXPORT,FESTIVOS),0)</f>
        <v>0</v>
      </c>
      <c r="AS29" s="61" t="n">
        <f aca="false">IF(AR29&gt;=5,1,INDEX(CDF_INC,1,AR29+1))</f>
        <v>0.14</v>
      </c>
      <c r="AT29" s="61" t="n">
        <f aca="false">TASA_USADA+(TASA_INC-TASA_USADA)*Q_INC*(1-AS29)/(1-Q_INC*AS29)</f>
        <v>0.659887072235414</v>
      </c>
    </row>
    <row r="30" customFormat="false" ht="15" hidden="false" customHeight="false" outlineLevel="0" collapsed="false">
      <c r="A30" s="53" t="n">
        <v>46324</v>
      </c>
      <c r="B30" s="54"/>
      <c r="C30" s="54"/>
      <c r="D30" s="54"/>
      <c r="E30" s="54"/>
      <c r="F30" s="54"/>
      <c r="G30" s="54"/>
      <c r="H30" s="54"/>
      <c r="I30" s="54"/>
      <c r="J30" s="54"/>
      <c r="K30" s="54"/>
      <c r="L30" s="55"/>
      <c r="M30" s="55"/>
      <c r="N30" s="55"/>
      <c r="O30" s="56"/>
      <c r="P30" s="31" t="n">
        <f aca="false">B30+C30+D30</f>
        <v>0</v>
      </c>
      <c r="Q30" s="31" t="n">
        <f aca="false">AA30+AB30+AC30</f>
        <v>0</v>
      </c>
      <c r="R30" s="32" t="n">
        <f aca="false">B30*P1_PVP+C30*P2_PVP+D30*IF($A30&lt;P3_DESDE,P3A_PVP,P3_PVP)</f>
        <v>0</v>
      </c>
      <c r="S30" s="32" t="str">
        <f aca="false">IF(P30&gt;0,R30/P30,"")</f>
        <v/>
      </c>
      <c r="T30" s="32" t="str">
        <f aca="false">IF(P30&gt;0,N30/P30,"")</f>
        <v/>
      </c>
      <c r="U30" s="57" t="str">
        <f aca="false">IF(N30&gt;0,R30/N30,"")</f>
        <v/>
      </c>
      <c r="V30" s="34" t="str">
        <f aca="false">IF(E30+F30+G30+H30+I30+J30&gt;0,(E30+F30+G30)/(E30+F30+G30+H30+I30+J30),"")</f>
        <v/>
      </c>
      <c r="W30" s="33" t="n">
        <f aca="false">E30*(P1_PVP-P1_CPROD)+F30*(P2_PVP-P2_CPROD)+G30*(IF($A30&lt;P3_DESDE,P3A_PVP,P3_PVP)-IF($A30&lt;P3_DESDE,P3A_CPROD,P3_CPROD))-IF(ISNUMBER(L30),L30,E30*P1_LOG+F30*P2_LOG+G30*P3_LOG)</f>
        <v>0</v>
      </c>
      <c r="X30" s="33" t="n">
        <f aca="false">W30-(E30*P1_IVAN+F30*P2_IVAN+G30*IF($A30&lt;P3_DESDE,P3A_IVAN,P3_IVAN))-(H30+I30+J30)*(COSTE_DEV-IVA_DEV)-AM30-AO30</f>
        <v>0</v>
      </c>
      <c r="Y30" s="33" t="n">
        <f aca="false">AH30-AI30-AJ30-AK30-AL30-AM30-AO30</f>
        <v>0</v>
      </c>
      <c r="AA30" s="58" t="n">
        <f aca="false">MAX(0,B30-E30-H30)</f>
        <v>0</v>
      </c>
      <c r="AB30" s="58" t="n">
        <f aca="false">MAX(0,C30-F30-I30)</f>
        <v>0</v>
      </c>
      <c r="AC30" s="58" t="n">
        <f aca="false">MAX(0,D30-G30-J30)</f>
        <v>0</v>
      </c>
      <c r="AD30" s="59" t="n">
        <f aca="false">E30+AA30*AQ30</f>
        <v>0</v>
      </c>
      <c r="AE30" s="59" t="n">
        <f aca="false">F30+AB30*AQ30</f>
        <v>0</v>
      </c>
      <c r="AF30" s="59" t="n">
        <f aca="false">G30+AC30*AQ30</f>
        <v>0</v>
      </c>
      <c r="AG30" s="59" t="n">
        <f aca="false">H30+I30+J30+(AA30+AB30+AC30)*(1-AQ30)</f>
        <v>0</v>
      </c>
      <c r="AH30" s="60" t="n">
        <f aca="false">AD30*P1_PVP+AE30*P2_PVP+AF30*IF($A30&lt;P3_DESDE,P3A_PVP,P3_PVP)</f>
        <v>0</v>
      </c>
      <c r="AI30" s="60" t="n">
        <f aca="false">AD30*P1_CPROD+AE30*P2_CPROD+AF30*IF($A30&lt;P3_DESDE,P3A_CPROD,P3_CPROD)</f>
        <v>0</v>
      </c>
      <c r="AJ30" s="60" t="n">
        <f aca="false">IF(ISNUMBER(L30),L30,E30*P1_LOG+F30*P2_LOG+G30*P3_LOG)+IF(ISNUMBER(M30),M30,AA30*P1_LOG+AB30*P2_LOG+AC30*P3_LOG)*AQ30</f>
        <v>0</v>
      </c>
      <c r="AK30" s="60" t="n">
        <f aca="false">AG30*COSTE_DEV</f>
        <v>0</v>
      </c>
      <c r="AL30" s="60" t="n">
        <f aca="false">AD30*P1_IVAN+AE30*P2_IVAN+AF30*IF($A30&lt;P3_DESDE,P3A_IVAN,P3_IVAN)-AG30*IVA_DEV</f>
        <v>0</v>
      </c>
      <c r="AM30" s="60" t="n">
        <f aca="false">N30*(1+RECARGO_ADS)</f>
        <v>0</v>
      </c>
      <c r="AN30" s="58" t="n">
        <f aca="false">IF(ISNUMBER(L30),E30+F30+G30+AA30+AB30+AC30,0)</f>
        <v>0</v>
      </c>
      <c r="AO30" s="60" t="n">
        <f aca="false">P30*COMISION</f>
        <v>0</v>
      </c>
      <c r="AP30" s="58" t="n">
        <f aca="false">MIN(N(K30),Q30)</f>
        <v>0</v>
      </c>
      <c r="AQ30" s="61" t="n">
        <f aca="false">IF(Q30&gt;0,((Q30-AP30)*AT30+AP30*TASA_INC)/Q30,AT30)</f>
        <v>0.659887072235414</v>
      </c>
      <c r="AR30" s="58" t="n">
        <f aca="false">IF($A30&lt;FECHA_EXPORT,NETWORKDAYS($A30+1,FECHA_EXPORT,FESTIVOS),0)</f>
        <v>0</v>
      </c>
      <c r="AS30" s="61" t="n">
        <f aca="false">IF(AR30&gt;=5,1,INDEX(CDF_INC,1,AR30+1))</f>
        <v>0.14</v>
      </c>
      <c r="AT30" s="61" t="n">
        <f aca="false">TASA_USADA+(TASA_INC-TASA_USADA)*Q_INC*(1-AS30)/(1-Q_INC*AS30)</f>
        <v>0.659887072235414</v>
      </c>
    </row>
    <row r="31" customFormat="false" ht="15" hidden="false" customHeight="false" outlineLevel="0" collapsed="false">
      <c r="A31" s="53" t="n">
        <v>46325</v>
      </c>
      <c r="B31" s="54"/>
      <c r="C31" s="54"/>
      <c r="D31" s="54"/>
      <c r="E31" s="54"/>
      <c r="F31" s="54"/>
      <c r="G31" s="54"/>
      <c r="H31" s="54"/>
      <c r="I31" s="54"/>
      <c r="J31" s="54"/>
      <c r="K31" s="54"/>
      <c r="L31" s="55"/>
      <c r="M31" s="55"/>
      <c r="N31" s="55"/>
      <c r="O31" s="56"/>
      <c r="P31" s="31" t="n">
        <f aca="false">B31+C31+D31</f>
        <v>0</v>
      </c>
      <c r="Q31" s="31" t="n">
        <f aca="false">AA31+AB31+AC31</f>
        <v>0</v>
      </c>
      <c r="R31" s="32" t="n">
        <f aca="false">B31*P1_PVP+C31*P2_PVP+D31*IF($A31&lt;P3_DESDE,P3A_PVP,P3_PVP)</f>
        <v>0</v>
      </c>
      <c r="S31" s="32" t="str">
        <f aca="false">IF(P31&gt;0,R31/P31,"")</f>
        <v/>
      </c>
      <c r="T31" s="32" t="str">
        <f aca="false">IF(P31&gt;0,N31/P31,"")</f>
        <v/>
      </c>
      <c r="U31" s="57" t="str">
        <f aca="false">IF(N31&gt;0,R31/N31,"")</f>
        <v/>
      </c>
      <c r="V31" s="34" t="str">
        <f aca="false">IF(E31+F31+G31+H31+I31+J31&gt;0,(E31+F31+G31)/(E31+F31+G31+H31+I31+J31),"")</f>
        <v/>
      </c>
      <c r="W31" s="33" t="n">
        <f aca="false">E31*(P1_PVP-P1_CPROD)+F31*(P2_PVP-P2_CPROD)+G31*(IF($A31&lt;P3_DESDE,P3A_PVP,P3_PVP)-IF($A31&lt;P3_DESDE,P3A_CPROD,P3_CPROD))-IF(ISNUMBER(L31),L31,E31*P1_LOG+F31*P2_LOG+G31*P3_LOG)</f>
        <v>0</v>
      </c>
      <c r="X31" s="33" t="n">
        <f aca="false">W31-(E31*P1_IVAN+F31*P2_IVAN+G31*IF($A31&lt;P3_DESDE,P3A_IVAN,P3_IVAN))-(H31+I31+J31)*(COSTE_DEV-IVA_DEV)-AM31-AO31</f>
        <v>0</v>
      </c>
      <c r="Y31" s="33" t="n">
        <f aca="false">AH31-AI31-AJ31-AK31-AL31-AM31-AO31</f>
        <v>0</v>
      </c>
      <c r="AA31" s="58" t="n">
        <f aca="false">MAX(0,B31-E31-H31)</f>
        <v>0</v>
      </c>
      <c r="AB31" s="58" t="n">
        <f aca="false">MAX(0,C31-F31-I31)</f>
        <v>0</v>
      </c>
      <c r="AC31" s="58" t="n">
        <f aca="false">MAX(0,D31-G31-J31)</f>
        <v>0</v>
      </c>
      <c r="AD31" s="59" t="n">
        <f aca="false">E31+AA31*AQ31</f>
        <v>0</v>
      </c>
      <c r="AE31" s="59" t="n">
        <f aca="false">F31+AB31*AQ31</f>
        <v>0</v>
      </c>
      <c r="AF31" s="59" t="n">
        <f aca="false">G31+AC31*AQ31</f>
        <v>0</v>
      </c>
      <c r="AG31" s="59" t="n">
        <f aca="false">H31+I31+J31+(AA31+AB31+AC31)*(1-AQ31)</f>
        <v>0</v>
      </c>
      <c r="AH31" s="60" t="n">
        <f aca="false">AD31*P1_PVP+AE31*P2_PVP+AF31*IF($A31&lt;P3_DESDE,P3A_PVP,P3_PVP)</f>
        <v>0</v>
      </c>
      <c r="AI31" s="60" t="n">
        <f aca="false">AD31*P1_CPROD+AE31*P2_CPROD+AF31*IF($A31&lt;P3_DESDE,P3A_CPROD,P3_CPROD)</f>
        <v>0</v>
      </c>
      <c r="AJ31" s="60" t="n">
        <f aca="false">IF(ISNUMBER(L31),L31,E31*P1_LOG+F31*P2_LOG+G31*P3_LOG)+IF(ISNUMBER(M31),M31,AA31*P1_LOG+AB31*P2_LOG+AC31*P3_LOG)*AQ31</f>
        <v>0</v>
      </c>
      <c r="AK31" s="60" t="n">
        <f aca="false">AG31*COSTE_DEV</f>
        <v>0</v>
      </c>
      <c r="AL31" s="60" t="n">
        <f aca="false">AD31*P1_IVAN+AE31*P2_IVAN+AF31*IF($A31&lt;P3_DESDE,P3A_IVAN,P3_IVAN)-AG31*IVA_DEV</f>
        <v>0</v>
      </c>
      <c r="AM31" s="60" t="n">
        <f aca="false">N31*(1+RECARGO_ADS)</f>
        <v>0</v>
      </c>
      <c r="AN31" s="58" t="n">
        <f aca="false">IF(ISNUMBER(L31),E31+F31+G31+AA31+AB31+AC31,0)</f>
        <v>0</v>
      </c>
      <c r="AO31" s="60" t="n">
        <f aca="false">P31*COMISION</f>
        <v>0</v>
      </c>
      <c r="AP31" s="58" t="n">
        <f aca="false">MIN(N(K31),Q31)</f>
        <v>0</v>
      </c>
      <c r="AQ31" s="61" t="n">
        <f aca="false">IF(Q31&gt;0,((Q31-AP31)*AT31+AP31*TASA_INC)/Q31,AT31)</f>
        <v>0.659887072235414</v>
      </c>
      <c r="AR31" s="58" t="n">
        <f aca="false">IF($A31&lt;FECHA_EXPORT,NETWORKDAYS($A31+1,FECHA_EXPORT,FESTIVOS),0)</f>
        <v>0</v>
      </c>
      <c r="AS31" s="61" t="n">
        <f aca="false">IF(AR31&gt;=5,1,INDEX(CDF_INC,1,AR31+1))</f>
        <v>0.14</v>
      </c>
      <c r="AT31" s="61" t="n">
        <f aca="false">TASA_USADA+(TASA_INC-TASA_USADA)*Q_INC*(1-AS31)/(1-Q_INC*AS31)</f>
        <v>0.659887072235414</v>
      </c>
    </row>
    <row r="32" customFormat="false" ht="15" hidden="false" customHeight="false" outlineLevel="0" collapsed="false">
      <c r="A32" s="53" t="n">
        <v>46326</v>
      </c>
      <c r="B32" s="54"/>
      <c r="C32" s="54"/>
      <c r="D32" s="54"/>
      <c r="E32" s="54"/>
      <c r="F32" s="54"/>
      <c r="G32" s="54"/>
      <c r="H32" s="54"/>
      <c r="I32" s="54"/>
      <c r="J32" s="54"/>
      <c r="K32" s="54"/>
      <c r="L32" s="55"/>
      <c r="M32" s="55"/>
      <c r="N32" s="55"/>
      <c r="O32" s="56"/>
      <c r="P32" s="31" t="n">
        <f aca="false">B32+C32+D32</f>
        <v>0</v>
      </c>
      <c r="Q32" s="31" t="n">
        <f aca="false">AA32+AB32+AC32</f>
        <v>0</v>
      </c>
      <c r="R32" s="32" t="n">
        <f aca="false">B32*P1_PVP+C32*P2_PVP+D32*IF($A32&lt;P3_DESDE,P3A_PVP,P3_PVP)</f>
        <v>0</v>
      </c>
      <c r="S32" s="32" t="str">
        <f aca="false">IF(P32&gt;0,R32/P32,"")</f>
        <v/>
      </c>
      <c r="T32" s="32" t="str">
        <f aca="false">IF(P32&gt;0,N32/P32,"")</f>
        <v/>
      </c>
      <c r="U32" s="57" t="str">
        <f aca="false">IF(N32&gt;0,R32/N32,"")</f>
        <v/>
      </c>
      <c r="V32" s="34" t="str">
        <f aca="false">IF(E32+F32+G32+H32+I32+J32&gt;0,(E32+F32+G32)/(E32+F32+G32+H32+I32+J32),"")</f>
        <v/>
      </c>
      <c r="W32" s="33" t="n">
        <f aca="false">E32*(P1_PVP-P1_CPROD)+F32*(P2_PVP-P2_CPROD)+G32*(IF($A32&lt;P3_DESDE,P3A_PVP,P3_PVP)-IF($A32&lt;P3_DESDE,P3A_CPROD,P3_CPROD))-IF(ISNUMBER(L32),L32,E32*P1_LOG+F32*P2_LOG+G32*P3_LOG)</f>
        <v>0</v>
      </c>
      <c r="X32" s="33" t="n">
        <f aca="false">W32-(E32*P1_IVAN+F32*P2_IVAN+G32*IF($A32&lt;P3_DESDE,P3A_IVAN,P3_IVAN))-(H32+I32+J32)*(COSTE_DEV-IVA_DEV)-AM32-AO32</f>
        <v>0</v>
      </c>
      <c r="Y32" s="33" t="n">
        <f aca="false">AH32-AI32-AJ32-AK32-AL32-AM32-AO32</f>
        <v>0</v>
      </c>
      <c r="AA32" s="58" t="n">
        <f aca="false">MAX(0,B32-E32-H32)</f>
        <v>0</v>
      </c>
      <c r="AB32" s="58" t="n">
        <f aca="false">MAX(0,C32-F32-I32)</f>
        <v>0</v>
      </c>
      <c r="AC32" s="58" t="n">
        <f aca="false">MAX(0,D32-G32-J32)</f>
        <v>0</v>
      </c>
      <c r="AD32" s="59" t="n">
        <f aca="false">E32+AA32*AQ32</f>
        <v>0</v>
      </c>
      <c r="AE32" s="59" t="n">
        <f aca="false">F32+AB32*AQ32</f>
        <v>0</v>
      </c>
      <c r="AF32" s="59" t="n">
        <f aca="false">G32+AC32*AQ32</f>
        <v>0</v>
      </c>
      <c r="AG32" s="59" t="n">
        <f aca="false">H32+I32+J32+(AA32+AB32+AC32)*(1-AQ32)</f>
        <v>0</v>
      </c>
      <c r="AH32" s="60" t="n">
        <f aca="false">AD32*P1_PVP+AE32*P2_PVP+AF32*IF($A32&lt;P3_DESDE,P3A_PVP,P3_PVP)</f>
        <v>0</v>
      </c>
      <c r="AI32" s="60" t="n">
        <f aca="false">AD32*P1_CPROD+AE32*P2_CPROD+AF32*IF($A32&lt;P3_DESDE,P3A_CPROD,P3_CPROD)</f>
        <v>0</v>
      </c>
      <c r="AJ32" s="60" t="n">
        <f aca="false">IF(ISNUMBER(L32),L32,E32*P1_LOG+F32*P2_LOG+G32*P3_LOG)+IF(ISNUMBER(M32),M32,AA32*P1_LOG+AB32*P2_LOG+AC32*P3_LOG)*AQ32</f>
        <v>0</v>
      </c>
      <c r="AK32" s="60" t="n">
        <f aca="false">AG32*COSTE_DEV</f>
        <v>0</v>
      </c>
      <c r="AL32" s="60" t="n">
        <f aca="false">AD32*P1_IVAN+AE32*P2_IVAN+AF32*IF($A32&lt;P3_DESDE,P3A_IVAN,P3_IVAN)-AG32*IVA_DEV</f>
        <v>0</v>
      </c>
      <c r="AM32" s="60" t="n">
        <f aca="false">N32*(1+RECARGO_ADS)</f>
        <v>0</v>
      </c>
      <c r="AN32" s="58" t="n">
        <f aca="false">IF(ISNUMBER(L32),E32+F32+G32+AA32+AB32+AC32,0)</f>
        <v>0</v>
      </c>
      <c r="AO32" s="60" t="n">
        <f aca="false">P32*COMISION</f>
        <v>0</v>
      </c>
      <c r="AP32" s="58" t="n">
        <f aca="false">MIN(N(K32),Q32)</f>
        <v>0</v>
      </c>
      <c r="AQ32" s="61" t="n">
        <f aca="false">IF(Q32&gt;0,((Q32-AP32)*AT32+AP32*TASA_INC)/Q32,AT32)</f>
        <v>0.659887072235414</v>
      </c>
      <c r="AR32" s="58" t="n">
        <f aca="false">IF($A32&lt;FECHA_EXPORT,NETWORKDAYS($A32+1,FECHA_EXPORT,FESTIVOS),0)</f>
        <v>0</v>
      </c>
      <c r="AS32" s="61" t="n">
        <f aca="false">IF(AR32&gt;=5,1,INDEX(CDF_INC,1,AR32+1))</f>
        <v>0.14</v>
      </c>
      <c r="AT32" s="61" t="n">
        <f aca="false">TASA_USADA+(TASA_INC-TASA_USADA)*Q_INC*(1-AS32)/(1-Q_INC*AS32)</f>
        <v>0.659887072235414</v>
      </c>
    </row>
    <row r="33" customFormat="false" ht="15" hidden="false" customHeight="false" outlineLevel="0" collapsed="false">
      <c r="A33" s="53" t="n">
        <v>46327</v>
      </c>
      <c r="B33" s="54"/>
      <c r="C33" s="54"/>
      <c r="D33" s="54"/>
      <c r="E33" s="54"/>
      <c r="F33" s="54"/>
      <c r="G33" s="54"/>
      <c r="H33" s="54"/>
      <c r="I33" s="54"/>
      <c r="J33" s="54"/>
      <c r="K33" s="54"/>
      <c r="L33" s="55"/>
      <c r="M33" s="55"/>
      <c r="N33" s="55"/>
      <c r="O33" s="56"/>
      <c r="P33" s="31" t="n">
        <f aca="false">B33+C33+D33</f>
        <v>0</v>
      </c>
      <c r="Q33" s="31" t="n">
        <f aca="false">AA33+AB33+AC33</f>
        <v>0</v>
      </c>
      <c r="R33" s="32" t="n">
        <f aca="false">B33*P1_PVP+C33*P2_PVP+D33*IF($A33&lt;P3_DESDE,P3A_PVP,P3_PVP)</f>
        <v>0</v>
      </c>
      <c r="S33" s="32" t="str">
        <f aca="false">IF(P33&gt;0,R33/P33,"")</f>
        <v/>
      </c>
      <c r="T33" s="32" t="str">
        <f aca="false">IF(P33&gt;0,N33/P33,"")</f>
        <v/>
      </c>
      <c r="U33" s="57" t="str">
        <f aca="false">IF(N33&gt;0,R33/N33,"")</f>
        <v/>
      </c>
      <c r="V33" s="34" t="str">
        <f aca="false">IF(E33+F33+G33+H33+I33+J33&gt;0,(E33+F33+G33)/(E33+F33+G33+H33+I33+J33),"")</f>
        <v/>
      </c>
      <c r="W33" s="33" t="n">
        <f aca="false">E33*(P1_PVP-P1_CPROD)+F33*(P2_PVP-P2_CPROD)+G33*(IF($A33&lt;P3_DESDE,P3A_PVP,P3_PVP)-IF($A33&lt;P3_DESDE,P3A_CPROD,P3_CPROD))-IF(ISNUMBER(L33),L33,E33*P1_LOG+F33*P2_LOG+G33*P3_LOG)</f>
        <v>0</v>
      </c>
      <c r="X33" s="33" t="n">
        <f aca="false">W33-(E33*P1_IVAN+F33*P2_IVAN+G33*IF($A33&lt;P3_DESDE,P3A_IVAN,P3_IVAN))-(H33+I33+J33)*(COSTE_DEV-IVA_DEV)-AM33-AO33</f>
        <v>0</v>
      </c>
      <c r="Y33" s="33" t="n">
        <f aca="false">AH33-AI33-AJ33-AK33-AL33-AM33-AO33</f>
        <v>0</v>
      </c>
      <c r="AA33" s="58" t="n">
        <f aca="false">MAX(0,B33-E33-H33)</f>
        <v>0</v>
      </c>
      <c r="AB33" s="58" t="n">
        <f aca="false">MAX(0,C33-F33-I33)</f>
        <v>0</v>
      </c>
      <c r="AC33" s="58" t="n">
        <f aca="false">MAX(0,D33-G33-J33)</f>
        <v>0</v>
      </c>
      <c r="AD33" s="59" t="n">
        <f aca="false">E33+AA33*AQ33</f>
        <v>0</v>
      </c>
      <c r="AE33" s="59" t="n">
        <f aca="false">F33+AB33*AQ33</f>
        <v>0</v>
      </c>
      <c r="AF33" s="59" t="n">
        <f aca="false">G33+AC33*AQ33</f>
        <v>0</v>
      </c>
      <c r="AG33" s="59" t="n">
        <f aca="false">H33+I33+J33+(AA33+AB33+AC33)*(1-AQ33)</f>
        <v>0</v>
      </c>
      <c r="AH33" s="60" t="n">
        <f aca="false">AD33*P1_PVP+AE33*P2_PVP+AF33*IF($A33&lt;P3_DESDE,P3A_PVP,P3_PVP)</f>
        <v>0</v>
      </c>
      <c r="AI33" s="60" t="n">
        <f aca="false">AD33*P1_CPROD+AE33*P2_CPROD+AF33*IF($A33&lt;P3_DESDE,P3A_CPROD,P3_CPROD)</f>
        <v>0</v>
      </c>
      <c r="AJ33" s="60" t="n">
        <f aca="false">IF(ISNUMBER(L33),L33,E33*P1_LOG+F33*P2_LOG+G33*P3_LOG)+IF(ISNUMBER(M33),M33,AA33*P1_LOG+AB33*P2_LOG+AC33*P3_LOG)*AQ33</f>
        <v>0</v>
      </c>
      <c r="AK33" s="60" t="n">
        <f aca="false">AG33*COSTE_DEV</f>
        <v>0</v>
      </c>
      <c r="AL33" s="60" t="n">
        <f aca="false">AD33*P1_IVAN+AE33*P2_IVAN+AF33*IF($A33&lt;P3_DESDE,P3A_IVAN,P3_IVAN)-AG33*IVA_DEV</f>
        <v>0</v>
      </c>
      <c r="AM33" s="60" t="n">
        <f aca="false">N33*(1+RECARGO_ADS)</f>
        <v>0</v>
      </c>
      <c r="AN33" s="58" t="n">
        <f aca="false">IF(ISNUMBER(L33),E33+F33+G33+AA33+AB33+AC33,0)</f>
        <v>0</v>
      </c>
      <c r="AO33" s="60" t="n">
        <f aca="false">P33*COMISION</f>
        <v>0</v>
      </c>
      <c r="AP33" s="58" t="n">
        <f aca="false">MIN(N(K33),Q33)</f>
        <v>0</v>
      </c>
      <c r="AQ33" s="61" t="n">
        <f aca="false">IF(Q33&gt;0,((Q33-AP33)*AT33+AP33*TASA_INC)/Q33,AT33)</f>
        <v>0.659887072235414</v>
      </c>
      <c r="AR33" s="58" t="n">
        <f aca="false">IF($A33&lt;FECHA_EXPORT,NETWORKDAYS($A33+1,FECHA_EXPORT,FESTIVOS),0)</f>
        <v>0</v>
      </c>
      <c r="AS33" s="61" t="n">
        <f aca="false">IF(AR33&gt;=5,1,INDEX(CDF_INC,1,AR33+1))</f>
        <v>0.14</v>
      </c>
      <c r="AT33" s="61" t="n">
        <f aca="false">TASA_USADA+(TASA_INC-TASA_USADA)*Q_INC*(1-AS33)/(1-Q_INC*AS33)</f>
        <v>0.659887072235414</v>
      </c>
    </row>
    <row r="34" customFormat="false" ht="15" hidden="false" customHeight="false" outlineLevel="0" collapsed="false">
      <c r="A34" s="53" t="n">
        <v>46328</v>
      </c>
      <c r="B34" s="54"/>
      <c r="C34" s="54"/>
      <c r="D34" s="54"/>
      <c r="E34" s="54"/>
      <c r="F34" s="54"/>
      <c r="G34" s="54"/>
      <c r="H34" s="54"/>
      <c r="I34" s="54"/>
      <c r="J34" s="54"/>
      <c r="K34" s="54"/>
      <c r="L34" s="55"/>
      <c r="M34" s="55"/>
      <c r="N34" s="55"/>
      <c r="O34" s="56"/>
      <c r="P34" s="31" t="n">
        <f aca="false">B34+C34+D34</f>
        <v>0</v>
      </c>
      <c r="Q34" s="31" t="n">
        <f aca="false">AA34+AB34+AC34</f>
        <v>0</v>
      </c>
      <c r="R34" s="32" t="n">
        <f aca="false">B34*P1_PVP+C34*P2_PVP+D34*IF($A34&lt;P3_DESDE,P3A_PVP,P3_PVP)</f>
        <v>0</v>
      </c>
      <c r="S34" s="32" t="str">
        <f aca="false">IF(P34&gt;0,R34/P34,"")</f>
        <v/>
      </c>
      <c r="T34" s="32" t="str">
        <f aca="false">IF(P34&gt;0,N34/P34,"")</f>
        <v/>
      </c>
      <c r="U34" s="57" t="str">
        <f aca="false">IF(N34&gt;0,R34/N34,"")</f>
        <v/>
      </c>
      <c r="V34" s="34" t="str">
        <f aca="false">IF(E34+F34+G34+H34+I34+J34&gt;0,(E34+F34+G34)/(E34+F34+G34+H34+I34+J34),"")</f>
        <v/>
      </c>
      <c r="W34" s="33" t="n">
        <f aca="false">E34*(P1_PVP-P1_CPROD)+F34*(P2_PVP-P2_CPROD)+G34*(IF($A34&lt;P3_DESDE,P3A_PVP,P3_PVP)-IF($A34&lt;P3_DESDE,P3A_CPROD,P3_CPROD))-IF(ISNUMBER(L34),L34,E34*P1_LOG+F34*P2_LOG+G34*P3_LOG)</f>
        <v>0</v>
      </c>
      <c r="X34" s="33" t="n">
        <f aca="false">W34-(E34*P1_IVAN+F34*P2_IVAN+G34*IF($A34&lt;P3_DESDE,P3A_IVAN,P3_IVAN))-(H34+I34+J34)*(COSTE_DEV-IVA_DEV)-AM34-AO34</f>
        <v>0</v>
      </c>
      <c r="Y34" s="33" t="n">
        <f aca="false">AH34-AI34-AJ34-AK34-AL34-AM34-AO34</f>
        <v>0</v>
      </c>
      <c r="AA34" s="58" t="n">
        <f aca="false">MAX(0,B34-E34-H34)</f>
        <v>0</v>
      </c>
      <c r="AB34" s="58" t="n">
        <f aca="false">MAX(0,C34-F34-I34)</f>
        <v>0</v>
      </c>
      <c r="AC34" s="58" t="n">
        <f aca="false">MAX(0,D34-G34-J34)</f>
        <v>0</v>
      </c>
      <c r="AD34" s="59" t="n">
        <f aca="false">E34+AA34*AQ34</f>
        <v>0</v>
      </c>
      <c r="AE34" s="59" t="n">
        <f aca="false">F34+AB34*AQ34</f>
        <v>0</v>
      </c>
      <c r="AF34" s="59" t="n">
        <f aca="false">G34+AC34*AQ34</f>
        <v>0</v>
      </c>
      <c r="AG34" s="59" t="n">
        <f aca="false">H34+I34+J34+(AA34+AB34+AC34)*(1-AQ34)</f>
        <v>0</v>
      </c>
      <c r="AH34" s="60" t="n">
        <f aca="false">AD34*P1_PVP+AE34*P2_PVP+AF34*IF($A34&lt;P3_DESDE,P3A_PVP,P3_PVP)</f>
        <v>0</v>
      </c>
      <c r="AI34" s="60" t="n">
        <f aca="false">AD34*P1_CPROD+AE34*P2_CPROD+AF34*IF($A34&lt;P3_DESDE,P3A_CPROD,P3_CPROD)</f>
        <v>0</v>
      </c>
      <c r="AJ34" s="60" t="n">
        <f aca="false">IF(ISNUMBER(L34),L34,E34*P1_LOG+F34*P2_LOG+G34*P3_LOG)+IF(ISNUMBER(M34),M34,AA34*P1_LOG+AB34*P2_LOG+AC34*P3_LOG)*AQ34</f>
        <v>0</v>
      </c>
      <c r="AK34" s="60" t="n">
        <f aca="false">AG34*COSTE_DEV</f>
        <v>0</v>
      </c>
      <c r="AL34" s="60" t="n">
        <f aca="false">AD34*P1_IVAN+AE34*P2_IVAN+AF34*IF($A34&lt;P3_DESDE,P3A_IVAN,P3_IVAN)-AG34*IVA_DEV</f>
        <v>0</v>
      </c>
      <c r="AM34" s="60" t="n">
        <f aca="false">N34*(1+RECARGO_ADS)</f>
        <v>0</v>
      </c>
      <c r="AN34" s="58" t="n">
        <f aca="false">IF(ISNUMBER(L34),E34+F34+G34+AA34+AB34+AC34,0)</f>
        <v>0</v>
      </c>
      <c r="AO34" s="60" t="n">
        <f aca="false">P34*COMISION</f>
        <v>0</v>
      </c>
      <c r="AP34" s="58" t="n">
        <f aca="false">MIN(N(K34),Q34)</f>
        <v>0</v>
      </c>
      <c r="AQ34" s="61" t="n">
        <f aca="false">IF(Q34&gt;0,((Q34-AP34)*AT34+AP34*TASA_INC)/Q34,AT34)</f>
        <v>0.659887072235414</v>
      </c>
      <c r="AR34" s="58" t="n">
        <f aca="false">IF($A34&lt;FECHA_EXPORT,NETWORKDAYS($A34+1,FECHA_EXPORT,FESTIVOS),0)</f>
        <v>0</v>
      </c>
      <c r="AS34" s="61" t="n">
        <f aca="false">IF(AR34&gt;=5,1,INDEX(CDF_INC,1,AR34+1))</f>
        <v>0.14</v>
      </c>
      <c r="AT34" s="61" t="n">
        <f aca="false">TASA_USADA+(TASA_INC-TASA_USADA)*Q_INC*(1-AS34)/(1-Q_INC*AS34)</f>
        <v>0.659887072235414</v>
      </c>
    </row>
    <row r="35" customFormat="false" ht="15" hidden="false" customHeight="false" outlineLevel="0" collapsed="false">
      <c r="A35" s="53" t="n">
        <v>46329</v>
      </c>
      <c r="B35" s="54"/>
      <c r="C35" s="54"/>
      <c r="D35" s="54"/>
      <c r="E35" s="54"/>
      <c r="F35" s="54"/>
      <c r="G35" s="54"/>
      <c r="H35" s="54"/>
      <c r="I35" s="54"/>
      <c r="J35" s="54"/>
      <c r="K35" s="54"/>
      <c r="L35" s="55"/>
      <c r="M35" s="55"/>
      <c r="N35" s="55"/>
      <c r="O35" s="56"/>
      <c r="P35" s="31" t="n">
        <f aca="false">B35+C35+D35</f>
        <v>0</v>
      </c>
      <c r="Q35" s="31" t="n">
        <f aca="false">AA35+AB35+AC35</f>
        <v>0</v>
      </c>
      <c r="R35" s="32" t="n">
        <f aca="false">B35*P1_PVP+C35*P2_PVP+D35*IF($A35&lt;P3_DESDE,P3A_PVP,P3_PVP)</f>
        <v>0</v>
      </c>
      <c r="S35" s="32" t="str">
        <f aca="false">IF(P35&gt;0,R35/P35,"")</f>
        <v/>
      </c>
      <c r="T35" s="32" t="str">
        <f aca="false">IF(P35&gt;0,N35/P35,"")</f>
        <v/>
      </c>
      <c r="U35" s="57" t="str">
        <f aca="false">IF(N35&gt;0,R35/N35,"")</f>
        <v/>
      </c>
      <c r="V35" s="34" t="str">
        <f aca="false">IF(E35+F35+G35+H35+I35+J35&gt;0,(E35+F35+G35)/(E35+F35+G35+H35+I35+J35),"")</f>
        <v/>
      </c>
      <c r="W35" s="33" t="n">
        <f aca="false">E35*(P1_PVP-P1_CPROD)+F35*(P2_PVP-P2_CPROD)+G35*(IF($A35&lt;P3_DESDE,P3A_PVP,P3_PVP)-IF($A35&lt;P3_DESDE,P3A_CPROD,P3_CPROD))-IF(ISNUMBER(L35),L35,E35*P1_LOG+F35*P2_LOG+G35*P3_LOG)</f>
        <v>0</v>
      </c>
      <c r="X35" s="33" t="n">
        <f aca="false">W35-(E35*P1_IVAN+F35*P2_IVAN+G35*IF($A35&lt;P3_DESDE,P3A_IVAN,P3_IVAN))-(H35+I35+J35)*(COSTE_DEV-IVA_DEV)-AM35-AO35</f>
        <v>0</v>
      </c>
      <c r="Y35" s="33" t="n">
        <f aca="false">AH35-AI35-AJ35-AK35-AL35-AM35-AO35</f>
        <v>0</v>
      </c>
      <c r="AA35" s="58" t="n">
        <f aca="false">MAX(0,B35-E35-H35)</f>
        <v>0</v>
      </c>
      <c r="AB35" s="58" t="n">
        <f aca="false">MAX(0,C35-F35-I35)</f>
        <v>0</v>
      </c>
      <c r="AC35" s="58" t="n">
        <f aca="false">MAX(0,D35-G35-J35)</f>
        <v>0</v>
      </c>
      <c r="AD35" s="59" t="n">
        <f aca="false">E35+AA35*AQ35</f>
        <v>0</v>
      </c>
      <c r="AE35" s="59" t="n">
        <f aca="false">F35+AB35*AQ35</f>
        <v>0</v>
      </c>
      <c r="AF35" s="59" t="n">
        <f aca="false">G35+AC35*AQ35</f>
        <v>0</v>
      </c>
      <c r="AG35" s="59" t="n">
        <f aca="false">H35+I35+J35+(AA35+AB35+AC35)*(1-AQ35)</f>
        <v>0</v>
      </c>
      <c r="AH35" s="60" t="n">
        <f aca="false">AD35*P1_PVP+AE35*P2_PVP+AF35*IF($A35&lt;P3_DESDE,P3A_PVP,P3_PVP)</f>
        <v>0</v>
      </c>
      <c r="AI35" s="60" t="n">
        <f aca="false">AD35*P1_CPROD+AE35*P2_CPROD+AF35*IF($A35&lt;P3_DESDE,P3A_CPROD,P3_CPROD)</f>
        <v>0</v>
      </c>
      <c r="AJ35" s="60" t="n">
        <f aca="false">IF(ISNUMBER(L35),L35,E35*P1_LOG+F35*P2_LOG+G35*P3_LOG)+IF(ISNUMBER(M35),M35,AA35*P1_LOG+AB35*P2_LOG+AC35*P3_LOG)*AQ35</f>
        <v>0</v>
      </c>
      <c r="AK35" s="60" t="n">
        <f aca="false">AG35*COSTE_DEV</f>
        <v>0</v>
      </c>
      <c r="AL35" s="60" t="n">
        <f aca="false">AD35*P1_IVAN+AE35*P2_IVAN+AF35*IF($A35&lt;P3_DESDE,P3A_IVAN,P3_IVAN)-AG35*IVA_DEV</f>
        <v>0</v>
      </c>
      <c r="AM35" s="60" t="n">
        <f aca="false">N35*(1+RECARGO_ADS)</f>
        <v>0</v>
      </c>
      <c r="AN35" s="58" t="n">
        <f aca="false">IF(ISNUMBER(L35),E35+F35+G35+AA35+AB35+AC35,0)</f>
        <v>0</v>
      </c>
      <c r="AO35" s="60" t="n">
        <f aca="false">P35*COMISION</f>
        <v>0</v>
      </c>
      <c r="AP35" s="58" t="n">
        <f aca="false">MIN(N(K35),Q35)</f>
        <v>0</v>
      </c>
      <c r="AQ35" s="61" t="n">
        <f aca="false">IF(Q35&gt;0,((Q35-AP35)*AT35+AP35*TASA_INC)/Q35,AT35)</f>
        <v>0.659887072235414</v>
      </c>
      <c r="AR35" s="58" t="n">
        <f aca="false">IF($A35&lt;FECHA_EXPORT,NETWORKDAYS($A35+1,FECHA_EXPORT,FESTIVOS),0)</f>
        <v>0</v>
      </c>
      <c r="AS35" s="61" t="n">
        <f aca="false">IF(AR35&gt;=5,1,INDEX(CDF_INC,1,AR35+1))</f>
        <v>0.14</v>
      </c>
      <c r="AT35" s="61" t="n">
        <f aca="false">TASA_USADA+(TASA_INC-TASA_USADA)*Q_INC*(1-AS35)/(1-Q_INC*AS35)</f>
        <v>0.659887072235414</v>
      </c>
    </row>
    <row r="36" customFormat="false" ht="15" hidden="false" customHeight="false" outlineLevel="0" collapsed="false">
      <c r="A36" s="53" t="n">
        <v>46330</v>
      </c>
      <c r="B36" s="54"/>
      <c r="C36" s="54"/>
      <c r="D36" s="54"/>
      <c r="E36" s="54"/>
      <c r="F36" s="54"/>
      <c r="G36" s="54"/>
      <c r="H36" s="54"/>
      <c r="I36" s="54"/>
      <c r="J36" s="54"/>
      <c r="K36" s="54"/>
      <c r="L36" s="55"/>
      <c r="M36" s="55"/>
      <c r="N36" s="55"/>
      <c r="O36" s="56"/>
      <c r="P36" s="31" t="n">
        <f aca="false">B36+C36+D36</f>
        <v>0</v>
      </c>
      <c r="Q36" s="31" t="n">
        <f aca="false">AA36+AB36+AC36</f>
        <v>0</v>
      </c>
      <c r="R36" s="32" t="n">
        <f aca="false">B36*P1_PVP+C36*P2_PVP+D36*IF($A36&lt;P3_DESDE,P3A_PVP,P3_PVP)</f>
        <v>0</v>
      </c>
      <c r="S36" s="32" t="str">
        <f aca="false">IF(P36&gt;0,R36/P36,"")</f>
        <v/>
      </c>
      <c r="T36" s="32" t="str">
        <f aca="false">IF(P36&gt;0,N36/P36,"")</f>
        <v/>
      </c>
      <c r="U36" s="57" t="str">
        <f aca="false">IF(N36&gt;0,R36/N36,"")</f>
        <v/>
      </c>
      <c r="V36" s="34" t="str">
        <f aca="false">IF(E36+F36+G36+H36+I36+J36&gt;0,(E36+F36+G36)/(E36+F36+G36+H36+I36+J36),"")</f>
        <v/>
      </c>
      <c r="W36" s="33" t="n">
        <f aca="false">E36*(P1_PVP-P1_CPROD)+F36*(P2_PVP-P2_CPROD)+G36*(IF($A36&lt;P3_DESDE,P3A_PVP,P3_PVP)-IF($A36&lt;P3_DESDE,P3A_CPROD,P3_CPROD))-IF(ISNUMBER(L36),L36,E36*P1_LOG+F36*P2_LOG+G36*P3_LOG)</f>
        <v>0</v>
      </c>
      <c r="X36" s="33" t="n">
        <f aca="false">W36-(E36*P1_IVAN+F36*P2_IVAN+G36*IF($A36&lt;P3_DESDE,P3A_IVAN,P3_IVAN))-(H36+I36+J36)*(COSTE_DEV-IVA_DEV)-AM36-AO36</f>
        <v>0</v>
      </c>
      <c r="Y36" s="33" t="n">
        <f aca="false">AH36-AI36-AJ36-AK36-AL36-AM36-AO36</f>
        <v>0</v>
      </c>
      <c r="AA36" s="58" t="n">
        <f aca="false">MAX(0,B36-E36-H36)</f>
        <v>0</v>
      </c>
      <c r="AB36" s="58" t="n">
        <f aca="false">MAX(0,C36-F36-I36)</f>
        <v>0</v>
      </c>
      <c r="AC36" s="58" t="n">
        <f aca="false">MAX(0,D36-G36-J36)</f>
        <v>0</v>
      </c>
      <c r="AD36" s="59" t="n">
        <f aca="false">E36+AA36*AQ36</f>
        <v>0</v>
      </c>
      <c r="AE36" s="59" t="n">
        <f aca="false">F36+AB36*AQ36</f>
        <v>0</v>
      </c>
      <c r="AF36" s="59" t="n">
        <f aca="false">G36+AC36*AQ36</f>
        <v>0</v>
      </c>
      <c r="AG36" s="59" t="n">
        <f aca="false">H36+I36+J36+(AA36+AB36+AC36)*(1-AQ36)</f>
        <v>0</v>
      </c>
      <c r="AH36" s="60" t="n">
        <f aca="false">AD36*P1_PVP+AE36*P2_PVP+AF36*IF($A36&lt;P3_DESDE,P3A_PVP,P3_PVP)</f>
        <v>0</v>
      </c>
      <c r="AI36" s="60" t="n">
        <f aca="false">AD36*P1_CPROD+AE36*P2_CPROD+AF36*IF($A36&lt;P3_DESDE,P3A_CPROD,P3_CPROD)</f>
        <v>0</v>
      </c>
      <c r="AJ36" s="60" t="n">
        <f aca="false">IF(ISNUMBER(L36),L36,E36*P1_LOG+F36*P2_LOG+G36*P3_LOG)+IF(ISNUMBER(M36),M36,AA36*P1_LOG+AB36*P2_LOG+AC36*P3_LOG)*AQ36</f>
        <v>0</v>
      </c>
      <c r="AK36" s="60" t="n">
        <f aca="false">AG36*COSTE_DEV</f>
        <v>0</v>
      </c>
      <c r="AL36" s="60" t="n">
        <f aca="false">AD36*P1_IVAN+AE36*P2_IVAN+AF36*IF($A36&lt;P3_DESDE,P3A_IVAN,P3_IVAN)-AG36*IVA_DEV</f>
        <v>0</v>
      </c>
      <c r="AM36" s="60" t="n">
        <f aca="false">N36*(1+RECARGO_ADS)</f>
        <v>0</v>
      </c>
      <c r="AN36" s="58" t="n">
        <f aca="false">IF(ISNUMBER(L36),E36+F36+G36+AA36+AB36+AC36,0)</f>
        <v>0</v>
      </c>
      <c r="AO36" s="60" t="n">
        <f aca="false">P36*COMISION</f>
        <v>0</v>
      </c>
      <c r="AP36" s="58" t="n">
        <f aca="false">MIN(N(K36),Q36)</f>
        <v>0</v>
      </c>
      <c r="AQ36" s="61" t="n">
        <f aca="false">IF(Q36&gt;0,((Q36-AP36)*AT36+AP36*TASA_INC)/Q36,AT36)</f>
        <v>0.659887072235414</v>
      </c>
      <c r="AR36" s="58" t="n">
        <f aca="false">IF($A36&lt;FECHA_EXPORT,NETWORKDAYS($A36+1,FECHA_EXPORT,FESTIVOS),0)</f>
        <v>0</v>
      </c>
      <c r="AS36" s="61" t="n">
        <f aca="false">IF(AR36&gt;=5,1,INDEX(CDF_INC,1,AR36+1))</f>
        <v>0.14</v>
      </c>
      <c r="AT36" s="61" t="n">
        <f aca="false">TASA_USADA+(TASA_INC-TASA_USADA)*Q_INC*(1-AS36)/(1-Q_INC*AS36)</f>
        <v>0.659887072235414</v>
      </c>
    </row>
    <row r="37" customFormat="false" ht="15" hidden="false" customHeight="false" outlineLevel="0" collapsed="false">
      <c r="A37" s="53" t="n">
        <v>46331</v>
      </c>
      <c r="B37" s="54"/>
      <c r="C37" s="54"/>
      <c r="D37" s="54"/>
      <c r="E37" s="54"/>
      <c r="F37" s="54"/>
      <c r="G37" s="54"/>
      <c r="H37" s="54"/>
      <c r="I37" s="54"/>
      <c r="J37" s="54"/>
      <c r="K37" s="54"/>
      <c r="L37" s="55"/>
      <c r="M37" s="55"/>
      <c r="N37" s="55"/>
      <c r="O37" s="56"/>
      <c r="P37" s="31" t="n">
        <f aca="false">B37+C37+D37</f>
        <v>0</v>
      </c>
      <c r="Q37" s="31" t="n">
        <f aca="false">AA37+AB37+AC37</f>
        <v>0</v>
      </c>
      <c r="R37" s="32" t="n">
        <f aca="false">B37*P1_PVP+C37*P2_PVP+D37*IF($A37&lt;P3_DESDE,P3A_PVP,P3_PVP)</f>
        <v>0</v>
      </c>
      <c r="S37" s="32" t="str">
        <f aca="false">IF(P37&gt;0,R37/P37,"")</f>
        <v/>
      </c>
      <c r="T37" s="32" t="str">
        <f aca="false">IF(P37&gt;0,N37/P37,"")</f>
        <v/>
      </c>
      <c r="U37" s="57" t="str">
        <f aca="false">IF(N37&gt;0,R37/N37,"")</f>
        <v/>
      </c>
      <c r="V37" s="34" t="str">
        <f aca="false">IF(E37+F37+G37+H37+I37+J37&gt;0,(E37+F37+G37)/(E37+F37+G37+H37+I37+J37),"")</f>
        <v/>
      </c>
      <c r="W37" s="33" t="n">
        <f aca="false">E37*(P1_PVP-P1_CPROD)+F37*(P2_PVP-P2_CPROD)+G37*(IF($A37&lt;P3_DESDE,P3A_PVP,P3_PVP)-IF($A37&lt;P3_DESDE,P3A_CPROD,P3_CPROD))-IF(ISNUMBER(L37),L37,E37*P1_LOG+F37*P2_LOG+G37*P3_LOG)</f>
        <v>0</v>
      </c>
      <c r="X37" s="33" t="n">
        <f aca="false">W37-(E37*P1_IVAN+F37*P2_IVAN+G37*IF($A37&lt;P3_DESDE,P3A_IVAN,P3_IVAN))-(H37+I37+J37)*(COSTE_DEV-IVA_DEV)-AM37-AO37</f>
        <v>0</v>
      </c>
      <c r="Y37" s="33" t="n">
        <f aca="false">AH37-AI37-AJ37-AK37-AL37-AM37-AO37</f>
        <v>0</v>
      </c>
      <c r="AA37" s="58" t="n">
        <f aca="false">MAX(0,B37-E37-H37)</f>
        <v>0</v>
      </c>
      <c r="AB37" s="58" t="n">
        <f aca="false">MAX(0,C37-F37-I37)</f>
        <v>0</v>
      </c>
      <c r="AC37" s="58" t="n">
        <f aca="false">MAX(0,D37-G37-J37)</f>
        <v>0</v>
      </c>
      <c r="AD37" s="59" t="n">
        <f aca="false">E37+AA37*AQ37</f>
        <v>0</v>
      </c>
      <c r="AE37" s="59" t="n">
        <f aca="false">F37+AB37*AQ37</f>
        <v>0</v>
      </c>
      <c r="AF37" s="59" t="n">
        <f aca="false">G37+AC37*AQ37</f>
        <v>0</v>
      </c>
      <c r="AG37" s="59" t="n">
        <f aca="false">H37+I37+J37+(AA37+AB37+AC37)*(1-AQ37)</f>
        <v>0</v>
      </c>
      <c r="AH37" s="60" t="n">
        <f aca="false">AD37*P1_PVP+AE37*P2_PVP+AF37*IF($A37&lt;P3_DESDE,P3A_PVP,P3_PVP)</f>
        <v>0</v>
      </c>
      <c r="AI37" s="60" t="n">
        <f aca="false">AD37*P1_CPROD+AE37*P2_CPROD+AF37*IF($A37&lt;P3_DESDE,P3A_CPROD,P3_CPROD)</f>
        <v>0</v>
      </c>
      <c r="AJ37" s="60" t="n">
        <f aca="false">IF(ISNUMBER(L37),L37,E37*P1_LOG+F37*P2_LOG+G37*P3_LOG)+IF(ISNUMBER(M37),M37,AA37*P1_LOG+AB37*P2_LOG+AC37*P3_LOG)*AQ37</f>
        <v>0</v>
      </c>
      <c r="AK37" s="60" t="n">
        <f aca="false">AG37*COSTE_DEV</f>
        <v>0</v>
      </c>
      <c r="AL37" s="60" t="n">
        <f aca="false">AD37*P1_IVAN+AE37*P2_IVAN+AF37*IF($A37&lt;P3_DESDE,P3A_IVAN,P3_IVAN)-AG37*IVA_DEV</f>
        <v>0</v>
      </c>
      <c r="AM37" s="60" t="n">
        <f aca="false">N37*(1+RECARGO_ADS)</f>
        <v>0</v>
      </c>
      <c r="AN37" s="58" t="n">
        <f aca="false">IF(ISNUMBER(L37),E37+F37+G37+AA37+AB37+AC37,0)</f>
        <v>0</v>
      </c>
      <c r="AO37" s="60" t="n">
        <f aca="false">P37*COMISION</f>
        <v>0</v>
      </c>
      <c r="AP37" s="58" t="n">
        <f aca="false">MIN(N(K37),Q37)</f>
        <v>0</v>
      </c>
      <c r="AQ37" s="61" t="n">
        <f aca="false">IF(Q37&gt;0,((Q37-AP37)*AT37+AP37*TASA_INC)/Q37,AT37)</f>
        <v>0.659887072235414</v>
      </c>
      <c r="AR37" s="58" t="n">
        <f aca="false">IF($A37&lt;FECHA_EXPORT,NETWORKDAYS($A37+1,FECHA_EXPORT,FESTIVOS),0)</f>
        <v>0</v>
      </c>
      <c r="AS37" s="61" t="n">
        <f aca="false">IF(AR37&gt;=5,1,INDEX(CDF_INC,1,AR37+1))</f>
        <v>0.14</v>
      </c>
      <c r="AT37" s="61" t="n">
        <f aca="false">TASA_USADA+(TASA_INC-TASA_USADA)*Q_INC*(1-AS37)/(1-Q_INC*AS37)</f>
        <v>0.659887072235414</v>
      </c>
    </row>
    <row r="38" customFormat="false" ht="15" hidden="false" customHeight="false" outlineLevel="0" collapsed="false">
      <c r="A38" s="53" t="n">
        <v>46332</v>
      </c>
      <c r="B38" s="54"/>
      <c r="C38" s="54"/>
      <c r="D38" s="54"/>
      <c r="E38" s="54"/>
      <c r="F38" s="54"/>
      <c r="G38" s="54"/>
      <c r="H38" s="54"/>
      <c r="I38" s="54"/>
      <c r="J38" s="54"/>
      <c r="K38" s="54"/>
      <c r="L38" s="55"/>
      <c r="M38" s="55"/>
      <c r="N38" s="55"/>
      <c r="O38" s="56"/>
      <c r="P38" s="31" t="n">
        <f aca="false">B38+C38+D38</f>
        <v>0</v>
      </c>
      <c r="Q38" s="31" t="n">
        <f aca="false">AA38+AB38+AC38</f>
        <v>0</v>
      </c>
      <c r="R38" s="32" t="n">
        <f aca="false">B38*P1_PVP+C38*P2_PVP+D38*IF($A38&lt;P3_DESDE,P3A_PVP,P3_PVP)</f>
        <v>0</v>
      </c>
      <c r="S38" s="32" t="str">
        <f aca="false">IF(P38&gt;0,R38/P38,"")</f>
        <v/>
      </c>
      <c r="T38" s="32" t="str">
        <f aca="false">IF(P38&gt;0,N38/P38,"")</f>
        <v/>
      </c>
      <c r="U38" s="57" t="str">
        <f aca="false">IF(N38&gt;0,R38/N38,"")</f>
        <v/>
      </c>
      <c r="V38" s="34" t="str">
        <f aca="false">IF(E38+F38+G38+H38+I38+J38&gt;0,(E38+F38+G38)/(E38+F38+G38+H38+I38+J38),"")</f>
        <v/>
      </c>
      <c r="W38" s="33" t="n">
        <f aca="false">E38*(P1_PVP-P1_CPROD)+F38*(P2_PVP-P2_CPROD)+G38*(IF($A38&lt;P3_DESDE,P3A_PVP,P3_PVP)-IF($A38&lt;P3_DESDE,P3A_CPROD,P3_CPROD))-IF(ISNUMBER(L38),L38,E38*P1_LOG+F38*P2_LOG+G38*P3_LOG)</f>
        <v>0</v>
      </c>
      <c r="X38" s="33" t="n">
        <f aca="false">W38-(E38*P1_IVAN+F38*P2_IVAN+G38*IF($A38&lt;P3_DESDE,P3A_IVAN,P3_IVAN))-(H38+I38+J38)*(COSTE_DEV-IVA_DEV)-AM38-AO38</f>
        <v>0</v>
      </c>
      <c r="Y38" s="33" t="n">
        <f aca="false">AH38-AI38-AJ38-AK38-AL38-AM38-AO38</f>
        <v>0</v>
      </c>
      <c r="AA38" s="58" t="n">
        <f aca="false">MAX(0,B38-E38-H38)</f>
        <v>0</v>
      </c>
      <c r="AB38" s="58" t="n">
        <f aca="false">MAX(0,C38-F38-I38)</f>
        <v>0</v>
      </c>
      <c r="AC38" s="58" t="n">
        <f aca="false">MAX(0,D38-G38-J38)</f>
        <v>0</v>
      </c>
      <c r="AD38" s="59" t="n">
        <f aca="false">E38+AA38*AQ38</f>
        <v>0</v>
      </c>
      <c r="AE38" s="59" t="n">
        <f aca="false">F38+AB38*AQ38</f>
        <v>0</v>
      </c>
      <c r="AF38" s="59" t="n">
        <f aca="false">G38+AC38*AQ38</f>
        <v>0</v>
      </c>
      <c r="AG38" s="59" t="n">
        <f aca="false">H38+I38+J38+(AA38+AB38+AC38)*(1-AQ38)</f>
        <v>0</v>
      </c>
      <c r="AH38" s="60" t="n">
        <f aca="false">AD38*P1_PVP+AE38*P2_PVP+AF38*IF($A38&lt;P3_DESDE,P3A_PVP,P3_PVP)</f>
        <v>0</v>
      </c>
      <c r="AI38" s="60" t="n">
        <f aca="false">AD38*P1_CPROD+AE38*P2_CPROD+AF38*IF($A38&lt;P3_DESDE,P3A_CPROD,P3_CPROD)</f>
        <v>0</v>
      </c>
      <c r="AJ38" s="60" t="n">
        <f aca="false">IF(ISNUMBER(L38),L38,E38*P1_LOG+F38*P2_LOG+G38*P3_LOG)+IF(ISNUMBER(M38),M38,AA38*P1_LOG+AB38*P2_LOG+AC38*P3_LOG)*AQ38</f>
        <v>0</v>
      </c>
      <c r="AK38" s="60" t="n">
        <f aca="false">AG38*COSTE_DEV</f>
        <v>0</v>
      </c>
      <c r="AL38" s="60" t="n">
        <f aca="false">AD38*P1_IVAN+AE38*P2_IVAN+AF38*IF($A38&lt;P3_DESDE,P3A_IVAN,P3_IVAN)-AG38*IVA_DEV</f>
        <v>0</v>
      </c>
      <c r="AM38" s="60" t="n">
        <f aca="false">N38*(1+RECARGO_ADS)</f>
        <v>0</v>
      </c>
      <c r="AN38" s="58" t="n">
        <f aca="false">IF(ISNUMBER(L38),E38+F38+G38+AA38+AB38+AC38,0)</f>
        <v>0</v>
      </c>
      <c r="AO38" s="60" t="n">
        <f aca="false">P38*COMISION</f>
        <v>0</v>
      </c>
      <c r="AP38" s="58" t="n">
        <f aca="false">MIN(N(K38),Q38)</f>
        <v>0</v>
      </c>
      <c r="AQ38" s="61" t="n">
        <f aca="false">IF(Q38&gt;0,((Q38-AP38)*AT38+AP38*TASA_INC)/Q38,AT38)</f>
        <v>0.659887072235414</v>
      </c>
      <c r="AR38" s="58" t="n">
        <f aca="false">IF($A38&lt;FECHA_EXPORT,NETWORKDAYS($A38+1,FECHA_EXPORT,FESTIVOS),0)</f>
        <v>0</v>
      </c>
      <c r="AS38" s="61" t="n">
        <f aca="false">IF(AR38&gt;=5,1,INDEX(CDF_INC,1,AR38+1))</f>
        <v>0.14</v>
      </c>
      <c r="AT38" s="61" t="n">
        <f aca="false">TASA_USADA+(TASA_INC-TASA_USADA)*Q_INC*(1-AS38)/(1-Q_INC*AS38)</f>
        <v>0.659887072235414</v>
      </c>
    </row>
    <row r="39" customFormat="false" ht="15" hidden="false" customHeight="false" outlineLevel="0" collapsed="false">
      <c r="A39" s="53" t="n">
        <v>46333</v>
      </c>
      <c r="B39" s="54"/>
      <c r="C39" s="54"/>
      <c r="D39" s="54"/>
      <c r="E39" s="54"/>
      <c r="F39" s="54"/>
      <c r="G39" s="54"/>
      <c r="H39" s="54"/>
      <c r="I39" s="54"/>
      <c r="J39" s="54"/>
      <c r="K39" s="54"/>
      <c r="L39" s="55"/>
      <c r="M39" s="55"/>
      <c r="N39" s="55"/>
      <c r="O39" s="56"/>
      <c r="P39" s="31" t="n">
        <f aca="false">B39+C39+D39</f>
        <v>0</v>
      </c>
      <c r="Q39" s="31" t="n">
        <f aca="false">AA39+AB39+AC39</f>
        <v>0</v>
      </c>
      <c r="R39" s="32" t="n">
        <f aca="false">B39*P1_PVP+C39*P2_PVP+D39*IF($A39&lt;P3_DESDE,P3A_PVP,P3_PVP)</f>
        <v>0</v>
      </c>
      <c r="S39" s="32" t="str">
        <f aca="false">IF(P39&gt;0,R39/P39,"")</f>
        <v/>
      </c>
      <c r="T39" s="32" t="str">
        <f aca="false">IF(P39&gt;0,N39/P39,"")</f>
        <v/>
      </c>
      <c r="U39" s="57" t="str">
        <f aca="false">IF(N39&gt;0,R39/N39,"")</f>
        <v/>
      </c>
      <c r="V39" s="34" t="str">
        <f aca="false">IF(E39+F39+G39+H39+I39+J39&gt;0,(E39+F39+G39)/(E39+F39+G39+H39+I39+J39),"")</f>
        <v/>
      </c>
      <c r="W39" s="33" t="n">
        <f aca="false">E39*(P1_PVP-P1_CPROD)+F39*(P2_PVP-P2_CPROD)+G39*(IF($A39&lt;P3_DESDE,P3A_PVP,P3_PVP)-IF($A39&lt;P3_DESDE,P3A_CPROD,P3_CPROD))-IF(ISNUMBER(L39),L39,E39*P1_LOG+F39*P2_LOG+G39*P3_LOG)</f>
        <v>0</v>
      </c>
      <c r="X39" s="33" t="n">
        <f aca="false">W39-(E39*P1_IVAN+F39*P2_IVAN+G39*IF($A39&lt;P3_DESDE,P3A_IVAN,P3_IVAN))-(H39+I39+J39)*(COSTE_DEV-IVA_DEV)-AM39-AO39</f>
        <v>0</v>
      </c>
      <c r="Y39" s="33" t="n">
        <f aca="false">AH39-AI39-AJ39-AK39-AL39-AM39-AO39</f>
        <v>0</v>
      </c>
      <c r="AA39" s="58" t="n">
        <f aca="false">MAX(0,B39-E39-H39)</f>
        <v>0</v>
      </c>
      <c r="AB39" s="58" t="n">
        <f aca="false">MAX(0,C39-F39-I39)</f>
        <v>0</v>
      </c>
      <c r="AC39" s="58" t="n">
        <f aca="false">MAX(0,D39-G39-J39)</f>
        <v>0</v>
      </c>
      <c r="AD39" s="59" t="n">
        <f aca="false">E39+AA39*AQ39</f>
        <v>0</v>
      </c>
      <c r="AE39" s="59" t="n">
        <f aca="false">F39+AB39*AQ39</f>
        <v>0</v>
      </c>
      <c r="AF39" s="59" t="n">
        <f aca="false">G39+AC39*AQ39</f>
        <v>0</v>
      </c>
      <c r="AG39" s="59" t="n">
        <f aca="false">H39+I39+J39+(AA39+AB39+AC39)*(1-AQ39)</f>
        <v>0</v>
      </c>
      <c r="AH39" s="60" t="n">
        <f aca="false">AD39*P1_PVP+AE39*P2_PVP+AF39*IF($A39&lt;P3_DESDE,P3A_PVP,P3_PVP)</f>
        <v>0</v>
      </c>
      <c r="AI39" s="60" t="n">
        <f aca="false">AD39*P1_CPROD+AE39*P2_CPROD+AF39*IF($A39&lt;P3_DESDE,P3A_CPROD,P3_CPROD)</f>
        <v>0</v>
      </c>
      <c r="AJ39" s="60" t="n">
        <f aca="false">IF(ISNUMBER(L39),L39,E39*P1_LOG+F39*P2_LOG+G39*P3_LOG)+IF(ISNUMBER(M39),M39,AA39*P1_LOG+AB39*P2_LOG+AC39*P3_LOG)*AQ39</f>
        <v>0</v>
      </c>
      <c r="AK39" s="60" t="n">
        <f aca="false">AG39*COSTE_DEV</f>
        <v>0</v>
      </c>
      <c r="AL39" s="60" t="n">
        <f aca="false">AD39*P1_IVAN+AE39*P2_IVAN+AF39*IF($A39&lt;P3_DESDE,P3A_IVAN,P3_IVAN)-AG39*IVA_DEV</f>
        <v>0</v>
      </c>
      <c r="AM39" s="60" t="n">
        <f aca="false">N39*(1+RECARGO_ADS)</f>
        <v>0</v>
      </c>
      <c r="AN39" s="58" t="n">
        <f aca="false">IF(ISNUMBER(L39),E39+F39+G39+AA39+AB39+AC39,0)</f>
        <v>0</v>
      </c>
      <c r="AO39" s="60" t="n">
        <f aca="false">P39*COMISION</f>
        <v>0</v>
      </c>
      <c r="AP39" s="58" t="n">
        <f aca="false">MIN(N(K39),Q39)</f>
        <v>0</v>
      </c>
      <c r="AQ39" s="61" t="n">
        <f aca="false">IF(Q39&gt;0,((Q39-AP39)*AT39+AP39*TASA_INC)/Q39,AT39)</f>
        <v>0.659887072235414</v>
      </c>
      <c r="AR39" s="58" t="n">
        <f aca="false">IF($A39&lt;FECHA_EXPORT,NETWORKDAYS($A39+1,FECHA_EXPORT,FESTIVOS),0)</f>
        <v>0</v>
      </c>
      <c r="AS39" s="61" t="n">
        <f aca="false">IF(AR39&gt;=5,1,INDEX(CDF_INC,1,AR39+1))</f>
        <v>0.14</v>
      </c>
      <c r="AT39" s="61" t="n">
        <f aca="false">TASA_USADA+(TASA_INC-TASA_USADA)*Q_INC*(1-AS39)/(1-Q_INC*AS39)</f>
        <v>0.659887072235414</v>
      </c>
    </row>
    <row r="40" customFormat="false" ht="15" hidden="false" customHeight="false" outlineLevel="0" collapsed="false">
      <c r="A40" s="53" t="n">
        <v>46334</v>
      </c>
      <c r="B40" s="54"/>
      <c r="C40" s="54"/>
      <c r="D40" s="54"/>
      <c r="E40" s="54"/>
      <c r="F40" s="54"/>
      <c r="G40" s="54"/>
      <c r="H40" s="54"/>
      <c r="I40" s="54"/>
      <c r="J40" s="54"/>
      <c r="K40" s="54"/>
      <c r="L40" s="55"/>
      <c r="M40" s="55"/>
      <c r="N40" s="55"/>
      <c r="O40" s="56"/>
      <c r="P40" s="31" t="n">
        <f aca="false">B40+C40+D40</f>
        <v>0</v>
      </c>
      <c r="Q40" s="31" t="n">
        <f aca="false">AA40+AB40+AC40</f>
        <v>0</v>
      </c>
      <c r="R40" s="32" t="n">
        <f aca="false">B40*P1_PVP+C40*P2_PVP+D40*IF($A40&lt;P3_DESDE,P3A_PVP,P3_PVP)</f>
        <v>0</v>
      </c>
      <c r="S40" s="32" t="str">
        <f aca="false">IF(P40&gt;0,R40/P40,"")</f>
        <v/>
      </c>
      <c r="T40" s="32" t="str">
        <f aca="false">IF(P40&gt;0,N40/P40,"")</f>
        <v/>
      </c>
      <c r="U40" s="57" t="str">
        <f aca="false">IF(N40&gt;0,R40/N40,"")</f>
        <v/>
      </c>
      <c r="V40" s="34" t="str">
        <f aca="false">IF(E40+F40+G40+H40+I40+J40&gt;0,(E40+F40+G40)/(E40+F40+G40+H40+I40+J40),"")</f>
        <v/>
      </c>
      <c r="W40" s="33" t="n">
        <f aca="false">E40*(P1_PVP-P1_CPROD)+F40*(P2_PVP-P2_CPROD)+G40*(IF($A40&lt;P3_DESDE,P3A_PVP,P3_PVP)-IF($A40&lt;P3_DESDE,P3A_CPROD,P3_CPROD))-IF(ISNUMBER(L40),L40,E40*P1_LOG+F40*P2_LOG+G40*P3_LOG)</f>
        <v>0</v>
      </c>
      <c r="X40" s="33" t="n">
        <f aca="false">W40-(E40*P1_IVAN+F40*P2_IVAN+G40*IF($A40&lt;P3_DESDE,P3A_IVAN,P3_IVAN))-(H40+I40+J40)*(COSTE_DEV-IVA_DEV)-AM40-AO40</f>
        <v>0</v>
      </c>
      <c r="Y40" s="33" t="n">
        <f aca="false">AH40-AI40-AJ40-AK40-AL40-AM40-AO40</f>
        <v>0</v>
      </c>
      <c r="AA40" s="58" t="n">
        <f aca="false">MAX(0,B40-E40-H40)</f>
        <v>0</v>
      </c>
      <c r="AB40" s="58" t="n">
        <f aca="false">MAX(0,C40-F40-I40)</f>
        <v>0</v>
      </c>
      <c r="AC40" s="58" t="n">
        <f aca="false">MAX(0,D40-G40-J40)</f>
        <v>0</v>
      </c>
      <c r="AD40" s="59" t="n">
        <f aca="false">E40+AA40*AQ40</f>
        <v>0</v>
      </c>
      <c r="AE40" s="59" t="n">
        <f aca="false">F40+AB40*AQ40</f>
        <v>0</v>
      </c>
      <c r="AF40" s="59" t="n">
        <f aca="false">G40+AC40*AQ40</f>
        <v>0</v>
      </c>
      <c r="AG40" s="59" t="n">
        <f aca="false">H40+I40+J40+(AA40+AB40+AC40)*(1-AQ40)</f>
        <v>0</v>
      </c>
      <c r="AH40" s="60" t="n">
        <f aca="false">AD40*P1_PVP+AE40*P2_PVP+AF40*IF($A40&lt;P3_DESDE,P3A_PVP,P3_PVP)</f>
        <v>0</v>
      </c>
      <c r="AI40" s="60" t="n">
        <f aca="false">AD40*P1_CPROD+AE40*P2_CPROD+AF40*IF($A40&lt;P3_DESDE,P3A_CPROD,P3_CPROD)</f>
        <v>0</v>
      </c>
      <c r="AJ40" s="60" t="n">
        <f aca="false">IF(ISNUMBER(L40),L40,E40*P1_LOG+F40*P2_LOG+G40*P3_LOG)+IF(ISNUMBER(M40),M40,AA40*P1_LOG+AB40*P2_LOG+AC40*P3_LOG)*AQ40</f>
        <v>0</v>
      </c>
      <c r="AK40" s="60" t="n">
        <f aca="false">AG40*COSTE_DEV</f>
        <v>0</v>
      </c>
      <c r="AL40" s="60" t="n">
        <f aca="false">AD40*P1_IVAN+AE40*P2_IVAN+AF40*IF($A40&lt;P3_DESDE,P3A_IVAN,P3_IVAN)-AG40*IVA_DEV</f>
        <v>0</v>
      </c>
      <c r="AM40" s="60" t="n">
        <f aca="false">N40*(1+RECARGO_ADS)</f>
        <v>0</v>
      </c>
      <c r="AN40" s="58" t="n">
        <f aca="false">IF(ISNUMBER(L40),E40+F40+G40+AA40+AB40+AC40,0)</f>
        <v>0</v>
      </c>
      <c r="AO40" s="60" t="n">
        <f aca="false">P40*COMISION</f>
        <v>0</v>
      </c>
      <c r="AP40" s="58" t="n">
        <f aca="false">MIN(N(K40),Q40)</f>
        <v>0</v>
      </c>
      <c r="AQ40" s="61" t="n">
        <f aca="false">IF(Q40&gt;0,((Q40-AP40)*AT40+AP40*TASA_INC)/Q40,AT40)</f>
        <v>0.659887072235414</v>
      </c>
      <c r="AR40" s="58" t="n">
        <f aca="false">IF($A40&lt;FECHA_EXPORT,NETWORKDAYS($A40+1,FECHA_EXPORT,FESTIVOS),0)</f>
        <v>0</v>
      </c>
      <c r="AS40" s="61" t="n">
        <f aca="false">IF(AR40&gt;=5,1,INDEX(CDF_INC,1,AR40+1))</f>
        <v>0.14</v>
      </c>
      <c r="AT40" s="61" t="n">
        <f aca="false">TASA_USADA+(TASA_INC-TASA_USADA)*Q_INC*(1-AS40)/(1-Q_INC*AS40)</f>
        <v>0.659887072235414</v>
      </c>
    </row>
    <row r="41" customFormat="false" ht="15" hidden="false" customHeight="false" outlineLevel="0" collapsed="false">
      <c r="A41" s="53" t="n">
        <v>46335</v>
      </c>
      <c r="B41" s="54"/>
      <c r="C41" s="54"/>
      <c r="D41" s="54"/>
      <c r="E41" s="54"/>
      <c r="F41" s="54"/>
      <c r="G41" s="54"/>
      <c r="H41" s="54"/>
      <c r="I41" s="54"/>
      <c r="J41" s="54"/>
      <c r="K41" s="54"/>
      <c r="L41" s="55"/>
      <c r="M41" s="55"/>
      <c r="N41" s="55"/>
      <c r="O41" s="56"/>
      <c r="P41" s="31" t="n">
        <f aca="false">B41+C41+D41</f>
        <v>0</v>
      </c>
      <c r="Q41" s="31" t="n">
        <f aca="false">AA41+AB41+AC41</f>
        <v>0</v>
      </c>
      <c r="R41" s="32" t="n">
        <f aca="false">B41*P1_PVP+C41*P2_PVP+D41*IF($A41&lt;P3_DESDE,P3A_PVP,P3_PVP)</f>
        <v>0</v>
      </c>
      <c r="S41" s="32" t="str">
        <f aca="false">IF(P41&gt;0,R41/P41,"")</f>
        <v/>
      </c>
      <c r="T41" s="32" t="str">
        <f aca="false">IF(P41&gt;0,N41/P41,"")</f>
        <v/>
      </c>
      <c r="U41" s="57" t="str">
        <f aca="false">IF(N41&gt;0,R41/N41,"")</f>
        <v/>
      </c>
      <c r="V41" s="34" t="str">
        <f aca="false">IF(E41+F41+G41+H41+I41+J41&gt;0,(E41+F41+G41)/(E41+F41+G41+H41+I41+J41),"")</f>
        <v/>
      </c>
      <c r="W41" s="33" t="n">
        <f aca="false">E41*(P1_PVP-P1_CPROD)+F41*(P2_PVP-P2_CPROD)+G41*(IF($A41&lt;P3_DESDE,P3A_PVP,P3_PVP)-IF($A41&lt;P3_DESDE,P3A_CPROD,P3_CPROD))-IF(ISNUMBER(L41),L41,E41*P1_LOG+F41*P2_LOG+G41*P3_LOG)</f>
        <v>0</v>
      </c>
      <c r="X41" s="33" t="n">
        <f aca="false">W41-(E41*P1_IVAN+F41*P2_IVAN+G41*IF($A41&lt;P3_DESDE,P3A_IVAN,P3_IVAN))-(H41+I41+J41)*(COSTE_DEV-IVA_DEV)-AM41-AO41</f>
        <v>0</v>
      </c>
      <c r="Y41" s="33" t="n">
        <f aca="false">AH41-AI41-AJ41-AK41-AL41-AM41-AO41</f>
        <v>0</v>
      </c>
      <c r="AA41" s="58" t="n">
        <f aca="false">MAX(0,B41-E41-H41)</f>
        <v>0</v>
      </c>
      <c r="AB41" s="58" t="n">
        <f aca="false">MAX(0,C41-F41-I41)</f>
        <v>0</v>
      </c>
      <c r="AC41" s="58" t="n">
        <f aca="false">MAX(0,D41-G41-J41)</f>
        <v>0</v>
      </c>
      <c r="AD41" s="59" t="n">
        <f aca="false">E41+AA41*AQ41</f>
        <v>0</v>
      </c>
      <c r="AE41" s="59" t="n">
        <f aca="false">F41+AB41*AQ41</f>
        <v>0</v>
      </c>
      <c r="AF41" s="59" t="n">
        <f aca="false">G41+AC41*AQ41</f>
        <v>0</v>
      </c>
      <c r="AG41" s="59" t="n">
        <f aca="false">H41+I41+J41+(AA41+AB41+AC41)*(1-AQ41)</f>
        <v>0</v>
      </c>
      <c r="AH41" s="60" t="n">
        <f aca="false">AD41*P1_PVP+AE41*P2_PVP+AF41*IF($A41&lt;P3_DESDE,P3A_PVP,P3_PVP)</f>
        <v>0</v>
      </c>
      <c r="AI41" s="60" t="n">
        <f aca="false">AD41*P1_CPROD+AE41*P2_CPROD+AF41*IF($A41&lt;P3_DESDE,P3A_CPROD,P3_CPROD)</f>
        <v>0</v>
      </c>
      <c r="AJ41" s="60" t="n">
        <f aca="false">IF(ISNUMBER(L41),L41,E41*P1_LOG+F41*P2_LOG+G41*P3_LOG)+IF(ISNUMBER(M41),M41,AA41*P1_LOG+AB41*P2_LOG+AC41*P3_LOG)*AQ41</f>
        <v>0</v>
      </c>
      <c r="AK41" s="60" t="n">
        <f aca="false">AG41*COSTE_DEV</f>
        <v>0</v>
      </c>
      <c r="AL41" s="60" t="n">
        <f aca="false">AD41*P1_IVAN+AE41*P2_IVAN+AF41*IF($A41&lt;P3_DESDE,P3A_IVAN,P3_IVAN)-AG41*IVA_DEV</f>
        <v>0</v>
      </c>
      <c r="AM41" s="60" t="n">
        <f aca="false">N41*(1+RECARGO_ADS)</f>
        <v>0</v>
      </c>
      <c r="AN41" s="58" t="n">
        <f aca="false">IF(ISNUMBER(L41),E41+F41+G41+AA41+AB41+AC41,0)</f>
        <v>0</v>
      </c>
      <c r="AO41" s="60" t="n">
        <f aca="false">P41*COMISION</f>
        <v>0</v>
      </c>
      <c r="AP41" s="58" t="n">
        <f aca="false">MIN(N(K41),Q41)</f>
        <v>0</v>
      </c>
      <c r="AQ41" s="61" t="n">
        <f aca="false">IF(Q41&gt;0,((Q41-AP41)*AT41+AP41*TASA_INC)/Q41,AT41)</f>
        <v>0.659887072235414</v>
      </c>
      <c r="AR41" s="58" t="n">
        <f aca="false">IF($A41&lt;FECHA_EXPORT,NETWORKDAYS($A41+1,FECHA_EXPORT,FESTIVOS),0)</f>
        <v>0</v>
      </c>
      <c r="AS41" s="61" t="n">
        <f aca="false">IF(AR41&gt;=5,1,INDEX(CDF_INC,1,AR41+1))</f>
        <v>0.14</v>
      </c>
      <c r="AT41" s="61" t="n">
        <f aca="false">TASA_USADA+(TASA_INC-TASA_USADA)*Q_INC*(1-AS41)/(1-Q_INC*AS41)</f>
        <v>0.659887072235414</v>
      </c>
    </row>
    <row r="42" customFormat="false" ht="15" hidden="false" customHeight="false" outlineLevel="0" collapsed="false">
      <c r="A42" s="53" t="n">
        <v>46336</v>
      </c>
      <c r="B42" s="54"/>
      <c r="C42" s="54"/>
      <c r="D42" s="54"/>
      <c r="E42" s="54"/>
      <c r="F42" s="54"/>
      <c r="G42" s="54"/>
      <c r="H42" s="54"/>
      <c r="I42" s="54"/>
      <c r="J42" s="54"/>
      <c r="K42" s="54"/>
      <c r="L42" s="55"/>
      <c r="M42" s="55"/>
      <c r="N42" s="55"/>
      <c r="O42" s="56"/>
      <c r="P42" s="31" t="n">
        <f aca="false">B42+C42+D42</f>
        <v>0</v>
      </c>
      <c r="Q42" s="31" t="n">
        <f aca="false">AA42+AB42+AC42</f>
        <v>0</v>
      </c>
      <c r="R42" s="32" t="n">
        <f aca="false">B42*P1_PVP+C42*P2_PVP+D42*IF($A42&lt;P3_DESDE,P3A_PVP,P3_PVP)</f>
        <v>0</v>
      </c>
      <c r="S42" s="32" t="str">
        <f aca="false">IF(P42&gt;0,R42/P42,"")</f>
        <v/>
      </c>
      <c r="T42" s="32" t="str">
        <f aca="false">IF(P42&gt;0,N42/P42,"")</f>
        <v/>
      </c>
      <c r="U42" s="57" t="str">
        <f aca="false">IF(N42&gt;0,R42/N42,"")</f>
        <v/>
      </c>
      <c r="V42" s="34" t="str">
        <f aca="false">IF(E42+F42+G42+H42+I42+J42&gt;0,(E42+F42+G42)/(E42+F42+G42+H42+I42+J42),"")</f>
        <v/>
      </c>
      <c r="W42" s="33" t="n">
        <f aca="false">E42*(P1_PVP-P1_CPROD)+F42*(P2_PVP-P2_CPROD)+G42*(IF($A42&lt;P3_DESDE,P3A_PVP,P3_PVP)-IF($A42&lt;P3_DESDE,P3A_CPROD,P3_CPROD))-IF(ISNUMBER(L42),L42,E42*P1_LOG+F42*P2_LOG+G42*P3_LOG)</f>
        <v>0</v>
      </c>
      <c r="X42" s="33" t="n">
        <f aca="false">W42-(E42*P1_IVAN+F42*P2_IVAN+G42*IF($A42&lt;P3_DESDE,P3A_IVAN,P3_IVAN))-(H42+I42+J42)*(COSTE_DEV-IVA_DEV)-AM42-AO42</f>
        <v>0</v>
      </c>
      <c r="Y42" s="33" t="n">
        <f aca="false">AH42-AI42-AJ42-AK42-AL42-AM42-AO42</f>
        <v>0</v>
      </c>
      <c r="AA42" s="58" t="n">
        <f aca="false">MAX(0,B42-E42-H42)</f>
        <v>0</v>
      </c>
      <c r="AB42" s="58" t="n">
        <f aca="false">MAX(0,C42-F42-I42)</f>
        <v>0</v>
      </c>
      <c r="AC42" s="58" t="n">
        <f aca="false">MAX(0,D42-G42-J42)</f>
        <v>0</v>
      </c>
      <c r="AD42" s="59" t="n">
        <f aca="false">E42+AA42*AQ42</f>
        <v>0</v>
      </c>
      <c r="AE42" s="59" t="n">
        <f aca="false">F42+AB42*AQ42</f>
        <v>0</v>
      </c>
      <c r="AF42" s="59" t="n">
        <f aca="false">G42+AC42*AQ42</f>
        <v>0</v>
      </c>
      <c r="AG42" s="59" t="n">
        <f aca="false">H42+I42+J42+(AA42+AB42+AC42)*(1-AQ42)</f>
        <v>0</v>
      </c>
      <c r="AH42" s="60" t="n">
        <f aca="false">AD42*P1_PVP+AE42*P2_PVP+AF42*IF($A42&lt;P3_DESDE,P3A_PVP,P3_PVP)</f>
        <v>0</v>
      </c>
      <c r="AI42" s="60" t="n">
        <f aca="false">AD42*P1_CPROD+AE42*P2_CPROD+AF42*IF($A42&lt;P3_DESDE,P3A_CPROD,P3_CPROD)</f>
        <v>0</v>
      </c>
      <c r="AJ42" s="60" t="n">
        <f aca="false">IF(ISNUMBER(L42),L42,E42*P1_LOG+F42*P2_LOG+G42*P3_LOG)+IF(ISNUMBER(M42),M42,AA42*P1_LOG+AB42*P2_LOG+AC42*P3_LOG)*AQ42</f>
        <v>0</v>
      </c>
      <c r="AK42" s="60" t="n">
        <f aca="false">AG42*COSTE_DEV</f>
        <v>0</v>
      </c>
      <c r="AL42" s="60" t="n">
        <f aca="false">AD42*P1_IVAN+AE42*P2_IVAN+AF42*IF($A42&lt;P3_DESDE,P3A_IVAN,P3_IVAN)-AG42*IVA_DEV</f>
        <v>0</v>
      </c>
      <c r="AM42" s="60" t="n">
        <f aca="false">N42*(1+RECARGO_ADS)</f>
        <v>0</v>
      </c>
      <c r="AN42" s="58" t="n">
        <f aca="false">IF(ISNUMBER(L42),E42+F42+G42+AA42+AB42+AC42,0)</f>
        <v>0</v>
      </c>
      <c r="AO42" s="60" t="n">
        <f aca="false">P42*COMISION</f>
        <v>0</v>
      </c>
      <c r="AP42" s="58" t="n">
        <f aca="false">MIN(N(K42),Q42)</f>
        <v>0</v>
      </c>
      <c r="AQ42" s="61" t="n">
        <f aca="false">IF(Q42&gt;0,((Q42-AP42)*AT42+AP42*TASA_INC)/Q42,AT42)</f>
        <v>0.659887072235414</v>
      </c>
      <c r="AR42" s="58" t="n">
        <f aca="false">IF($A42&lt;FECHA_EXPORT,NETWORKDAYS($A42+1,FECHA_EXPORT,FESTIVOS),0)</f>
        <v>0</v>
      </c>
      <c r="AS42" s="61" t="n">
        <f aca="false">IF(AR42&gt;=5,1,INDEX(CDF_INC,1,AR42+1))</f>
        <v>0.14</v>
      </c>
      <c r="AT42" s="61" t="n">
        <f aca="false">TASA_USADA+(TASA_INC-TASA_USADA)*Q_INC*(1-AS42)/(1-Q_INC*AS42)</f>
        <v>0.659887072235414</v>
      </c>
    </row>
    <row r="43" customFormat="false" ht="15" hidden="false" customHeight="false" outlineLevel="0" collapsed="false">
      <c r="A43" s="53" t="n">
        <v>46337</v>
      </c>
      <c r="B43" s="54"/>
      <c r="C43" s="54"/>
      <c r="D43" s="54"/>
      <c r="E43" s="54"/>
      <c r="F43" s="54"/>
      <c r="G43" s="54"/>
      <c r="H43" s="54"/>
      <c r="I43" s="54"/>
      <c r="J43" s="54"/>
      <c r="K43" s="54"/>
      <c r="L43" s="55"/>
      <c r="M43" s="55"/>
      <c r="N43" s="55"/>
      <c r="O43" s="56"/>
      <c r="P43" s="31" t="n">
        <f aca="false">B43+C43+D43</f>
        <v>0</v>
      </c>
      <c r="Q43" s="31" t="n">
        <f aca="false">AA43+AB43+AC43</f>
        <v>0</v>
      </c>
      <c r="R43" s="32" t="n">
        <f aca="false">B43*P1_PVP+C43*P2_PVP+D43*IF($A43&lt;P3_DESDE,P3A_PVP,P3_PVP)</f>
        <v>0</v>
      </c>
      <c r="S43" s="32" t="str">
        <f aca="false">IF(P43&gt;0,R43/P43,"")</f>
        <v/>
      </c>
      <c r="T43" s="32" t="str">
        <f aca="false">IF(P43&gt;0,N43/P43,"")</f>
        <v/>
      </c>
      <c r="U43" s="57" t="str">
        <f aca="false">IF(N43&gt;0,R43/N43,"")</f>
        <v/>
      </c>
      <c r="V43" s="34" t="str">
        <f aca="false">IF(E43+F43+G43+H43+I43+J43&gt;0,(E43+F43+G43)/(E43+F43+G43+H43+I43+J43),"")</f>
        <v/>
      </c>
      <c r="W43" s="33" t="n">
        <f aca="false">E43*(P1_PVP-P1_CPROD)+F43*(P2_PVP-P2_CPROD)+G43*(IF($A43&lt;P3_DESDE,P3A_PVP,P3_PVP)-IF($A43&lt;P3_DESDE,P3A_CPROD,P3_CPROD))-IF(ISNUMBER(L43),L43,E43*P1_LOG+F43*P2_LOG+G43*P3_LOG)</f>
        <v>0</v>
      </c>
      <c r="X43" s="33" t="n">
        <f aca="false">W43-(E43*P1_IVAN+F43*P2_IVAN+G43*IF($A43&lt;P3_DESDE,P3A_IVAN,P3_IVAN))-(H43+I43+J43)*(COSTE_DEV-IVA_DEV)-AM43-AO43</f>
        <v>0</v>
      </c>
      <c r="Y43" s="33" t="n">
        <f aca="false">AH43-AI43-AJ43-AK43-AL43-AM43-AO43</f>
        <v>0</v>
      </c>
      <c r="AA43" s="58" t="n">
        <f aca="false">MAX(0,B43-E43-H43)</f>
        <v>0</v>
      </c>
      <c r="AB43" s="58" t="n">
        <f aca="false">MAX(0,C43-F43-I43)</f>
        <v>0</v>
      </c>
      <c r="AC43" s="58" t="n">
        <f aca="false">MAX(0,D43-G43-J43)</f>
        <v>0</v>
      </c>
      <c r="AD43" s="59" t="n">
        <f aca="false">E43+AA43*AQ43</f>
        <v>0</v>
      </c>
      <c r="AE43" s="59" t="n">
        <f aca="false">F43+AB43*AQ43</f>
        <v>0</v>
      </c>
      <c r="AF43" s="59" t="n">
        <f aca="false">G43+AC43*AQ43</f>
        <v>0</v>
      </c>
      <c r="AG43" s="59" t="n">
        <f aca="false">H43+I43+J43+(AA43+AB43+AC43)*(1-AQ43)</f>
        <v>0</v>
      </c>
      <c r="AH43" s="60" t="n">
        <f aca="false">AD43*P1_PVP+AE43*P2_PVP+AF43*IF($A43&lt;P3_DESDE,P3A_PVP,P3_PVP)</f>
        <v>0</v>
      </c>
      <c r="AI43" s="60" t="n">
        <f aca="false">AD43*P1_CPROD+AE43*P2_CPROD+AF43*IF($A43&lt;P3_DESDE,P3A_CPROD,P3_CPROD)</f>
        <v>0</v>
      </c>
      <c r="AJ43" s="60" t="n">
        <f aca="false">IF(ISNUMBER(L43),L43,E43*P1_LOG+F43*P2_LOG+G43*P3_LOG)+IF(ISNUMBER(M43),M43,AA43*P1_LOG+AB43*P2_LOG+AC43*P3_LOG)*AQ43</f>
        <v>0</v>
      </c>
      <c r="AK43" s="60" t="n">
        <f aca="false">AG43*COSTE_DEV</f>
        <v>0</v>
      </c>
      <c r="AL43" s="60" t="n">
        <f aca="false">AD43*P1_IVAN+AE43*P2_IVAN+AF43*IF($A43&lt;P3_DESDE,P3A_IVAN,P3_IVAN)-AG43*IVA_DEV</f>
        <v>0</v>
      </c>
      <c r="AM43" s="60" t="n">
        <f aca="false">N43*(1+RECARGO_ADS)</f>
        <v>0</v>
      </c>
      <c r="AN43" s="58" t="n">
        <f aca="false">IF(ISNUMBER(L43),E43+F43+G43+AA43+AB43+AC43,0)</f>
        <v>0</v>
      </c>
      <c r="AO43" s="60" t="n">
        <f aca="false">P43*COMISION</f>
        <v>0</v>
      </c>
      <c r="AP43" s="58" t="n">
        <f aca="false">MIN(N(K43),Q43)</f>
        <v>0</v>
      </c>
      <c r="AQ43" s="61" t="n">
        <f aca="false">IF(Q43&gt;0,((Q43-AP43)*AT43+AP43*TASA_INC)/Q43,AT43)</f>
        <v>0.659887072235414</v>
      </c>
      <c r="AR43" s="58" t="n">
        <f aca="false">IF($A43&lt;FECHA_EXPORT,NETWORKDAYS($A43+1,FECHA_EXPORT,FESTIVOS),0)</f>
        <v>0</v>
      </c>
      <c r="AS43" s="61" t="n">
        <f aca="false">IF(AR43&gt;=5,1,INDEX(CDF_INC,1,AR43+1))</f>
        <v>0.14</v>
      </c>
      <c r="AT43" s="61" t="n">
        <f aca="false">TASA_USADA+(TASA_INC-TASA_USADA)*Q_INC*(1-AS43)/(1-Q_INC*AS43)</f>
        <v>0.659887072235414</v>
      </c>
    </row>
    <row r="44" customFormat="false" ht="15" hidden="false" customHeight="false" outlineLevel="0" collapsed="false">
      <c r="A44" s="53" t="n">
        <v>46338</v>
      </c>
      <c r="B44" s="54"/>
      <c r="C44" s="54"/>
      <c r="D44" s="54"/>
      <c r="E44" s="54"/>
      <c r="F44" s="54"/>
      <c r="G44" s="54"/>
      <c r="H44" s="54"/>
      <c r="I44" s="54"/>
      <c r="J44" s="54"/>
      <c r="K44" s="54"/>
      <c r="L44" s="55"/>
      <c r="M44" s="55"/>
      <c r="N44" s="55"/>
      <c r="O44" s="56"/>
      <c r="P44" s="31" t="n">
        <f aca="false">B44+C44+D44</f>
        <v>0</v>
      </c>
      <c r="Q44" s="31" t="n">
        <f aca="false">AA44+AB44+AC44</f>
        <v>0</v>
      </c>
      <c r="R44" s="32" t="n">
        <f aca="false">B44*P1_PVP+C44*P2_PVP+D44*IF($A44&lt;P3_DESDE,P3A_PVP,P3_PVP)</f>
        <v>0</v>
      </c>
      <c r="S44" s="32" t="str">
        <f aca="false">IF(P44&gt;0,R44/P44,"")</f>
        <v/>
      </c>
      <c r="T44" s="32" t="str">
        <f aca="false">IF(P44&gt;0,N44/P44,"")</f>
        <v/>
      </c>
      <c r="U44" s="57" t="str">
        <f aca="false">IF(N44&gt;0,R44/N44,"")</f>
        <v/>
      </c>
      <c r="V44" s="34" t="str">
        <f aca="false">IF(E44+F44+G44+H44+I44+J44&gt;0,(E44+F44+G44)/(E44+F44+G44+H44+I44+J44),"")</f>
        <v/>
      </c>
      <c r="W44" s="33" t="n">
        <f aca="false">E44*(P1_PVP-P1_CPROD)+F44*(P2_PVP-P2_CPROD)+G44*(IF($A44&lt;P3_DESDE,P3A_PVP,P3_PVP)-IF($A44&lt;P3_DESDE,P3A_CPROD,P3_CPROD))-IF(ISNUMBER(L44),L44,E44*P1_LOG+F44*P2_LOG+G44*P3_LOG)</f>
        <v>0</v>
      </c>
      <c r="X44" s="33" t="n">
        <f aca="false">W44-(E44*P1_IVAN+F44*P2_IVAN+G44*IF($A44&lt;P3_DESDE,P3A_IVAN,P3_IVAN))-(H44+I44+J44)*(COSTE_DEV-IVA_DEV)-AM44-AO44</f>
        <v>0</v>
      </c>
      <c r="Y44" s="33" t="n">
        <f aca="false">AH44-AI44-AJ44-AK44-AL44-AM44-AO44</f>
        <v>0</v>
      </c>
      <c r="AA44" s="58" t="n">
        <f aca="false">MAX(0,B44-E44-H44)</f>
        <v>0</v>
      </c>
      <c r="AB44" s="58" t="n">
        <f aca="false">MAX(0,C44-F44-I44)</f>
        <v>0</v>
      </c>
      <c r="AC44" s="58" t="n">
        <f aca="false">MAX(0,D44-G44-J44)</f>
        <v>0</v>
      </c>
      <c r="AD44" s="59" t="n">
        <f aca="false">E44+AA44*AQ44</f>
        <v>0</v>
      </c>
      <c r="AE44" s="59" t="n">
        <f aca="false">F44+AB44*AQ44</f>
        <v>0</v>
      </c>
      <c r="AF44" s="59" t="n">
        <f aca="false">G44+AC44*AQ44</f>
        <v>0</v>
      </c>
      <c r="AG44" s="59" t="n">
        <f aca="false">H44+I44+J44+(AA44+AB44+AC44)*(1-AQ44)</f>
        <v>0</v>
      </c>
      <c r="AH44" s="60" t="n">
        <f aca="false">AD44*P1_PVP+AE44*P2_PVP+AF44*IF($A44&lt;P3_DESDE,P3A_PVP,P3_PVP)</f>
        <v>0</v>
      </c>
      <c r="AI44" s="60" t="n">
        <f aca="false">AD44*P1_CPROD+AE44*P2_CPROD+AF44*IF($A44&lt;P3_DESDE,P3A_CPROD,P3_CPROD)</f>
        <v>0</v>
      </c>
      <c r="AJ44" s="60" t="n">
        <f aca="false">IF(ISNUMBER(L44),L44,E44*P1_LOG+F44*P2_LOG+G44*P3_LOG)+IF(ISNUMBER(M44),M44,AA44*P1_LOG+AB44*P2_LOG+AC44*P3_LOG)*AQ44</f>
        <v>0</v>
      </c>
      <c r="AK44" s="60" t="n">
        <f aca="false">AG44*COSTE_DEV</f>
        <v>0</v>
      </c>
      <c r="AL44" s="60" t="n">
        <f aca="false">AD44*P1_IVAN+AE44*P2_IVAN+AF44*IF($A44&lt;P3_DESDE,P3A_IVAN,P3_IVAN)-AG44*IVA_DEV</f>
        <v>0</v>
      </c>
      <c r="AM44" s="60" t="n">
        <f aca="false">N44*(1+RECARGO_ADS)</f>
        <v>0</v>
      </c>
      <c r="AN44" s="58" t="n">
        <f aca="false">IF(ISNUMBER(L44),E44+F44+G44+AA44+AB44+AC44,0)</f>
        <v>0</v>
      </c>
      <c r="AO44" s="60" t="n">
        <f aca="false">P44*COMISION</f>
        <v>0</v>
      </c>
      <c r="AP44" s="58" t="n">
        <f aca="false">MIN(N(K44),Q44)</f>
        <v>0</v>
      </c>
      <c r="AQ44" s="61" t="n">
        <f aca="false">IF(Q44&gt;0,((Q44-AP44)*AT44+AP44*TASA_INC)/Q44,AT44)</f>
        <v>0.659887072235414</v>
      </c>
      <c r="AR44" s="58" t="n">
        <f aca="false">IF($A44&lt;FECHA_EXPORT,NETWORKDAYS($A44+1,FECHA_EXPORT,FESTIVOS),0)</f>
        <v>0</v>
      </c>
      <c r="AS44" s="61" t="n">
        <f aca="false">IF(AR44&gt;=5,1,INDEX(CDF_INC,1,AR44+1))</f>
        <v>0.14</v>
      </c>
      <c r="AT44" s="61" t="n">
        <f aca="false">TASA_USADA+(TASA_INC-TASA_USADA)*Q_INC*(1-AS44)/(1-Q_INC*AS44)</f>
        <v>0.659887072235414</v>
      </c>
    </row>
    <row r="45" customFormat="false" ht="15" hidden="false" customHeight="false" outlineLevel="0" collapsed="false">
      <c r="A45" s="53" t="n">
        <v>46339</v>
      </c>
      <c r="B45" s="54"/>
      <c r="C45" s="54"/>
      <c r="D45" s="54"/>
      <c r="E45" s="54"/>
      <c r="F45" s="54"/>
      <c r="G45" s="54"/>
      <c r="H45" s="54"/>
      <c r="I45" s="54"/>
      <c r="J45" s="54"/>
      <c r="K45" s="54"/>
      <c r="L45" s="55"/>
      <c r="M45" s="55"/>
      <c r="N45" s="55"/>
      <c r="O45" s="56"/>
      <c r="P45" s="31" t="n">
        <f aca="false">B45+C45+D45</f>
        <v>0</v>
      </c>
      <c r="Q45" s="31" t="n">
        <f aca="false">AA45+AB45+AC45</f>
        <v>0</v>
      </c>
      <c r="R45" s="32" t="n">
        <f aca="false">B45*P1_PVP+C45*P2_PVP+D45*IF($A45&lt;P3_DESDE,P3A_PVP,P3_PVP)</f>
        <v>0</v>
      </c>
      <c r="S45" s="32" t="str">
        <f aca="false">IF(P45&gt;0,R45/P45,"")</f>
        <v/>
      </c>
      <c r="T45" s="32" t="str">
        <f aca="false">IF(P45&gt;0,N45/P45,"")</f>
        <v/>
      </c>
      <c r="U45" s="57" t="str">
        <f aca="false">IF(N45&gt;0,R45/N45,"")</f>
        <v/>
      </c>
      <c r="V45" s="34" t="str">
        <f aca="false">IF(E45+F45+G45+H45+I45+J45&gt;0,(E45+F45+G45)/(E45+F45+G45+H45+I45+J45),"")</f>
        <v/>
      </c>
      <c r="W45" s="33" t="n">
        <f aca="false">E45*(P1_PVP-P1_CPROD)+F45*(P2_PVP-P2_CPROD)+G45*(IF($A45&lt;P3_DESDE,P3A_PVP,P3_PVP)-IF($A45&lt;P3_DESDE,P3A_CPROD,P3_CPROD))-IF(ISNUMBER(L45),L45,E45*P1_LOG+F45*P2_LOG+G45*P3_LOG)</f>
        <v>0</v>
      </c>
      <c r="X45" s="33" t="n">
        <f aca="false">W45-(E45*P1_IVAN+F45*P2_IVAN+G45*IF($A45&lt;P3_DESDE,P3A_IVAN,P3_IVAN))-(H45+I45+J45)*(COSTE_DEV-IVA_DEV)-AM45-AO45</f>
        <v>0</v>
      </c>
      <c r="Y45" s="33" t="n">
        <f aca="false">AH45-AI45-AJ45-AK45-AL45-AM45-AO45</f>
        <v>0</v>
      </c>
      <c r="AA45" s="58" t="n">
        <f aca="false">MAX(0,B45-E45-H45)</f>
        <v>0</v>
      </c>
      <c r="AB45" s="58" t="n">
        <f aca="false">MAX(0,C45-F45-I45)</f>
        <v>0</v>
      </c>
      <c r="AC45" s="58" t="n">
        <f aca="false">MAX(0,D45-G45-J45)</f>
        <v>0</v>
      </c>
      <c r="AD45" s="59" t="n">
        <f aca="false">E45+AA45*AQ45</f>
        <v>0</v>
      </c>
      <c r="AE45" s="59" t="n">
        <f aca="false">F45+AB45*AQ45</f>
        <v>0</v>
      </c>
      <c r="AF45" s="59" t="n">
        <f aca="false">G45+AC45*AQ45</f>
        <v>0</v>
      </c>
      <c r="AG45" s="59" t="n">
        <f aca="false">H45+I45+J45+(AA45+AB45+AC45)*(1-AQ45)</f>
        <v>0</v>
      </c>
      <c r="AH45" s="60" t="n">
        <f aca="false">AD45*P1_PVP+AE45*P2_PVP+AF45*IF($A45&lt;P3_DESDE,P3A_PVP,P3_PVP)</f>
        <v>0</v>
      </c>
      <c r="AI45" s="60" t="n">
        <f aca="false">AD45*P1_CPROD+AE45*P2_CPROD+AF45*IF($A45&lt;P3_DESDE,P3A_CPROD,P3_CPROD)</f>
        <v>0</v>
      </c>
      <c r="AJ45" s="60" t="n">
        <f aca="false">IF(ISNUMBER(L45),L45,E45*P1_LOG+F45*P2_LOG+G45*P3_LOG)+IF(ISNUMBER(M45),M45,AA45*P1_LOG+AB45*P2_LOG+AC45*P3_LOG)*AQ45</f>
        <v>0</v>
      </c>
      <c r="AK45" s="60" t="n">
        <f aca="false">AG45*COSTE_DEV</f>
        <v>0</v>
      </c>
      <c r="AL45" s="60" t="n">
        <f aca="false">AD45*P1_IVAN+AE45*P2_IVAN+AF45*IF($A45&lt;P3_DESDE,P3A_IVAN,P3_IVAN)-AG45*IVA_DEV</f>
        <v>0</v>
      </c>
      <c r="AM45" s="60" t="n">
        <f aca="false">N45*(1+RECARGO_ADS)</f>
        <v>0</v>
      </c>
      <c r="AN45" s="58" t="n">
        <f aca="false">IF(ISNUMBER(L45),E45+F45+G45+AA45+AB45+AC45,0)</f>
        <v>0</v>
      </c>
      <c r="AO45" s="60" t="n">
        <f aca="false">P45*COMISION</f>
        <v>0</v>
      </c>
      <c r="AP45" s="58" t="n">
        <f aca="false">MIN(N(K45),Q45)</f>
        <v>0</v>
      </c>
      <c r="AQ45" s="61" t="n">
        <f aca="false">IF(Q45&gt;0,((Q45-AP45)*AT45+AP45*TASA_INC)/Q45,AT45)</f>
        <v>0.659887072235414</v>
      </c>
      <c r="AR45" s="58" t="n">
        <f aca="false">IF($A45&lt;FECHA_EXPORT,NETWORKDAYS($A45+1,FECHA_EXPORT,FESTIVOS),0)</f>
        <v>0</v>
      </c>
      <c r="AS45" s="61" t="n">
        <f aca="false">IF(AR45&gt;=5,1,INDEX(CDF_INC,1,AR45+1))</f>
        <v>0.14</v>
      </c>
      <c r="AT45" s="61" t="n">
        <f aca="false">TASA_USADA+(TASA_INC-TASA_USADA)*Q_INC*(1-AS45)/(1-Q_INC*AS45)</f>
        <v>0.659887072235414</v>
      </c>
    </row>
    <row r="46" customFormat="false" ht="15" hidden="false" customHeight="false" outlineLevel="0" collapsed="false">
      <c r="A46" s="53" t="n">
        <v>46340</v>
      </c>
      <c r="B46" s="54"/>
      <c r="C46" s="54"/>
      <c r="D46" s="54"/>
      <c r="E46" s="54"/>
      <c r="F46" s="54"/>
      <c r="G46" s="54"/>
      <c r="H46" s="54"/>
      <c r="I46" s="54"/>
      <c r="J46" s="54"/>
      <c r="K46" s="54"/>
      <c r="L46" s="55"/>
      <c r="M46" s="55"/>
      <c r="N46" s="55"/>
      <c r="O46" s="56"/>
      <c r="P46" s="31" t="n">
        <f aca="false">B46+C46+D46</f>
        <v>0</v>
      </c>
      <c r="Q46" s="31" t="n">
        <f aca="false">AA46+AB46+AC46</f>
        <v>0</v>
      </c>
      <c r="R46" s="32" t="n">
        <f aca="false">B46*P1_PVP+C46*P2_PVP+D46*IF($A46&lt;P3_DESDE,P3A_PVP,P3_PVP)</f>
        <v>0</v>
      </c>
      <c r="S46" s="32" t="str">
        <f aca="false">IF(P46&gt;0,R46/P46,"")</f>
        <v/>
      </c>
      <c r="T46" s="32" t="str">
        <f aca="false">IF(P46&gt;0,N46/P46,"")</f>
        <v/>
      </c>
      <c r="U46" s="57" t="str">
        <f aca="false">IF(N46&gt;0,R46/N46,"")</f>
        <v/>
      </c>
      <c r="V46" s="34" t="str">
        <f aca="false">IF(E46+F46+G46+H46+I46+J46&gt;0,(E46+F46+G46)/(E46+F46+G46+H46+I46+J46),"")</f>
        <v/>
      </c>
      <c r="W46" s="33" t="n">
        <f aca="false">E46*(P1_PVP-P1_CPROD)+F46*(P2_PVP-P2_CPROD)+G46*(IF($A46&lt;P3_DESDE,P3A_PVP,P3_PVP)-IF($A46&lt;P3_DESDE,P3A_CPROD,P3_CPROD))-IF(ISNUMBER(L46),L46,E46*P1_LOG+F46*P2_LOG+G46*P3_LOG)</f>
        <v>0</v>
      </c>
      <c r="X46" s="33" t="n">
        <f aca="false">W46-(E46*P1_IVAN+F46*P2_IVAN+G46*IF($A46&lt;P3_DESDE,P3A_IVAN,P3_IVAN))-(H46+I46+J46)*(COSTE_DEV-IVA_DEV)-AM46-AO46</f>
        <v>0</v>
      </c>
      <c r="Y46" s="33" t="n">
        <f aca="false">AH46-AI46-AJ46-AK46-AL46-AM46-AO46</f>
        <v>0</v>
      </c>
      <c r="AA46" s="58" t="n">
        <f aca="false">MAX(0,B46-E46-H46)</f>
        <v>0</v>
      </c>
      <c r="AB46" s="58" t="n">
        <f aca="false">MAX(0,C46-F46-I46)</f>
        <v>0</v>
      </c>
      <c r="AC46" s="58" t="n">
        <f aca="false">MAX(0,D46-G46-J46)</f>
        <v>0</v>
      </c>
      <c r="AD46" s="59" t="n">
        <f aca="false">E46+AA46*AQ46</f>
        <v>0</v>
      </c>
      <c r="AE46" s="59" t="n">
        <f aca="false">F46+AB46*AQ46</f>
        <v>0</v>
      </c>
      <c r="AF46" s="59" t="n">
        <f aca="false">G46+AC46*AQ46</f>
        <v>0</v>
      </c>
      <c r="AG46" s="59" t="n">
        <f aca="false">H46+I46+J46+(AA46+AB46+AC46)*(1-AQ46)</f>
        <v>0</v>
      </c>
      <c r="AH46" s="60" t="n">
        <f aca="false">AD46*P1_PVP+AE46*P2_PVP+AF46*IF($A46&lt;P3_DESDE,P3A_PVP,P3_PVP)</f>
        <v>0</v>
      </c>
      <c r="AI46" s="60" t="n">
        <f aca="false">AD46*P1_CPROD+AE46*P2_CPROD+AF46*IF($A46&lt;P3_DESDE,P3A_CPROD,P3_CPROD)</f>
        <v>0</v>
      </c>
      <c r="AJ46" s="60" t="n">
        <f aca="false">IF(ISNUMBER(L46),L46,E46*P1_LOG+F46*P2_LOG+G46*P3_LOG)+IF(ISNUMBER(M46),M46,AA46*P1_LOG+AB46*P2_LOG+AC46*P3_LOG)*AQ46</f>
        <v>0</v>
      </c>
      <c r="AK46" s="60" t="n">
        <f aca="false">AG46*COSTE_DEV</f>
        <v>0</v>
      </c>
      <c r="AL46" s="60" t="n">
        <f aca="false">AD46*P1_IVAN+AE46*P2_IVAN+AF46*IF($A46&lt;P3_DESDE,P3A_IVAN,P3_IVAN)-AG46*IVA_DEV</f>
        <v>0</v>
      </c>
      <c r="AM46" s="60" t="n">
        <f aca="false">N46*(1+RECARGO_ADS)</f>
        <v>0</v>
      </c>
      <c r="AN46" s="58" t="n">
        <f aca="false">IF(ISNUMBER(L46),E46+F46+G46+AA46+AB46+AC46,0)</f>
        <v>0</v>
      </c>
      <c r="AO46" s="60" t="n">
        <f aca="false">P46*COMISION</f>
        <v>0</v>
      </c>
      <c r="AP46" s="58" t="n">
        <f aca="false">MIN(N(K46),Q46)</f>
        <v>0</v>
      </c>
      <c r="AQ46" s="61" t="n">
        <f aca="false">IF(Q46&gt;0,((Q46-AP46)*AT46+AP46*TASA_INC)/Q46,AT46)</f>
        <v>0.659887072235414</v>
      </c>
      <c r="AR46" s="58" t="n">
        <f aca="false">IF($A46&lt;FECHA_EXPORT,NETWORKDAYS($A46+1,FECHA_EXPORT,FESTIVOS),0)</f>
        <v>0</v>
      </c>
      <c r="AS46" s="61" t="n">
        <f aca="false">IF(AR46&gt;=5,1,INDEX(CDF_INC,1,AR46+1))</f>
        <v>0.14</v>
      </c>
      <c r="AT46" s="61" t="n">
        <f aca="false">TASA_USADA+(TASA_INC-TASA_USADA)*Q_INC*(1-AS46)/(1-Q_INC*AS46)</f>
        <v>0.659887072235414</v>
      </c>
    </row>
    <row r="47" customFormat="false" ht="15" hidden="false" customHeight="false" outlineLevel="0" collapsed="false">
      <c r="A47" s="53" t="n">
        <v>46341</v>
      </c>
      <c r="B47" s="54"/>
      <c r="C47" s="54"/>
      <c r="D47" s="54"/>
      <c r="E47" s="54"/>
      <c r="F47" s="54"/>
      <c r="G47" s="54"/>
      <c r="H47" s="54"/>
      <c r="I47" s="54"/>
      <c r="J47" s="54"/>
      <c r="K47" s="54"/>
      <c r="L47" s="55"/>
      <c r="M47" s="55"/>
      <c r="N47" s="55"/>
      <c r="O47" s="56"/>
      <c r="P47" s="31" t="n">
        <f aca="false">B47+C47+D47</f>
        <v>0</v>
      </c>
      <c r="Q47" s="31" t="n">
        <f aca="false">AA47+AB47+AC47</f>
        <v>0</v>
      </c>
      <c r="R47" s="32" t="n">
        <f aca="false">B47*P1_PVP+C47*P2_PVP+D47*IF($A47&lt;P3_DESDE,P3A_PVP,P3_PVP)</f>
        <v>0</v>
      </c>
      <c r="S47" s="32" t="str">
        <f aca="false">IF(P47&gt;0,R47/P47,"")</f>
        <v/>
      </c>
      <c r="T47" s="32" t="str">
        <f aca="false">IF(P47&gt;0,N47/P47,"")</f>
        <v/>
      </c>
      <c r="U47" s="57" t="str">
        <f aca="false">IF(N47&gt;0,R47/N47,"")</f>
        <v/>
      </c>
      <c r="V47" s="34" t="str">
        <f aca="false">IF(E47+F47+G47+H47+I47+J47&gt;0,(E47+F47+G47)/(E47+F47+G47+H47+I47+J47),"")</f>
        <v/>
      </c>
      <c r="W47" s="33" t="n">
        <f aca="false">E47*(P1_PVP-P1_CPROD)+F47*(P2_PVP-P2_CPROD)+G47*(IF($A47&lt;P3_DESDE,P3A_PVP,P3_PVP)-IF($A47&lt;P3_DESDE,P3A_CPROD,P3_CPROD))-IF(ISNUMBER(L47),L47,E47*P1_LOG+F47*P2_LOG+G47*P3_LOG)</f>
        <v>0</v>
      </c>
      <c r="X47" s="33" t="n">
        <f aca="false">W47-(E47*P1_IVAN+F47*P2_IVAN+G47*IF($A47&lt;P3_DESDE,P3A_IVAN,P3_IVAN))-(H47+I47+J47)*(COSTE_DEV-IVA_DEV)-AM47-AO47</f>
        <v>0</v>
      </c>
      <c r="Y47" s="33" t="n">
        <f aca="false">AH47-AI47-AJ47-AK47-AL47-AM47-AO47</f>
        <v>0</v>
      </c>
      <c r="AA47" s="58" t="n">
        <f aca="false">MAX(0,B47-E47-H47)</f>
        <v>0</v>
      </c>
      <c r="AB47" s="58" t="n">
        <f aca="false">MAX(0,C47-F47-I47)</f>
        <v>0</v>
      </c>
      <c r="AC47" s="58" t="n">
        <f aca="false">MAX(0,D47-G47-J47)</f>
        <v>0</v>
      </c>
      <c r="AD47" s="59" t="n">
        <f aca="false">E47+AA47*AQ47</f>
        <v>0</v>
      </c>
      <c r="AE47" s="59" t="n">
        <f aca="false">F47+AB47*AQ47</f>
        <v>0</v>
      </c>
      <c r="AF47" s="59" t="n">
        <f aca="false">G47+AC47*AQ47</f>
        <v>0</v>
      </c>
      <c r="AG47" s="59" t="n">
        <f aca="false">H47+I47+J47+(AA47+AB47+AC47)*(1-AQ47)</f>
        <v>0</v>
      </c>
      <c r="AH47" s="60" t="n">
        <f aca="false">AD47*P1_PVP+AE47*P2_PVP+AF47*IF($A47&lt;P3_DESDE,P3A_PVP,P3_PVP)</f>
        <v>0</v>
      </c>
      <c r="AI47" s="60" t="n">
        <f aca="false">AD47*P1_CPROD+AE47*P2_CPROD+AF47*IF($A47&lt;P3_DESDE,P3A_CPROD,P3_CPROD)</f>
        <v>0</v>
      </c>
      <c r="AJ47" s="60" t="n">
        <f aca="false">IF(ISNUMBER(L47),L47,E47*P1_LOG+F47*P2_LOG+G47*P3_LOG)+IF(ISNUMBER(M47),M47,AA47*P1_LOG+AB47*P2_LOG+AC47*P3_LOG)*AQ47</f>
        <v>0</v>
      </c>
      <c r="AK47" s="60" t="n">
        <f aca="false">AG47*COSTE_DEV</f>
        <v>0</v>
      </c>
      <c r="AL47" s="60" t="n">
        <f aca="false">AD47*P1_IVAN+AE47*P2_IVAN+AF47*IF($A47&lt;P3_DESDE,P3A_IVAN,P3_IVAN)-AG47*IVA_DEV</f>
        <v>0</v>
      </c>
      <c r="AM47" s="60" t="n">
        <f aca="false">N47*(1+RECARGO_ADS)</f>
        <v>0</v>
      </c>
      <c r="AN47" s="58" t="n">
        <f aca="false">IF(ISNUMBER(L47),E47+F47+G47+AA47+AB47+AC47,0)</f>
        <v>0</v>
      </c>
      <c r="AO47" s="60" t="n">
        <f aca="false">P47*COMISION</f>
        <v>0</v>
      </c>
      <c r="AP47" s="58" t="n">
        <f aca="false">MIN(N(K47),Q47)</f>
        <v>0</v>
      </c>
      <c r="AQ47" s="61" t="n">
        <f aca="false">IF(Q47&gt;0,((Q47-AP47)*AT47+AP47*TASA_INC)/Q47,AT47)</f>
        <v>0.659887072235414</v>
      </c>
      <c r="AR47" s="58" t="n">
        <f aca="false">IF($A47&lt;FECHA_EXPORT,NETWORKDAYS($A47+1,FECHA_EXPORT,FESTIVOS),0)</f>
        <v>0</v>
      </c>
      <c r="AS47" s="61" t="n">
        <f aca="false">IF(AR47&gt;=5,1,INDEX(CDF_INC,1,AR47+1))</f>
        <v>0.14</v>
      </c>
      <c r="AT47" s="61" t="n">
        <f aca="false">TASA_USADA+(TASA_INC-TASA_USADA)*Q_INC*(1-AS47)/(1-Q_INC*AS47)</f>
        <v>0.659887072235414</v>
      </c>
    </row>
    <row r="48" customFormat="false" ht="15" hidden="false" customHeight="false" outlineLevel="0" collapsed="false">
      <c r="A48" s="53" t="n">
        <v>46342</v>
      </c>
      <c r="B48" s="54"/>
      <c r="C48" s="54"/>
      <c r="D48" s="54"/>
      <c r="E48" s="54"/>
      <c r="F48" s="54"/>
      <c r="G48" s="54"/>
      <c r="H48" s="54"/>
      <c r="I48" s="54"/>
      <c r="J48" s="54"/>
      <c r="K48" s="54"/>
      <c r="L48" s="55"/>
      <c r="M48" s="55"/>
      <c r="N48" s="55"/>
      <c r="O48" s="56"/>
      <c r="P48" s="31" t="n">
        <f aca="false">B48+C48+D48</f>
        <v>0</v>
      </c>
      <c r="Q48" s="31" t="n">
        <f aca="false">AA48+AB48+AC48</f>
        <v>0</v>
      </c>
      <c r="R48" s="32" t="n">
        <f aca="false">B48*P1_PVP+C48*P2_PVP+D48*IF($A48&lt;P3_DESDE,P3A_PVP,P3_PVP)</f>
        <v>0</v>
      </c>
      <c r="S48" s="32" t="str">
        <f aca="false">IF(P48&gt;0,R48/P48,"")</f>
        <v/>
      </c>
      <c r="T48" s="32" t="str">
        <f aca="false">IF(P48&gt;0,N48/P48,"")</f>
        <v/>
      </c>
      <c r="U48" s="57" t="str">
        <f aca="false">IF(N48&gt;0,R48/N48,"")</f>
        <v/>
      </c>
      <c r="V48" s="34" t="str">
        <f aca="false">IF(E48+F48+G48+H48+I48+J48&gt;0,(E48+F48+G48)/(E48+F48+G48+H48+I48+J48),"")</f>
        <v/>
      </c>
      <c r="W48" s="33" t="n">
        <f aca="false">E48*(P1_PVP-P1_CPROD)+F48*(P2_PVP-P2_CPROD)+G48*(IF($A48&lt;P3_DESDE,P3A_PVP,P3_PVP)-IF($A48&lt;P3_DESDE,P3A_CPROD,P3_CPROD))-IF(ISNUMBER(L48),L48,E48*P1_LOG+F48*P2_LOG+G48*P3_LOG)</f>
        <v>0</v>
      </c>
      <c r="X48" s="33" t="n">
        <f aca="false">W48-(E48*P1_IVAN+F48*P2_IVAN+G48*IF($A48&lt;P3_DESDE,P3A_IVAN,P3_IVAN))-(H48+I48+J48)*(COSTE_DEV-IVA_DEV)-AM48-AO48</f>
        <v>0</v>
      </c>
      <c r="Y48" s="33" t="n">
        <f aca="false">AH48-AI48-AJ48-AK48-AL48-AM48-AO48</f>
        <v>0</v>
      </c>
      <c r="AA48" s="58" t="n">
        <f aca="false">MAX(0,B48-E48-H48)</f>
        <v>0</v>
      </c>
      <c r="AB48" s="58" t="n">
        <f aca="false">MAX(0,C48-F48-I48)</f>
        <v>0</v>
      </c>
      <c r="AC48" s="58" t="n">
        <f aca="false">MAX(0,D48-G48-J48)</f>
        <v>0</v>
      </c>
      <c r="AD48" s="59" t="n">
        <f aca="false">E48+AA48*AQ48</f>
        <v>0</v>
      </c>
      <c r="AE48" s="59" t="n">
        <f aca="false">F48+AB48*AQ48</f>
        <v>0</v>
      </c>
      <c r="AF48" s="59" t="n">
        <f aca="false">G48+AC48*AQ48</f>
        <v>0</v>
      </c>
      <c r="AG48" s="59" t="n">
        <f aca="false">H48+I48+J48+(AA48+AB48+AC48)*(1-AQ48)</f>
        <v>0</v>
      </c>
      <c r="AH48" s="60" t="n">
        <f aca="false">AD48*P1_PVP+AE48*P2_PVP+AF48*IF($A48&lt;P3_DESDE,P3A_PVP,P3_PVP)</f>
        <v>0</v>
      </c>
      <c r="AI48" s="60" t="n">
        <f aca="false">AD48*P1_CPROD+AE48*P2_CPROD+AF48*IF($A48&lt;P3_DESDE,P3A_CPROD,P3_CPROD)</f>
        <v>0</v>
      </c>
      <c r="AJ48" s="60" t="n">
        <f aca="false">IF(ISNUMBER(L48),L48,E48*P1_LOG+F48*P2_LOG+G48*P3_LOG)+IF(ISNUMBER(M48),M48,AA48*P1_LOG+AB48*P2_LOG+AC48*P3_LOG)*AQ48</f>
        <v>0</v>
      </c>
      <c r="AK48" s="60" t="n">
        <f aca="false">AG48*COSTE_DEV</f>
        <v>0</v>
      </c>
      <c r="AL48" s="60" t="n">
        <f aca="false">AD48*P1_IVAN+AE48*P2_IVAN+AF48*IF($A48&lt;P3_DESDE,P3A_IVAN,P3_IVAN)-AG48*IVA_DEV</f>
        <v>0</v>
      </c>
      <c r="AM48" s="60" t="n">
        <f aca="false">N48*(1+RECARGO_ADS)</f>
        <v>0</v>
      </c>
      <c r="AN48" s="58" t="n">
        <f aca="false">IF(ISNUMBER(L48),E48+F48+G48+AA48+AB48+AC48,0)</f>
        <v>0</v>
      </c>
      <c r="AO48" s="60" t="n">
        <f aca="false">P48*COMISION</f>
        <v>0</v>
      </c>
      <c r="AP48" s="58" t="n">
        <f aca="false">MIN(N(K48),Q48)</f>
        <v>0</v>
      </c>
      <c r="AQ48" s="61" t="n">
        <f aca="false">IF(Q48&gt;0,((Q48-AP48)*AT48+AP48*TASA_INC)/Q48,AT48)</f>
        <v>0.659887072235414</v>
      </c>
      <c r="AR48" s="58" t="n">
        <f aca="false">IF($A48&lt;FECHA_EXPORT,NETWORKDAYS($A48+1,FECHA_EXPORT,FESTIVOS),0)</f>
        <v>0</v>
      </c>
      <c r="AS48" s="61" t="n">
        <f aca="false">IF(AR48&gt;=5,1,INDEX(CDF_INC,1,AR48+1))</f>
        <v>0.14</v>
      </c>
      <c r="AT48" s="61" t="n">
        <f aca="false">TASA_USADA+(TASA_INC-TASA_USADA)*Q_INC*(1-AS48)/(1-Q_INC*AS48)</f>
        <v>0.659887072235414</v>
      </c>
    </row>
    <row r="49" customFormat="false" ht="15" hidden="false" customHeight="false" outlineLevel="0" collapsed="false">
      <c r="A49" s="53" t="n">
        <v>46343</v>
      </c>
      <c r="B49" s="54"/>
      <c r="C49" s="54"/>
      <c r="D49" s="54"/>
      <c r="E49" s="54"/>
      <c r="F49" s="54"/>
      <c r="G49" s="54"/>
      <c r="H49" s="54"/>
      <c r="I49" s="54"/>
      <c r="J49" s="54"/>
      <c r="K49" s="54"/>
      <c r="L49" s="55"/>
      <c r="M49" s="55"/>
      <c r="N49" s="55"/>
      <c r="O49" s="56"/>
      <c r="P49" s="31" t="n">
        <f aca="false">B49+C49+D49</f>
        <v>0</v>
      </c>
      <c r="Q49" s="31" t="n">
        <f aca="false">AA49+AB49+AC49</f>
        <v>0</v>
      </c>
      <c r="R49" s="32" t="n">
        <f aca="false">B49*P1_PVP+C49*P2_PVP+D49*IF($A49&lt;P3_DESDE,P3A_PVP,P3_PVP)</f>
        <v>0</v>
      </c>
      <c r="S49" s="32" t="str">
        <f aca="false">IF(P49&gt;0,R49/P49,"")</f>
        <v/>
      </c>
      <c r="T49" s="32" t="str">
        <f aca="false">IF(P49&gt;0,N49/P49,"")</f>
        <v/>
      </c>
      <c r="U49" s="57" t="str">
        <f aca="false">IF(N49&gt;0,R49/N49,"")</f>
        <v/>
      </c>
      <c r="V49" s="34" t="str">
        <f aca="false">IF(E49+F49+G49+H49+I49+J49&gt;0,(E49+F49+G49)/(E49+F49+G49+H49+I49+J49),"")</f>
        <v/>
      </c>
      <c r="W49" s="33" t="n">
        <f aca="false">E49*(P1_PVP-P1_CPROD)+F49*(P2_PVP-P2_CPROD)+G49*(IF($A49&lt;P3_DESDE,P3A_PVP,P3_PVP)-IF($A49&lt;P3_DESDE,P3A_CPROD,P3_CPROD))-IF(ISNUMBER(L49),L49,E49*P1_LOG+F49*P2_LOG+G49*P3_LOG)</f>
        <v>0</v>
      </c>
      <c r="X49" s="33" t="n">
        <f aca="false">W49-(E49*P1_IVAN+F49*P2_IVAN+G49*IF($A49&lt;P3_DESDE,P3A_IVAN,P3_IVAN))-(H49+I49+J49)*(COSTE_DEV-IVA_DEV)-AM49-AO49</f>
        <v>0</v>
      </c>
      <c r="Y49" s="33" t="n">
        <f aca="false">AH49-AI49-AJ49-AK49-AL49-AM49-AO49</f>
        <v>0</v>
      </c>
      <c r="AA49" s="58" t="n">
        <f aca="false">MAX(0,B49-E49-H49)</f>
        <v>0</v>
      </c>
      <c r="AB49" s="58" t="n">
        <f aca="false">MAX(0,C49-F49-I49)</f>
        <v>0</v>
      </c>
      <c r="AC49" s="58" t="n">
        <f aca="false">MAX(0,D49-G49-J49)</f>
        <v>0</v>
      </c>
      <c r="AD49" s="59" t="n">
        <f aca="false">E49+AA49*AQ49</f>
        <v>0</v>
      </c>
      <c r="AE49" s="59" t="n">
        <f aca="false">F49+AB49*AQ49</f>
        <v>0</v>
      </c>
      <c r="AF49" s="59" t="n">
        <f aca="false">G49+AC49*AQ49</f>
        <v>0</v>
      </c>
      <c r="AG49" s="59" t="n">
        <f aca="false">H49+I49+J49+(AA49+AB49+AC49)*(1-AQ49)</f>
        <v>0</v>
      </c>
      <c r="AH49" s="60" t="n">
        <f aca="false">AD49*P1_PVP+AE49*P2_PVP+AF49*IF($A49&lt;P3_DESDE,P3A_PVP,P3_PVP)</f>
        <v>0</v>
      </c>
      <c r="AI49" s="60" t="n">
        <f aca="false">AD49*P1_CPROD+AE49*P2_CPROD+AF49*IF($A49&lt;P3_DESDE,P3A_CPROD,P3_CPROD)</f>
        <v>0</v>
      </c>
      <c r="AJ49" s="60" t="n">
        <f aca="false">IF(ISNUMBER(L49),L49,E49*P1_LOG+F49*P2_LOG+G49*P3_LOG)+IF(ISNUMBER(M49),M49,AA49*P1_LOG+AB49*P2_LOG+AC49*P3_LOG)*AQ49</f>
        <v>0</v>
      </c>
      <c r="AK49" s="60" t="n">
        <f aca="false">AG49*COSTE_DEV</f>
        <v>0</v>
      </c>
      <c r="AL49" s="60" t="n">
        <f aca="false">AD49*P1_IVAN+AE49*P2_IVAN+AF49*IF($A49&lt;P3_DESDE,P3A_IVAN,P3_IVAN)-AG49*IVA_DEV</f>
        <v>0</v>
      </c>
      <c r="AM49" s="60" t="n">
        <f aca="false">N49*(1+RECARGO_ADS)</f>
        <v>0</v>
      </c>
      <c r="AN49" s="58" t="n">
        <f aca="false">IF(ISNUMBER(L49),E49+F49+G49+AA49+AB49+AC49,0)</f>
        <v>0</v>
      </c>
      <c r="AO49" s="60" t="n">
        <f aca="false">P49*COMISION</f>
        <v>0</v>
      </c>
      <c r="AP49" s="58" t="n">
        <f aca="false">MIN(N(K49),Q49)</f>
        <v>0</v>
      </c>
      <c r="AQ49" s="61" t="n">
        <f aca="false">IF(Q49&gt;0,((Q49-AP49)*AT49+AP49*TASA_INC)/Q49,AT49)</f>
        <v>0.659887072235414</v>
      </c>
      <c r="AR49" s="58" t="n">
        <f aca="false">IF($A49&lt;FECHA_EXPORT,NETWORKDAYS($A49+1,FECHA_EXPORT,FESTIVOS),0)</f>
        <v>0</v>
      </c>
      <c r="AS49" s="61" t="n">
        <f aca="false">IF(AR49&gt;=5,1,INDEX(CDF_INC,1,AR49+1))</f>
        <v>0.14</v>
      </c>
      <c r="AT49" s="61" t="n">
        <f aca="false">TASA_USADA+(TASA_INC-TASA_USADA)*Q_INC*(1-AS49)/(1-Q_INC*AS49)</f>
        <v>0.659887072235414</v>
      </c>
    </row>
    <row r="50" customFormat="false" ht="15" hidden="false" customHeight="false" outlineLevel="0" collapsed="false">
      <c r="A50" s="53" t="n">
        <v>46344</v>
      </c>
      <c r="B50" s="54"/>
      <c r="C50" s="54"/>
      <c r="D50" s="54"/>
      <c r="E50" s="54"/>
      <c r="F50" s="54"/>
      <c r="G50" s="54"/>
      <c r="H50" s="54"/>
      <c r="I50" s="54"/>
      <c r="J50" s="54"/>
      <c r="K50" s="54"/>
      <c r="L50" s="55"/>
      <c r="M50" s="55"/>
      <c r="N50" s="55"/>
      <c r="O50" s="56"/>
      <c r="P50" s="31" t="n">
        <f aca="false">B50+C50+D50</f>
        <v>0</v>
      </c>
      <c r="Q50" s="31" t="n">
        <f aca="false">AA50+AB50+AC50</f>
        <v>0</v>
      </c>
      <c r="R50" s="32" t="n">
        <f aca="false">B50*P1_PVP+C50*P2_PVP+D50*IF($A50&lt;P3_DESDE,P3A_PVP,P3_PVP)</f>
        <v>0</v>
      </c>
      <c r="S50" s="32" t="str">
        <f aca="false">IF(P50&gt;0,R50/P50,"")</f>
        <v/>
      </c>
      <c r="T50" s="32" t="str">
        <f aca="false">IF(P50&gt;0,N50/P50,"")</f>
        <v/>
      </c>
      <c r="U50" s="57" t="str">
        <f aca="false">IF(N50&gt;0,R50/N50,"")</f>
        <v/>
      </c>
      <c r="V50" s="34" t="str">
        <f aca="false">IF(E50+F50+G50+H50+I50+J50&gt;0,(E50+F50+G50)/(E50+F50+G50+H50+I50+J50),"")</f>
        <v/>
      </c>
      <c r="W50" s="33" t="n">
        <f aca="false">E50*(P1_PVP-P1_CPROD)+F50*(P2_PVP-P2_CPROD)+G50*(IF($A50&lt;P3_DESDE,P3A_PVP,P3_PVP)-IF($A50&lt;P3_DESDE,P3A_CPROD,P3_CPROD))-IF(ISNUMBER(L50),L50,E50*P1_LOG+F50*P2_LOG+G50*P3_LOG)</f>
        <v>0</v>
      </c>
      <c r="X50" s="33" t="n">
        <f aca="false">W50-(E50*P1_IVAN+F50*P2_IVAN+G50*IF($A50&lt;P3_DESDE,P3A_IVAN,P3_IVAN))-(H50+I50+J50)*(COSTE_DEV-IVA_DEV)-AM50-AO50</f>
        <v>0</v>
      </c>
      <c r="Y50" s="33" t="n">
        <f aca="false">AH50-AI50-AJ50-AK50-AL50-AM50-AO50</f>
        <v>0</v>
      </c>
      <c r="AA50" s="58" t="n">
        <f aca="false">MAX(0,B50-E50-H50)</f>
        <v>0</v>
      </c>
      <c r="AB50" s="58" t="n">
        <f aca="false">MAX(0,C50-F50-I50)</f>
        <v>0</v>
      </c>
      <c r="AC50" s="58" t="n">
        <f aca="false">MAX(0,D50-G50-J50)</f>
        <v>0</v>
      </c>
      <c r="AD50" s="59" t="n">
        <f aca="false">E50+AA50*AQ50</f>
        <v>0</v>
      </c>
      <c r="AE50" s="59" t="n">
        <f aca="false">F50+AB50*AQ50</f>
        <v>0</v>
      </c>
      <c r="AF50" s="59" t="n">
        <f aca="false">G50+AC50*AQ50</f>
        <v>0</v>
      </c>
      <c r="AG50" s="59" t="n">
        <f aca="false">H50+I50+J50+(AA50+AB50+AC50)*(1-AQ50)</f>
        <v>0</v>
      </c>
      <c r="AH50" s="60" t="n">
        <f aca="false">AD50*P1_PVP+AE50*P2_PVP+AF50*IF($A50&lt;P3_DESDE,P3A_PVP,P3_PVP)</f>
        <v>0</v>
      </c>
      <c r="AI50" s="60" t="n">
        <f aca="false">AD50*P1_CPROD+AE50*P2_CPROD+AF50*IF($A50&lt;P3_DESDE,P3A_CPROD,P3_CPROD)</f>
        <v>0</v>
      </c>
      <c r="AJ50" s="60" t="n">
        <f aca="false">IF(ISNUMBER(L50),L50,E50*P1_LOG+F50*P2_LOG+G50*P3_LOG)+IF(ISNUMBER(M50),M50,AA50*P1_LOG+AB50*P2_LOG+AC50*P3_LOG)*AQ50</f>
        <v>0</v>
      </c>
      <c r="AK50" s="60" t="n">
        <f aca="false">AG50*COSTE_DEV</f>
        <v>0</v>
      </c>
      <c r="AL50" s="60" t="n">
        <f aca="false">AD50*P1_IVAN+AE50*P2_IVAN+AF50*IF($A50&lt;P3_DESDE,P3A_IVAN,P3_IVAN)-AG50*IVA_DEV</f>
        <v>0</v>
      </c>
      <c r="AM50" s="60" t="n">
        <f aca="false">N50*(1+RECARGO_ADS)</f>
        <v>0</v>
      </c>
      <c r="AN50" s="58" t="n">
        <f aca="false">IF(ISNUMBER(L50),E50+F50+G50+AA50+AB50+AC50,0)</f>
        <v>0</v>
      </c>
      <c r="AO50" s="60" t="n">
        <f aca="false">P50*COMISION</f>
        <v>0</v>
      </c>
      <c r="AP50" s="58" t="n">
        <f aca="false">MIN(N(K50),Q50)</f>
        <v>0</v>
      </c>
      <c r="AQ50" s="61" t="n">
        <f aca="false">IF(Q50&gt;0,((Q50-AP50)*AT50+AP50*TASA_INC)/Q50,AT50)</f>
        <v>0.659887072235414</v>
      </c>
      <c r="AR50" s="58" t="n">
        <f aca="false">IF($A50&lt;FECHA_EXPORT,NETWORKDAYS($A50+1,FECHA_EXPORT,FESTIVOS),0)</f>
        <v>0</v>
      </c>
      <c r="AS50" s="61" t="n">
        <f aca="false">IF(AR50&gt;=5,1,INDEX(CDF_INC,1,AR50+1))</f>
        <v>0.14</v>
      </c>
      <c r="AT50" s="61" t="n">
        <f aca="false">TASA_USADA+(TASA_INC-TASA_USADA)*Q_INC*(1-AS50)/(1-Q_INC*AS50)</f>
        <v>0.659887072235414</v>
      </c>
    </row>
    <row r="51" customFormat="false" ht="15" hidden="false" customHeight="false" outlineLevel="0" collapsed="false">
      <c r="A51" s="53" t="n">
        <v>46345</v>
      </c>
      <c r="B51" s="54"/>
      <c r="C51" s="54"/>
      <c r="D51" s="54"/>
      <c r="E51" s="54"/>
      <c r="F51" s="54"/>
      <c r="G51" s="54"/>
      <c r="H51" s="54"/>
      <c r="I51" s="54"/>
      <c r="J51" s="54"/>
      <c r="K51" s="54"/>
      <c r="L51" s="55"/>
      <c r="M51" s="55"/>
      <c r="N51" s="55"/>
      <c r="O51" s="56"/>
      <c r="P51" s="31" t="n">
        <f aca="false">B51+C51+D51</f>
        <v>0</v>
      </c>
      <c r="Q51" s="31" t="n">
        <f aca="false">AA51+AB51+AC51</f>
        <v>0</v>
      </c>
      <c r="R51" s="32" t="n">
        <f aca="false">B51*P1_PVP+C51*P2_PVP+D51*IF($A51&lt;P3_DESDE,P3A_PVP,P3_PVP)</f>
        <v>0</v>
      </c>
      <c r="S51" s="32" t="str">
        <f aca="false">IF(P51&gt;0,R51/P51,"")</f>
        <v/>
      </c>
      <c r="T51" s="32" t="str">
        <f aca="false">IF(P51&gt;0,N51/P51,"")</f>
        <v/>
      </c>
      <c r="U51" s="57" t="str">
        <f aca="false">IF(N51&gt;0,R51/N51,"")</f>
        <v/>
      </c>
      <c r="V51" s="34" t="str">
        <f aca="false">IF(E51+F51+G51+H51+I51+J51&gt;0,(E51+F51+G51)/(E51+F51+G51+H51+I51+J51),"")</f>
        <v/>
      </c>
      <c r="W51" s="33" t="n">
        <f aca="false">E51*(P1_PVP-P1_CPROD)+F51*(P2_PVP-P2_CPROD)+G51*(IF($A51&lt;P3_DESDE,P3A_PVP,P3_PVP)-IF($A51&lt;P3_DESDE,P3A_CPROD,P3_CPROD))-IF(ISNUMBER(L51),L51,E51*P1_LOG+F51*P2_LOG+G51*P3_LOG)</f>
        <v>0</v>
      </c>
      <c r="X51" s="33" t="n">
        <f aca="false">W51-(E51*P1_IVAN+F51*P2_IVAN+G51*IF($A51&lt;P3_DESDE,P3A_IVAN,P3_IVAN))-(H51+I51+J51)*(COSTE_DEV-IVA_DEV)-AM51-AO51</f>
        <v>0</v>
      </c>
      <c r="Y51" s="33" t="n">
        <f aca="false">AH51-AI51-AJ51-AK51-AL51-AM51-AO51</f>
        <v>0</v>
      </c>
      <c r="AA51" s="58" t="n">
        <f aca="false">MAX(0,B51-E51-H51)</f>
        <v>0</v>
      </c>
      <c r="AB51" s="58" t="n">
        <f aca="false">MAX(0,C51-F51-I51)</f>
        <v>0</v>
      </c>
      <c r="AC51" s="58" t="n">
        <f aca="false">MAX(0,D51-G51-J51)</f>
        <v>0</v>
      </c>
      <c r="AD51" s="59" t="n">
        <f aca="false">E51+AA51*AQ51</f>
        <v>0</v>
      </c>
      <c r="AE51" s="59" t="n">
        <f aca="false">F51+AB51*AQ51</f>
        <v>0</v>
      </c>
      <c r="AF51" s="59" t="n">
        <f aca="false">G51+AC51*AQ51</f>
        <v>0</v>
      </c>
      <c r="AG51" s="59" t="n">
        <f aca="false">H51+I51+J51+(AA51+AB51+AC51)*(1-AQ51)</f>
        <v>0</v>
      </c>
      <c r="AH51" s="60" t="n">
        <f aca="false">AD51*P1_PVP+AE51*P2_PVP+AF51*IF($A51&lt;P3_DESDE,P3A_PVP,P3_PVP)</f>
        <v>0</v>
      </c>
      <c r="AI51" s="60" t="n">
        <f aca="false">AD51*P1_CPROD+AE51*P2_CPROD+AF51*IF($A51&lt;P3_DESDE,P3A_CPROD,P3_CPROD)</f>
        <v>0</v>
      </c>
      <c r="AJ51" s="60" t="n">
        <f aca="false">IF(ISNUMBER(L51),L51,E51*P1_LOG+F51*P2_LOG+G51*P3_LOG)+IF(ISNUMBER(M51),M51,AA51*P1_LOG+AB51*P2_LOG+AC51*P3_LOG)*AQ51</f>
        <v>0</v>
      </c>
      <c r="AK51" s="60" t="n">
        <f aca="false">AG51*COSTE_DEV</f>
        <v>0</v>
      </c>
      <c r="AL51" s="60" t="n">
        <f aca="false">AD51*P1_IVAN+AE51*P2_IVAN+AF51*IF($A51&lt;P3_DESDE,P3A_IVAN,P3_IVAN)-AG51*IVA_DEV</f>
        <v>0</v>
      </c>
      <c r="AM51" s="60" t="n">
        <f aca="false">N51*(1+RECARGO_ADS)</f>
        <v>0</v>
      </c>
      <c r="AN51" s="58" t="n">
        <f aca="false">IF(ISNUMBER(L51),E51+F51+G51+AA51+AB51+AC51,0)</f>
        <v>0</v>
      </c>
      <c r="AO51" s="60" t="n">
        <f aca="false">P51*COMISION</f>
        <v>0</v>
      </c>
      <c r="AP51" s="58" t="n">
        <f aca="false">MIN(N(K51),Q51)</f>
        <v>0</v>
      </c>
      <c r="AQ51" s="61" t="n">
        <f aca="false">IF(Q51&gt;0,((Q51-AP51)*AT51+AP51*TASA_INC)/Q51,AT51)</f>
        <v>0.659887072235414</v>
      </c>
      <c r="AR51" s="58" t="n">
        <f aca="false">IF($A51&lt;FECHA_EXPORT,NETWORKDAYS($A51+1,FECHA_EXPORT,FESTIVOS),0)</f>
        <v>0</v>
      </c>
      <c r="AS51" s="61" t="n">
        <f aca="false">IF(AR51&gt;=5,1,INDEX(CDF_INC,1,AR51+1))</f>
        <v>0.14</v>
      </c>
      <c r="AT51" s="61" t="n">
        <f aca="false">TASA_USADA+(TASA_INC-TASA_USADA)*Q_INC*(1-AS51)/(1-Q_INC*AS51)</f>
        <v>0.659887072235414</v>
      </c>
    </row>
    <row r="52" customFormat="false" ht="15" hidden="false" customHeight="false" outlineLevel="0" collapsed="false">
      <c r="A52" s="53" t="n">
        <v>46346</v>
      </c>
      <c r="B52" s="54"/>
      <c r="C52" s="54"/>
      <c r="D52" s="54"/>
      <c r="E52" s="54"/>
      <c r="F52" s="54"/>
      <c r="G52" s="54"/>
      <c r="H52" s="54"/>
      <c r="I52" s="54"/>
      <c r="J52" s="54"/>
      <c r="K52" s="54"/>
      <c r="L52" s="55"/>
      <c r="M52" s="55"/>
      <c r="N52" s="55"/>
      <c r="O52" s="56"/>
      <c r="P52" s="31" t="n">
        <f aca="false">B52+C52+D52</f>
        <v>0</v>
      </c>
      <c r="Q52" s="31" t="n">
        <f aca="false">AA52+AB52+AC52</f>
        <v>0</v>
      </c>
      <c r="R52" s="32" t="n">
        <f aca="false">B52*P1_PVP+C52*P2_PVP+D52*IF($A52&lt;P3_DESDE,P3A_PVP,P3_PVP)</f>
        <v>0</v>
      </c>
      <c r="S52" s="32" t="str">
        <f aca="false">IF(P52&gt;0,R52/P52,"")</f>
        <v/>
      </c>
      <c r="T52" s="32" t="str">
        <f aca="false">IF(P52&gt;0,N52/P52,"")</f>
        <v/>
      </c>
      <c r="U52" s="57" t="str">
        <f aca="false">IF(N52&gt;0,R52/N52,"")</f>
        <v/>
      </c>
      <c r="V52" s="34" t="str">
        <f aca="false">IF(E52+F52+G52+H52+I52+J52&gt;0,(E52+F52+G52)/(E52+F52+G52+H52+I52+J52),"")</f>
        <v/>
      </c>
      <c r="W52" s="33" t="n">
        <f aca="false">E52*(P1_PVP-P1_CPROD)+F52*(P2_PVP-P2_CPROD)+G52*(IF($A52&lt;P3_DESDE,P3A_PVP,P3_PVP)-IF($A52&lt;P3_DESDE,P3A_CPROD,P3_CPROD))-IF(ISNUMBER(L52),L52,E52*P1_LOG+F52*P2_LOG+G52*P3_LOG)</f>
        <v>0</v>
      </c>
      <c r="X52" s="33" t="n">
        <f aca="false">W52-(E52*P1_IVAN+F52*P2_IVAN+G52*IF($A52&lt;P3_DESDE,P3A_IVAN,P3_IVAN))-(H52+I52+J52)*(COSTE_DEV-IVA_DEV)-AM52-AO52</f>
        <v>0</v>
      </c>
      <c r="Y52" s="33" t="n">
        <f aca="false">AH52-AI52-AJ52-AK52-AL52-AM52-AO52</f>
        <v>0</v>
      </c>
      <c r="AA52" s="58" t="n">
        <f aca="false">MAX(0,B52-E52-H52)</f>
        <v>0</v>
      </c>
      <c r="AB52" s="58" t="n">
        <f aca="false">MAX(0,C52-F52-I52)</f>
        <v>0</v>
      </c>
      <c r="AC52" s="58" t="n">
        <f aca="false">MAX(0,D52-G52-J52)</f>
        <v>0</v>
      </c>
      <c r="AD52" s="59" t="n">
        <f aca="false">E52+AA52*AQ52</f>
        <v>0</v>
      </c>
      <c r="AE52" s="59" t="n">
        <f aca="false">F52+AB52*AQ52</f>
        <v>0</v>
      </c>
      <c r="AF52" s="59" t="n">
        <f aca="false">G52+AC52*AQ52</f>
        <v>0</v>
      </c>
      <c r="AG52" s="59" t="n">
        <f aca="false">H52+I52+J52+(AA52+AB52+AC52)*(1-AQ52)</f>
        <v>0</v>
      </c>
      <c r="AH52" s="60" t="n">
        <f aca="false">AD52*P1_PVP+AE52*P2_PVP+AF52*IF($A52&lt;P3_DESDE,P3A_PVP,P3_PVP)</f>
        <v>0</v>
      </c>
      <c r="AI52" s="60" t="n">
        <f aca="false">AD52*P1_CPROD+AE52*P2_CPROD+AF52*IF($A52&lt;P3_DESDE,P3A_CPROD,P3_CPROD)</f>
        <v>0</v>
      </c>
      <c r="AJ52" s="60" t="n">
        <f aca="false">IF(ISNUMBER(L52),L52,E52*P1_LOG+F52*P2_LOG+G52*P3_LOG)+IF(ISNUMBER(M52),M52,AA52*P1_LOG+AB52*P2_LOG+AC52*P3_LOG)*AQ52</f>
        <v>0</v>
      </c>
      <c r="AK52" s="60" t="n">
        <f aca="false">AG52*COSTE_DEV</f>
        <v>0</v>
      </c>
      <c r="AL52" s="60" t="n">
        <f aca="false">AD52*P1_IVAN+AE52*P2_IVAN+AF52*IF($A52&lt;P3_DESDE,P3A_IVAN,P3_IVAN)-AG52*IVA_DEV</f>
        <v>0</v>
      </c>
      <c r="AM52" s="60" t="n">
        <f aca="false">N52*(1+RECARGO_ADS)</f>
        <v>0</v>
      </c>
      <c r="AN52" s="58" t="n">
        <f aca="false">IF(ISNUMBER(L52),E52+F52+G52+AA52+AB52+AC52,0)</f>
        <v>0</v>
      </c>
      <c r="AO52" s="60" t="n">
        <f aca="false">P52*COMISION</f>
        <v>0</v>
      </c>
      <c r="AP52" s="58" t="n">
        <f aca="false">MIN(N(K52),Q52)</f>
        <v>0</v>
      </c>
      <c r="AQ52" s="61" t="n">
        <f aca="false">IF(Q52&gt;0,((Q52-AP52)*AT52+AP52*TASA_INC)/Q52,AT52)</f>
        <v>0.659887072235414</v>
      </c>
      <c r="AR52" s="58" t="n">
        <f aca="false">IF($A52&lt;FECHA_EXPORT,NETWORKDAYS($A52+1,FECHA_EXPORT,FESTIVOS),0)</f>
        <v>0</v>
      </c>
      <c r="AS52" s="61" t="n">
        <f aca="false">IF(AR52&gt;=5,1,INDEX(CDF_INC,1,AR52+1))</f>
        <v>0.14</v>
      </c>
      <c r="AT52" s="61" t="n">
        <f aca="false">TASA_USADA+(TASA_INC-TASA_USADA)*Q_INC*(1-AS52)/(1-Q_INC*AS52)</f>
        <v>0.659887072235414</v>
      </c>
    </row>
    <row r="53" customFormat="false" ht="15" hidden="false" customHeight="false" outlineLevel="0" collapsed="false">
      <c r="A53" s="53" t="n">
        <v>46347</v>
      </c>
      <c r="B53" s="54"/>
      <c r="C53" s="54"/>
      <c r="D53" s="54"/>
      <c r="E53" s="54"/>
      <c r="F53" s="54"/>
      <c r="G53" s="54"/>
      <c r="H53" s="54"/>
      <c r="I53" s="54"/>
      <c r="J53" s="54"/>
      <c r="K53" s="54"/>
      <c r="L53" s="55"/>
      <c r="M53" s="55"/>
      <c r="N53" s="55"/>
      <c r="O53" s="56"/>
      <c r="P53" s="31" t="n">
        <f aca="false">B53+C53+D53</f>
        <v>0</v>
      </c>
      <c r="Q53" s="31" t="n">
        <f aca="false">AA53+AB53+AC53</f>
        <v>0</v>
      </c>
      <c r="R53" s="32" t="n">
        <f aca="false">B53*P1_PVP+C53*P2_PVP+D53*IF($A53&lt;P3_DESDE,P3A_PVP,P3_PVP)</f>
        <v>0</v>
      </c>
      <c r="S53" s="32" t="str">
        <f aca="false">IF(P53&gt;0,R53/P53,"")</f>
        <v/>
      </c>
      <c r="T53" s="32" t="str">
        <f aca="false">IF(P53&gt;0,N53/P53,"")</f>
        <v/>
      </c>
      <c r="U53" s="57" t="str">
        <f aca="false">IF(N53&gt;0,R53/N53,"")</f>
        <v/>
      </c>
      <c r="V53" s="34" t="str">
        <f aca="false">IF(E53+F53+G53+H53+I53+J53&gt;0,(E53+F53+G53)/(E53+F53+G53+H53+I53+J53),"")</f>
        <v/>
      </c>
      <c r="W53" s="33" t="n">
        <f aca="false">E53*(P1_PVP-P1_CPROD)+F53*(P2_PVP-P2_CPROD)+G53*(IF($A53&lt;P3_DESDE,P3A_PVP,P3_PVP)-IF($A53&lt;P3_DESDE,P3A_CPROD,P3_CPROD))-IF(ISNUMBER(L53),L53,E53*P1_LOG+F53*P2_LOG+G53*P3_LOG)</f>
        <v>0</v>
      </c>
      <c r="X53" s="33" t="n">
        <f aca="false">W53-(E53*P1_IVAN+F53*P2_IVAN+G53*IF($A53&lt;P3_DESDE,P3A_IVAN,P3_IVAN))-(H53+I53+J53)*(COSTE_DEV-IVA_DEV)-AM53-AO53</f>
        <v>0</v>
      </c>
      <c r="Y53" s="33" t="n">
        <f aca="false">AH53-AI53-AJ53-AK53-AL53-AM53-AO53</f>
        <v>0</v>
      </c>
      <c r="AA53" s="58" t="n">
        <f aca="false">MAX(0,B53-E53-H53)</f>
        <v>0</v>
      </c>
      <c r="AB53" s="58" t="n">
        <f aca="false">MAX(0,C53-F53-I53)</f>
        <v>0</v>
      </c>
      <c r="AC53" s="58" t="n">
        <f aca="false">MAX(0,D53-G53-J53)</f>
        <v>0</v>
      </c>
      <c r="AD53" s="59" t="n">
        <f aca="false">E53+AA53*AQ53</f>
        <v>0</v>
      </c>
      <c r="AE53" s="59" t="n">
        <f aca="false">F53+AB53*AQ53</f>
        <v>0</v>
      </c>
      <c r="AF53" s="59" t="n">
        <f aca="false">G53+AC53*AQ53</f>
        <v>0</v>
      </c>
      <c r="AG53" s="59" t="n">
        <f aca="false">H53+I53+J53+(AA53+AB53+AC53)*(1-AQ53)</f>
        <v>0</v>
      </c>
      <c r="AH53" s="60" t="n">
        <f aca="false">AD53*P1_PVP+AE53*P2_PVP+AF53*IF($A53&lt;P3_DESDE,P3A_PVP,P3_PVP)</f>
        <v>0</v>
      </c>
      <c r="AI53" s="60" t="n">
        <f aca="false">AD53*P1_CPROD+AE53*P2_CPROD+AF53*IF($A53&lt;P3_DESDE,P3A_CPROD,P3_CPROD)</f>
        <v>0</v>
      </c>
      <c r="AJ53" s="60" t="n">
        <f aca="false">IF(ISNUMBER(L53),L53,E53*P1_LOG+F53*P2_LOG+G53*P3_LOG)+IF(ISNUMBER(M53),M53,AA53*P1_LOG+AB53*P2_LOG+AC53*P3_LOG)*AQ53</f>
        <v>0</v>
      </c>
      <c r="AK53" s="60" t="n">
        <f aca="false">AG53*COSTE_DEV</f>
        <v>0</v>
      </c>
      <c r="AL53" s="60" t="n">
        <f aca="false">AD53*P1_IVAN+AE53*P2_IVAN+AF53*IF($A53&lt;P3_DESDE,P3A_IVAN,P3_IVAN)-AG53*IVA_DEV</f>
        <v>0</v>
      </c>
      <c r="AM53" s="60" t="n">
        <f aca="false">N53*(1+RECARGO_ADS)</f>
        <v>0</v>
      </c>
      <c r="AN53" s="58" t="n">
        <f aca="false">IF(ISNUMBER(L53),E53+F53+G53+AA53+AB53+AC53,0)</f>
        <v>0</v>
      </c>
      <c r="AO53" s="60" t="n">
        <f aca="false">P53*COMISION</f>
        <v>0</v>
      </c>
      <c r="AP53" s="58" t="n">
        <f aca="false">MIN(N(K53),Q53)</f>
        <v>0</v>
      </c>
      <c r="AQ53" s="61" t="n">
        <f aca="false">IF(Q53&gt;0,((Q53-AP53)*AT53+AP53*TASA_INC)/Q53,AT53)</f>
        <v>0.659887072235414</v>
      </c>
      <c r="AR53" s="58" t="n">
        <f aca="false">IF($A53&lt;FECHA_EXPORT,NETWORKDAYS($A53+1,FECHA_EXPORT,FESTIVOS),0)</f>
        <v>0</v>
      </c>
      <c r="AS53" s="61" t="n">
        <f aca="false">IF(AR53&gt;=5,1,INDEX(CDF_INC,1,AR53+1))</f>
        <v>0.14</v>
      </c>
      <c r="AT53" s="61" t="n">
        <f aca="false">TASA_USADA+(TASA_INC-TASA_USADA)*Q_INC*(1-AS53)/(1-Q_INC*AS53)</f>
        <v>0.659887072235414</v>
      </c>
    </row>
    <row r="54" customFormat="false" ht="15" hidden="false" customHeight="false" outlineLevel="0" collapsed="false">
      <c r="A54" s="53" t="n">
        <v>46348</v>
      </c>
      <c r="B54" s="54"/>
      <c r="C54" s="54"/>
      <c r="D54" s="54"/>
      <c r="E54" s="54"/>
      <c r="F54" s="54"/>
      <c r="G54" s="54"/>
      <c r="H54" s="54"/>
      <c r="I54" s="54"/>
      <c r="J54" s="54"/>
      <c r="K54" s="54"/>
      <c r="L54" s="55"/>
      <c r="M54" s="55"/>
      <c r="N54" s="55"/>
      <c r="O54" s="56"/>
      <c r="P54" s="31" t="n">
        <f aca="false">B54+C54+D54</f>
        <v>0</v>
      </c>
      <c r="Q54" s="31" t="n">
        <f aca="false">AA54+AB54+AC54</f>
        <v>0</v>
      </c>
      <c r="R54" s="32" t="n">
        <f aca="false">B54*P1_PVP+C54*P2_PVP+D54*IF($A54&lt;P3_DESDE,P3A_PVP,P3_PVP)</f>
        <v>0</v>
      </c>
      <c r="S54" s="32" t="str">
        <f aca="false">IF(P54&gt;0,R54/P54,"")</f>
        <v/>
      </c>
      <c r="T54" s="32" t="str">
        <f aca="false">IF(P54&gt;0,N54/P54,"")</f>
        <v/>
      </c>
      <c r="U54" s="57" t="str">
        <f aca="false">IF(N54&gt;0,R54/N54,"")</f>
        <v/>
      </c>
      <c r="V54" s="34" t="str">
        <f aca="false">IF(E54+F54+G54+H54+I54+J54&gt;0,(E54+F54+G54)/(E54+F54+G54+H54+I54+J54),"")</f>
        <v/>
      </c>
      <c r="W54" s="33" t="n">
        <f aca="false">E54*(P1_PVP-P1_CPROD)+F54*(P2_PVP-P2_CPROD)+G54*(IF($A54&lt;P3_DESDE,P3A_PVP,P3_PVP)-IF($A54&lt;P3_DESDE,P3A_CPROD,P3_CPROD))-IF(ISNUMBER(L54),L54,E54*P1_LOG+F54*P2_LOG+G54*P3_LOG)</f>
        <v>0</v>
      </c>
      <c r="X54" s="33" t="n">
        <f aca="false">W54-(E54*P1_IVAN+F54*P2_IVAN+G54*IF($A54&lt;P3_DESDE,P3A_IVAN,P3_IVAN))-(H54+I54+J54)*(COSTE_DEV-IVA_DEV)-AM54-AO54</f>
        <v>0</v>
      </c>
      <c r="Y54" s="33" t="n">
        <f aca="false">AH54-AI54-AJ54-AK54-AL54-AM54-AO54</f>
        <v>0</v>
      </c>
      <c r="AA54" s="58" t="n">
        <f aca="false">MAX(0,B54-E54-H54)</f>
        <v>0</v>
      </c>
      <c r="AB54" s="58" t="n">
        <f aca="false">MAX(0,C54-F54-I54)</f>
        <v>0</v>
      </c>
      <c r="AC54" s="58" t="n">
        <f aca="false">MAX(0,D54-G54-J54)</f>
        <v>0</v>
      </c>
      <c r="AD54" s="59" t="n">
        <f aca="false">E54+AA54*AQ54</f>
        <v>0</v>
      </c>
      <c r="AE54" s="59" t="n">
        <f aca="false">F54+AB54*AQ54</f>
        <v>0</v>
      </c>
      <c r="AF54" s="59" t="n">
        <f aca="false">G54+AC54*AQ54</f>
        <v>0</v>
      </c>
      <c r="AG54" s="59" t="n">
        <f aca="false">H54+I54+J54+(AA54+AB54+AC54)*(1-AQ54)</f>
        <v>0</v>
      </c>
      <c r="AH54" s="60" t="n">
        <f aca="false">AD54*P1_PVP+AE54*P2_PVP+AF54*IF($A54&lt;P3_DESDE,P3A_PVP,P3_PVP)</f>
        <v>0</v>
      </c>
      <c r="AI54" s="60" t="n">
        <f aca="false">AD54*P1_CPROD+AE54*P2_CPROD+AF54*IF($A54&lt;P3_DESDE,P3A_CPROD,P3_CPROD)</f>
        <v>0</v>
      </c>
      <c r="AJ54" s="60" t="n">
        <f aca="false">IF(ISNUMBER(L54),L54,E54*P1_LOG+F54*P2_LOG+G54*P3_LOG)+IF(ISNUMBER(M54),M54,AA54*P1_LOG+AB54*P2_LOG+AC54*P3_LOG)*AQ54</f>
        <v>0</v>
      </c>
      <c r="AK54" s="60" t="n">
        <f aca="false">AG54*COSTE_DEV</f>
        <v>0</v>
      </c>
      <c r="AL54" s="60" t="n">
        <f aca="false">AD54*P1_IVAN+AE54*P2_IVAN+AF54*IF($A54&lt;P3_DESDE,P3A_IVAN,P3_IVAN)-AG54*IVA_DEV</f>
        <v>0</v>
      </c>
      <c r="AM54" s="60" t="n">
        <f aca="false">N54*(1+RECARGO_ADS)</f>
        <v>0</v>
      </c>
      <c r="AN54" s="58" t="n">
        <f aca="false">IF(ISNUMBER(L54),E54+F54+G54+AA54+AB54+AC54,0)</f>
        <v>0</v>
      </c>
      <c r="AO54" s="60" t="n">
        <f aca="false">P54*COMISION</f>
        <v>0</v>
      </c>
      <c r="AP54" s="58" t="n">
        <f aca="false">MIN(N(K54),Q54)</f>
        <v>0</v>
      </c>
      <c r="AQ54" s="61" t="n">
        <f aca="false">IF(Q54&gt;0,((Q54-AP54)*AT54+AP54*TASA_INC)/Q54,AT54)</f>
        <v>0.659887072235414</v>
      </c>
      <c r="AR54" s="58" t="n">
        <f aca="false">IF($A54&lt;FECHA_EXPORT,NETWORKDAYS($A54+1,FECHA_EXPORT,FESTIVOS),0)</f>
        <v>0</v>
      </c>
      <c r="AS54" s="61" t="n">
        <f aca="false">IF(AR54&gt;=5,1,INDEX(CDF_INC,1,AR54+1))</f>
        <v>0.14</v>
      </c>
      <c r="AT54" s="61" t="n">
        <f aca="false">TASA_USADA+(TASA_INC-TASA_USADA)*Q_INC*(1-AS54)/(1-Q_INC*AS54)</f>
        <v>0.659887072235414</v>
      </c>
    </row>
    <row r="55" customFormat="false" ht="15" hidden="false" customHeight="false" outlineLevel="0" collapsed="false">
      <c r="A55" s="53" t="n">
        <v>46349</v>
      </c>
      <c r="B55" s="54"/>
      <c r="C55" s="54"/>
      <c r="D55" s="54"/>
      <c r="E55" s="54"/>
      <c r="F55" s="54"/>
      <c r="G55" s="54"/>
      <c r="H55" s="54"/>
      <c r="I55" s="54"/>
      <c r="J55" s="54"/>
      <c r="K55" s="54"/>
      <c r="L55" s="55"/>
      <c r="M55" s="55"/>
      <c r="N55" s="55"/>
      <c r="O55" s="56"/>
      <c r="P55" s="31" t="n">
        <f aca="false">B55+C55+D55</f>
        <v>0</v>
      </c>
      <c r="Q55" s="31" t="n">
        <f aca="false">AA55+AB55+AC55</f>
        <v>0</v>
      </c>
      <c r="R55" s="32" t="n">
        <f aca="false">B55*P1_PVP+C55*P2_PVP+D55*IF($A55&lt;P3_DESDE,P3A_PVP,P3_PVP)</f>
        <v>0</v>
      </c>
      <c r="S55" s="32" t="str">
        <f aca="false">IF(P55&gt;0,R55/P55,"")</f>
        <v/>
      </c>
      <c r="T55" s="32" t="str">
        <f aca="false">IF(P55&gt;0,N55/P55,"")</f>
        <v/>
      </c>
      <c r="U55" s="57" t="str">
        <f aca="false">IF(N55&gt;0,R55/N55,"")</f>
        <v/>
      </c>
      <c r="V55" s="34" t="str">
        <f aca="false">IF(E55+F55+G55+H55+I55+J55&gt;0,(E55+F55+G55)/(E55+F55+G55+H55+I55+J55),"")</f>
        <v/>
      </c>
      <c r="W55" s="33" t="n">
        <f aca="false">E55*(P1_PVP-P1_CPROD)+F55*(P2_PVP-P2_CPROD)+G55*(IF($A55&lt;P3_DESDE,P3A_PVP,P3_PVP)-IF($A55&lt;P3_DESDE,P3A_CPROD,P3_CPROD))-IF(ISNUMBER(L55),L55,E55*P1_LOG+F55*P2_LOG+G55*P3_LOG)</f>
        <v>0</v>
      </c>
      <c r="X55" s="33" t="n">
        <f aca="false">W55-(E55*P1_IVAN+F55*P2_IVAN+G55*IF($A55&lt;P3_DESDE,P3A_IVAN,P3_IVAN))-(H55+I55+J55)*(COSTE_DEV-IVA_DEV)-AM55-AO55</f>
        <v>0</v>
      </c>
      <c r="Y55" s="33" t="n">
        <f aca="false">AH55-AI55-AJ55-AK55-AL55-AM55-AO55</f>
        <v>0</v>
      </c>
      <c r="AA55" s="58" t="n">
        <f aca="false">MAX(0,B55-E55-H55)</f>
        <v>0</v>
      </c>
      <c r="AB55" s="58" t="n">
        <f aca="false">MAX(0,C55-F55-I55)</f>
        <v>0</v>
      </c>
      <c r="AC55" s="58" t="n">
        <f aca="false">MAX(0,D55-G55-J55)</f>
        <v>0</v>
      </c>
      <c r="AD55" s="59" t="n">
        <f aca="false">E55+AA55*AQ55</f>
        <v>0</v>
      </c>
      <c r="AE55" s="59" t="n">
        <f aca="false">F55+AB55*AQ55</f>
        <v>0</v>
      </c>
      <c r="AF55" s="59" t="n">
        <f aca="false">G55+AC55*AQ55</f>
        <v>0</v>
      </c>
      <c r="AG55" s="59" t="n">
        <f aca="false">H55+I55+J55+(AA55+AB55+AC55)*(1-AQ55)</f>
        <v>0</v>
      </c>
      <c r="AH55" s="60" t="n">
        <f aca="false">AD55*P1_PVP+AE55*P2_PVP+AF55*IF($A55&lt;P3_DESDE,P3A_PVP,P3_PVP)</f>
        <v>0</v>
      </c>
      <c r="AI55" s="60" t="n">
        <f aca="false">AD55*P1_CPROD+AE55*P2_CPROD+AF55*IF($A55&lt;P3_DESDE,P3A_CPROD,P3_CPROD)</f>
        <v>0</v>
      </c>
      <c r="AJ55" s="60" t="n">
        <f aca="false">IF(ISNUMBER(L55),L55,E55*P1_LOG+F55*P2_LOG+G55*P3_LOG)+IF(ISNUMBER(M55),M55,AA55*P1_LOG+AB55*P2_LOG+AC55*P3_LOG)*AQ55</f>
        <v>0</v>
      </c>
      <c r="AK55" s="60" t="n">
        <f aca="false">AG55*COSTE_DEV</f>
        <v>0</v>
      </c>
      <c r="AL55" s="60" t="n">
        <f aca="false">AD55*P1_IVAN+AE55*P2_IVAN+AF55*IF($A55&lt;P3_DESDE,P3A_IVAN,P3_IVAN)-AG55*IVA_DEV</f>
        <v>0</v>
      </c>
      <c r="AM55" s="60" t="n">
        <f aca="false">N55*(1+RECARGO_ADS)</f>
        <v>0</v>
      </c>
      <c r="AN55" s="58" t="n">
        <f aca="false">IF(ISNUMBER(L55),E55+F55+G55+AA55+AB55+AC55,0)</f>
        <v>0</v>
      </c>
      <c r="AO55" s="60" t="n">
        <f aca="false">P55*COMISION</f>
        <v>0</v>
      </c>
      <c r="AP55" s="58" t="n">
        <f aca="false">MIN(N(K55),Q55)</f>
        <v>0</v>
      </c>
      <c r="AQ55" s="61" t="n">
        <f aca="false">IF(Q55&gt;0,((Q55-AP55)*AT55+AP55*TASA_INC)/Q55,AT55)</f>
        <v>0.659887072235414</v>
      </c>
      <c r="AR55" s="58" t="n">
        <f aca="false">IF($A55&lt;FECHA_EXPORT,NETWORKDAYS($A55+1,FECHA_EXPORT,FESTIVOS),0)</f>
        <v>0</v>
      </c>
      <c r="AS55" s="61" t="n">
        <f aca="false">IF(AR55&gt;=5,1,INDEX(CDF_INC,1,AR55+1))</f>
        <v>0.14</v>
      </c>
      <c r="AT55" s="61" t="n">
        <f aca="false">TASA_USADA+(TASA_INC-TASA_USADA)*Q_INC*(1-AS55)/(1-Q_INC*AS55)</f>
        <v>0.659887072235414</v>
      </c>
    </row>
    <row r="56" customFormat="false" ht="15" hidden="false" customHeight="false" outlineLevel="0" collapsed="false">
      <c r="A56" s="53" t="n">
        <v>46350</v>
      </c>
      <c r="B56" s="54"/>
      <c r="C56" s="54"/>
      <c r="D56" s="54"/>
      <c r="E56" s="54"/>
      <c r="F56" s="54"/>
      <c r="G56" s="54"/>
      <c r="H56" s="54"/>
      <c r="I56" s="54"/>
      <c r="J56" s="54"/>
      <c r="K56" s="54"/>
      <c r="L56" s="55"/>
      <c r="M56" s="55"/>
      <c r="N56" s="55"/>
      <c r="O56" s="56"/>
      <c r="P56" s="31" t="n">
        <f aca="false">B56+C56+D56</f>
        <v>0</v>
      </c>
      <c r="Q56" s="31" t="n">
        <f aca="false">AA56+AB56+AC56</f>
        <v>0</v>
      </c>
      <c r="R56" s="32" t="n">
        <f aca="false">B56*P1_PVP+C56*P2_PVP+D56*IF($A56&lt;P3_DESDE,P3A_PVP,P3_PVP)</f>
        <v>0</v>
      </c>
      <c r="S56" s="32" t="str">
        <f aca="false">IF(P56&gt;0,R56/P56,"")</f>
        <v/>
      </c>
      <c r="T56" s="32" t="str">
        <f aca="false">IF(P56&gt;0,N56/P56,"")</f>
        <v/>
      </c>
      <c r="U56" s="57" t="str">
        <f aca="false">IF(N56&gt;0,R56/N56,"")</f>
        <v/>
      </c>
      <c r="V56" s="34" t="str">
        <f aca="false">IF(E56+F56+G56+H56+I56+J56&gt;0,(E56+F56+G56)/(E56+F56+G56+H56+I56+J56),"")</f>
        <v/>
      </c>
      <c r="W56" s="33" t="n">
        <f aca="false">E56*(P1_PVP-P1_CPROD)+F56*(P2_PVP-P2_CPROD)+G56*(IF($A56&lt;P3_DESDE,P3A_PVP,P3_PVP)-IF($A56&lt;P3_DESDE,P3A_CPROD,P3_CPROD))-IF(ISNUMBER(L56),L56,E56*P1_LOG+F56*P2_LOG+G56*P3_LOG)</f>
        <v>0</v>
      </c>
      <c r="X56" s="33" t="n">
        <f aca="false">W56-(E56*P1_IVAN+F56*P2_IVAN+G56*IF($A56&lt;P3_DESDE,P3A_IVAN,P3_IVAN))-(H56+I56+J56)*(COSTE_DEV-IVA_DEV)-AM56-AO56</f>
        <v>0</v>
      </c>
      <c r="Y56" s="33" t="n">
        <f aca="false">AH56-AI56-AJ56-AK56-AL56-AM56-AO56</f>
        <v>0</v>
      </c>
      <c r="AA56" s="58" t="n">
        <f aca="false">MAX(0,B56-E56-H56)</f>
        <v>0</v>
      </c>
      <c r="AB56" s="58" t="n">
        <f aca="false">MAX(0,C56-F56-I56)</f>
        <v>0</v>
      </c>
      <c r="AC56" s="58" t="n">
        <f aca="false">MAX(0,D56-G56-J56)</f>
        <v>0</v>
      </c>
      <c r="AD56" s="59" t="n">
        <f aca="false">E56+AA56*AQ56</f>
        <v>0</v>
      </c>
      <c r="AE56" s="59" t="n">
        <f aca="false">F56+AB56*AQ56</f>
        <v>0</v>
      </c>
      <c r="AF56" s="59" t="n">
        <f aca="false">G56+AC56*AQ56</f>
        <v>0</v>
      </c>
      <c r="AG56" s="59" t="n">
        <f aca="false">H56+I56+J56+(AA56+AB56+AC56)*(1-AQ56)</f>
        <v>0</v>
      </c>
      <c r="AH56" s="60" t="n">
        <f aca="false">AD56*P1_PVP+AE56*P2_PVP+AF56*IF($A56&lt;P3_DESDE,P3A_PVP,P3_PVP)</f>
        <v>0</v>
      </c>
      <c r="AI56" s="60" t="n">
        <f aca="false">AD56*P1_CPROD+AE56*P2_CPROD+AF56*IF($A56&lt;P3_DESDE,P3A_CPROD,P3_CPROD)</f>
        <v>0</v>
      </c>
      <c r="AJ56" s="60" t="n">
        <f aca="false">IF(ISNUMBER(L56),L56,E56*P1_LOG+F56*P2_LOG+G56*P3_LOG)+IF(ISNUMBER(M56),M56,AA56*P1_LOG+AB56*P2_LOG+AC56*P3_LOG)*AQ56</f>
        <v>0</v>
      </c>
      <c r="AK56" s="60" t="n">
        <f aca="false">AG56*COSTE_DEV</f>
        <v>0</v>
      </c>
      <c r="AL56" s="60" t="n">
        <f aca="false">AD56*P1_IVAN+AE56*P2_IVAN+AF56*IF($A56&lt;P3_DESDE,P3A_IVAN,P3_IVAN)-AG56*IVA_DEV</f>
        <v>0</v>
      </c>
      <c r="AM56" s="60" t="n">
        <f aca="false">N56*(1+RECARGO_ADS)</f>
        <v>0</v>
      </c>
      <c r="AN56" s="58" t="n">
        <f aca="false">IF(ISNUMBER(L56),E56+F56+G56+AA56+AB56+AC56,0)</f>
        <v>0</v>
      </c>
      <c r="AO56" s="60" t="n">
        <f aca="false">P56*COMISION</f>
        <v>0</v>
      </c>
      <c r="AP56" s="58" t="n">
        <f aca="false">MIN(N(K56),Q56)</f>
        <v>0</v>
      </c>
      <c r="AQ56" s="61" t="n">
        <f aca="false">IF(Q56&gt;0,((Q56-AP56)*AT56+AP56*TASA_INC)/Q56,AT56)</f>
        <v>0.659887072235414</v>
      </c>
      <c r="AR56" s="58" t="n">
        <f aca="false">IF($A56&lt;FECHA_EXPORT,NETWORKDAYS($A56+1,FECHA_EXPORT,FESTIVOS),0)</f>
        <v>0</v>
      </c>
      <c r="AS56" s="61" t="n">
        <f aca="false">IF(AR56&gt;=5,1,INDEX(CDF_INC,1,AR56+1))</f>
        <v>0.14</v>
      </c>
      <c r="AT56" s="61" t="n">
        <f aca="false">TASA_USADA+(TASA_INC-TASA_USADA)*Q_INC*(1-AS56)/(1-Q_INC*AS56)</f>
        <v>0.659887072235414</v>
      </c>
    </row>
    <row r="57" customFormat="false" ht="15" hidden="false" customHeight="false" outlineLevel="0" collapsed="false">
      <c r="A57" s="53" t="n">
        <v>46351</v>
      </c>
      <c r="B57" s="54"/>
      <c r="C57" s="54"/>
      <c r="D57" s="54"/>
      <c r="E57" s="54"/>
      <c r="F57" s="54"/>
      <c r="G57" s="54"/>
      <c r="H57" s="54"/>
      <c r="I57" s="54"/>
      <c r="J57" s="54"/>
      <c r="K57" s="54"/>
      <c r="L57" s="55"/>
      <c r="M57" s="55"/>
      <c r="N57" s="55"/>
      <c r="O57" s="56"/>
      <c r="P57" s="31" t="n">
        <f aca="false">B57+C57+D57</f>
        <v>0</v>
      </c>
      <c r="Q57" s="31" t="n">
        <f aca="false">AA57+AB57+AC57</f>
        <v>0</v>
      </c>
      <c r="R57" s="32" t="n">
        <f aca="false">B57*P1_PVP+C57*P2_PVP+D57*IF($A57&lt;P3_DESDE,P3A_PVP,P3_PVP)</f>
        <v>0</v>
      </c>
      <c r="S57" s="32" t="str">
        <f aca="false">IF(P57&gt;0,R57/P57,"")</f>
        <v/>
      </c>
      <c r="T57" s="32" t="str">
        <f aca="false">IF(P57&gt;0,N57/P57,"")</f>
        <v/>
      </c>
      <c r="U57" s="57" t="str">
        <f aca="false">IF(N57&gt;0,R57/N57,"")</f>
        <v/>
      </c>
      <c r="V57" s="34" t="str">
        <f aca="false">IF(E57+F57+G57+H57+I57+J57&gt;0,(E57+F57+G57)/(E57+F57+G57+H57+I57+J57),"")</f>
        <v/>
      </c>
      <c r="W57" s="33" t="n">
        <f aca="false">E57*(P1_PVP-P1_CPROD)+F57*(P2_PVP-P2_CPROD)+G57*(IF($A57&lt;P3_DESDE,P3A_PVP,P3_PVP)-IF($A57&lt;P3_DESDE,P3A_CPROD,P3_CPROD))-IF(ISNUMBER(L57),L57,E57*P1_LOG+F57*P2_LOG+G57*P3_LOG)</f>
        <v>0</v>
      </c>
      <c r="X57" s="33" t="n">
        <f aca="false">W57-(E57*P1_IVAN+F57*P2_IVAN+G57*IF($A57&lt;P3_DESDE,P3A_IVAN,P3_IVAN))-(H57+I57+J57)*(COSTE_DEV-IVA_DEV)-AM57-AO57</f>
        <v>0</v>
      </c>
      <c r="Y57" s="33" t="n">
        <f aca="false">AH57-AI57-AJ57-AK57-AL57-AM57-AO57</f>
        <v>0</v>
      </c>
      <c r="AA57" s="58" t="n">
        <f aca="false">MAX(0,B57-E57-H57)</f>
        <v>0</v>
      </c>
      <c r="AB57" s="58" t="n">
        <f aca="false">MAX(0,C57-F57-I57)</f>
        <v>0</v>
      </c>
      <c r="AC57" s="58" t="n">
        <f aca="false">MAX(0,D57-G57-J57)</f>
        <v>0</v>
      </c>
      <c r="AD57" s="59" t="n">
        <f aca="false">E57+AA57*AQ57</f>
        <v>0</v>
      </c>
      <c r="AE57" s="59" t="n">
        <f aca="false">F57+AB57*AQ57</f>
        <v>0</v>
      </c>
      <c r="AF57" s="59" t="n">
        <f aca="false">G57+AC57*AQ57</f>
        <v>0</v>
      </c>
      <c r="AG57" s="59" t="n">
        <f aca="false">H57+I57+J57+(AA57+AB57+AC57)*(1-AQ57)</f>
        <v>0</v>
      </c>
      <c r="AH57" s="60" t="n">
        <f aca="false">AD57*P1_PVP+AE57*P2_PVP+AF57*IF($A57&lt;P3_DESDE,P3A_PVP,P3_PVP)</f>
        <v>0</v>
      </c>
      <c r="AI57" s="60" t="n">
        <f aca="false">AD57*P1_CPROD+AE57*P2_CPROD+AF57*IF($A57&lt;P3_DESDE,P3A_CPROD,P3_CPROD)</f>
        <v>0</v>
      </c>
      <c r="AJ57" s="60" t="n">
        <f aca="false">IF(ISNUMBER(L57),L57,E57*P1_LOG+F57*P2_LOG+G57*P3_LOG)+IF(ISNUMBER(M57),M57,AA57*P1_LOG+AB57*P2_LOG+AC57*P3_LOG)*AQ57</f>
        <v>0</v>
      </c>
      <c r="AK57" s="60" t="n">
        <f aca="false">AG57*COSTE_DEV</f>
        <v>0</v>
      </c>
      <c r="AL57" s="60" t="n">
        <f aca="false">AD57*P1_IVAN+AE57*P2_IVAN+AF57*IF($A57&lt;P3_DESDE,P3A_IVAN,P3_IVAN)-AG57*IVA_DEV</f>
        <v>0</v>
      </c>
      <c r="AM57" s="60" t="n">
        <f aca="false">N57*(1+RECARGO_ADS)</f>
        <v>0</v>
      </c>
      <c r="AN57" s="58" t="n">
        <f aca="false">IF(ISNUMBER(L57),E57+F57+G57+AA57+AB57+AC57,0)</f>
        <v>0</v>
      </c>
      <c r="AO57" s="60" t="n">
        <f aca="false">P57*COMISION</f>
        <v>0</v>
      </c>
      <c r="AP57" s="58" t="n">
        <f aca="false">MIN(N(K57),Q57)</f>
        <v>0</v>
      </c>
      <c r="AQ57" s="61" t="n">
        <f aca="false">IF(Q57&gt;0,((Q57-AP57)*AT57+AP57*TASA_INC)/Q57,AT57)</f>
        <v>0.659887072235414</v>
      </c>
      <c r="AR57" s="58" t="n">
        <f aca="false">IF($A57&lt;FECHA_EXPORT,NETWORKDAYS($A57+1,FECHA_EXPORT,FESTIVOS),0)</f>
        <v>0</v>
      </c>
      <c r="AS57" s="61" t="n">
        <f aca="false">IF(AR57&gt;=5,1,INDEX(CDF_INC,1,AR57+1))</f>
        <v>0.14</v>
      </c>
      <c r="AT57" s="61" t="n">
        <f aca="false">TASA_USADA+(TASA_INC-TASA_USADA)*Q_INC*(1-AS57)/(1-Q_INC*AS57)</f>
        <v>0.659887072235414</v>
      </c>
    </row>
    <row r="58" customFormat="false" ht="15" hidden="false" customHeight="false" outlineLevel="0" collapsed="false">
      <c r="A58" s="53" t="n">
        <v>46352</v>
      </c>
      <c r="B58" s="54"/>
      <c r="C58" s="54"/>
      <c r="D58" s="54"/>
      <c r="E58" s="54"/>
      <c r="F58" s="54"/>
      <c r="G58" s="54"/>
      <c r="H58" s="54"/>
      <c r="I58" s="54"/>
      <c r="J58" s="54"/>
      <c r="K58" s="54"/>
      <c r="L58" s="55"/>
      <c r="M58" s="55"/>
      <c r="N58" s="55"/>
      <c r="O58" s="56"/>
      <c r="P58" s="31" t="n">
        <f aca="false">B58+C58+D58</f>
        <v>0</v>
      </c>
      <c r="Q58" s="31" t="n">
        <f aca="false">AA58+AB58+AC58</f>
        <v>0</v>
      </c>
      <c r="R58" s="32" t="n">
        <f aca="false">B58*P1_PVP+C58*P2_PVP+D58*IF($A58&lt;P3_DESDE,P3A_PVP,P3_PVP)</f>
        <v>0</v>
      </c>
      <c r="S58" s="32" t="str">
        <f aca="false">IF(P58&gt;0,R58/P58,"")</f>
        <v/>
      </c>
      <c r="T58" s="32" t="str">
        <f aca="false">IF(P58&gt;0,N58/P58,"")</f>
        <v/>
      </c>
      <c r="U58" s="57" t="str">
        <f aca="false">IF(N58&gt;0,R58/N58,"")</f>
        <v/>
      </c>
      <c r="V58" s="34" t="str">
        <f aca="false">IF(E58+F58+G58+H58+I58+J58&gt;0,(E58+F58+G58)/(E58+F58+G58+H58+I58+J58),"")</f>
        <v/>
      </c>
      <c r="W58" s="33" t="n">
        <f aca="false">E58*(P1_PVP-P1_CPROD)+F58*(P2_PVP-P2_CPROD)+G58*(IF($A58&lt;P3_DESDE,P3A_PVP,P3_PVP)-IF($A58&lt;P3_DESDE,P3A_CPROD,P3_CPROD))-IF(ISNUMBER(L58),L58,E58*P1_LOG+F58*P2_LOG+G58*P3_LOG)</f>
        <v>0</v>
      </c>
      <c r="X58" s="33" t="n">
        <f aca="false">W58-(E58*P1_IVAN+F58*P2_IVAN+G58*IF($A58&lt;P3_DESDE,P3A_IVAN,P3_IVAN))-(H58+I58+J58)*(COSTE_DEV-IVA_DEV)-AM58-AO58</f>
        <v>0</v>
      </c>
      <c r="Y58" s="33" t="n">
        <f aca="false">AH58-AI58-AJ58-AK58-AL58-AM58-AO58</f>
        <v>0</v>
      </c>
      <c r="AA58" s="58" t="n">
        <f aca="false">MAX(0,B58-E58-H58)</f>
        <v>0</v>
      </c>
      <c r="AB58" s="58" t="n">
        <f aca="false">MAX(0,C58-F58-I58)</f>
        <v>0</v>
      </c>
      <c r="AC58" s="58" t="n">
        <f aca="false">MAX(0,D58-G58-J58)</f>
        <v>0</v>
      </c>
      <c r="AD58" s="59" t="n">
        <f aca="false">E58+AA58*AQ58</f>
        <v>0</v>
      </c>
      <c r="AE58" s="59" t="n">
        <f aca="false">F58+AB58*AQ58</f>
        <v>0</v>
      </c>
      <c r="AF58" s="59" t="n">
        <f aca="false">G58+AC58*AQ58</f>
        <v>0</v>
      </c>
      <c r="AG58" s="59" t="n">
        <f aca="false">H58+I58+J58+(AA58+AB58+AC58)*(1-AQ58)</f>
        <v>0</v>
      </c>
      <c r="AH58" s="60" t="n">
        <f aca="false">AD58*P1_PVP+AE58*P2_PVP+AF58*IF($A58&lt;P3_DESDE,P3A_PVP,P3_PVP)</f>
        <v>0</v>
      </c>
      <c r="AI58" s="60" t="n">
        <f aca="false">AD58*P1_CPROD+AE58*P2_CPROD+AF58*IF($A58&lt;P3_DESDE,P3A_CPROD,P3_CPROD)</f>
        <v>0</v>
      </c>
      <c r="AJ58" s="60" t="n">
        <f aca="false">IF(ISNUMBER(L58),L58,E58*P1_LOG+F58*P2_LOG+G58*P3_LOG)+IF(ISNUMBER(M58),M58,AA58*P1_LOG+AB58*P2_LOG+AC58*P3_LOG)*AQ58</f>
        <v>0</v>
      </c>
      <c r="AK58" s="60" t="n">
        <f aca="false">AG58*COSTE_DEV</f>
        <v>0</v>
      </c>
      <c r="AL58" s="60" t="n">
        <f aca="false">AD58*P1_IVAN+AE58*P2_IVAN+AF58*IF($A58&lt;P3_DESDE,P3A_IVAN,P3_IVAN)-AG58*IVA_DEV</f>
        <v>0</v>
      </c>
      <c r="AM58" s="60" t="n">
        <f aca="false">N58*(1+RECARGO_ADS)</f>
        <v>0</v>
      </c>
      <c r="AN58" s="58" t="n">
        <f aca="false">IF(ISNUMBER(L58),E58+F58+G58+AA58+AB58+AC58,0)</f>
        <v>0</v>
      </c>
      <c r="AO58" s="60" t="n">
        <f aca="false">P58*COMISION</f>
        <v>0</v>
      </c>
      <c r="AP58" s="58" t="n">
        <f aca="false">MIN(N(K58),Q58)</f>
        <v>0</v>
      </c>
      <c r="AQ58" s="61" t="n">
        <f aca="false">IF(Q58&gt;0,((Q58-AP58)*AT58+AP58*TASA_INC)/Q58,AT58)</f>
        <v>0.659887072235414</v>
      </c>
      <c r="AR58" s="58" t="n">
        <f aca="false">IF($A58&lt;FECHA_EXPORT,NETWORKDAYS($A58+1,FECHA_EXPORT,FESTIVOS),0)</f>
        <v>0</v>
      </c>
      <c r="AS58" s="61" t="n">
        <f aca="false">IF(AR58&gt;=5,1,INDEX(CDF_INC,1,AR58+1))</f>
        <v>0.14</v>
      </c>
      <c r="AT58" s="61" t="n">
        <f aca="false">TASA_USADA+(TASA_INC-TASA_USADA)*Q_INC*(1-AS58)/(1-Q_INC*AS58)</f>
        <v>0.659887072235414</v>
      </c>
    </row>
    <row r="59" customFormat="false" ht="15" hidden="false" customHeight="false" outlineLevel="0" collapsed="false">
      <c r="A59" s="53" t="n">
        <v>46353</v>
      </c>
      <c r="B59" s="54"/>
      <c r="C59" s="54"/>
      <c r="D59" s="54"/>
      <c r="E59" s="54"/>
      <c r="F59" s="54"/>
      <c r="G59" s="54"/>
      <c r="H59" s="54"/>
      <c r="I59" s="54"/>
      <c r="J59" s="54"/>
      <c r="K59" s="54"/>
      <c r="L59" s="55"/>
      <c r="M59" s="55"/>
      <c r="N59" s="55"/>
      <c r="O59" s="56"/>
      <c r="P59" s="31" t="n">
        <f aca="false">B59+C59+D59</f>
        <v>0</v>
      </c>
      <c r="Q59" s="31" t="n">
        <f aca="false">AA59+AB59+AC59</f>
        <v>0</v>
      </c>
      <c r="R59" s="32" t="n">
        <f aca="false">B59*P1_PVP+C59*P2_PVP+D59*IF($A59&lt;P3_DESDE,P3A_PVP,P3_PVP)</f>
        <v>0</v>
      </c>
      <c r="S59" s="32" t="str">
        <f aca="false">IF(P59&gt;0,R59/P59,"")</f>
        <v/>
      </c>
      <c r="T59" s="32" t="str">
        <f aca="false">IF(P59&gt;0,N59/P59,"")</f>
        <v/>
      </c>
      <c r="U59" s="57" t="str">
        <f aca="false">IF(N59&gt;0,R59/N59,"")</f>
        <v/>
      </c>
      <c r="V59" s="34" t="str">
        <f aca="false">IF(E59+F59+G59+H59+I59+J59&gt;0,(E59+F59+G59)/(E59+F59+G59+H59+I59+J59),"")</f>
        <v/>
      </c>
      <c r="W59" s="33" t="n">
        <f aca="false">E59*(P1_PVP-P1_CPROD)+F59*(P2_PVP-P2_CPROD)+G59*(IF($A59&lt;P3_DESDE,P3A_PVP,P3_PVP)-IF($A59&lt;P3_DESDE,P3A_CPROD,P3_CPROD))-IF(ISNUMBER(L59),L59,E59*P1_LOG+F59*P2_LOG+G59*P3_LOG)</f>
        <v>0</v>
      </c>
      <c r="X59" s="33" t="n">
        <f aca="false">W59-(E59*P1_IVAN+F59*P2_IVAN+G59*IF($A59&lt;P3_DESDE,P3A_IVAN,P3_IVAN))-(H59+I59+J59)*(COSTE_DEV-IVA_DEV)-AM59-AO59</f>
        <v>0</v>
      </c>
      <c r="Y59" s="33" t="n">
        <f aca="false">AH59-AI59-AJ59-AK59-AL59-AM59-AO59</f>
        <v>0</v>
      </c>
      <c r="AA59" s="58" t="n">
        <f aca="false">MAX(0,B59-E59-H59)</f>
        <v>0</v>
      </c>
      <c r="AB59" s="58" t="n">
        <f aca="false">MAX(0,C59-F59-I59)</f>
        <v>0</v>
      </c>
      <c r="AC59" s="58" t="n">
        <f aca="false">MAX(0,D59-G59-J59)</f>
        <v>0</v>
      </c>
      <c r="AD59" s="59" t="n">
        <f aca="false">E59+AA59*AQ59</f>
        <v>0</v>
      </c>
      <c r="AE59" s="59" t="n">
        <f aca="false">F59+AB59*AQ59</f>
        <v>0</v>
      </c>
      <c r="AF59" s="59" t="n">
        <f aca="false">G59+AC59*AQ59</f>
        <v>0</v>
      </c>
      <c r="AG59" s="59" t="n">
        <f aca="false">H59+I59+J59+(AA59+AB59+AC59)*(1-AQ59)</f>
        <v>0</v>
      </c>
      <c r="AH59" s="60" t="n">
        <f aca="false">AD59*P1_PVP+AE59*P2_PVP+AF59*IF($A59&lt;P3_DESDE,P3A_PVP,P3_PVP)</f>
        <v>0</v>
      </c>
      <c r="AI59" s="60" t="n">
        <f aca="false">AD59*P1_CPROD+AE59*P2_CPROD+AF59*IF($A59&lt;P3_DESDE,P3A_CPROD,P3_CPROD)</f>
        <v>0</v>
      </c>
      <c r="AJ59" s="60" t="n">
        <f aca="false">IF(ISNUMBER(L59),L59,E59*P1_LOG+F59*P2_LOG+G59*P3_LOG)+IF(ISNUMBER(M59),M59,AA59*P1_LOG+AB59*P2_LOG+AC59*P3_LOG)*AQ59</f>
        <v>0</v>
      </c>
      <c r="AK59" s="60" t="n">
        <f aca="false">AG59*COSTE_DEV</f>
        <v>0</v>
      </c>
      <c r="AL59" s="60" t="n">
        <f aca="false">AD59*P1_IVAN+AE59*P2_IVAN+AF59*IF($A59&lt;P3_DESDE,P3A_IVAN,P3_IVAN)-AG59*IVA_DEV</f>
        <v>0</v>
      </c>
      <c r="AM59" s="60" t="n">
        <f aca="false">N59*(1+RECARGO_ADS)</f>
        <v>0</v>
      </c>
      <c r="AN59" s="58" t="n">
        <f aca="false">IF(ISNUMBER(L59),E59+F59+G59+AA59+AB59+AC59,0)</f>
        <v>0</v>
      </c>
      <c r="AO59" s="60" t="n">
        <f aca="false">P59*COMISION</f>
        <v>0</v>
      </c>
      <c r="AP59" s="58" t="n">
        <f aca="false">MIN(N(K59),Q59)</f>
        <v>0</v>
      </c>
      <c r="AQ59" s="61" t="n">
        <f aca="false">IF(Q59&gt;0,((Q59-AP59)*AT59+AP59*TASA_INC)/Q59,AT59)</f>
        <v>0.659887072235414</v>
      </c>
      <c r="AR59" s="58" t="n">
        <f aca="false">IF($A59&lt;FECHA_EXPORT,NETWORKDAYS($A59+1,FECHA_EXPORT,FESTIVOS),0)</f>
        <v>0</v>
      </c>
      <c r="AS59" s="61" t="n">
        <f aca="false">IF(AR59&gt;=5,1,INDEX(CDF_INC,1,AR59+1))</f>
        <v>0.14</v>
      </c>
      <c r="AT59" s="61" t="n">
        <f aca="false">TASA_USADA+(TASA_INC-TASA_USADA)*Q_INC*(1-AS59)/(1-Q_INC*AS59)</f>
        <v>0.659887072235414</v>
      </c>
    </row>
    <row r="60" customFormat="false" ht="15" hidden="false" customHeight="false" outlineLevel="0" collapsed="false">
      <c r="A60" s="53" t="n">
        <v>46354</v>
      </c>
      <c r="B60" s="54"/>
      <c r="C60" s="54"/>
      <c r="D60" s="54"/>
      <c r="E60" s="54"/>
      <c r="F60" s="54"/>
      <c r="G60" s="54"/>
      <c r="H60" s="54"/>
      <c r="I60" s="54"/>
      <c r="J60" s="54"/>
      <c r="K60" s="54"/>
      <c r="L60" s="55"/>
      <c r="M60" s="55"/>
      <c r="N60" s="55"/>
      <c r="O60" s="56"/>
      <c r="P60" s="31" t="n">
        <f aca="false">B60+C60+D60</f>
        <v>0</v>
      </c>
      <c r="Q60" s="31" t="n">
        <f aca="false">AA60+AB60+AC60</f>
        <v>0</v>
      </c>
      <c r="R60" s="32" t="n">
        <f aca="false">B60*P1_PVP+C60*P2_PVP+D60*IF($A60&lt;P3_DESDE,P3A_PVP,P3_PVP)</f>
        <v>0</v>
      </c>
      <c r="S60" s="32" t="str">
        <f aca="false">IF(P60&gt;0,R60/P60,"")</f>
        <v/>
      </c>
      <c r="T60" s="32" t="str">
        <f aca="false">IF(P60&gt;0,N60/P60,"")</f>
        <v/>
      </c>
      <c r="U60" s="57" t="str">
        <f aca="false">IF(N60&gt;0,R60/N60,"")</f>
        <v/>
      </c>
      <c r="V60" s="34" t="str">
        <f aca="false">IF(E60+F60+G60+H60+I60+J60&gt;0,(E60+F60+G60)/(E60+F60+G60+H60+I60+J60),"")</f>
        <v/>
      </c>
      <c r="W60" s="33" t="n">
        <f aca="false">E60*(P1_PVP-P1_CPROD)+F60*(P2_PVP-P2_CPROD)+G60*(IF($A60&lt;P3_DESDE,P3A_PVP,P3_PVP)-IF($A60&lt;P3_DESDE,P3A_CPROD,P3_CPROD))-IF(ISNUMBER(L60),L60,E60*P1_LOG+F60*P2_LOG+G60*P3_LOG)</f>
        <v>0</v>
      </c>
      <c r="X60" s="33" t="n">
        <f aca="false">W60-(E60*P1_IVAN+F60*P2_IVAN+G60*IF($A60&lt;P3_DESDE,P3A_IVAN,P3_IVAN))-(H60+I60+J60)*(COSTE_DEV-IVA_DEV)-AM60-AO60</f>
        <v>0</v>
      </c>
      <c r="Y60" s="33" t="n">
        <f aca="false">AH60-AI60-AJ60-AK60-AL60-AM60-AO60</f>
        <v>0</v>
      </c>
      <c r="AA60" s="58" t="n">
        <f aca="false">MAX(0,B60-E60-H60)</f>
        <v>0</v>
      </c>
      <c r="AB60" s="58" t="n">
        <f aca="false">MAX(0,C60-F60-I60)</f>
        <v>0</v>
      </c>
      <c r="AC60" s="58" t="n">
        <f aca="false">MAX(0,D60-G60-J60)</f>
        <v>0</v>
      </c>
      <c r="AD60" s="59" t="n">
        <f aca="false">E60+AA60*AQ60</f>
        <v>0</v>
      </c>
      <c r="AE60" s="59" t="n">
        <f aca="false">F60+AB60*AQ60</f>
        <v>0</v>
      </c>
      <c r="AF60" s="59" t="n">
        <f aca="false">G60+AC60*AQ60</f>
        <v>0</v>
      </c>
      <c r="AG60" s="59" t="n">
        <f aca="false">H60+I60+J60+(AA60+AB60+AC60)*(1-AQ60)</f>
        <v>0</v>
      </c>
      <c r="AH60" s="60" t="n">
        <f aca="false">AD60*P1_PVP+AE60*P2_PVP+AF60*IF($A60&lt;P3_DESDE,P3A_PVP,P3_PVP)</f>
        <v>0</v>
      </c>
      <c r="AI60" s="60" t="n">
        <f aca="false">AD60*P1_CPROD+AE60*P2_CPROD+AF60*IF($A60&lt;P3_DESDE,P3A_CPROD,P3_CPROD)</f>
        <v>0</v>
      </c>
      <c r="AJ60" s="60" t="n">
        <f aca="false">IF(ISNUMBER(L60),L60,E60*P1_LOG+F60*P2_LOG+G60*P3_LOG)+IF(ISNUMBER(M60),M60,AA60*P1_LOG+AB60*P2_LOG+AC60*P3_LOG)*AQ60</f>
        <v>0</v>
      </c>
      <c r="AK60" s="60" t="n">
        <f aca="false">AG60*COSTE_DEV</f>
        <v>0</v>
      </c>
      <c r="AL60" s="60" t="n">
        <f aca="false">AD60*P1_IVAN+AE60*P2_IVAN+AF60*IF($A60&lt;P3_DESDE,P3A_IVAN,P3_IVAN)-AG60*IVA_DEV</f>
        <v>0</v>
      </c>
      <c r="AM60" s="60" t="n">
        <f aca="false">N60*(1+RECARGO_ADS)</f>
        <v>0</v>
      </c>
      <c r="AN60" s="58" t="n">
        <f aca="false">IF(ISNUMBER(L60),E60+F60+G60+AA60+AB60+AC60,0)</f>
        <v>0</v>
      </c>
      <c r="AO60" s="60" t="n">
        <f aca="false">P60*COMISION</f>
        <v>0</v>
      </c>
      <c r="AP60" s="58" t="n">
        <f aca="false">MIN(N(K60),Q60)</f>
        <v>0</v>
      </c>
      <c r="AQ60" s="61" t="n">
        <f aca="false">IF(Q60&gt;0,((Q60-AP60)*AT60+AP60*TASA_INC)/Q60,AT60)</f>
        <v>0.659887072235414</v>
      </c>
      <c r="AR60" s="58" t="n">
        <f aca="false">IF($A60&lt;FECHA_EXPORT,NETWORKDAYS($A60+1,FECHA_EXPORT,FESTIVOS),0)</f>
        <v>0</v>
      </c>
      <c r="AS60" s="61" t="n">
        <f aca="false">IF(AR60&gt;=5,1,INDEX(CDF_INC,1,AR60+1))</f>
        <v>0.14</v>
      </c>
      <c r="AT60" s="61" t="n">
        <f aca="false">TASA_USADA+(TASA_INC-TASA_USADA)*Q_INC*(1-AS60)/(1-Q_INC*AS60)</f>
        <v>0.659887072235414</v>
      </c>
    </row>
    <row r="61" customFormat="false" ht="15" hidden="false" customHeight="false" outlineLevel="0" collapsed="false">
      <c r="A61" s="53" t="n">
        <v>46355</v>
      </c>
      <c r="B61" s="54"/>
      <c r="C61" s="54"/>
      <c r="D61" s="54"/>
      <c r="E61" s="54"/>
      <c r="F61" s="54"/>
      <c r="G61" s="54"/>
      <c r="H61" s="54"/>
      <c r="I61" s="54"/>
      <c r="J61" s="54"/>
      <c r="K61" s="54"/>
      <c r="L61" s="55"/>
      <c r="M61" s="55"/>
      <c r="N61" s="55"/>
      <c r="O61" s="56"/>
      <c r="P61" s="31" t="n">
        <f aca="false">B61+C61+D61</f>
        <v>0</v>
      </c>
      <c r="Q61" s="31" t="n">
        <f aca="false">AA61+AB61+AC61</f>
        <v>0</v>
      </c>
      <c r="R61" s="32" t="n">
        <f aca="false">B61*P1_PVP+C61*P2_PVP+D61*IF($A61&lt;P3_DESDE,P3A_PVP,P3_PVP)</f>
        <v>0</v>
      </c>
      <c r="S61" s="32" t="str">
        <f aca="false">IF(P61&gt;0,R61/P61,"")</f>
        <v/>
      </c>
      <c r="T61" s="32" t="str">
        <f aca="false">IF(P61&gt;0,N61/P61,"")</f>
        <v/>
      </c>
      <c r="U61" s="57" t="str">
        <f aca="false">IF(N61&gt;0,R61/N61,"")</f>
        <v/>
      </c>
      <c r="V61" s="34" t="str">
        <f aca="false">IF(E61+F61+G61+H61+I61+J61&gt;0,(E61+F61+G61)/(E61+F61+G61+H61+I61+J61),"")</f>
        <v/>
      </c>
      <c r="W61" s="33" t="n">
        <f aca="false">E61*(P1_PVP-P1_CPROD)+F61*(P2_PVP-P2_CPROD)+G61*(IF($A61&lt;P3_DESDE,P3A_PVP,P3_PVP)-IF($A61&lt;P3_DESDE,P3A_CPROD,P3_CPROD))-IF(ISNUMBER(L61),L61,E61*P1_LOG+F61*P2_LOG+G61*P3_LOG)</f>
        <v>0</v>
      </c>
      <c r="X61" s="33" t="n">
        <f aca="false">W61-(E61*P1_IVAN+F61*P2_IVAN+G61*IF($A61&lt;P3_DESDE,P3A_IVAN,P3_IVAN))-(H61+I61+J61)*(COSTE_DEV-IVA_DEV)-AM61-AO61</f>
        <v>0</v>
      </c>
      <c r="Y61" s="33" t="n">
        <f aca="false">AH61-AI61-AJ61-AK61-AL61-AM61-AO61</f>
        <v>0</v>
      </c>
      <c r="AA61" s="58" t="n">
        <f aca="false">MAX(0,B61-E61-H61)</f>
        <v>0</v>
      </c>
      <c r="AB61" s="58" t="n">
        <f aca="false">MAX(0,C61-F61-I61)</f>
        <v>0</v>
      </c>
      <c r="AC61" s="58" t="n">
        <f aca="false">MAX(0,D61-G61-J61)</f>
        <v>0</v>
      </c>
      <c r="AD61" s="59" t="n">
        <f aca="false">E61+AA61*AQ61</f>
        <v>0</v>
      </c>
      <c r="AE61" s="59" t="n">
        <f aca="false">F61+AB61*AQ61</f>
        <v>0</v>
      </c>
      <c r="AF61" s="59" t="n">
        <f aca="false">G61+AC61*AQ61</f>
        <v>0</v>
      </c>
      <c r="AG61" s="59" t="n">
        <f aca="false">H61+I61+J61+(AA61+AB61+AC61)*(1-AQ61)</f>
        <v>0</v>
      </c>
      <c r="AH61" s="60" t="n">
        <f aca="false">AD61*P1_PVP+AE61*P2_PVP+AF61*IF($A61&lt;P3_DESDE,P3A_PVP,P3_PVP)</f>
        <v>0</v>
      </c>
      <c r="AI61" s="60" t="n">
        <f aca="false">AD61*P1_CPROD+AE61*P2_CPROD+AF61*IF($A61&lt;P3_DESDE,P3A_CPROD,P3_CPROD)</f>
        <v>0</v>
      </c>
      <c r="AJ61" s="60" t="n">
        <f aca="false">IF(ISNUMBER(L61),L61,E61*P1_LOG+F61*P2_LOG+G61*P3_LOG)+IF(ISNUMBER(M61),M61,AA61*P1_LOG+AB61*P2_LOG+AC61*P3_LOG)*AQ61</f>
        <v>0</v>
      </c>
      <c r="AK61" s="60" t="n">
        <f aca="false">AG61*COSTE_DEV</f>
        <v>0</v>
      </c>
      <c r="AL61" s="60" t="n">
        <f aca="false">AD61*P1_IVAN+AE61*P2_IVAN+AF61*IF($A61&lt;P3_DESDE,P3A_IVAN,P3_IVAN)-AG61*IVA_DEV</f>
        <v>0</v>
      </c>
      <c r="AM61" s="60" t="n">
        <f aca="false">N61*(1+RECARGO_ADS)</f>
        <v>0</v>
      </c>
      <c r="AN61" s="58" t="n">
        <f aca="false">IF(ISNUMBER(L61),E61+F61+G61+AA61+AB61+AC61,0)</f>
        <v>0</v>
      </c>
      <c r="AO61" s="60" t="n">
        <f aca="false">P61*COMISION</f>
        <v>0</v>
      </c>
      <c r="AP61" s="58" t="n">
        <f aca="false">MIN(N(K61),Q61)</f>
        <v>0</v>
      </c>
      <c r="AQ61" s="61" t="n">
        <f aca="false">IF(Q61&gt;0,((Q61-AP61)*AT61+AP61*TASA_INC)/Q61,AT61)</f>
        <v>0.659887072235414</v>
      </c>
      <c r="AR61" s="58" t="n">
        <f aca="false">IF($A61&lt;FECHA_EXPORT,NETWORKDAYS($A61+1,FECHA_EXPORT,FESTIVOS),0)</f>
        <v>0</v>
      </c>
      <c r="AS61" s="61" t="n">
        <f aca="false">IF(AR61&gt;=5,1,INDEX(CDF_INC,1,AR61+1))</f>
        <v>0.14</v>
      </c>
      <c r="AT61" s="61" t="n">
        <f aca="false">TASA_USADA+(TASA_INC-TASA_USADA)*Q_INC*(1-AS61)/(1-Q_INC*AS61)</f>
        <v>0.659887072235414</v>
      </c>
    </row>
    <row r="62" customFormat="false" ht="15" hidden="false" customHeight="false" outlineLevel="0" collapsed="false">
      <c r="A62" s="53" t="n">
        <v>46356</v>
      </c>
      <c r="B62" s="54"/>
      <c r="C62" s="54"/>
      <c r="D62" s="54"/>
      <c r="E62" s="54"/>
      <c r="F62" s="54"/>
      <c r="G62" s="54"/>
      <c r="H62" s="54"/>
      <c r="I62" s="54"/>
      <c r="J62" s="54"/>
      <c r="K62" s="54"/>
      <c r="L62" s="55"/>
      <c r="M62" s="55"/>
      <c r="N62" s="55"/>
      <c r="O62" s="56"/>
      <c r="P62" s="31" t="n">
        <f aca="false">B62+C62+D62</f>
        <v>0</v>
      </c>
      <c r="Q62" s="31" t="n">
        <f aca="false">AA62+AB62+AC62</f>
        <v>0</v>
      </c>
      <c r="R62" s="32" t="n">
        <f aca="false">B62*P1_PVP+C62*P2_PVP+D62*IF($A62&lt;P3_DESDE,P3A_PVP,P3_PVP)</f>
        <v>0</v>
      </c>
      <c r="S62" s="32" t="str">
        <f aca="false">IF(P62&gt;0,R62/P62,"")</f>
        <v/>
      </c>
      <c r="T62" s="32" t="str">
        <f aca="false">IF(P62&gt;0,N62/P62,"")</f>
        <v/>
      </c>
      <c r="U62" s="57" t="str">
        <f aca="false">IF(N62&gt;0,R62/N62,"")</f>
        <v/>
      </c>
      <c r="V62" s="34" t="str">
        <f aca="false">IF(E62+F62+G62+H62+I62+J62&gt;0,(E62+F62+G62)/(E62+F62+G62+H62+I62+J62),"")</f>
        <v/>
      </c>
      <c r="W62" s="33" t="n">
        <f aca="false">E62*(P1_PVP-P1_CPROD)+F62*(P2_PVP-P2_CPROD)+G62*(IF($A62&lt;P3_DESDE,P3A_PVP,P3_PVP)-IF($A62&lt;P3_DESDE,P3A_CPROD,P3_CPROD))-IF(ISNUMBER(L62),L62,E62*P1_LOG+F62*P2_LOG+G62*P3_LOG)</f>
        <v>0</v>
      </c>
      <c r="X62" s="33" t="n">
        <f aca="false">W62-(E62*P1_IVAN+F62*P2_IVAN+G62*IF($A62&lt;P3_DESDE,P3A_IVAN,P3_IVAN))-(H62+I62+J62)*(COSTE_DEV-IVA_DEV)-AM62-AO62</f>
        <v>0</v>
      </c>
      <c r="Y62" s="33" t="n">
        <f aca="false">AH62-AI62-AJ62-AK62-AL62-AM62-AO62</f>
        <v>0</v>
      </c>
      <c r="AA62" s="58" t="n">
        <f aca="false">MAX(0,B62-E62-H62)</f>
        <v>0</v>
      </c>
      <c r="AB62" s="58" t="n">
        <f aca="false">MAX(0,C62-F62-I62)</f>
        <v>0</v>
      </c>
      <c r="AC62" s="58" t="n">
        <f aca="false">MAX(0,D62-G62-J62)</f>
        <v>0</v>
      </c>
      <c r="AD62" s="59" t="n">
        <f aca="false">E62+AA62*AQ62</f>
        <v>0</v>
      </c>
      <c r="AE62" s="59" t="n">
        <f aca="false">F62+AB62*AQ62</f>
        <v>0</v>
      </c>
      <c r="AF62" s="59" t="n">
        <f aca="false">G62+AC62*AQ62</f>
        <v>0</v>
      </c>
      <c r="AG62" s="59" t="n">
        <f aca="false">H62+I62+J62+(AA62+AB62+AC62)*(1-AQ62)</f>
        <v>0</v>
      </c>
      <c r="AH62" s="60" t="n">
        <f aca="false">AD62*P1_PVP+AE62*P2_PVP+AF62*IF($A62&lt;P3_DESDE,P3A_PVP,P3_PVP)</f>
        <v>0</v>
      </c>
      <c r="AI62" s="60" t="n">
        <f aca="false">AD62*P1_CPROD+AE62*P2_CPROD+AF62*IF($A62&lt;P3_DESDE,P3A_CPROD,P3_CPROD)</f>
        <v>0</v>
      </c>
      <c r="AJ62" s="60" t="n">
        <f aca="false">IF(ISNUMBER(L62),L62,E62*P1_LOG+F62*P2_LOG+G62*P3_LOG)+IF(ISNUMBER(M62),M62,AA62*P1_LOG+AB62*P2_LOG+AC62*P3_LOG)*AQ62</f>
        <v>0</v>
      </c>
      <c r="AK62" s="60" t="n">
        <f aca="false">AG62*COSTE_DEV</f>
        <v>0</v>
      </c>
      <c r="AL62" s="60" t="n">
        <f aca="false">AD62*P1_IVAN+AE62*P2_IVAN+AF62*IF($A62&lt;P3_DESDE,P3A_IVAN,P3_IVAN)-AG62*IVA_DEV</f>
        <v>0</v>
      </c>
      <c r="AM62" s="60" t="n">
        <f aca="false">N62*(1+RECARGO_ADS)</f>
        <v>0</v>
      </c>
      <c r="AN62" s="58" t="n">
        <f aca="false">IF(ISNUMBER(L62),E62+F62+G62+AA62+AB62+AC62,0)</f>
        <v>0</v>
      </c>
      <c r="AO62" s="60" t="n">
        <f aca="false">P62*COMISION</f>
        <v>0</v>
      </c>
      <c r="AP62" s="58" t="n">
        <f aca="false">MIN(N(K62),Q62)</f>
        <v>0</v>
      </c>
      <c r="AQ62" s="61" t="n">
        <f aca="false">IF(Q62&gt;0,((Q62-AP62)*AT62+AP62*TASA_INC)/Q62,AT62)</f>
        <v>0.659887072235414</v>
      </c>
      <c r="AR62" s="58" t="n">
        <f aca="false">IF($A62&lt;FECHA_EXPORT,NETWORKDAYS($A62+1,FECHA_EXPORT,FESTIVOS),0)</f>
        <v>0</v>
      </c>
      <c r="AS62" s="61" t="n">
        <f aca="false">IF(AR62&gt;=5,1,INDEX(CDF_INC,1,AR62+1))</f>
        <v>0.14</v>
      </c>
      <c r="AT62" s="61" t="n">
        <f aca="false">TASA_USADA+(TASA_INC-TASA_USADA)*Q_INC*(1-AS62)/(1-Q_INC*AS62)</f>
        <v>0.659887072235414</v>
      </c>
    </row>
    <row r="63" customFormat="false" ht="15" hidden="false" customHeight="false" outlineLevel="0" collapsed="false">
      <c r="A63" s="53" t="n">
        <v>46357</v>
      </c>
      <c r="B63" s="54"/>
      <c r="C63" s="54"/>
      <c r="D63" s="54"/>
      <c r="E63" s="54"/>
      <c r="F63" s="54"/>
      <c r="G63" s="54"/>
      <c r="H63" s="54"/>
      <c r="I63" s="54"/>
      <c r="J63" s="54"/>
      <c r="K63" s="54"/>
      <c r="L63" s="55"/>
      <c r="M63" s="55"/>
      <c r="N63" s="55"/>
      <c r="O63" s="56"/>
      <c r="P63" s="31" t="n">
        <f aca="false">B63+C63+D63</f>
        <v>0</v>
      </c>
      <c r="Q63" s="31" t="n">
        <f aca="false">AA63+AB63+AC63</f>
        <v>0</v>
      </c>
      <c r="R63" s="32" t="n">
        <f aca="false">B63*P1_PVP+C63*P2_PVP+D63*IF($A63&lt;P3_DESDE,P3A_PVP,P3_PVP)</f>
        <v>0</v>
      </c>
      <c r="S63" s="32" t="str">
        <f aca="false">IF(P63&gt;0,R63/P63,"")</f>
        <v/>
      </c>
      <c r="T63" s="32" t="str">
        <f aca="false">IF(P63&gt;0,N63/P63,"")</f>
        <v/>
      </c>
      <c r="U63" s="57" t="str">
        <f aca="false">IF(N63&gt;0,R63/N63,"")</f>
        <v/>
      </c>
      <c r="V63" s="34" t="str">
        <f aca="false">IF(E63+F63+G63+H63+I63+J63&gt;0,(E63+F63+G63)/(E63+F63+G63+H63+I63+J63),"")</f>
        <v/>
      </c>
      <c r="W63" s="33" t="n">
        <f aca="false">E63*(P1_PVP-P1_CPROD)+F63*(P2_PVP-P2_CPROD)+G63*(IF($A63&lt;P3_DESDE,P3A_PVP,P3_PVP)-IF($A63&lt;P3_DESDE,P3A_CPROD,P3_CPROD))-IF(ISNUMBER(L63),L63,E63*P1_LOG+F63*P2_LOG+G63*P3_LOG)</f>
        <v>0</v>
      </c>
      <c r="X63" s="33" t="n">
        <f aca="false">W63-(E63*P1_IVAN+F63*P2_IVAN+G63*IF($A63&lt;P3_DESDE,P3A_IVAN,P3_IVAN))-(H63+I63+J63)*(COSTE_DEV-IVA_DEV)-AM63-AO63</f>
        <v>0</v>
      </c>
      <c r="Y63" s="33" t="n">
        <f aca="false">AH63-AI63-AJ63-AK63-AL63-AM63-AO63</f>
        <v>0</v>
      </c>
      <c r="AA63" s="58" t="n">
        <f aca="false">MAX(0,B63-E63-H63)</f>
        <v>0</v>
      </c>
      <c r="AB63" s="58" t="n">
        <f aca="false">MAX(0,C63-F63-I63)</f>
        <v>0</v>
      </c>
      <c r="AC63" s="58" t="n">
        <f aca="false">MAX(0,D63-G63-J63)</f>
        <v>0</v>
      </c>
      <c r="AD63" s="59" t="n">
        <f aca="false">E63+AA63*AQ63</f>
        <v>0</v>
      </c>
      <c r="AE63" s="59" t="n">
        <f aca="false">F63+AB63*AQ63</f>
        <v>0</v>
      </c>
      <c r="AF63" s="59" t="n">
        <f aca="false">G63+AC63*AQ63</f>
        <v>0</v>
      </c>
      <c r="AG63" s="59" t="n">
        <f aca="false">H63+I63+J63+(AA63+AB63+AC63)*(1-AQ63)</f>
        <v>0</v>
      </c>
      <c r="AH63" s="60" t="n">
        <f aca="false">AD63*P1_PVP+AE63*P2_PVP+AF63*IF($A63&lt;P3_DESDE,P3A_PVP,P3_PVP)</f>
        <v>0</v>
      </c>
      <c r="AI63" s="60" t="n">
        <f aca="false">AD63*P1_CPROD+AE63*P2_CPROD+AF63*IF($A63&lt;P3_DESDE,P3A_CPROD,P3_CPROD)</f>
        <v>0</v>
      </c>
      <c r="AJ63" s="60" t="n">
        <f aca="false">IF(ISNUMBER(L63),L63,E63*P1_LOG+F63*P2_LOG+G63*P3_LOG)+IF(ISNUMBER(M63),M63,AA63*P1_LOG+AB63*P2_LOG+AC63*P3_LOG)*AQ63</f>
        <v>0</v>
      </c>
      <c r="AK63" s="60" t="n">
        <f aca="false">AG63*COSTE_DEV</f>
        <v>0</v>
      </c>
      <c r="AL63" s="60" t="n">
        <f aca="false">AD63*P1_IVAN+AE63*P2_IVAN+AF63*IF($A63&lt;P3_DESDE,P3A_IVAN,P3_IVAN)-AG63*IVA_DEV</f>
        <v>0</v>
      </c>
      <c r="AM63" s="60" t="n">
        <f aca="false">N63*(1+RECARGO_ADS)</f>
        <v>0</v>
      </c>
      <c r="AN63" s="58" t="n">
        <f aca="false">IF(ISNUMBER(L63),E63+F63+G63+AA63+AB63+AC63,0)</f>
        <v>0</v>
      </c>
      <c r="AO63" s="60" t="n">
        <f aca="false">P63*COMISION</f>
        <v>0</v>
      </c>
      <c r="AP63" s="58" t="n">
        <f aca="false">MIN(N(K63),Q63)</f>
        <v>0</v>
      </c>
      <c r="AQ63" s="61" t="n">
        <f aca="false">IF(Q63&gt;0,((Q63-AP63)*AT63+AP63*TASA_INC)/Q63,AT63)</f>
        <v>0.659887072235414</v>
      </c>
      <c r="AR63" s="58" t="n">
        <f aca="false">IF($A63&lt;FECHA_EXPORT,NETWORKDAYS($A63+1,FECHA_EXPORT,FESTIVOS),0)</f>
        <v>0</v>
      </c>
      <c r="AS63" s="61" t="n">
        <f aca="false">IF(AR63&gt;=5,1,INDEX(CDF_INC,1,AR63+1))</f>
        <v>0.14</v>
      </c>
      <c r="AT63" s="61" t="n">
        <f aca="false">TASA_USADA+(TASA_INC-TASA_USADA)*Q_INC*(1-AS63)/(1-Q_INC*AS63)</f>
        <v>0.659887072235414</v>
      </c>
    </row>
    <row r="64" customFormat="false" ht="15" hidden="false" customHeight="false" outlineLevel="0" collapsed="false">
      <c r="A64" s="53" t="n">
        <v>46358</v>
      </c>
      <c r="B64" s="54"/>
      <c r="C64" s="54"/>
      <c r="D64" s="54"/>
      <c r="E64" s="54"/>
      <c r="F64" s="54"/>
      <c r="G64" s="54"/>
      <c r="H64" s="54"/>
      <c r="I64" s="54"/>
      <c r="J64" s="54"/>
      <c r="K64" s="54"/>
      <c r="L64" s="55"/>
      <c r="M64" s="55"/>
      <c r="N64" s="55"/>
      <c r="O64" s="56"/>
      <c r="P64" s="31" t="n">
        <f aca="false">B64+C64+D64</f>
        <v>0</v>
      </c>
      <c r="Q64" s="31" t="n">
        <f aca="false">AA64+AB64+AC64</f>
        <v>0</v>
      </c>
      <c r="R64" s="32" t="n">
        <f aca="false">B64*P1_PVP+C64*P2_PVP+D64*IF($A64&lt;P3_DESDE,P3A_PVP,P3_PVP)</f>
        <v>0</v>
      </c>
      <c r="S64" s="32" t="str">
        <f aca="false">IF(P64&gt;0,R64/P64,"")</f>
        <v/>
      </c>
      <c r="T64" s="32" t="str">
        <f aca="false">IF(P64&gt;0,N64/P64,"")</f>
        <v/>
      </c>
      <c r="U64" s="57" t="str">
        <f aca="false">IF(N64&gt;0,R64/N64,"")</f>
        <v/>
      </c>
      <c r="V64" s="34" t="str">
        <f aca="false">IF(E64+F64+G64+H64+I64+J64&gt;0,(E64+F64+G64)/(E64+F64+G64+H64+I64+J64),"")</f>
        <v/>
      </c>
      <c r="W64" s="33" t="n">
        <f aca="false">E64*(P1_PVP-P1_CPROD)+F64*(P2_PVP-P2_CPROD)+G64*(IF($A64&lt;P3_DESDE,P3A_PVP,P3_PVP)-IF($A64&lt;P3_DESDE,P3A_CPROD,P3_CPROD))-IF(ISNUMBER(L64),L64,E64*P1_LOG+F64*P2_LOG+G64*P3_LOG)</f>
        <v>0</v>
      </c>
      <c r="X64" s="33" t="n">
        <f aca="false">W64-(E64*P1_IVAN+F64*P2_IVAN+G64*IF($A64&lt;P3_DESDE,P3A_IVAN,P3_IVAN))-(H64+I64+J64)*(COSTE_DEV-IVA_DEV)-AM64-AO64</f>
        <v>0</v>
      </c>
      <c r="Y64" s="33" t="n">
        <f aca="false">AH64-AI64-AJ64-AK64-AL64-AM64-AO64</f>
        <v>0</v>
      </c>
      <c r="AA64" s="58" t="n">
        <f aca="false">MAX(0,B64-E64-H64)</f>
        <v>0</v>
      </c>
      <c r="AB64" s="58" t="n">
        <f aca="false">MAX(0,C64-F64-I64)</f>
        <v>0</v>
      </c>
      <c r="AC64" s="58" t="n">
        <f aca="false">MAX(0,D64-G64-J64)</f>
        <v>0</v>
      </c>
      <c r="AD64" s="59" t="n">
        <f aca="false">E64+AA64*AQ64</f>
        <v>0</v>
      </c>
      <c r="AE64" s="59" t="n">
        <f aca="false">F64+AB64*AQ64</f>
        <v>0</v>
      </c>
      <c r="AF64" s="59" t="n">
        <f aca="false">G64+AC64*AQ64</f>
        <v>0</v>
      </c>
      <c r="AG64" s="59" t="n">
        <f aca="false">H64+I64+J64+(AA64+AB64+AC64)*(1-AQ64)</f>
        <v>0</v>
      </c>
      <c r="AH64" s="60" t="n">
        <f aca="false">AD64*P1_PVP+AE64*P2_PVP+AF64*IF($A64&lt;P3_DESDE,P3A_PVP,P3_PVP)</f>
        <v>0</v>
      </c>
      <c r="AI64" s="60" t="n">
        <f aca="false">AD64*P1_CPROD+AE64*P2_CPROD+AF64*IF($A64&lt;P3_DESDE,P3A_CPROD,P3_CPROD)</f>
        <v>0</v>
      </c>
      <c r="AJ64" s="60" t="n">
        <f aca="false">IF(ISNUMBER(L64),L64,E64*P1_LOG+F64*P2_LOG+G64*P3_LOG)+IF(ISNUMBER(M64),M64,AA64*P1_LOG+AB64*P2_LOG+AC64*P3_LOG)*AQ64</f>
        <v>0</v>
      </c>
      <c r="AK64" s="60" t="n">
        <f aca="false">AG64*COSTE_DEV</f>
        <v>0</v>
      </c>
      <c r="AL64" s="60" t="n">
        <f aca="false">AD64*P1_IVAN+AE64*P2_IVAN+AF64*IF($A64&lt;P3_DESDE,P3A_IVAN,P3_IVAN)-AG64*IVA_DEV</f>
        <v>0</v>
      </c>
      <c r="AM64" s="60" t="n">
        <f aca="false">N64*(1+RECARGO_ADS)</f>
        <v>0</v>
      </c>
      <c r="AN64" s="58" t="n">
        <f aca="false">IF(ISNUMBER(L64),E64+F64+G64+AA64+AB64+AC64,0)</f>
        <v>0</v>
      </c>
      <c r="AO64" s="60" t="n">
        <f aca="false">P64*COMISION</f>
        <v>0</v>
      </c>
      <c r="AP64" s="58" t="n">
        <f aca="false">MIN(N(K64),Q64)</f>
        <v>0</v>
      </c>
      <c r="AQ64" s="61" t="n">
        <f aca="false">IF(Q64&gt;0,((Q64-AP64)*AT64+AP64*TASA_INC)/Q64,AT64)</f>
        <v>0.659887072235414</v>
      </c>
      <c r="AR64" s="58" t="n">
        <f aca="false">IF($A64&lt;FECHA_EXPORT,NETWORKDAYS($A64+1,FECHA_EXPORT,FESTIVOS),0)</f>
        <v>0</v>
      </c>
      <c r="AS64" s="61" t="n">
        <f aca="false">IF(AR64&gt;=5,1,INDEX(CDF_INC,1,AR64+1))</f>
        <v>0.14</v>
      </c>
      <c r="AT64" s="61" t="n">
        <f aca="false">TASA_USADA+(TASA_INC-TASA_USADA)*Q_INC*(1-AS64)/(1-Q_INC*AS64)</f>
        <v>0.659887072235414</v>
      </c>
    </row>
    <row r="65" customFormat="false" ht="15" hidden="false" customHeight="false" outlineLevel="0" collapsed="false">
      <c r="A65" s="53" t="n">
        <v>46359</v>
      </c>
      <c r="B65" s="54"/>
      <c r="C65" s="54"/>
      <c r="D65" s="54"/>
      <c r="E65" s="54"/>
      <c r="F65" s="54"/>
      <c r="G65" s="54"/>
      <c r="H65" s="54"/>
      <c r="I65" s="54"/>
      <c r="J65" s="54"/>
      <c r="K65" s="54"/>
      <c r="L65" s="55"/>
      <c r="M65" s="55"/>
      <c r="N65" s="55"/>
      <c r="O65" s="56"/>
      <c r="P65" s="31" t="n">
        <f aca="false">B65+C65+D65</f>
        <v>0</v>
      </c>
      <c r="Q65" s="31" t="n">
        <f aca="false">AA65+AB65+AC65</f>
        <v>0</v>
      </c>
      <c r="R65" s="32" t="n">
        <f aca="false">B65*P1_PVP+C65*P2_PVP+D65*IF($A65&lt;P3_DESDE,P3A_PVP,P3_PVP)</f>
        <v>0</v>
      </c>
      <c r="S65" s="32" t="str">
        <f aca="false">IF(P65&gt;0,R65/P65,"")</f>
        <v/>
      </c>
      <c r="T65" s="32" t="str">
        <f aca="false">IF(P65&gt;0,N65/P65,"")</f>
        <v/>
      </c>
      <c r="U65" s="57" t="str">
        <f aca="false">IF(N65&gt;0,R65/N65,"")</f>
        <v/>
      </c>
      <c r="V65" s="34" t="str">
        <f aca="false">IF(E65+F65+G65+H65+I65+J65&gt;0,(E65+F65+G65)/(E65+F65+G65+H65+I65+J65),"")</f>
        <v/>
      </c>
      <c r="W65" s="33" t="n">
        <f aca="false">E65*(P1_PVP-P1_CPROD)+F65*(P2_PVP-P2_CPROD)+G65*(IF($A65&lt;P3_DESDE,P3A_PVP,P3_PVP)-IF($A65&lt;P3_DESDE,P3A_CPROD,P3_CPROD))-IF(ISNUMBER(L65),L65,E65*P1_LOG+F65*P2_LOG+G65*P3_LOG)</f>
        <v>0</v>
      </c>
      <c r="X65" s="33" t="n">
        <f aca="false">W65-(E65*P1_IVAN+F65*P2_IVAN+G65*IF($A65&lt;P3_DESDE,P3A_IVAN,P3_IVAN))-(H65+I65+J65)*(COSTE_DEV-IVA_DEV)-AM65-AO65</f>
        <v>0</v>
      </c>
      <c r="Y65" s="33" t="n">
        <f aca="false">AH65-AI65-AJ65-AK65-AL65-AM65-AO65</f>
        <v>0</v>
      </c>
      <c r="AA65" s="58" t="n">
        <f aca="false">MAX(0,B65-E65-H65)</f>
        <v>0</v>
      </c>
      <c r="AB65" s="58" t="n">
        <f aca="false">MAX(0,C65-F65-I65)</f>
        <v>0</v>
      </c>
      <c r="AC65" s="58" t="n">
        <f aca="false">MAX(0,D65-G65-J65)</f>
        <v>0</v>
      </c>
      <c r="AD65" s="59" t="n">
        <f aca="false">E65+AA65*AQ65</f>
        <v>0</v>
      </c>
      <c r="AE65" s="59" t="n">
        <f aca="false">F65+AB65*AQ65</f>
        <v>0</v>
      </c>
      <c r="AF65" s="59" t="n">
        <f aca="false">G65+AC65*AQ65</f>
        <v>0</v>
      </c>
      <c r="AG65" s="59" t="n">
        <f aca="false">H65+I65+J65+(AA65+AB65+AC65)*(1-AQ65)</f>
        <v>0</v>
      </c>
      <c r="AH65" s="60" t="n">
        <f aca="false">AD65*P1_PVP+AE65*P2_PVP+AF65*IF($A65&lt;P3_DESDE,P3A_PVP,P3_PVP)</f>
        <v>0</v>
      </c>
      <c r="AI65" s="60" t="n">
        <f aca="false">AD65*P1_CPROD+AE65*P2_CPROD+AF65*IF($A65&lt;P3_DESDE,P3A_CPROD,P3_CPROD)</f>
        <v>0</v>
      </c>
      <c r="AJ65" s="60" t="n">
        <f aca="false">IF(ISNUMBER(L65),L65,E65*P1_LOG+F65*P2_LOG+G65*P3_LOG)+IF(ISNUMBER(M65),M65,AA65*P1_LOG+AB65*P2_LOG+AC65*P3_LOG)*AQ65</f>
        <v>0</v>
      </c>
      <c r="AK65" s="60" t="n">
        <f aca="false">AG65*COSTE_DEV</f>
        <v>0</v>
      </c>
      <c r="AL65" s="60" t="n">
        <f aca="false">AD65*P1_IVAN+AE65*P2_IVAN+AF65*IF($A65&lt;P3_DESDE,P3A_IVAN,P3_IVAN)-AG65*IVA_DEV</f>
        <v>0</v>
      </c>
      <c r="AM65" s="60" t="n">
        <f aca="false">N65*(1+RECARGO_ADS)</f>
        <v>0</v>
      </c>
      <c r="AN65" s="58" t="n">
        <f aca="false">IF(ISNUMBER(L65),E65+F65+G65+AA65+AB65+AC65,0)</f>
        <v>0</v>
      </c>
      <c r="AO65" s="60" t="n">
        <f aca="false">P65*COMISION</f>
        <v>0</v>
      </c>
      <c r="AP65" s="58" t="n">
        <f aca="false">MIN(N(K65),Q65)</f>
        <v>0</v>
      </c>
      <c r="AQ65" s="61" t="n">
        <f aca="false">IF(Q65&gt;0,((Q65-AP65)*AT65+AP65*TASA_INC)/Q65,AT65)</f>
        <v>0.659887072235414</v>
      </c>
      <c r="AR65" s="58" t="n">
        <f aca="false">IF($A65&lt;FECHA_EXPORT,NETWORKDAYS($A65+1,FECHA_EXPORT,FESTIVOS),0)</f>
        <v>0</v>
      </c>
      <c r="AS65" s="61" t="n">
        <f aca="false">IF(AR65&gt;=5,1,INDEX(CDF_INC,1,AR65+1))</f>
        <v>0.14</v>
      </c>
      <c r="AT65" s="61" t="n">
        <f aca="false">TASA_USADA+(TASA_INC-TASA_USADA)*Q_INC*(1-AS65)/(1-Q_INC*AS65)</f>
        <v>0.659887072235414</v>
      </c>
    </row>
    <row r="66" customFormat="false" ht="15" hidden="false" customHeight="false" outlineLevel="0" collapsed="false">
      <c r="A66" s="53" t="n">
        <v>46360</v>
      </c>
      <c r="B66" s="54"/>
      <c r="C66" s="54"/>
      <c r="D66" s="54"/>
      <c r="E66" s="54"/>
      <c r="F66" s="54"/>
      <c r="G66" s="54"/>
      <c r="H66" s="54"/>
      <c r="I66" s="54"/>
      <c r="J66" s="54"/>
      <c r="K66" s="54"/>
      <c r="L66" s="55"/>
      <c r="M66" s="55"/>
      <c r="N66" s="55"/>
      <c r="O66" s="56"/>
      <c r="P66" s="31" t="n">
        <f aca="false">B66+C66+D66</f>
        <v>0</v>
      </c>
      <c r="Q66" s="31" t="n">
        <f aca="false">AA66+AB66+AC66</f>
        <v>0</v>
      </c>
      <c r="R66" s="32" t="n">
        <f aca="false">B66*P1_PVP+C66*P2_PVP+D66*IF($A66&lt;P3_DESDE,P3A_PVP,P3_PVP)</f>
        <v>0</v>
      </c>
      <c r="S66" s="32" t="str">
        <f aca="false">IF(P66&gt;0,R66/P66,"")</f>
        <v/>
      </c>
      <c r="T66" s="32" t="str">
        <f aca="false">IF(P66&gt;0,N66/P66,"")</f>
        <v/>
      </c>
      <c r="U66" s="57" t="str">
        <f aca="false">IF(N66&gt;0,R66/N66,"")</f>
        <v/>
      </c>
      <c r="V66" s="34" t="str">
        <f aca="false">IF(E66+F66+G66+H66+I66+J66&gt;0,(E66+F66+G66)/(E66+F66+G66+H66+I66+J66),"")</f>
        <v/>
      </c>
      <c r="W66" s="33" t="n">
        <f aca="false">E66*(P1_PVP-P1_CPROD)+F66*(P2_PVP-P2_CPROD)+G66*(IF($A66&lt;P3_DESDE,P3A_PVP,P3_PVP)-IF($A66&lt;P3_DESDE,P3A_CPROD,P3_CPROD))-IF(ISNUMBER(L66),L66,E66*P1_LOG+F66*P2_LOG+G66*P3_LOG)</f>
        <v>0</v>
      </c>
      <c r="X66" s="33" t="n">
        <f aca="false">W66-(E66*P1_IVAN+F66*P2_IVAN+G66*IF($A66&lt;P3_DESDE,P3A_IVAN,P3_IVAN))-(H66+I66+J66)*(COSTE_DEV-IVA_DEV)-AM66-AO66</f>
        <v>0</v>
      </c>
      <c r="Y66" s="33" t="n">
        <f aca="false">AH66-AI66-AJ66-AK66-AL66-AM66-AO66</f>
        <v>0</v>
      </c>
      <c r="AA66" s="58" t="n">
        <f aca="false">MAX(0,B66-E66-H66)</f>
        <v>0</v>
      </c>
      <c r="AB66" s="58" t="n">
        <f aca="false">MAX(0,C66-F66-I66)</f>
        <v>0</v>
      </c>
      <c r="AC66" s="58" t="n">
        <f aca="false">MAX(0,D66-G66-J66)</f>
        <v>0</v>
      </c>
      <c r="AD66" s="59" t="n">
        <f aca="false">E66+AA66*AQ66</f>
        <v>0</v>
      </c>
      <c r="AE66" s="59" t="n">
        <f aca="false">F66+AB66*AQ66</f>
        <v>0</v>
      </c>
      <c r="AF66" s="59" t="n">
        <f aca="false">G66+AC66*AQ66</f>
        <v>0</v>
      </c>
      <c r="AG66" s="59" t="n">
        <f aca="false">H66+I66+J66+(AA66+AB66+AC66)*(1-AQ66)</f>
        <v>0</v>
      </c>
      <c r="AH66" s="60" t="n">
        <f aca="false">AD66*P1_PVP+AE66*P2_PVP+AF66*IF($A66&lt;P3_DESDE,P3A_PVP,P3_PVP)</f>
        <v>0</v>
      </c>
      <c r="AI66" s="60" t="n">
        <f aca="false">AD66*P1_CPROD+AE66*P2_CPROD+AF66*IF($A66&lt;P3_DESDE,P3A_CPROD,P3_CPROD)</f>
        <v>0</v>
      </c>
      <c r="AJ66" s="60" t="n">
        <f aca="false">IF(ISNUMBER(L66),L66,E66*P1_LOG+F66*P2_LOG+G66*P3_LOG)+IF(ISNUMBER(M66),M66,AA66*P1_LOG+AB66*P2_LOG+AC66*P3_LOG)*AQ66</f>
        <v>0</v>
      </c>
      <c r="AK66" s="60" t="n">
        <f aca="false">AG66*COSTE_DEV</f>
        <v>0</v>
      </c>
      <c r="AL66" s="60" t="n">
        <f aca="false">AD66*P1_IVAN+AE66*P2_IVAN+AF66*IF($A66&lt;P3_DESDE,P3A_IVAN,P3_IVAN)-AG66*IVA_DEV</f>
        <v>0</v>
      </c>
      <c r="AM66" s="60" t="n">
        <f aca="false">N66*(1+RECARGO_ADS)</f>
        <v>0</v>
      </c>
      <c r="AN66" s="58" t="n">
        <f aca="false">IF(ISNUMBER(L66),E66+F66+G66+AA66+AB66+AC66,0)</f>
        <v>0</v>
      </c>
      <c r="AO66" s="60" t="n">
        <f aca="false">P66*COMISION</f>
        <v>0</v>
      </c>
      <c r="AP66" s="58" t="n">
        <f aca="false">MIN(N(K66),Q66)</f>
        <v>0</v>
      </c>
      <c r="AQ66" s="61" t="n">
        <f aca="false">IF(Q66&gt;0,((Q66-AP66)*AT66+AP66*TASA_INC)/Q66,AT66)</f>
        <v>0.659887072235414</v>
      </c>
      <c r="AR66" s="58" t="n">
        <f aca="false">IF($A66&lt;FECHA_EXPORT,NETWORKDAYS($A66+1,FECHA_EXPORT,FESTIVOS),0)</f>
        <v>0</v>
      </c>
      <c r="AS66" s="61" t="n">
        <f aca="false">IF(AR66&gt;=5,1,INDEX(CDF_INC,1,AR66+1))</f>
        <v>0.14</v>
      </c>
      <c r="AT66" s="61" t="n">
        <f aca="false">TASA_USADA+(TASA_INC-TASA_USADA)*Q_INC*(1-AS66)/(1-Q_INC*AS66)</f>
        <v>0.659887072235414</v>
      </c>
    </row>
    <row r="67" customFormat="false" ht="15" hidden="false" customHeight="false" outlineLevel="0" collapsed="false">
      <c r="A67" s="53" t="n">
        <v>46361</v>
      </c>
      <c r="B67" s="54"/>
      <c r="C67" s="54"/>
      <c r="D67" s="54"/>
      <c r="E67" s="54"/>
      <c r="F67" s="54"/>
      <c r="G67" s="54"/>
      <c r="H67" s="54"/>
      <c r="I67" s="54"/>
      <c r="J67" s="54"/>
      <c r="K67" s="54"/>
      <c r="L67" s="55"/>
      <c r="M67" s="55"/>
      <c r="N67" s="55"/>
      <c r="O67" s="56"/>
      <c r="P67" s="31" t="n">
        <f aca="false">B67+C67+D67</f>
        <v>0</v>
      </c>
      <c r="Q67" s="31" t="n">
        <f aca="false">AA67+AB67+AC67</f>
        <v>0</v>
      </c>
      <c r="R67" s="32" t="n">
        <f aca="false">B67*P1_PVP+C67*P2_PVP+D67*IF($A67&lt;P3_DESDE,P3A_PVP,P3_PVP)</f>
        <v>0</v>
      </c>
      <c r="S67" s="32" t="str">
        <f aca="false">IF(P67&gt;0,R67/P67,"")</f>
        <v/>
      </c>
      <c r="T67" s="32" t="str">
        <f aca="false">IF(P67&gt;0,N67/P67,"")</f>
        <v/>
      </c>
      <c r="U67" s="57" t="str">
        <f aca="false">IF(N67&gt;0,R67/N67,"")</f>
        <v/>
      </c>
      <c r="V67" s="34" t="str">
        <f aca="false">IF(E67+F67+G67+H67+I67+J67&gt;0,(E67+F67+G67)/(E67+F67+G67+H67+I67+J67),"")</f>
        <v/>
      </c>
      <c r="W67" s="33" t="n">
        <f aca="false">E67*(P1_PVP-P1_CPROD)+F67*(P2_PVP-P2_CPROD)+G67*(IF($A67&lt;P3_DESDE,P3A_PVP,P3_PVP)-IF($A67&lt;P3_DESDE,P3A_CPROD,P3_CPROD))-IF(ISNUMBER(L67),L67,E67*P1_LOG+F67*P2_LOG+G67*P3_LOG)</f>
        <v>0</v>
      </c>
      <c r="X67" s="33" t="n">
        <f aca="false">W67-(E67*P1_IVAN+F67*P2_IVAN+G67*IF($A67&lt;P3_DESDE,P3A_IVAN,P3_IVAN))-(H67+I67+J67)*(COSTE_DEV-IVA_DEV)-AM67-AO67</f>
        <v>0</v>
      </c>
      <c r="Y67" s="33" t="n">
        <f aca="false">AH67-AI67-AJ67-AK67-AL67-AM67-AO67</f>
        <v>0</v>
      </c>
      <c r="AA67" s="58" t="n">
        <f aca="false">MAX(0,B67-E67-H67)</f>
        <v>0</v>
      </c>
      <c r="AB67" s="58" t="n">
        <f aca="false">MAX(0,C67-F67-I67)</f>
        <v>0</v>
      </c>
      <c r="AC67" s="58" t="n">
        <f aca="false">MAX(0,D67-G67-J67)</f>
        <v>0</v>
      </c>
      <c r="AD67" s="59" t="n">
        <f aca="false">E67+AA67*AQ67</f>
        <v>0</v>
      </c>
      <c r="AE67" s="59" t="n">
        <f aca="false">F67+AB67*AQ67</f>
        <v>0</v>
      </c>
      <c r="AF67" s="59" t="n">
        <f aca="false">G67+AC67*AQ67</f>
        <v>0</v>
      </c>
      <c r="AG67" s="59" t="n">
        <f aca="false">H67+I67+J67+(AA67+AB67+AC67)*(1-AQ67)</f>
        <v>0</v>
      </c>
      <c r="AH67" s="60" t="n">
        <f aca="false">AD67*P1_PVP+AE67*P2_PVP+AF67*IF($A67&lt;P3_DESDE,P3A_PVP,P3_PVP)</f>
        <v>0</v>
      </c>
      <c r="AI67" s="60" t="n">
        <f aca="false">AD67*P1_CPROD+AE67*P2_CPROD+AF67*IF($A67&lt;P3_DESDE,P3A_CPROD,P3_CPROD)</f>
        <v>0</v>
      </c>
      <c r="AJ67" s="60" t="n">
        <f aca="false">IF(ISNUMBER(L67),L67,E67*P1_LOG+F67*P2_LOG+G67*P3_LOG)+IF(ISNUMBER(M67),M67,AA67*P1_LOG+AB67*P2_LOG+AC67*P3_LOG)*AQ67</f>
        <v>0</v>
      </c>
      <c r="AK67" s="60" t="n">
        <f aca="false">AG67*COSTE_DEV</f>
        <v>0</v>
      </c>
      <c r="AL67" s="60" t="n">
        <f aca="false">AD67*P1_IVAN+AE67*P2_IVAN+AF67*IF($A67&lt;P3_DESDE,P3A_IVAN,P3_IVAN)-AG67*IVA_DEV</f>
        <v>0</v>
      </c>
      <c r="AM67" s="60" t="n">
        <f aca="false">N67*(1+RECARGO_ADS)</f>
        <v>0</v>
      </c>
      <c r="AN67" s="58" t="n">
        <f aca="false">IF(ISNUMBER(L67),E67+F67+G67+AA67+AB67+AC67,0)</f>
        <v>0</v>
      </c>
      <c r="AO67" s="60" t="n">
        <f aca="false">P67*COMISION</f>
        <v>0</v>
      </c>
      <c r="AP67" s="58" t="n">
        <f aca="false">MIN(N(K67),Q67)</f>
        <v>0</v>
      </c>
      <c r="AQ67" s="61" t="n">
        <f aca="false">IF(Q67&gt;0,((Q67-AP67)*AT67+AP67*TASA_INC)/Q67,AT67)</f>
        <v>0.659887072235414</v>
      </c>
      <c r="AR67" s="58" t="n">
        <f aca="false">IF($A67&lt;FECHA_EXPORT,NETWORKDAYS($A67+1,FECHA_EXPORT,FESTIVOS),0)</f>
        <v>0</v>
      </c>
      <c r="AS67" s="61" t="n">
        <f aca="false">IF(AR67&gt;=5,1,INDEX(CDF_INC,1,AR67+1))</f>
        <v>0.14</v>
      </c>
      <c r="AT67" s="61" t="n">
        <f aca="false">TASA_USADA+(TASA_INC-TASA_USADA)*Q_INC*(1-AS67)/(1-Q_INC*AS67)</f>
        <v>0.659887072235414</v>
      </c>
    </row>
    <row r="68" customFormat="false" ht="15" hidden="false" customHeight="false" outlineLevel="0" collapsed="false">
      <c r="A68" s="53" t="n">
        <v>46362</v>
      </c>
      <c r="B68" s="54"/>
      <c r="C68" s="54"/>
      <c r="D68" s="54"/>
      <c r="E68" s="54"/>
      <c r="F68" s="54"/>
      <c r="G68" s="54"/>
      <c r="H68" s="54"/>
      <c r="I68" s="54"/>
      <c r="J68" s="54"/>
      <c r="K68" s="54"/>
      <c r="L68" s="55"/>
      <c r="M68" s="55"/>
      <c r="N68" s="55"/>
      <c r="O68" s="56"/>
      <c r="P68" s="31" t="n">
        <f aca="false">B68+C68+D68</f>
        <v>0</v>
      </c>
      <c r="Q68" s="31" t="n">
        <f aca="false">AA68+AB68+AC68</f>
        <v>0</v>
      </c>
      <c r="R68" s="32" t="n">
        <f aca="false">B68*P1_PVP+C68*P2_PVP+D68*IF($A68&lt;P3_DESDE,P3A_PVP,P3_PVP)</f>
        <v>0</v>
      </c>
      <c r="S68" s="32" t="str">
        <f aca="false">IF(P68&gt;0,R68/P68,"")</f>
        <v/>
      </c>
      <c r="T68" s="32" t="str">
        <f aca="false">IF(P68&gt;0,N68/P68,"")</f>
        <v/>
      </c>
      <c r="U68" s="57" t="str">
        <f aca="false">IF(N68&gt;0,R68/N68,"")</f>
        <v/>
      </c>
      <c r="V68" s="34" t="str">
        <f aca="false">IF(E68+F68+G68+H68+I68+J68&gt;0,(E68+F68+G68)/(E68+F68+G68+H68+I68+J68),"")</f>
        <v/>
      </c>
      <c r="W68" s="33" t="n">
        <f aca="false">E68*(P1_PVP-P1_CPROD)+F68*(P2_PVP-P2_CPROD)+G68*(IF($A68&lt;P3_DESDE,P3A_PVP,P3_PVP)-IF($A68&lt;P3_DESDE,P3A_CPROD,P3_CPROD))-IF(ISNUMBER(L68),L68,E68*P1_LOG+F68*P2_LOG+G68*P3_LOG)</f>
        <v>0</v>
      </c>
      <c r="X68" s="33" t="n">
        <f aca="false">W68-(E68*P1_IVAN+F68*P2_IVAN+G68*IF($A68&lt;P3_DESDE,P3A_IVAN,P3_IVAN))-(H68+I68+J68)*(COSTE_DEV-IVA_DEV)-AM68-AO68</f>
        <v>0</v>
      </c>
      <c r="Y68" s="33" t="n">
        <f aca="false">AH68-AI68-AJ68-AK68-AL68-AM68-AO68</f>
        <v>0</v>
      </c>
      <c r="AA68" s="58" t="n">
        <f aca="false">MAX(0,B68-E68-H68)</f>
        <v>0</v>
      </c>
      <c r="AB68" s="58" t="n">
        <f aca="false">MAX(0,C68-F68-I68)</f>
        <v>0</v>
      </c>
      <c r="AC68" s="58" t="n">
        <f aca="false">MAX(0,D68-G68-J68)</f>
        <v>0</v>
      </c>
      <c r="AD68" s="59" t="n">
        <f aca="false">E68+AA68*AQ68</f>
        <v>0</v>
      </c>
      <c r="AE68" s="59" t="n">
        <f aca="false">F68+AB68*AQ68</f>
        <v>0</v>
      </c>
      <c r="AF68" s="59" t="n">
        <f aca="false">G68+AC68*AQ68</f>
        <v>0</v>
      </c>
      <c r="AG68" s="59" t="n">
        <f aca="false">H68+I68+J68+(AA68+AB68+AC68)*(1-AQ68)</f>
        <v>0</v>
      </c>
      <c r="AH68" s="60" t="n">
        <f aca="false">AD68*P1_PVP+AE68*P2_PVP+AF68*IF($A68&lt;P3_DESDE,P3A_PVP,P3_PVP)</f>
        <v>0</v>
      </c>
      <c r="AI68" s="60" t="n">
        <f aca="false">AD68*P1_CPROD+AE68*P2_CPROD+AF68*IF($A68&lt;P3_DESDE,P3A_CPROD,P3_CPROD)</f>
        <v>0</v>
      </c>
      <c r="AJ68" s="60" t="n">
        <f aca="false">IF(ISNUMBER(L68),L68,E68*P1_LOG+F68*P2_LOG+G68*P3_LOG)+IF(ISNUMBER(M68),M68,AA68*P1_LOG+AB68*P2_LOG+AC68*P3_LOG)*AQ68</f>
        <v>0</v>
      </c>
      <c r="AK68" s="60" t="n">
        <f aca="false">AG68*COSTE_DEV</f>
        <v>0</v>
      </c>
      <c r="AL68" s="60" t="n">
        <f aca="false">AD68*P1_IVAN+AE68*P2_IVAN+AF68*IF($A68&lt;P3_DESDE,P3A_IVAN,P3_IVAN)-AG68*IVA_DEV</f>
        <v>0</v>
      </c>
      <c r="AM68" s="60" t="n">
        <f aca="false">N68*(1+RECARGO_ADS)</f>
        <v>0</v>
      </c>
      <c r="AN68" s="58" t="n">
        <f aca="false">IF(ISNUMBER(L68),E68+F68+G68+AA68+AB68+AC68,0)</f>
        <v>0</v>
      </c>
      <c r="AO68" s="60" t="n">
        <f aca="false">P68*COMISION</f>
        <v>0</v>
      </c>
      <c r="AP68" s="58" t="n">
        <f aca="false">MIN(N(K68),Q68)</f>
        <v>0</v>
      </c>
      <c r="AQ68" s="61" t="n">
        <f aca="false">IF(Q68&gt;0,((Q68-AP68)*AT68+AP68*TASA_INC)/Q68,AT68)</f>
        <v>0.659887072235414</v>
      </c>
      <c r="AR68" s="58" t="n">
        <f aca="false">IF($A68&lt;FECHA_EXPORT,NETWORKDAYS($A68+1,FECHA_EXPORT,FESTIVOS),0)</f>
        <v>0</v>
      </c>
      <c r="AS68" s="61" t="n">
        <f aca="false">IF(AR68&gt;=5,1,INDEX(CDF_INC,1,AR68+1))</f>
        <v>0.14</v>
      </c>
      <c r="AT68" s="61" t="n">
        <f aca="false">TASA_USADA+(TASA_INC-TASA_USADA)*Q_INC*(1-AS68)/(1-Q_INC*AS68)</f>
        <v>0.659887072235414</v>
      </c>
    </row>
    <row r="69" customFormat="false" ht="15" hidden="false" customHeight="false" outlineLevel="0" collapsed="false">
      <c r="A69" s="53" t="n">
        <v>46363</v>
      </c>
      <c r="B69" s="54"/>
      <c r="C69" s="54"/>
      <c r="D69" s="54"/>
      <c r="E69" s="54"/>
      <c r="F69" s="54"/>
      <c r="G69" s="54"/>
      <c r="H69" s="54"/>
      <c r="I69" s="54"/>
      <c r="J69" s="54"/>
      <c r="K69" s="54"/>
      <c r="L69" s="55"/>
      <c r="M69" s="55"/>
      <c r="N69" s="55"/>
      <c r="O69" s="56"/>
      <c r="P69" s="31" t="n">
        <f aca="false">B69+C69+D69</f>
        <v>0</v>
      </c>
      <c r="Q69" s="31" t="n">
        <f aca="false">AA69+AB69+AC69</f>
        <v>0</v>
      </c>
      <c r="R69" s="32" t="n">
        <f aca="false">B69*P1_PVP+C69*P2_PVP+D69*IF($A69&lt;P3_DESDE,P3A_PVP,P3_PVP)</f>
        <v>0</v>
      </c>
      <c r="S69" s="32" t="str">
        <f aca="false">IF(P69&gt;0,R69/P69,"")</f>
        <v/>
      </c>
      <c r="T69" s="32" t="str">
        <f aca="false">IF(P69&gt;0,N69/P69,"")</f>
        <v/>
      </c>
      <c r="U69" s="57" t="str">
        <f aca="false">IF(N69&gt;0,R69/N69,"")</f>
        <v/>
      </c>
      <c r="V69" s="34" t="str">
        <f aca="false">IF(E69+F69+G69+H69+I69+J69&gt;0,(E69+F69+G69)/(E69+F69+G69+H69+I69+J69),"")</f>
        <v/>
      </c>
      <c r="W69" s="33" t="n">
        <f aca="false">E69*(P1_PVP-P1_CPROD)+F69*(P2_PVP-P2_CPROD)+G69*(IF($A69&lt;P3_DESDE,P3A_PVP,P3_PVP)-IF($A69&lt;P3_DESDE,P3A_CPROD,P3_CPROD))-IF(ISNUMBER(L69),L69,E69*P1_LOG+F69*P2_LOG+G69*P3_LOG)</f>
        <v>0</v>
      </c>
      <c r="X69" s="33" t="n">
        <f aca="false">W69-(E69*P1_IVAN+F69*P2_IVAN+G69*IF($A69&lt;P3_DESDE,P3A_IVAN,P3_IVAN))-(H69+I69+J69)*(COSTE_DEV-IVA_DEV)-AM69-AO69</f>
        <v>0</v>
      </c>
      <c r="Y69" s="33" t="n">
        <f aca="false">AH69-AI69-AJ69-AK69-AL69-AM69-AO69</f>
        <v>0</v>
      </c>
      <c r="AA69" s="58" t="n">
        <f aca="false">MAX(0,B69-E69-H69)</f>
        <v>0</v>
      </c>
      <c r="AB69" s="58" t="n">
        <f aca="false">MAX(0,C69-F69-I69)</f>
        <v>0</v>
      </c>
      <c r="AC69" s="58" t="n">
        <f aca="false">MAX(0,D69-G69-J69)</f>
        <v>0</v>
      </c>
      <c r="AD69" s="59" t="n">
        <f aca="false">E69+AA69*AQ69</f>
        <v>0</v>
      </c>
      <c r="AE69" s="59" t="n">
        <f aca="false">F69+AB69*AQ69</f>
        <v>0</v>
      </c>
      <c r="AF69" s="59" t="n">
        <f aca="false">G69+AC69*AQ69</f>
        <v>0</v>
      </c>
      <c r="AG69" s="59" t="n">
        <f aca="false">H69+I69+J69+(AA69+AB69+AC69)*(1-AQ69)</f>
        <v>0</v>
      </c>
      <c r="AH69" s="60" t="n">
        <f aca="false">AD69*P1_PVP+AE69*P2_PVP+AF69*IF($A69&lt;P3_DESDE,P3A_PVP,P3_PVP)</f>
        <v>0</v>
      </c>
      <c r="AI69" s="60" t="n">
        <f aca="false">AD69*P1_CPROD+AE69*P2_CPROD+AF69*IF($A69&lt;P3_DESDE,P3A_CPROD,P3_CPROD)</f>
        <v>0</v>
      </c>
      <c r="AJ69" s="60" t="n">
        <f aca="false">IF(ISNUMBER(L69),L69,E69*P1_LOG+F69*P2_LOG+G69*P3_LOG)+IF(ISNUMBER(M69),M69,AA69*P1_LOG+AB69*P2_LOG+AC69*P3_LOG)*AQ69</f>
        <v>0</v>
      </c>
      <c r="AK69" s="60" t="n">
        <f aca="false">AG69*COSTE_DEV</f>
        <v>0</v>
      </c>
      <c r="AL69" s="60" t="n">
        <f aca="false">AD69*P1_IVAN+AE69*P2_IVAN+AF69*IF($A69&lt;P3_DESDE,P3A_IVAN,P3_IVAN)-AG69*IVA_DEV</f>
        <v>0</v>
      </c>
      <c r="AM69" s="60" t="n">
        <f aca="false">N69*(1+RECARGO_ADS)</f>
        <v>0</v>
      </c>
      <c r="AN69" s="58" t="n">
        <f aca="false">IF(ISNUMBER(L69),E69+F69+G69+AA69+AB69+AC69,0)</f>
        <v>0</v>
      </c>
      <c r="AO69" s="60" t="n">
        <f aca="false">P69*COMISION</f>
        <v>0</v>
      </c>
      <c r="AP69" s="58" t="n">
        <f aca="false">MIN(N(K69),Q69)</f>
        <v>0</v>
      </c>
      <c r="AQ69" s="61" t="n">
        <f aca="false">IF(Q69&gt;0,((Q69-AP69)*AT69+AP69*TASA_INC)/Q69,AT69)</f>
        <v>0.659887072235414</v>
      </c>
      <c r="AR69" s="58" t="n">
        <f aca="false">IF($A69&lt;FECHA_EXPORT,NETWORKDAYS($A69+1,FECHA_EXPORT,FESTIVOS),0)</f>
        <v>0</v>
      </c>
      <c r="AS69" s="61" t="n">
        <f aca="false">IF(AR69&gt;=5,1,INDEX(CDF_INC,1,AR69+1))</f>
        <v>0.14</v>
      </c>
      <c r="AT69" s="61" t="n">
        <f aca="false">TASA_USADA+(TASA_INC-TASA_USADA)*Q_INC*(1-AS69)/(1-Q_INC*AS69)</f>
        <v>0.659887072235414</v>
      </c>
    </row>
    <row r="70" customFormat="false" ht="15" hidden="false" customHeight="false" outlineLevel="0" collapsed="false">
      <c r="A70" s="53" t="n">
        <v>46364</v>
      </c>
      <c r="B70" s="54"/>
      <c r="C70" s="54"/>
      <c r="D70" s="54"/>
      <c r="E70" s="54"/>
      <c r="F70" s="54"/>
      <c r="G70" s="54"/>
      <c r="H70" s="54"/>
      <c r="I70" s="54"/>
      <c r="J70" s="54"/>
      <c r="K70" s="54"/>
      <c r="L70" s="55"/>
      <c r="M70" s="55"/>
      <c r="N70" s="55"/>
      <c r="O70" s="56"/>
      <c r="P70" s="31" t="n">
        <f aca="false">B70+C70+D70</f>
        <v>0</v>
      </c>
      <c r="Q70" s="31" t="n">
        <f aca="false">AA70+AB70+AC70</f>
        <v>0</v>
      </c>
      <c r="R70" s="32" t="n">
        <f aca="false">B70*P1_PVP+C70*P2_PVP+D70*IF($A70&lt;P3_DESDE,P3A_PVP,P3_PVP)</f>
        <v>0</v>
      </c>
      <c r="S70" s="32" t="str">
        <f aca="false">IF(P70&gt;0,R70/P70,"")</f>
        <v/>
      </c>
      <c r="T70" s="32" t="str">
        <f aca="false">IF(P70&gt;0,N70/P70,"")</f>
        <v/>
      </c>
      <c r="U70" s="57" t="str">
        <f aca="false">IF(N70&gt;0,R70/N70,"")</f>
        <v/>
      </c>
      <c r="V70" s="34" t="str">
        <f aca="false">IF(E70+F70+G70+H70+I70+J70&gt;0,(E70+F70+G70)/(E70+F70+G70+H70+I70+J70),"")</f>
        <v/>
      </c>
      <c r="W70" s="33" t="n">
        <f aca="false">E70*(P1_PVP-P1_CPROD)+F70*(P2_PVP-P2_CPROD)+G70*(IF($A70&lt;P3_DESDE,P3A_PVP,P3_PVP)-IF($A70&lt;P3_DESDE,P3A_CPROD,P3_CPROD))-IF(ISNUMBER(L70),L70,E70*P1_LOG+F70*P2_LOG+G70*P3_LOG)</f>
        <v>0</v>
      </c>
      <c r="X70" s="33" t="n">
        <f aca="false">W70-(E70*P1_IVAN+F70*P2_IVAN+G70*IF($A70&lt;P3_DESDE,P3A_IVAN,P3_IVAN))-(H70+I70+J70)*(COSTE_DEV-IVA_DEV)-AM70-AO70</f>
        <v>0</v>
      </c>
      <c r="Y70" s="33" t="n">
        <f aca="false">AH70-AI70-AJ70-AK70-AL70-AM70-AO70</f>
        <v>0</v>
      </c>
      <c r="AA70" s="58" t="n">
        <f aca="false">MAX(0,B70-E70-H70)</f>
        <v>0</v>
      </c>
      <c r="AB70" s="58" t="n">
        <f aca="false">MAX(0,C70-F70-I70)</f>
        <v>0</v>
      </c>
      <c r="AC70" s="58" t="n">
        <f aca="false">MAX(0,D70-G70-J70)</f>
        <v>0</v>
      </c>
      <c r="AD70" s="59" t="n">
        <f aca="false">E70+AA70*AQ70</f>
        <v>0</v>
      </c>
      <c r="AE70" s="59" t="n">
        <f aca="false">F70+AB70*AQ70</f>
        <v>0</v>
      </c>
      <c r="AF70" s="59" t="n">
        <f aca="false">G70+AC70*AQ70</f>
        <v>0</v>
      </c>
      <c r="AG70" s="59" t="n">
        <f aca="false">H70+I70+J70+(AA70+AB70+AC70)*(1-AQ70)</f>
        <v>0</v>
      </c>
      <c r="AH70" s="60" t="n">
        <f aca="false">AD70*P1_PVP+AE70*P2_PVP+AF70*IF($A70&lt;P3_DESDE,P3A_PVP,P3_PVP)</f>
        <v>0</v>
      </c>
      <c r="AI70" s="60" t="n">
        <f aca="false">AD70*P1_CPROD+AE70*P2_CPROD+AF70*IF($A70&lt;P3_DESDE,P3A_CPROD,P3_CPROD)</f>
        <v>0</v>
      </c>
      <c r="AJ70" s="60" t="n">
        <f aca="false">IF(ISNUMBER(L70),L70,E70*P1_LOG+F70*P2_LOG+G70*P3_LOG)+IF(ISNUMBER(M70),M70,AA70*P1_LOG+AB70*P2_LOG+AC70*P3_LOG)*AQ70</f>
        <v>0</v>
      </c>
      <c r="AK70" s="60" t="n">
        <f aca="false">AG70*COSTE_DEV</f>
        <v>0</v>
      </c>
      <c r="AL70" s="60" t="n">
        <f aca="false">AD70*P1_IVAN+AE70*P2_IVAN+AF70*IF($A70&lt;P3_DESDE,P3A_IVAN,P3_IVAN)-AG70*IVA_DEV</f>
        <v>0</v>
      </c>
      <c r="AM70" s="60" t="n">
        <f aca="false">N70*(1+RECARGO_ADS)</f>
        <v>0</v>
      </c>
      <c r="AN70" s="58" t="n">
        <f aca="false">IF(ISNUMBER(L70),E70+F70+G70+AA70+AB70+AC70,0)</f>
        <v>0</v>
      </c>
      <c r="AO70" s="60" t="n">
        <f aca="false">P70*COMISION</f>
        <v>0</v>
      </c>
      <c r="AP70" s="58" t="n">
        <f aca="false">MIN(N(K70),Q70)</f>
        <v>0</v>
      </c>
      <c r="AQ70" s="61" t="n">
        <f aca="false">IF(Q70&gt;0,((Q70-AP70)*AT70+AP70*TASA_INC)/Q70,AT70)</f>
        <v>0.659887072235414</v>
      </c>
      <c r="AR70" s="58" t="n">
        <f aca="false">IF($A70&lt;FECHA_EXPORT,NETWORKDAYS($A70+1,FECHA_EXPORT,FESTIVOS),0)</f>
        <v>0</v>
      </c>
      <c r="AS70" s="61" t="n">
        <f aca="false">IF(AR70&gt;=5,1,INDEX(CDF_INC,1,AR70+1))</f>
        <v>0.14</v>
      </c>
      <c r="AT70" s="61" t="n">
        <f aca="false">TASA_USADA+(TASA_INC-TASA_USADA)*Q_INC*(1-AS70)/(1-Q_INC*AS70)</f>
        <v>0.659887072235414</v>
      </c>
    </row>
    <row r="71" customFormat="false" ht="15" hidden="false" customHeight="false" outlineLevel="0" collapsed="false">
      <c r="A71" s="53" t="n">
        <v>46365</v>
      </c>
      <c r="B71" s="54"/>
      <c r="C71" s="54"/>
      <c r="D71" s="54"/>
      <c r="E71" s="54"/>
      <c r="F71" s="54"/>
      <c r="G71" s="54"/>
      <c r="H71" s="54"/>
      <c r="I71" s="54"/>
      <c r="J71" s="54"/>
      <c r="K71" s="54"/>
      <c r="L71" s="55"/>
      <c r="M71" s="55"/>
      <c r="N71" s="55"/>
      <c r="O71" s="56"/>
      <c r="P71" s="31" t="n">
        <f aca="false">B71+C71+D71</f>
        <v>0</v>
      </c>
      <c r="Q71" s="31" t="n">
        <f aca="false">AA71+AB71+AC71</f>
        <v>0</v>
      </c>
      <c r="R71" s="32" t="n">
        <f aca="false">B71*P1_PVP+C71*P2_PVP+D71*IF($A71&lt;P3_DESDE,P3A_PVP,P3_PVP)</f>
        <v>0</v>
      </c>
      <c r="S71" s="32" t="str">
        <f aca="false">IF(P71&gt;0,R71/P71,"")</f>
        <v/>
      </c>
      <c r="T71" s="32" t="str">
        <f aca="false">IF(P71&gt;0,N71/P71,"")</f>
        <v/>
      </c>
      <c r="U71" s="57" t="str">
        <f aca="false">IF(N71&gt;0,R71/N71,"")</f>
        <v/>
      </c>
      <c r="V71" s="34" t="str">
        <f aca="false">IF(E71+F71+G71+H71+I71+J71&gt;0,(E71+F71+G71)/(E71+F71+G71+H71+I71+J71),"")</f>
        <v/>
      </c>
      <c r="W71" s="33" t="n">
        <f aca="false">E71*(P1_PVP-P1_CPROD)+F71*(P2_PVP-P2_CPROD)+G71*(IF($A71&lt;P3_DESDE,P3A_PVP,P3_PVP)-IF($A71&lt;P3_DESDE,P3A_CPROD,P3_CPROD))-IF(ISNUMBER(L71),L71,E71*P1_LOG+F71*P2_LOG+G71*P3_LOG)</f>
        <v>0</v>
      </c>
      <c r="X71" s="33" t="n">
        <f aca="false">W71-(E71*P1_IVAN+F71*P2_IVAN+G71*IF($A71&lt;P3_DESDE,P3A_IVAN,P3_IVAN))-(H71+I71+J71)*(COSTE_DEV-IVA_DEV)-AM71-AO71</f>
        <v>0</v>
      </c>
      <c r="Y71" s="33" t="n">
        <f aca="false">AH71-AI71-AJ71-AK71-AL71-AM71-AO71</f>
        <v>0</v>
      </c>
      <c r="AA71" s="58" t="n">
        <f aca="false">MAX(0,B71-E71-H71)</f>
        <v>0</v>
      </c>
      <c r="AB71" s="58" t="n">
        <f aca="false">MAX(0,C71-F71-I71)</f>
        <v>0</v>
      </c>
      <c r="AC71" s="58" t="n">
        <f aca="false">MAX(0,D71-G71-J71)</f>
        <v>0</v>
      </c>
      <c r="AD71" s="59" t="n">
        <f aca="false">E71+AA71*AQ71</f>
        <v>0</v>
      </c>
      <c r="AE71" s="59" t="n">
        <f aca="false">F71+AB71*AQ71</f>
        <v>0</v>
      </c>
      <c r="AF71" s="59" t="n">
        <f aca="false">G71+AC71*AQ71</f>
        <v>0</v>
      </c>
      <c r="AG71" s="59" t="n">
        <f aca="false">H71+I71+J71+(AA71+AB71+AC71)*(1-AQ71)</f>
        <v>0</v>
      </c>
      <c r="AH71" s="60" t="n">
        <f aca="false">AD71*P1_PVP+AE71*P2_PVP+AF71*IF($A71&lt;P3_DESDE,P3A_PVP,P3_PVP)</f>
        <v>0</v>
      </c>
      <c r="AI71" s="60" t="n">
        <f aca="false">AD71*P1_CPROD+AE71*P2_CPROD+AF71*IF($A71&lt;P3_DESDE,P3A_CPROD,P3_CPROD)</f>
        <v>0</v>
      </c>
      <c r="AJ71" s="60" t="n">
        <f aca="false">IF(ISNUMBER(L71),L71,E71*P1_LOG+F71*P2_LOG+G71*P3_LOG)+IF(ISNUMBER(M71),M71,AA71*P1_LOG+AB71*P2_LOG+AC71*P3_LOG)*AQ71</f>
        <v>0</v>
      </c>
      <c r="AK71" s="60" t="n">
        <f aca="false">AG71*COSTE_DEV</f>
        <v>0</v>
      </c>
      <c r="AL71" s="60" t="n">
        <f aca="false">AD71*P1_IVAN+AE71*P2_IVAN+AF71*IF($A71&lt;P3_DESDE,P3A_IVAN,P3_IVAN)-AG71*IVA_DEV</f>
        <v>0</v>
      </c>
      <c r="AM71" s="60" t="n">
        <f aca="false">N71*(1+RECARGO_ADS)</f>
        <v>0</v>
      </c>
      <c r="AN71" s="58" t="n">
        <f aca="false">IF(ISNUMBER(L71),E71+F71+G71+AA71+AB71+AC71,0)</f>
        <v>0</v>
      </c>
      <c r="AO71" s="60" t="n">
        <f aca="false">P71*COMISION</f>
        <v>0</v>
      </c>
      <c r="AP71" s="58" t="n">
        <f aca="false">MIN(N(K71),Q71)</f>
        <v>0</v>
      </c>
      <c r="AQ71" s="61" t="n">
        <f aca="false">IF(Q71&gt;0,((Q71-AP71)*AT71+AP71*TASA_INC)/Q71,AT71)</f>
        <v>0.659887072235414</v>
      </c>
      <c r="AR71" s="58" t="n">
        <f aca="false">IF($A71&lt;FECHA_EXPORT,NETWORKDAYS($A71+1,FECHA_EXPORT,FESTIVOS),0)</f>
        <v>0</v>
      </c>
      <c r="AS71" s="61" t="n">
        <f aca="false">IF(AR71&gt;=5,1,INDEX(CDF_INC,1,AR71+1))</f>
        <v>0.14</v>
      </c>
      <c r="AT71" s="61" t="n">
        <f aca="false">TASA_USADA+(TASA_INC-TASA_USADA)*Q_INC*(1-AS71)/(1-Q_INC*AS71)</f>
        <v>0.659887072235414</v>
      </c>
    </row>
    <row r="72" customFormat="false" ht="15" hidden="false" customHeight="false" outlineLevel="0" collapsed="false">
      <c r="A72" s="53" t="n">
        <v>46366</v>
      </c>
      <c r="B72" s="54"/>
      <c r="C72" s="54"/>
      <c r="D72" s="54"/>
      <c r="E72" s="54"/>
      <c r="F72" s="54"/>
      <c r="G72" s="54"/>
      <c r="H72" s="54"/>
      <c r="I72" s="54"/>
      <c r="J72" s="54"/>
      <c r="K72" s="54"/>
      <c r="L72" s="55"/>
      <c r="M72" s="55"/>
      <c r="N72" s="55"/>
      <c r="O72" s="56"/>
      <c r="P72" s="31" t="n">
        <f aca="false">B72+C72+D72</f>
        <v>0</v>
      </c>
      <c r="Q72" s="31" t="n">
        <f aca="false">AA72+AB72+AC72</f>
        <v>0</v>
      </c>
      <c r="R72" s="32" t="n">
        <f aca="false">B72*P1_PVP+C72*P2_PVP+D72*IF($A72&lt;P3_DESDE,P3A_PVP,P3_PVP)</f>
        <v>0</v>
      </c>
      <c r="S72" s="32" t="str">
        <f aca="false">IF(P72&gt;0,R72/P72,"")</f>
        <v/>
      </c>
      <c r="T72" s="32" t="str">
        <f aca="false">IF(P72&gt;0,N72/P72,"")</f>
        <v/>
      </c>
      <c r="U72" s="57" t="str">
        <f aca="false">IF(N72&gt;0,R72/N72,"")</f>
        <v/>
      </c>
      <c r="V72" s="34" t="str">
        <f aca="false">IF(E72+F72+G72+H72+I72+J72&gt;0,(E72+F72+G72)/(E72+F72+G72+H72+I72+J72),"")</f>
        <v/>
      </c>
      <c r="W72" s="33" t="n">
        <f aca="false">E72*(P1_PVP-P1_CPROD)+F72*(P2_PVP-P2_CPROD)+G72*(IF($A72&lt;P3_DESDE,P3A_PVP,P3_PVP)-IF($A72&lt;P3_DESDE,P3A_CPROD,P3_CPROD))-IF(ISNUMBER(L72),L72,E72*P1_LOG+F72*P2_LOG+G72*P3_LOG)</f>
        <v>0</v>
      </c>
      <c r="X72" s="33" t="n">
        <f aca="false">W72-(E72*P1_IVAN+F72*P2_IVAN+G72*IF($A72&lt;P3_DESDE,P3A_IVAN,P3_IVAN))-(H72+I72+J72)*(COSTE_DEV-IVA_DEV)-AM72-AO72</f>
        <v>0</v>
      </c>
      <c r="Y72" s="33" t="n">
        <f aca="false">AH72-AI72-AJ72-AK72-AL72-AM72-AO72</f>
        <v>0</v>
      </c>
      <c r="AA72" s="58" t="n">
        <f aca="false">MAX(0,B72-E72-H72)</f>
        <v>0</v>
      </c>
      <c r="AB72" s="58" t="n">
        <f aca="false">MAX(0,C72-F72-I72)</f>
        <v>0</v>
      </c>
      <c r="AC72" s="58" t="n">
        <f aca="false">MAX(0,D72-G72-J72)</f>
        <v>0</v>
      </c>
      <c r="AD72" s="59" t="n">
        <f aca="false">E72+AA72*AQ72</f>
        <v>0</v>
      </c>
      <c r="AE72" s="59" t="n">
        <f aca="false">F72+AB72*AQ72</f>
        <v>0</v>
      </c>
      <c r="AF72" s="59" t="n">
        <f aca="false">G72+AC72*AQ72</f>
        <v>0</v>
      </c>
      <c r="AG72" s="59" t="n">
        <f aca="false">H72+I72+J72+(AA72+AB72+AC72)*(1-AQ72)</f>
        <v>0</v>
      </c>
      <c r="AH72" s="60" t="n">
        <f aca="false">AD72*P1_PVP+AE72*P2_PVP+AF72*IF($A72&lt;P3_DESDE,P3A_PVP,P3_PVP)</f>
        <v>0</v>
      </c>
      <c r="AI72" s="60" t="n">
        <f aca="false">AD72*P1_CPROD+AE72*P2_CPROD+AF72*IF($A72&lt;P3_DESDE,P3A_CPROD,P3_CPROD)</f>
        <v>0</v>
      </c>
      <c r="AJ72" s="60" t="n">
        <f aca="false">IF(ISNUMBER(L72),L72,E72*P1_LOG+F72*P2_LOG+G72*P3_LOG)+IF(ISNUMBER(M72),M72,AA72*P1_LOG+AB72*P2_LOG+AC72*P3_LOG)*AQ72</f>
        <v>0</v>
      </c>
      <c r="AK72" s="60" t="n">
        <f aca="false">AG72*COSTE_DEV</f>
        <v>0</v>
      </c>
      <c r="AL72" s="60" t="n">
        <f aca="false">AD72*P1_IVAN+AE72*P2_IVAN+AF72*IF($A72&lt;P3_DESDE,P3A_IVAN,P3_IVAN)-AG72*IVA_DEV</f>
        <v>0</v>
      </c>
      <c r="AM72" s="60" t="n">
        <f aca="false">N72*(1+RECARGO_ADS)</f>
        <v>0</v>
      </c>
      <c r="AN72" s="58" t="n">
        <f aca="false">IF(ISNUMBER(L72),E72+F72+G72+AA72+AB72+AC72,0)</f>
        <v>0</v>
      </c>
      <c r="AO72" s="60" t="n">
        <f aca="false">P72*COMISION</f>
        <v>0</v>
      </c>
      <c r="AP72" s="58" t="n">
        <f aca="false">MIN(N(K72),Q72)</f>
        <v>0</v>
      </c>
      <c r="AQ72" s="61" t="n">
        <f aca="false">IF(Q72&gt;0,((Q72-AP72)*AT72+AP72*TASA_INC)/Q72,AT72)</f>
        <v>0.659887072235414</v>
      </c>
      <c r="AR72" s="58" t="n">
        <f aca="false">IF($A72&lt;FECHA_EXPORT,NETWORKDAYS($A72+1,FECHA_EXPORT,FESTIVOS),0)</f>
        <v>0</v>
      </c>
      <c r="AS72" s="61" t="n">
        <f aca="false">IF(AR72&gt;=5,1,INDEX(CDF_INC,1,AR72+1))</f>
        <v>0.14</v>
      </c>
      <c r="AT72" s="61" t="n">
        <f aca="false">TASA_USADA+(TASA_INC-TASA_USADA)*Q_INC*(1-AS72)/(1-Q_INC*AS72)</f>
        <v>0.659887072235414</v>
      </c>
    </row>
    <row r="73" customFormat="false" ht="15" hidden="false" customHeight="false" outlineLevel="0" collapsed="false">
      <c r="A73" s="53" t="n">
        <v>46367</v>
      </c>
      <c r="B73" s="54"/>
      <c r="C73" s="54"/>
      <c r="D73" s="54"/>
      <c r="E73" s="54"/>
      <c r="F73" s="54"/>
      <c r="G73" s="54"/>
      <c r="H73" s="54"/>
      <c r="I73" s="54"/>
      <c r="J73" s="54"/>
      <c r="K73" s="54"/>
      <c r="L73" s="55"/>
      <c r="M73" s="55"/>
      <c r="N73" s="55"/>
      <c r="O73" s="56"/>
      <c r="P73" s="31" t="n">
        <f aca="false">B73+C73+D73</f>
        <v>0</v>
      </c>
      <c r="Q73" s="31" t="n">
        <f aca="false">AA73+AB73+AC73</f>
        <v>0</v>
      </c>
      <c r="R73" s="32" t="n">
        <f aca="false">B73*P1_PVP+C73*P2_PVP+D73*IF($A73&lt;P3_DESDE,P3A_PVP,P3_PVP)</f>
        <v>0</v>
      </c>
      <c r="S73" s="32" t="str">
        <f aca="false">IF(P73&gt;0,R73/P73,"")</f>
        <v/>
      </c>
      <c r="T73" s="32" t="str">
        <f aca="false">IF(P73&gt;0,N73/P73,"")</f>
        <v/>
      </c>
      <c r="U73" s="57" t="str">
        <f aca="false">IF(N73&gt;0,R73/N73,"")</f>
        <v/>
      </c>
      <c r="V73" s="34" t="str">
        <f aca="false">IF(E73+F73+G73+H73+I73+J73&gt;0,(E73+F73+G73)/(E73+F73+G73+H73+I73+J73),"")</f>
        <v/>
      </c>
      <c r="W73" s="33" t="n">
        <f aca="false">E73*(P1_PVP-P1_CPROD)+F73*(P2_PVP-P2_CPROD)+G73*(IF($A73&lt;P3_DESDE,P3A_PVP,P3_PVP)-IF($A73&lt;P3_DESDE,P3A_CPROD,P3_CPROD))-IF(ISNUMBER(L73),L73,E73*P1_LOG+F73*P2_LOG+G73*P3_LOG)</f>
        <v>0</v>
      </c>
      <c r="X73" s="33" t="n">
        <f aca="false">W73-(E73*P1_IVAN+F73*P2_IVAN+G73*IF($A73&lt;P3_DESDE,P3A_IVAN,P3_IVAN))-(H73+I73+J73)*(COSTE_DEV-IVA_DEV)-AM73-AO73</f>
        <v>0</v>
      </c>
      <c r="Y73" s="33" t="n">
        <f aca="false">AH73-AI73-AJ73-AK73-AL73-AM73-AO73</f>
        <v>0</v>
      </c>
      <c r="AA73" s="58" t="n">
        <f aca="false">MAX(0,B73-E73-H73)</f>
        <v>0</v>
      </c>
      <c r="AB73" s="58" t="n">
        <f aca="false">MAX(0,C73-F73-I73)</f>
        <v>0</v>
      </c>
      <c r="AC73" s="58" t="n">
        <f aca="false">MAX(0,D73-G73-J73)</f>
        <v>0</v>
      </c>
      <c r="AD73" s="59" t="n">
        <f aca="false">E73+AA73*AQ73</f>
        <v>0</v>
      </c>
      <c r="AE73" s="59" t="n">
        <f aca="false">F73+AB73*AQ73</f>
        <v>0</v>
      </c>
      <c r="AF73" s="59" t="n">
        <f aca="false">G73+AC73*AQ73</f>
        <v>0</v>
      </c>
      <c r="AG73" s="59" t="n">
        <f aca="false">H73+I73+J73+(AA73+AB73+AC73)*(1-AQ73)</f>
        <v>0</v>
      </c>
      <c r="AH73" s="60" t="n">
        <f aca="false">AD73*P1_PVP+AE73*P2_PVP+AF73*IF($A73&lt;P3_DESDE,P3A_PVP,P3_PVP)</f>
        <v>0</v>
      </c>
      <c r="AI73" s="60" t="n">
        <f aca="false">AD73*P1_CPROD+AE73*P2_CPROD+AF73*IF($A73&lt;P3_DESDE,P3A_CPROD,P3_CPROD)</f>
        <v>0</v>
      </c>
      <c r="AJ73" s="60" t="n">
        <f aca="false">IF(ISNUMBER(L73),L73,E73*P1_LOG+F73*P2_LOG+G73*P3_LOG)+IF(ISNUMBER(M73),M73,AA73*P1_LOG+AB73*P2_LOG+AC73*P3_LOG)*AQ73</f>
        <v>0</v>
      </c>
      <c r="AK73" s="60" t="n">
        <f aca="false">AG73*COSTE_DEV</f>
        <v>0</v>
      </c>
      <c r="AL73" s="60" t="n">
        <f aca="false">AD73*P1_IVAN+AE73*P2_IVAN+AF73*IF($A73&lt;P3_DESDE,P3A_IVAN,P3_IVAN)-AG73*IVA_DEV</f>
        <v>0</v>
      </c>
      <c r="AM73" s="60" t="n">
        <f aca="false">N73*(1+RECARGO_ADS)</f>
        <v>0</v>
      </c>
      <c r="AN73" s="58" t="n">
        <f aca="false">IF(ISNUMBER(L73),E73+F73+G73+AA73+AB73+AC73,0)</f>
        <v>0</v>
      </c>
      <c r="AO73" s="60" t="n">
        <f aca="false">P73*COMISION</f>
        <v>0</v>
      </c>
      <c r="AP73" s="58" t="n">
        <f aca="false">MIN(N(K73),Q73)</f>
        <v>0</v>
      </c>
      <c r="AQ73" s="61" t="n">
        <f aca="false">IF(Q73&gt;0,((Q73-AP73)*AT73+AP73*TASA_INC)/Q73,AT73)</f>
        <v>0.659887072235414</v>
      </c>
      <c r="AR73" s="58" t="n">
        <f aca="false">IF($A73&lt;FECHA_EXPORT,NETWORKDAYS($A73+1,FECHA_EXPORT,FESTIVOS),0)</f>
        <v>0</v>
      </c>
      <c r="AS73" s="61" t="n">
        <f aca="false">IF(AR73&gt;=5,1,INDEX(CDF_INC,1,AR73+1))</f>
        <v>0.14</v>
      </c>
      <c r="AT73" s="61" t="n">
        <f aca="false">TASA_USADA+(TASA_INC-TASA_USADA)*Q_INC*(1-AS73)/(1-Q_INC*AS73)</f>
        <v>0.659887072235414</v>
      </c>
    </row>
    <row r="74" customFormat="false" ht="15" hidden="false" customHeight="false" outlineLevel="0" collapsed="false">
      <c r="A74" s="53" t="n">
        <v>46368</v>
      </c>
      <c r="B74" s="54"/>
      <c r="C74" s="54"/>
      <c r="D74" s="54"/>
      <c r="E74" s="54"/>
      <c r="F74" s="54"/>
      <c r="G74" s="54"/>
      <c r="H74" s="54"/>
      <c r="I74" s="54"/>
      <c r="J74" s="54"/>
      <c r="K74" s="54"/>
      <c r="L74" s="55"/>
      <c r="M74" s="55"/>
      <c r="N74" s="55"/>
      <c r="O74" s="56"/>
      <c r="P74" s="31" t="n">
        <f aca="false">B74+C74+D74</f>
        <v>0</v>
      </c>
      <c r="Q74" s="31" t="n">
        <f aca="false">AA74+AB74+AC74</f>
        <v>0</v>
      </c>
      <c r="R74" s="32" t="n">
        <f aca="false">B74*P1_PVP+C74*P2_PVP+D74*IF($A74&lt;P3_DESDE,P3A_PVP,P3_PVP)</f>
        <v>0</v>
      </c>
      <c r="S74" s="32" t="str">
        <f aca="false">IF(P74&gt;0,R74/P74,"")</f>
        <v/>
      </c>
      <c r="T74" s="32" t="str">
        <f aca="false">IF(P74&gt;0,N74/P74,"")</f>
        <v/>
      </c>
      <c r="U74" s="57" t="str">
        <f aca="false">IF(N74&gt;0,R74/N74,"")</f>
        <v/>
      </c>
      <c r="V74" s="34" t="str">
        <f aca="false">IF(E74+F74+G74+H74+I74+J74&gt;0,(E74+F74+G74)/(E74+F74+G74+H74+I74+J74),"")</f>
        <v/>
      </c>
      <c r="W74" s="33" t="n">
        <f aca="false">E74*(P1_PVP-P1_CPROD)+F74*(P2_PVP-P2_CPROD)+G74*(IF($A74&lt;P3_DESDE,P3A_PVP,P3_PVP)-IF($A74&lt;P3_DESDE,P3A_CPROD,P3_CPROD))-IF(ISNUMBER(L74),L74,E74*P1_LOG+F74*P2_LOG+G74*P3_LOG)</f>
        <v>0</v>
      </c>
      <c r="X74" s="33" t="n">
        <f aca="false">W74-(E74*P1_IVAN+F74*P2_IVAN+G74*IF($A74&lt;P3_DESDE,P3A_IVAN,P3_IVAN))-(H74+I74+J74)*(COSTE_DEV-IVA_DEV)-AM74-AO74</f>
        <v>0</v>
      </c>
      <c r="Y74" s="33" t="n">
        <f aca="false">AH74-AI74-AJ74-AK74-AL74-AM74-AO74</f>
        <v>0</v>
      </c>
      <c r="AA74" s="58" t="n">
        <f aca="false">MAX(0,B74-E74-H74)</f>
        <v>0</v>
      </c>
      <c r="AB74" s="58" t="n">
        <f aca="false">MAX(0,C74-F74-I74)</f>
        <v>0</v>
      </c>
      <c r="AC74" s="58" t="n">
        <f aca="false">MAX(0,D74-G74-J74)</f>
        <v>0</v>
      </c>
      <c r="AD74" s="59" t="n">
        <f aca="false">E74+AA74*AQ74</f>
        <v>0</v>
      </c>
      <c r="AE74" s="59" t="n">
        <f aca="false">F74+AB74*AQ74</f>
        <v>0</v>
      </c>
      <c r="AF74" s="59" t="n">
        <f aca="false">G74+AC74*AQ74</f>
        <v>0</v>
      </c>
      <c r="AG74" s="59" t="n">
        <f aca="false">H74+I74+J74+(AA74+AB74+AC74)*(1-AQ74)</f>
        <v>0</v>
      </c>
      <c r="AH74" s="60" t="n">
        <f aca="false">AD74*P1_PVP+AE74*P2_PVP+AF74*IF($A74&lt;P3_DESDE,P3A_PVP,P3_PVP)</f>
        <v>0</v>
      </c>
      <c r="AI74" s="60" t="n">
        <f aca="false">AD74*P1_CPROD+AE74*P2_CPROD+AF74*IF($A74&lt;P3_DESDE,P3A_CPROD,P3_CPROD)</f>
        <v>0</v>
      </c>
      <c r="AJ74" s="60" t="n">
        <f aca="false">IF(ISNUMBER(L74),L74,E74*P1_LOG+F74*P2_LOG+G74*P3_LOG)+IF(ISNUMBER(M74),M74,AA74*P1_LOG+AB74*P2_LOG+AC74*P3_LOG)*AQ74</f>
        <v>0</v>
      </c>
      <c r="AK74" s="60" t="n">
        <f aca="false">AG74*COSTE_DEV</f>
        <v>0</v>
      </c>
      <c r="AL74" s="60" t="n">
        <f aca="false">AD74*P1_IVAN+AE74*P2_IVAN+AF74*IF($A74&lt;P3_DESDE,P3A_IVAN,P3_IVAN)-AG74*IVA_DEV</f>
        <v>0</v>
      </c>
      <c r="AM74" s="60" t="n">
        <f aca="false">N74*(1+RECARGO_ADS)</f>
        <v>0</v>
      </c>
      <c r="AN74" s="58" t="n">
        <f aca="false">IF(ISNUMBER(L74),E74+F74+G74+AA74+AB74+AC74,0)</f>
        <v>0</v>
      </c>
      <c r="AO74" s="60" t="n">
        <f aca="false">P74*COMISION</f>
        <v>0</v>
      </c>
      <c r="AP74" s="58" t="n">
        <f aca="false">MIN(N(K74),Q74)</f>
        <v>0</v>
      </c>
      <c r="AQ74" s="61" t="n">
        <f aca="false">IF(Q74&gt;0,((Q74-AP74)*AT74+AP74*TASA_INC)/Q74,AT74)</f>
        <v>0.659887072235414</v>
      </c>
      <c r="AR74" s="58" t="n">
        <f aca="false">IF($A74&lt;FECHA_EXPORT,NETWORKDAYS($A74+1,FECHA_EXPORT,FESTIVOS),0)</f>
        <v>0</v>
      </c>
      <c r="AS74" s="61" t="n">
        <f aca="false">IF(AR74&gt;=5,1,INDEX(CDF_INC,1,AR74+1))</f>
        <v>0.14</v>
      </c>
      <c r="AT74" s="61" t="n">
        <f aca="false">TASA_USADA+(TASA_INC-TASA_USADA)*Q_INC*(1-AS74)/(1-Q_INC*AS74)</f>
        <v>0.659887072235414</v>
      </c>
    </row>
    <row r="75" customFormat="false" ht="15" hidden="false" customHeight="false" outlineLevel="0" collapsed="false">
      <c r="A75" s="53" t="n">
        <v>46369</v>
      </c>
      <c r="B75" s="54"/>
      <c r="C75" s="54"/>
      <c r="D75" s="54"/>
      <c r="E75" s="54"/>
      <c r="F75" s="54"/>
      <c r="G75" s="54"/>
      <c r="H75" s="54"/>
      <c r="I75" s="54"/>
      <c r="J75" s="54"/>
      <c r="K75" s="54"/>
      <c r="L75" s="55"/>
      <c r="M75" s="55"/>
      <c r="N75" s="55"/>
      <c r="O75" s="56"/>
      <c r="P75" s="31" t="n">
        <f aca="false">B75+C75+D75</f>
        <v>0</v>
      </c>
      <c r="Q75" s="31" t="n">
        <f aca="false">AA75+AB75+AC75</f>
        <v>0</v>
      </c>
      <c r="R75" s="32" t="n">
        <f aca="false">B75*P1_PVP+C75*P2_PVP+D75*IF($A75&lt;P3_DESDE,P3A_PVP,P3_PVP)</f>
        <v>0</v>
      </c>
      <c r="S75" s="32" t="str">
        <f aca="false">IF(P75&gt;0,R75/P75,"")</f>
        <v/>
      </c>
      <c r="T75" s="32" t="str">
        <f aca="false">IF(P75&gt;0,N75/P75,"")</f>
        <v/>
      </c>
      <c r="U75" s="57" t="str">
        <f aca="false">IF(N75&gt;0,R75/N75,"")</f>
        <v/>
      </c>
      <c r="V75" s="34" t="str">
        <f aca="false">IF(E75+F75+G75+H75+I75+J75&gt;0,(E75+F75+G75)/(E75+F75+G75+H75+I75+J75),"")</f>
        <v/>
      </c>
      <c r="W75" s="33" t="n">
        <f aca="false">E75*(P1_PVP-P1_CPROD)+F75*(P2_PVP-P2_CPROD)+G75*(IF($A75&lt;P3_DESDE,P3A_PVP,P3_PVP)-IF($A75&lt;P3_DESDE,P3A_CPROD,P3_CPROD))-IF(ISNUMBER(L75),L75,E75*P1_LOG+F75*P2_LOG+G75*P3_LOG)</f>
        <v>0</v>
      </c>
      <c r="X75" s="33" t="n">
        <f aca="false">W75-(E75*P1_IVAN+F75*P2_IVAN+G75*IF($A75&lt;P3_DESDE,P3A_IVAN,P3_IVAN))-(H75+I75+J75)*(COSTE_DEV-IVA_DEV)-AM75-AO75</f>
        <v>0</v>
      </c>
      <c r="Y75" s="33" t="n">
        <f aca="false">AH75-AI75-AJ75-AK75-AL75-AM75-AO75</f>
        <v>0</v>
      </c>
      <c r="AA75" s="58" t="n">
        <f aca="false">MAX(0,B75-E75-H75)</f>
        <v>0</v>
      </c>
      <c r="AB75" s="58" t="n">
        <f aca="false">MAX(0,C75-F75-I75)</f>
        <v>0</v>
      </c>
      <c r="AC75" s="58" t="n">
        <f aca="false">MAX(0,D75-G75-J75)</f>
        <v>0</v>
      </c>
      <c r="AD75" s="59" t="n">
        <f aca="false">E75+AA75*AQ75</f>
        <v>0</v>
      </c>
      <c r="AE75" s="59" t="n">
        <f aca="false">F75+AB75*AQ75</f>
        <v>0</v>
      </c>
      <c r="AF75" s="59" t="n">
        <f aca="false">G75+AC75*AQ75</f>
        <v>0</v>
      </c>
      <c r="AG75" s="59" t="n">
        <f aca="false">H75+I75+J75+(AA75+AB75+AC75)*(1-AQ75)</f>
        <v>0</v>
      </c>
      <c r="AH75" s="60" t="n">
        <f aca="false">AD75*P1_PVP+AE75*P2_PVP+AF75*IF($A75&lt;P3_DESDE,P3A_PVP,P3_PVP)</f>
        <v>0</v>
      </c>
      <c r="AI75" s="60" t="n">
        <f aca="false">AD75*P1_CPROD+AE75*P2_CPROD+AF75*IF($A75&lt;P3_DESDE,P3A_CPROD,P3_CPROD)</f>
        <v>0</v>
      </c>
      <c r="AJ75" s="60" t="n">
        <f aca="false">IF(ISNUMBER(L75),L75,E75*P1_LOG+F75*P2_LOG+G75*P3_LOG)+IF(ISNUMBER(M75),M75,AA75*P1_LOG+AB75*P2_LOG+AC75*P3_LOG)*AQ75</f>
        <v>0</v>
      </c>
      <c r="AK75" s="60" t="n">
        <f aca="false">AG75*COSTE_DEV</f>
        <v>0</v>
      </c>
      <c r="AL75" s="60" t="n">
        <f aca="false">AD75*P1_IVAN+AE75*P2_IVAN+AF75*IF($A75&lt;P3_DESDE,P3A_IVAN,P3_IVAN)-AG75*IVA_DEV</f>
        <v>0</v>
      </c>
      <c r="AM75" s="60" t="n">
        <f aca="false">N75*(1+RECARGO_ADS)</f>
        <v>0</v>
      </c>
      <c r="AN75" s="58" t="n">
        <f aca="false">IF(ISNUMBER(L75),E75+F75+G75+AA75+AB75+AC75,0)</f>
        <v>0</v>
      </c>
      <c r="AO75" s="60" t="n">
        <f aca="false">P75*COMISION</f>
        <v>0</v>
      </c>
      <c r="AP75" s="58" t="n">
        <f aca="false">MIN(N(K75),Q75)</f>
        <v>0</v>
      </c>
      <c r="AQ75" s="61" t="n">
        <f aca="false">IF(Q75&gt;0,((Q75-AP75)*AT75+AP75*TASA_INC)/Q75,AT75)</f>
        <v>0.659887072235414</v>
      </c>
      <c r="AR75" s="58" t="n">
        <f aca="false">IF($A75&lt;FECHA_EXPORT,NETWORKDAYS($A75+1,FECHA_EXPORT,FESTIVOS),0)</f>
        <v>0</v>
      </c>
      <c r="AS75" s="61" t="n">
        <f aca="false">IF(AR75&gt;=5,1,INDEX(CDF_INC,1,AR75+1))</f>
        <v>0.14</v>
      </c>
      <c r="AT75" s="61" t="n">
        <f aca="false">TASA_USADA+(TASA_INC-TASA_USADA)*Q_INC*(1-AS75)/(1-Q_INC*AS75)</f>
        <v>0.659887072235414</v>
      </c>
    </row>
    <row r="76" customFormat="false" ht="15" hidden="false" customHeight="false" outlineLevel="0" collapsed="false">
      <c r="A76" s="53" t="n">
        <v>46370</v>
      </c>
      <c r="B76" s="54"/>
      <c r="C76" s="54"/>
      <c r="D76" s="54"/>
      <c r="E76" s="54"/>
      <c r="F76" s="54"/>
      <c r="G76" s="54"/>
      <c r="H76" s="54"/>
      <c r="I76" s="54"/>
      <c r="J76" s="54"/>
      <c r="K76" s="54"/>
      <c r="L76" s="55"/>
      <c r="M76" s="55"/>
      <c r="N76" s="55"/>
      <c r="O76" s="56"/>
      <c r="P76" s="31" t="n">
        <f aca="false">B76+C76+D76</f>
        <v>0</v>
      </c>
      <c r="Q76" s="31" t="n">
        <f aca="false">AA76+AB76+AC76</f>
        <v>0</v>
      </c>
      <c r="R76" s="32" t="n">
        <f aca="false">B76*P1_PVP+C76*P2_PVP+D76*IF($A76&lt;P3_DESDE,P3A_PVP,P3_PVP)</f>
        <v>0</v>
      </c>
      <c r="S76" s="32" t="str">
        <f aca="false">IF(P76&gt;0,R76/P76,"")</f>
        <v/>
      </c>
      <c r="T76" s="32" t="str">
        <f aca="false">IF(P76&gt;0,N76/P76,"")</f>
        <v/>
      </c>
      <c r="U76" s="57" t="str">
        <f aca="false">IF(N76&gt;0,R76/N76,"")</f>
        <v/>
      </c>
      <c r="V76" s="34" t="str">
        <f aca="false">IF(E76+F76+G76+H76+I76+J76&gt;0,(E76+F76+G76)/(E76+F76+G76+H76+I76+J76),"")</f>
        <v/>
      </c>
      <c r="W76" s="33" t="n">
        <f aca="false">E76*(P1_PVP-P1_CPROD)+F76*(P2_PVP-P2_CPROD)+G76*(IF($A76&lt;P3_DESDE,P3A_PVP,P3_PVP)-IF($A76&lt;P3_DESDE,P3A_CPROD,P3_CPROD))-IF(ISNUMBER(L76),L76,E76*P1_LOG+F76*P2_LOG+G76*P3_LOG)</f>
        <v>0</v>
      </c>
      <c r="X76" s="33" t="n">
        <f aca="false">W76-(E76*P1_IVAN+F76*P2_IVAN+G76*IF($A76&lt;P3_DESDE,P3A_IVAN,P3_IVAN))-(H76+I76+J76)*(COSTE_DEV-IVA_DEV)-AM76-AO76</f>
        <v>0</v>
      </c>
      <c r="Y76" s="33" t="n">
        <f aca="false">AH76-AI76-AJ76-AK76-AL76-AM76-AO76</f>
        <v>0</v>
      </c>
      <c r="AA76" s="58" t="n">
        <f aca="false">MAX(0,B76-E76-H76)</f>
        <v>0</v>
      </c>
      <c r="AB76" s="58" t="n">
        <f aca="false">MAX(0,C76-F76-I76)</f>
        <v>0</v>
      </c>
      <c r="AC76" s="58" t="n">
        <f aca="false">MAX(0,D76-G76-J76)</f>
        <v>0</v>
      </c>
      <c r="AD76" s="59" t="n">
        <f aca="false">E76+AA76*AQ76</f>
        <v>0</v>
      </c>
      <c r="AE76" s="59" t="n">
        <f aca="false">F76+AB76*AQ76</f>
        <v>0</v>
      </c>
      <c r="AF76" s="59" t="n">
        <f aca="false">G76+AC76*AQ76</f>
        <v>0</v>
      </c>
      <c r="AG76" s="59" t="n">
        <f aca="false">H76+I76+J76+(AA76+AB76+AC76)*(1-AQ76)</f>
        <v>0</v>
      </c>
      <c r="AH76" s="60" t="n">
        <f aca="false">AD76*P1_PVP+AE76*P2_PVP+AF76*IF($A76&lt;P3_DESDE,P3A_PVP,P3_PVP)</f>
        <v>0</v>
      </c>
      <c r="AI76" s="60" t="n">
        <f aca="false">AD76*P1_CPROD+AE76*P2_CPROD+AF76*IF($A76&lt;P3_DESDE,P3A_CPROD,P3_CPROD)</f>
        <v>0</v>
      </c>
      <c r="AJ76" s="60" t="n">
        <f aca="false">IF(ISNUMBER(L76),L76,E76*P1_LOG+F76*P2_LOG+G76*P3_LOG)+IF(ISNUMBER(M76),M76,AA76*P1_LOG+AB76*P2_LOG+AC76*P3_LOG)*AQ76</f>
        <v>0</v>
      </c>
      <c r="AK76" s="60" t="n">
        <f aca="false">AG76*COSTE_DEV</f>
        <v>0</v>
      </c>
      <c r="AL76" s="60" t="n">
        <f aca="false">AD76*P1_IVAN+AE76*P2_IVAN+AF76*IF($A76&lt;P3_DESDE,P3A_IVAN,P3_IVAN)-AG76*IVA_DEV</f>
        <v>0</v>
      </c>
      <c r="AM76" s="60" t="n">
        <f aca="false">N76*(1+RECARGO_ADS)</f>
        <v>0</v>
      </c>
      <c r="AN76" s="58" t="n">
        <f aca="false">IF(ISNUMBER(L76),E76+F76+G76+AA76+AB76+AC76,0)</f>
        <v>0</v>
      </c>
      <c r="AO76" s="60" t="n">
        <f aca="false">P76*COMISION</f>
        <v>0</v>
      </c>
      <c r="AP76" s="58" t="n">
        <f aca="false">MIN(N(K76),Q76)</f>
        <v>0</v>
      </c>
      <c r="AQ76" s="61" t="n">
        <f aca="false">IF(Q76&gt;0,((Q76-AP76)*AT76+AP76*TASA_INC)/Q76,AT76)</f>
        <v>0.659887072235414</v>
      </c>
      <c r="AR76" s="58" t="n">
        <f aca="false">IF($A76&lt;FECHA_EXPORT,NETWORKDAYS($A76+1,FECHA_EXPORT,FESTIVOS),0)</f>
        <v>0</v>
      </c>
      <c r="AS76" s="61" t="n">
        <f aca="false">IF(AR76&gt;=5,1,INDEX(CDF_INC,1,AR76+1))</f>
        <v>0.14</v>
      </c>
      <c r="AT76" s="61" t="n">
        <f aca="false">TASA_USADA+(TASA_INC-TASA_USADA)*Q_INC*(1-AS76)/(1-Q_INC*AS76)</f>
        <v>0.659887072235414</v>
      </c>
    </row>
    <row r="77" customFormat="false" ht="15" hidden="false" customHeight="false" outlineLevel="0" collapsed="false">
      <c r="A77" s="53" t="n">
        <v>46371</v>
      </c>
      <c r="B77" s="54"/>
      <c r="C77" s="54"/>
      <c r="D77" s="54"/>
      <c r="E77" s="54"/>
      <c r="F77" s="54"/>
      <c r="G77" s="54"/>
      <c r="H77" s="54"/>
      <c r="I77" s="54"/>
      <c r="J77" s="54"/>
      <c r="K77" s="54"/>
      <c r="L77" s="55"/>
      <c r="M77" s="55"/>
      <c r="N77" s="55"/>
      <c r="O77" s="56"/>
      <c r="P77" s="31" t="n">
        <f aca="false">B77+C77+D77</f>
        <v>0</v>
      </c>
      <c r="Q77" s="31" t="n">
        <f aca="false">AA77+AB77+AC77</f>
        <v>0</v>
      </c>
      <c r="R77" s="32" t="n">
        <f aca="false">B77*P1_PVP+C77*P2_PVP+D77*IF($A77&lt;P3_DESDE,P3A_PVP,P3_PVP)</f>
        <v>0</v>
      </c>
      <c r="S77" s="32" t="str">
        <f aca="false">IF(P77&gt;0,R77/P77,"")</f>
        <v/>
      </c>
      <c r="T77" s="32" t="str">
        <f aca="false">IF(P77&gt;0,N77/P77,"")</f>
        <v/>
      </c>
      <c r="U77" s="57" t="str">
        <f aca="false">IF(N77&gt;0,R77/N77,"")</f>
        <v/>
      </c>
      <c r="V77" s="34" t="str">
        <f aca="false">IF(E77+F77+G77+H77+I77+J77&gt;0,(E77+F77+G77)/(E77+F77+G77+H77+I77+J77),"")</f>
        <v/>
      </c>
      <c r="W77" s="33" t="n">
        <f aca="false">E77*(P1_PVP-P1_CPROD)+F77*(P2_PVP-P2_CPROD)+G77*(IF($A77&lt;P3_DESDE,P3A_PVP,P3_PVP)-IF($A77&lt;P3_DESDE,P3A_CPROD,P3_CPROD))-IF(ISNUMBER(L77),L77,E77*P1_LOG+F77*P2_LOG+G77*P3_LOG)</f>
        <v>0</v>
      </c>
      <c r="X77" s="33" t="n">
        <f aca="false">W77-(E77*P1_IVAN+F77*P2_IVAN+G77*IF($A77&lt;P3_DESDE,P3A_IVAN,P3_IVAN))-(H77+I77+J77)*(COSTE_DEV-IVA_DEV)-AM77-AO77</f>
        <v>0</v>
      </c>
      <c r="Y77" s="33" t="n">
        <f aca="false">AH77-AI77-AJ77-AK77-AL77-AM77-AO77</f>
        <v>0</v>
      </c>
      <c r="AA77" s="58" t="n">
        <f aca="false">MAX(0,B77-E77-H77)</f>
        <v>0</v>
      </c>
      <c r="AB77" s="58" t="n">
        <f aca="false">MAX(0,C77-F77-I77)</f>
        <v>0</v>
      </c>
      <c r="AC77" s="58" t="n">
        <f aca="false">MAX(0,D77-G77-J77)</f>
        <v>0</v>
      </c>
      <c r="AD77" s="59" t="n">
        <f aca="false">E77+AA77*AQ77</f>
        <v>0</v>
      </c>
      <c r="AE77" s="59" t="n">
        <f aca="false">F77+AB77*AQ77</f>
        <v>0</v>
      </c>
      <c r="AF77" s="59" t="n">
        <f aca="false">G77+AC77*AQ77</f>
        <v>0</v>
      </c>
      <c r="AG77" s="59" t="n">
        <f aca="false">H77+I77+J77+(AA77+AB77+AC77)*(1-AQ77)</f>
        <v>0</v>
      </c>
      <c r="AH77" s="60" t="n">
        <f aca="false">AD77*P1_PVP+AE77*P2_PVP+AF77*IF($A77&lt;P3_DESDE,P3A_PVP,P3_PVP)</f>
        <v>0</v>
      </c>
      <c r="AI77" s="60" t="n">
        <f aca="false">AD77*P1_CPROD+AE77*P2_CPROD+AF77*IF($A77&lt;P3_DESDE,P3A_CPROD,P3_CPROD)</f>
        <v>0</v>
      </c>
      <c r="AJ77" s="60" t="n">
        <f aca="false">IF(ISNUMBER(L77),L77,E77*P1_LOG+F77*P2_LOG+G77*P3_LOG)+IF(ISNUMBER(M77),M77,AA77*P1_LOG+AB77*P2_LOG+AC77*P3_LOG)*AQ77</f>
        <v>0</v>
      </c>
      <c r="AK77" s="60" t="n">
        <f aca="false">AG77*COSTE_DEV</f>
        <v>0</v>
      </c>
      <c r="AL77" s="60" t="n">
        <f aca="false">AD77*P1_IVAN+AE77*P2_IVAN+AF77*IF($A77&lt;P3_DESDE,P3A_IVAN,P3_IVAN)-AG77*IVA_DEV</f>
        <v>0</v>
      </c>
      <c r="AM77" s="60" t="n">
        <f aca="false">N77*(1+RECARGO_ADS)</f>
        <v>0</v>
      </c>
      <c r="AN77" s="58" t="n">
        <f aca="false">IF(ISNUMBER(L77),E77+F77+G77+AA77+AB77+AC77,0)</f>
        <v>0</v>
      </c>
      <c r="AO77" s="60" t="n">
        <f aca="false">P77*COMISION</f>
        <v>0</v>
      </c>
      <c r="AP77" s="58" t="n">
        <f aca="false">MIN(N(K77),Q77)</f>
        <v>0</v>
      </c>
      <c r="AQ77" s="61" t="n">
        <f aca="false">IF(Q77&gt;0,((Q77-AP77)*AT77+AP77*TASA_INC)/Q77,AT77)</f>
        <v>0.659887072235414</v>
      </c>
      <c r="AR77" s="58" t="n">
        <f aca="false">IF($A77&lt;FECHA_EXPORT,NETWORKDAYS($A77+1,FECHA_EXPORT,FESTIVOS),0)</f>
        <v>0</v>
      </c>
      <c r="AS77" s="61" t="n">
        <f aca="false">IF(AR77&gt;=5,1,INDEX(CDF_INC,1,AR77+1))</f>
        <v>0.14</v>
      </c>
      <c r="AT77" s="61" t="n">
        <f aca="false">TASA_USADA+(TASA_INC-TASA_USADA)*Q_INC*(1-AS77)/(1-Q_INC*AS77)</f>
        <v>0.659887072235414</v>
      </c>
    </row>
    <row r="78" customFormat="false" ht="15" hidden="false" customHeight="false" outlineLevel="0" collapsed="false">
      <c r="A78" s="53" t="n">
        <v>46372</v>
      </c>
      <c r="B78" s="54"/>
      <c r="C78" s="54"/>
      <c r="D78" s="54"/>
      <c r="E78" s="54"/>
      <c r="F78" s="54"/>
      <c r="G78" s="54"/>
      <c r="H78" s="54"/>
      <c r="I78" s="54"/>
      <c r="J78" s="54"/>
      <c r="K78" s="54"/>
      <c r="L78" s="55"/>
      <c r="M78" s="55"/>
      <c r="N78" s="55"/>
      <c r="O78" s="56"/>
      <c r="P78" s="31" t="n">
        <f aca="false">B78+C78+D78</f>
        <v>0</v>
      </c>
      <c r="Q78" s="31" t="n">
        <f aca="false">AA78+AB78+AC78</f>
        <v>0</v>
      </c>
      <c r="R78" s="32" t="n">
        <f aca="false">B78*P1_PVP+C78*P2_PVP+D78*IF($A78&lt;P3_DESDE,P3A_PVP,P3_PVP)</f>
        <v>0</v>
      </c>
      <c r="S78" s="32" t="str">
        <f aca="false">IF(P78&gt;0,R78/P78,"")</f>
        <v/>
      </c>
      <c r="T78" s="32" t="str">
        <f aca="false">IF(P78&gt;0,N78/P78,"")</f>
        <v/>
      </c>
      <c r="U78" s="57" t="str">
        <f aca="false">IF(N78&gt;0,R78/N78,"")</f>
        <v/>
      </c>
      <c r="V78" s="34" t="str">
        <f aca="false">IF(E78+F78+G78+H78+I78+J78&gt;0,(E78+F78+G78)/(E78+F78+G78+H78+I78+J78),"")</f>
        <v/>
      </c>
      <c r="W78" s="33" t="n">
        <f aca="false">E78*(P1_PVP-P1_CPROD)+F78*(P2_PVP-P2_CPROD)+G78*(IF($A78&lt;P3_DESDE,P3A_PVP,P3_PVP)-IF($A78&lt;P3_DESDE,P3A_CPROD,P3_CPROD))-IF(ISNUMBER(L78),L78,E78*P1_LOG+F78*P2_LOG+G78*P3_LOG)</f>
        <v>0</v>
      </c>
      <c r="X78" s="33" t="n">
        <f aca="false">W78-(E78*P1_IVAN+F78*P2_IVAN+G78*IF($A78&lt;P3_DESDE,P3A_IVAN,P3_IVAN))-(H78+I78+J78)*(COSTE_DEV-IVA_DEV)-AM78-AO78</f>
        <v>0</v>
      </c>
      <c r="Y78" s="33" t="n">
        <f aca="false">AH78-AI78-AJ78-AK78-AL78-AM78-AO78</f>
        <v>0</v>
      </c>
      <c r="AA78" s="58" t="n">
        <f aca="false">MAX(0,B78-E78-H78)</f>
        <v>0</v>
      </c>
      <c r="AB78" s="58" t="n">
        <f aca="false">MAX(0,C78-F78-I78)</f>
        <v>0</v>
      </c>
      <c r="AC78" s="58" t="n">
        <f aca="false">MAX(0,D78-G78-J78)</f>
        <v>0</v>
      </c>
      <c r="AD78" s="59" t="n">
        <f aca="false">E78+AA78*AQ78</f>
        <v>0</v>
      </c>
      <c r="AE78" s="59" t="n">
        <f aca="false">F78+AB78*AQ78</f>
        <v>0</v>
      </c>
      <c r="AF78" s="59" t="n">
        <f aca="false">G78+AC78*AQ78</f>
        <v>0</v>
      </c>
      <c r="AG78" s="59" t="n">
        <f aca="false">H78+I78+J78+(AA78+AB78+AC78)*(1-AQ78)</f>
        <v>0</v>
      </c>
      <c r="AH78" s="60" t="n">
        <f aca="false">AD78*P1_PVP+AE78*P2_PVP+AF78*IF($A78&lt;P3_DESDE,P3A_PVP,P3_PVP)</f>
        <v>0</v>
      </c>
      <c r="AI78" s="60" t="n">
        <f aca="false">AD78*P1_CPROD+AE78*P2_CPROD+AF78*IF($A78&lt;P3_DESDE,P3A_CPROD,P3_CPROD)</f>
        <v>0</v>
      </c>
      <c r="AJ78" s="60" t="n">
        <f aca="false">IF(ISNUMBER(L78),L78,E78*P1_LOG+F78*P2_LOG+G78*P3_LOG)+IF(ISNUMBER(M78),M78,AA78*P1_LOG+AB78*P2_LOG+AC78*P3_LOG)*AQ78</f>
        <v>0</v>
      </c>
      <c r="AK78" s="60" t="n">
        <f aca="false">AG78*COSTE_DEV</f>
        <v>0</v>
      </c>
      <c r="AL78" s="60" t="n">
        <f aca="false">AD78*P1_IVAN+AE78*P2_IVAN+AF78*IF($A78&lt;P3_DESDE,P3A_IVAN,P3_IVAN)-AG78*IVA_DEV</f>
        <v>0</v>
      </c>
      <c r="AM78" s="60" t="n">
        <f aca="false">N78*(1+RECARGO_ADS)</f>
        <v>0</v>
      </c>
      <c r="AN78" s="58" t="n">
        <f aca="false">IF(ISNUMBER(L78),E78+F78+G78+AA78+AB78+AC78,0)</f>
        <v>0</v>
      </c>
      <c r="AO78" s="60" t="n">
        <f aca="false">P78*COMISION</f>
        <v>0</v>
      </c>
      <c r="AP78" s="58" t="n">
        <f aca="false">MIN(N(K78),Q78)</f>
        <v>0</v>
      </c>
      <c r="AQ78" s="61" t="n">
        <f aca="false">IF(Q78&gt;0,((Q78-AP78)*AT78+AP78*TASA_INC)/Q78,AT78)</f>
        <v>0.659887072235414</v>
      </c>
      <c r="AR78" s="58" t="n">
        <f aca="false">IF($A78&lt;FECHA_EXPORT,NETWORKDAYS($A78+1,FECHA_EXPORT,FESTIVOS),0)</f>
        <v>0</v>
      </c>
      <c r="AS78" s="61" t="n">
        <f aca="false">IF(AR78&gt;=5,1,INDEX(CDF_INC,1,AR78+1))</f>
        <v>0.14</v>
      </c>
      <c r="AT78" s="61" t="n">
        <f aca="false">TASA_USADA+(TASA_INC-TASA_USADA)*Q_INC*(1-AS78)/(1-Q_INC*AS78)</f>
        <v>0.659887072235414</v>
      </c>
    </row>
    <row r="79" customFormat="false" ht="15" hidden="false" customHeight="false" outlineLevel="0" collapsed="false">
      <c r="A79" s="53" t="n">
        <v>46373</v>
      </c>
      <c r="B79" s="54"/>
      <c r="C79" s="54"/>
      <c r="D79" s="54"/>
      <c r="E79" s="54"/>
      <c r="F79" s="54"/>
      <c r="G79" s="54"/>
      <c r="H79" s="54"/>
      <c r="I79" s="54"/>
      <c r="J79" s="54"/>
      <c r="K79" s="54"/>
      <c r="L79" s="55"/>
      <c r="M79" s="55"/>
      <c r="N79" s="55"/>
      <c r="O79" s="56"/>
      <c r="P79" s="31" t="n">
        <f aca="false">B79+C79+D79</f>
        <v>0</v>
      </c>
      <c r="Q79" s="31" t="n">
        <f aca="false">AA79+AB79+AC79</f>
        <v>0</v>
      </c>
      <c r="R79" s="32" t="n">
        <f aca="false">B79*P1_PVP+C79*P2_PVP+D79*IF($A79&lt;P3_DESDE,P3A_PVP,P3_PVP)</f>
        <v>0</v>
      </c>
      <c r="S79" s="32" t="str">
        <f aca="false">IF(P79&gt;0,R79/P79,"")</f>
        <v/>
      </c>
      <c r="T79" s="32" t="str">
        <f aca="false">IF(P79&gt;0,N79/P79,"")</f>
        <v/>
      </c>
      <c r="U79" s="57" t="str">
        <f aca="false">IF(N79&gt;0,R79/N79,"")</f>
        <v/>
      </c>
      <c r="V79" s="34" t="str">
        <f aca="false">IF(E79+F79+G79+H79+I79+J79&gt;0,(E79+F79+G79)/(E79+F79+G79+H79+I79+J79),"")</f>
        <v/>
      </c>
      <c r="W79" s="33" t="n">
        <f aca="false">E79*(P1_PVP-P1_CPROD)+F79*(P2_PVP-P2_CPROD)+G79*(IF($A79&lt;P3_DESDE,P3A_PVP,P3_PVP)-IF($A79&lt;P3_DESDE,P3A_CPROD,P3_CPROD))-IF(ISNUMBER(L79),L79,E79*P1_LOG+F79*P2_LOG+G79*P3_LOG)</f>
        <v>0</v>
      </c>
      <c r="X79" s="33" t="n">
        <f aca="false">W79-(E79*P1_IVAN+F79*P2_IVAN+G79*IF($A79&lt;P3_DESDE,P3A_IVAN,P3_IVAN))-(H79+I79+J79)*(COSTE_DEV-IVA_DEV)-AM79-AO79</f>
        <v>0</v>
      </c>
      <c r="Y79" s="33" t="n">
        <f aca="false">AH79-AI79-AJ79-AK79-AL79-AM79-AO79</f>
        <v>0</v>
      </c>
      <c r="AA79" s="58" t="n">
        <f aca="false">MAX(0,B79-E79-H79)</f>
        <v>0</v>
      </c>
      <c r="AB79" s="58" t="n">
        <f aca="false">MAX(0,C79-F79-I79)</f>
        <v>0</v>
      </c>
      <c r="AC79" s="58" t="n">
        <f aca="false">MAX(0,D79-G79-J79)</f>
        <v>0</v>
      </c>
      <c r="AD79" s="59" t="n">
        <f aca="false">E79+AA79*AQ79</f>
        <v>0</v>
      </c>
      <c r="AE79" s="59" t="n">
        <f aca="false">F79+AB79*AQ79</f>
        <v>0</v>
      </c>
      <c r="AF79" s="59" t="n">
        <f aca="false">G79+AC79*AQ79</f>
        <v>0</v>
      </c>
      <c r="AG79" s="59" t="n">
        <f aca="false">H79+I79+J79+(AA79+AB79+AC79)*(1-AQ79)</f>
        <v>0</v>
      </c>
      <c r="AH79" s="60" t="n">
        <f aca="false">AD79*P1_PVP+AE79*P2_PVP+AF79*IF($A79&lt;P3_DESDE,P3A_PVP,P3_PVP)</f>
        <v>0</v>
      </c>
      <c r="AI79" s="60" t="n">
        <f aca="false">AD79*P1_CPROD+AE79*P2_CPROD+AF79*IF($A79&lt;P3_DESDE,P3A_CPROD,P3_CPROD)</f>
        <v>0</v>
      </c>
      <c r="AJ79" s="60" t="n">
        <f aca="false">IF(ISNUMBER(L79),L79,E79*P1_LOG+F79*P2_LOG+G79*P3_LOG)+IF(ISNUMBER(M79),M79,AA79*P1_LOG+AB79*P2_LOG+AC79*P3_LOG)*AQ79</f>
        <v>0</v>
      </c>
      <c r="AK79" s="60" t="n">
        <f aca="false">AG79*COSTE_DEV</f>
        <v>0</v>
      </c>
      <c r="AL79" s="60" t="n">
        <f aca="false">AD79*P1_IVAN+AE79*P2_IVAN+AF79*IF($A79&lt;P3_DESDE,P3A_IVAN,P3_IVAN)-AG79*IVA_DEV</f>
        <v>0</v>
      </c>
      <c r="AM79" s="60" t="n">
        <f aca="false">N79*(1+RECARGO_ADS)</f>
        <v>0</v>
      </c>
      <c r="AN79" s="58" t="n">
        <f aca="false">IF(ISNUMBER(L79),E79+F79+G79+AA79+AB79+AC79,0)</f>
        <v>0</v>
      </c>
      <c r="AO79" s="60" t="n">
        <f aca="false">P79*COMISION</f>
        <v>0</v>
      </c>
      <c r="AP79" s="58" t="n">
        <f aca="false">MIN(N(K79),Q79)</f>
        <v>0</v>
      </c>
      <c r="AQ79" s="61" t="n">
        <f aca="false">IF(Q79&gt;0,((Q79-AP79)*AT79+AP79*TASA_INC)/Q79,AT79)</f>
        <v>0.659887072235414</v>
      </c>
      <c r="AR79" s="58" t="n">
        <f aca="false">IF($A79&lt;FECHA_EXPORT,NETWORKDAYS($A79+1,FECHA_EXPORT,FESTIVOS),0)</f>
        <v>0</v>
      </c>
      <c r="AS79" s="61" t="n">
        <f aca="false">IF(AR79&gt;=5,1,INDEX(CDF_INC,1,AR79+1))</f>
        <v>0.14</v>
      </c>
      <c r="AT79" s="61" t="n">
        <f aca="false">TASA_USADA+(TASA_INC-TASA_USADA)*Q_INC*(1-AS79)/(1-Q_INC*AS79)</f>
        <v>0.659887072235414</v>
      </c>
    </row>
    <row r="80" customFormat="false" ht="15" hidden="false" customHeight="false" outlineLevel="0" collapsed="false">
      <c r="A80" s="53" t="n">
        <v>46374</v>
      </c>
      <c r="B80" s="54"/>
      <c r="C80" s="54"/>
      <c r="D80" s="54"/>
      <c r="E80" s="54"/>
      <c r="F80" s="54"/>
      <c r="G80" s="54"/>
      <c r="H80" s="54"/>
      <c r="I80" s="54"/>
      <c r="J80" s="54"/>
      <c r="K80" s="54"/>
      <c r="L80" s="55"/>
      <c r="M80" s="55"/>
      <c r="N80" s="55"/>
      <c r="O80" s="56"/>
      <c r="P80" s="31" t="n">
        <f aca="false">B80+C80+D80</f>
        <v>0</v>
      </c>
      <c r="Q80" s="31" t="n">
        <f aca="false">AA80+AB80+AC80</f>
        <v>0</v>
      </c>
      <c r="R80" s="32" t="n">
        <f aca="false">B80*P1_PVP+C80*P2_PVP+D80*IF($A80&lt;P3_DESDE,P3A_PVP,P3_PVP)</f>
        <v>0</v>
      </c>
      <c r="S80" s="32" t="str">
        <f aca="false">IF(P80&gt;0,R80/P80,"")</f>
        <v/>
      </c>
      <c r="T80" s="32" t="str">
        <f aca="false">IF(P80&gt;0,N80/P80,"")</f>
        <v/>
      </c>
      <c r="U80" s="57" t="str">
        <f aca="false">IF(N80&gt;0,R80/N80,"")</f>
        <v/>
      </c>
      <c r="V80" s="34" t="str">
        <f aca="false">IF(E80+F80+G80+H80+I80+J80&gt;0,(E80+F80+G80)/(E80+F80+G80+H80+I80+J80),"")</f>
        <v/>
      </c>
      <c r="W80" s="33" t="n">
        <f aca="false">E80*(P1_PVP-P1_CPROD)+F80*(P2_PVP-P2_CPROD)+G80*(IF($A80&lt;P3_DESDE,P3A_PVP,P3_PVP)-IF($A80&lt;P3_DESDE,P3A_CPROD,P3_CPROD))-IF(ISNUMBER(L80),L80,E80*P1_LOG+F80*P2_LOG+G80*P3_LOG)</f>
        <v>0</v>
      </c>
      <c r="X80" s="33" t="n">
        <f aca="false">W80-(E80*P1_IVAN+F80*P2_IVAN+G80*IF($A80&lt;P3_DESDE,P3A_IVAN,P3_IVAN))-(H80+I80+J80)*(COSTE_DEV-IVA_DEV)-AM80-AO80</f>
        <v>0</v>
      </c>
      <c r="Y80" s="33" t="n">
        <f aca="false">AH80-AI80-AJ80-AK80-AL80-AM80-AO80</f>
        <v>0</v>
      </c>
      <c r="AA80" s="58" t="n">
        <f aca="false">MAX(0,B80-E80-H80)</f>
        <v>0</v>
      </c>
      <c r="AB80" s="58" t="n">
        <f aca="false">MAX(0,C80-F80-I80)</f>
        <v>0</v>
      </c>
      <c r="AC80" s="58" t="n">
        <f aca="false">MAX(0,D80-G80-J80)</f>
        <v>0</v>
      </c>
      <c r="AD80" s="59" t="n">
        <f aca="false">E80+AA80*AQ80</f>
        <v>0</v>
      </c>
      <c r="AE80" s="59" t="n">
        <f aca="false">F80+AB80*AQ80</f>
        <v>0</v>
      </c>
      <c r="AF80" s="59" t="n">
        <f aca="false">G80+AC80*AQ80</f>
        <v>0</v>
      </c>
      <c r="AG80" s="59" t="n">
        <f aca="false">H80+I80+J80+(AA80+AB80+AC80)*(1-AQ80)</f>
        <v>0</v>
      </c>
      <c r="AH80" s="60" t="n">
        <f aca="false">AD80*P1_PVP+AE80*P2_PVP+AF80*IF($A80&lt;P3_DESDE,P3A_PVP,P3_PVP)</f>
        <v>0</v>
      </c>
      <c r="AI80" s="60" t="n">
        <f aca="false">AD80*P1_CPROD+AE80*P2_CPROD+AF80*IF($A80&lt;P3_DESDE,P3A_CPROD,P3_CPROD)</f>
        <v>0</v>
      </c>
      <c r="AJ80" s="60" t="n">
        <f aca="false">IF(ISNUMBER(L80),L80,E80*P1_LOG+F80*P2_LOG+G80*P3_LOG)+IF(ISNUMBER(M80),M80,AA80*P1_LOG+AB80*P2_LOG+AC80*P3_LOG)*AQ80</f>
        <v>0</v>
      </c>
      <c r="AK80" s="60" t="n">
        <f aca="false">AG80*COSTE_DEV</f>
        <v>0</v>
      </c>
      <c r="AL80" s="60" t="n">
        <f aca="false">AD80*P1_IVAN+AE80*P2_IVAN+AF80*IF($A80&lt;P3_DESDE,P3A_IVAN,P3_IVAN)-AG80*IVA_DEV</f>
        <v>0</v>
      </c>
      <c r="AM80" s="60" t="n">
        <f aca="false">N80*(1+RECARGO_ADS)</f>
        <v>0</v>
      </c>
      <c r="AN80" s="58" t="n">
        <f aca="false">IF(ISNUMBER(L80),E80+F80+G80+AA80+AB80+AC80,0)</f>
        <v>0</v>
      </c>
      <c r="AO80" s="60" t="n">
        <f aca="false">P80*COMISION</f>
        <v>0</v>
      </c>
      <c r="AP80" s="58" t="n">
        <f aca="false">MIN(N(K80),Q80)</f>
        <v>0</v>
      </c>
      <c r="AQ80" s="61" t="n">
        <f aca="false">IF(Q80&gt;0,((Q80-AP80)*AT80+AP80*TASA_INC)/Q80,AT80)</f>
        <v>0.659887072235414</v>
      </c>
      <c r="AR80" s="58" t="n">
        <f aca="false">IF($A80&lt;FECHA_EXPORT,NETWORKDAYS($A80+1,FECHA_EXPORT,FESTIVOS),0)</f>
        <v>0</v>
      </c>
      <c r="AS80" s="61" t="n">
        <f aca="false">IF(AR80&gt;=5,1,INDEX(CDF_INC,1,AR80+1))</f>
        <v>0.14</v>
      </c>
      <c r="AT80" s="61" t="n">
        <f aca="false">TASA_USADA+(TASA_INC-TASA_USADA)*Q_INC*(1-AS80)/(1-Q_INC*AS80)</f>
        <v>0.659887072235414</v>
      </c>
    </row>
    <row r="81" customFormat="false" ht="15" hidden="false" customHeight="false" outlineLevel="0" collapsed="false">
      <c r="A81" s="53" t="n">
        <v>46375</v>
      </c>
      <c r="B81" s="54"/>
      <c r="C81" s="54"/>
      <c r="D81" s="54"/>
      <c r="E81" s="54"/>
      <c r="F81" s="54"/>
      <c r="G81" s="54"/>
      <c r="H81" s="54"/>
      <c r="I81" s="54"/>
      <c r="J81" s="54"/>
      <c r="K81" s="54"/>
      <c r="L81" s="55"/>
      <c r="M81" s="55"/>
      <c r="N81" s="55"/>
      <c r="O81" s="56"/>
      <c r="P81" s="31" t="n">
        <f aca="false">B81+C81+D81</f>
        <v>0</v>
      </c>
      <c r="Q81" s="31" t="n">
        <f aca="false">AA81+AB81+AC81</f>
        <v>0</v>
      </c>
      <c r="R81" s="32" t="n">
        <f aca="false">B81*P1_PVP+C81*P2_PVP+D81*IF($A81&lt;P3_DESDE,P3A_PVP,P3_PVP)</f>
        <v>0</v>
      </c>
      <c r="S81" s="32" t="str">
        <f aca="false">IF(P81&gt;0,R81/P81,"")</f>
        <v/>
      </c>
      <c r="T81" s="32" t="str">
        <f aca="false">IF(P81&gt;0,N81/P81,"")</f>
        <v/>
      </c>
      <c r="U81" s="57" t="str">
        <f aca="false">IF(N81&gt;0,R81/N81,"")</f>
        <v/>
      </c>
      <c r="V81" s="34" t="str">
        <f aca="false">IF(E81+F81+G81+H81+I81+J81&gt;0,(E81+F81+G81)/(E81+F81+G81+H81+I81+J81),"")</f>
        <v/>
      </c>
      <c r="W81" s="33" t="n">
        <f aca="false">E81*(P1_PVP-P1_CPROD)+F81*(P2_PVP-P2_CPROD)+G81*(IF($A81&lt;P3_DESDE,P3A_PVP,P3_PVP)-IF($A81&lt;P3_DESDE,P3A_CPROD,P3_CPROD))-IF(ISNUMBER(L81),L81,E81*P1_LOG+F81*P2_LOG+G81*P3_LOG)</f>
        <v>0</v>
      </c>
      <c r="X81" s="33" t="n">
        <f aca="false">W81-(E81*P1_IVAN+F81*P2_IVAN+G81*IF($A81&lt;P3_DESDE,P3A_IVAN,P3_IVAN))-(H81+I81+J81)*(COSTE_DEV-IVA_DEV)-AM81-AO81</f>
        <v>0</v>
      </c>
      <c r="Y81" s="33" t="n">
        <f aca="false">AH81-AI81-AJ81-AK81-AL81-AM81-AO81</f>
        <v>0</v>
      </c>
      <c r="AA81" s="58" t="n">
        <f aca="false">MAX(0,B81-E81-H81)</f>
        <v>0</v>
      </c>
      <c r="AB81" s="58" t="n">
        <f aca="false">MAX(0,C81-F81-I81)</f>
        <v>0</v>
      </c>
      <c r="AC81" s="58" t="n">
        <f aca="false">MAX(0,D81-G81-J81)</f>
        <v>0</v>
      </c>
      <c r="AD81" s="59" t="n">
        <f aca="false">E81+AA81*AQ81</f>
        <v>0</v>
      </c>
      <c r="AE81" s="59" t="n">
        <f aca="false">F81+AB81*AQ81</f>
        <v>0</v>
      </c>
      <c r="AF81" s="59" t="n">
        <f aca="false">G81+AC81*AQ81</f>
        <v>0</v>
      </c>
      <c r="AG81" s="59" t="n">
        <f aca="false">H81+I81+J81+(AA81+AB81+AC81)*(1-AQ81)</f>
        <v>0</v>
      </c>
      <c r="AH81" s="60" t="n">
        <f aca="false">AD81*P1_PVP+AE81*P2_PVP+AF81*IF($A81&lt;P3_DESDE,P3A_PVP,P3_PVP)</f>
        <v>0</v>
      </c>
      <c r="AI81" s="60" t="n">
        <f aca="false">AD81*P1_CPROD+AE81*P2_CPROD+AF81*IF($A81&lt;P3_DESDE,P3A_CPROD,P3_CPROD)</f>
        <v>0</v>
      </c>
      <c r="AJ81" s="60" t="n">
        <f aca="false">IF(ISNUMBER(L81),L81,E81*P1_LOG+F81*P2_LOG+G81*P3_LOG)+IF(ISNUMBER(M81),M81,AA81*P1_LOG+AB81*P2_LOG+AC81*P3_LOG)*AQ81</f>
        <v>0</v>
      </c>
      <c r="AK81" s="60" t="n">
        <f aca="false">AG81*COSTE_DEV</f>
        <v>0</v>
      </c>
      <c r="AL81" s="60" t="n">
        <f aca="false">AD81*P1_IVAN+AE81*P2_IVAN+AF81*IF($A81&lt;P3_DESDE,P3A_IVAN,P3_IVAN)-AG81*IVA_DEV</f>
        <v>0</v>
      </c>
      <c r="AM81" s="60" t="n">
        <f aca="false">N81*(1+RECARGO_ADS)</f>
        <v>0</v>
      </c>
      <c r="AN81" s="58" t="n">
        <f aca="false">IF(ISNUMBER(L81),E81+F81+G81+AA81+AB81+AC81,0)</f>
        <v>0</v>
      </c>
      <c r="AO81" s="60" t="n">
        <f aca="false">P81*COMISION</f>
        <v>0</v>
      </c>
      <c r="AP81" s="58" t="n">
        <f aca="false">MIN(N(K81),Q81)</f>
        <v>0</v>
      </c>
      <c r="AQ81" s="61" t="n">
        <f aca="false">IF(Q81&gt;0,((Q81-AP81)*AT81+AP81*TASA_INC)/Q81,AT81)</f>
        <v>0.659887072235414</v>
      </c>
      <c r="AR81" s="58" t="n">
        <f aca="false">IF($A81&lt;FECHA_EXPORT,NETWORKDAYS($A81+1,FECHA_EXPORT,FESTIVOS),0)</f>
        <v>0</v>
      </c>
      <c r="AS81" s="61" t="n">
        <f aca="false">IF(AR81&gt;=5,1,INDEX(CDF_INC,1,AR81+1))</f>
        <v>0.14</v>
      </c>
      <c r="AT81" s="61" t="n">
        <f aca="false">TASA_USADA+(TASA_INC-TASA_USADA)*Q_INC*(1-AS81)/(1-Q_INC*AS81)</f>
        <v>0.659887072235414</v>
      </c>
    </row>
    <row r="82" customFormat="false" ht="15" hidden="false" customHeight="false" outlineLevel="0" collapsed="false">
      <c r="A82" s="53" t="n">
        <v>46376</v>
      </c>
      <c r="B82" s="54"/>
      <c r="C82" s="54"/>
      <c r="D82" s="54"/>
      <c r="E82" s="54"/>
      <c r="F82" s="54"/>
      <c r="G82" s="54"/>
      <c r="H82" s="54"/>
      <c r="I82" s="54"/>
      <c r="J82" s="54"/>
      <c r="K82" s="54"/>
      <c r="L82" s="55"/>
      <c r="M82" s="55"/>
      <c r="N82" s="55"/>
      <c r="O82" s="56"/>
      <c r="P82" s="31" t="n">
        <f aca="false">B82+C82+D82</f>
        <v>0</v>
      </c>
      <c r="Q82" s="31" t="n">
        <f aca="false">AA82+AB82+AC82</f>
        <v>0</v>
      </c>
      <c r="R82" s="32" t="n">
        <f aca="false">B82*P1_PVP+C82*P2_PVP+D82*IF($A82&lt;P3_DESDE,P3A_PVP,P3_PVP)</f>
        <v>0</v>
      </c>
      <c r="S82" s="32" t="str">
        <f aca="false">IF(P82&gt;0,R82/P82,"")</f>
        <v/>
      </c>
      <c r="T82" s="32" t="str">
        <f aca="false">IF(P82&gt;0,N82/P82,"")</f>
        <v/>
      </c>
      <c r="U82" s="57" t="str">
        <f aca="false">IF(N82&gt;0,R82/N82,"")</f>
        <v/>
      </c>
      <c r="V82" s="34" t="str">
        <f aca="false">IF(E82+F82+G82+H82+I82+J82&gt;0,(E82+F82+G82)/(E82+F82+G82+H82+I82+J82),"")</f>
        <v/>
      </c>
      <c r="W82" s="33" t="n">
        <f aca="false">E82*(P1_PVP-P1_CPROD)+F82*(P2_PVP-P2_CPROD)+G82*(IF($A82&lt;P3_DESDE,P3A_PVP,P3_PVP)-IF($A82&lt;P3_DESDE,P3A_CPROD,P3_CPROD))-IF(ISNUMBER(L82),L82,E82*P1_LOG+F82*P2_LOG+G82*P3_LOG)</f>
        <v>0</v>
      </c>
      <c r="X82" s="33" t="n">
        <f aca="false">W82-(E82*P1_IVAN+F82*P2_IVAN+G82*IF($A82&lt;P3_DESDE,P3A_IVAN,P3_IVAN))-(H82+I82+J82)*(COSTE_DEV-IVA_DEV)-AM82-AO82</f>
        <v>0</v>
      </c>
      <c r="Y82" s="33" t="n">
        <f aca="false">AH82-AI82-AJ82-AK82-AL82-AM82-AO82</f>
        <v>0</v>
      </c>
      <c r="AA82" s="58" t="n">
        <f aca="false">MAX(0,B82-E82-H82)</f>
        <v>0</v>
      </c>
      <c r="AB82" s="58" t="n">
        <f aca="false">MAX(0,C82-F82-I82)</f>
        <v>0</v>
      </c>
      <c r="AC82" s="58" t="n">
        <f aca="false">MAX(0,D82-G82-J82)</f>
        <v>0</v>
      </c>
      <c r="AD82" s="59" t="n">
        <f aca="false">E82+AA82*AQ82</f>
        <v>0</v>
      </c>
      <c r="AE82" s="59" t="n">
        <f aca="false">F82+AB82*AQ82</f>
        <v>0</v>
      </c>
      <c r="AF82" s="59" t="n">
        <f aca="false">G82+AC82*AQ82</f>
        <v>0</v>
      </c>
      <c r="AG82" s="59" t="n">
        <f aca="false">H82+I82+J82+(AA82+AB82+AC82)*(1-AQ82)</f>
        <v>0</v>
      </c>
      <c r="AH82" s="60" t="n">
        <f aca="false">AD82*P1_PVP+AE82*P2_PVP+AF82*IF($A82&lt;P3_DESDE,P3A_PVP,P3_PVP)</f>
        <v>0</v>
      </c>
      <c r="AI82" s="60" t="n">
        <f aca="false">AD82*P1_CPROD+AE82*P2_CPROD+AF82*IF($A82&lt;P3_DESDE,P3A_CPROD,P3_CPROD)</f>
        <v>0</v>
      </c>
      <c r="AJ82" s="60" t="n">
        <f aca="false">IF(ISNUMBER(L82),L82,E82*P1_LOG+F82*P2_LOG+G82*P3_LOG)+IF(ISNUMBER(M82),M82,AA82*P1_LOG+AB82*P2_LOG+AC82*P3_LOG)*AQ82</f>
        <v>0</v>
      </c>
      <c r="AK82" s="60" t="n">
        <f aca="false">AG82*COSTE_DEV</f>
        <v>0</v>
      </c>
      <c r="AL82" s="60" t="n">
        <f aca="false">AD82*P1_IVAN+AE82*P2_IVAN+AF82*IF($A82&lt;P3_DESDE,P3A_IVAN,P3_IVAN)-AG82*IVA_DEV</f>
        <v>0</v>
      </c>
      <c r="AM82" s="60" t="n">
        <f aca="false">N82*(1+RECARGO_ADS)</f>
        <v>0</v>
      </c>
      <c r="AN82" s="58" t="n">
        <f aca="false">IF(ISNUMBER(L82),E82+F82+G82+AA82+AB82+AC82,0)</f>
        <v>0</v>
      </c>
      <c r="AO82" s="60" t="n">
        <f aca="false">P82*COMISION</f>
        <v>0</v>
      </c>
      <c r="AP82" s="58" t="n">
        <f aca="false">MIN(N(K82),Q82)</f>
        <v>0</v>
      </c>
      <c r="AQ82" s="61" t="n">
        <f aca="false">IF(Q82&gt;0,((Q82-AP82)*AT82+AP82*TASA_INC)/Q82,AT82)</f>
        <v>0.659887072235414</v>
      </c>
      <c r="AR82" s="58" t="n">
        <f aca="false">IF($A82&lt;FECHA_EXPORT,NETWORKDAYS($A82+1,FECHA_EXPORT,FESTIVOS),0)</f>
        <v>0</v>
      </c>
      <c r="AS82" s="61" t="n">
        <f aca="false">IF(AR82&gt;=5,1,INDEX(CDF_INC,1,AR82+1))</f>
        <v>0.14</v>
      </c>
      <c r="AT82" s="61" t="n">
        <f aca="false">TASA_USADA+(TASA_INC-TASA_USADA)*Q_INC*(1-AS82)/(1-Q_INC*AS82)</f>
        <v>0.659887072235414</v>
      </c>
    </row>
    <row r="83" customFormat="false" ht="15" hidden="false" customHeight="false" outlineLevel="0" collapsed="false">
      <c r="A83" s="53" t="n">
        <v>46377</v>
      </c>
      <c r="B83" s="54"/>
      <c r="C83" s="54"/>
      <c r="D83" s="54"/>
      <c r="E83" s="54"/>
      <c r="F83" s="54"/>
      <c r="G83" s="54"/>
      <c r="H83" s="54"/>
      <c r="I83" s="54"/>
      <c r="J83" s="54"/>
      <c r="K83" s="54"/>
      <c r="L83" s="55"/>
      <c r="M83" s="55"/>
      <c r="N83" s="55"/>
      <c r="O83" s="56"/>
      <c r="P83" s="31" t="n">
        <f aca="false">B83+C83+D83</f>
        <v>0</v>
      </c>
      <c r="Q83" s="31" t="n">
        <f aca="false">AA83+AB83+AC83</f>
        <v>0</v>
      </c>
      <c r="R83" s="32" t="n">
        <f aca="false">B83*P1_PVP+C83*P2_PVP+D83*IF($A83&lt;P3_DESDE,P3A_PVP,P3_PVP)</f>
        <v>0</v>
      </c>
      <c r="S83" s="32" t="str">
        <f aca="false">IF(P83&gt;0,R83/P83,"")</f>
        <v/>
      </c>
      <c r="T83" s="32" t="str">
        <f aca="false">IF(P83&gt;0,N83/P83,"")</f>
        <v/>
      </c>
      <c r="U83" s="57" t="str">
        <f aca="false">IF(N83&gt;0,R83/N83,"")</f>
        <v/>
      </c>
      <c r="V83" s="34" t="str">
        <f aca="false">IF(E83+F83+G83+H83+I83+J83&gt;0,(E83+F83+G83)/(E83+F83+G83+H83+I83+J83),"")</f>
        <v/>
      </c>
      <c r="W83" s="33" t="n">
        <f aca="false">E83*(P1_PVP-P1_CPROD)+F83*(P2_PVP-P2_CPROD)+G83*(IF($A83&lt;P3_DESDE,P3A_PVP,P3_PVP)-IF($A83&lt;P3_DESDE,P3A_CPROD,P3_CPROD))-IF(ISNUMBER(L83),L83,E83*P1_LOG+F83*P2_LOG+G83*P3_LOG)</f>
        <v>0</v>
      </c>
      <c r="X83" s="33" t="n">
        <f aca="false">W83-(E83*P1_IVAN+F83*P2_IVAN+G83*IF($A83&lt;P3_DESDE,P3A_IVAN,P3_IVAN))-(H83+I83+J83)*(COSTE_DEV-IVA_DEV)-AM83-AO83</f>
        <v>0</v>
      </c>
      <c r="Y83" s="33" t="n">
        <f aca="false">AH83-AI83-AJ83-AK83-AL83-AM83-AO83</f>
        <v>0</v>
      </c>
      <c r="AA83" s="58" t="n">
        <f aca="false">MAX(0,B83-E83-H83)</f>
        <v>0</v>
      </c>
      <c r="AB83" s="58" t="n">
        <f aca="false">MAX(0,C83-F83-I83)</f>
        <v>0</v>
      </c>
      <c r="AC83" s="58" t="n">
        <f aca="false">MAX(0,D83-G83-J83)</f>
        <v>0</v>
      </c>
      <c r="AD83" s="59" t="n">
        <f aca="false">E83+AA83*AQ83</f>
        <v>0</v>
      </c>
      <c r="AE83" s="59" t="n">
        <f aca="false">F83+AB83*AQ83</f>
        <v>0</v>
      </c>
      <c r="AF83" s="59" t="n">
        <f aca="false">G83+AC83*AQ83</f>
        <v>0</v>
      </c>
      <c r="AG83" s="59" t="n">
        <f aca="false">H83+I83+J83+(AA83+AB83+AC83)*(1-AQ83)</f>
        <v>0</v>
      </c>
      <c r="AH83" s="60" t="n">
        <f aca="false">AD83*P1_PVP+AE83*P2_PVP+AF83*IF($A83&lt;P3_DESDE,P3A_PVP,P3_PVP)</f>
        <v>0</v>
      </c>
      <c r="AI83" s="60" t="n">
        <f aca="false">AD83*P1_CPROD+AE83*P2_CPROD+AF83*IF($A83&lt;P3_DESDE,P3A_CPROD,P3_CPROD)</f>
        <v>0</v>
      </c>
      <c r="AJ83" s="60" t="n">
        <f aca="false">IF(ISNUMBER(L83),L83,E83*P1_LOG+F83*P2_LOG+G83*P3_LOG)+IF(ISNUMBER(M83),M83,AA83*P1_LOG+AB83*P2_LOG+AC83*P3_LOG)*AQ83</f>
        <v>0</v>
      </c>
      <c r="AK83" s="60" t="n">
        <f aca="false">AG83*COSTE_DEV</f>
        <v>0</v>
      </c>
      <c r="AL83" s="60" t="n">
        <f aca="false">AD83*P1_IVAN+AE83*P2_IVAN+AF83*IF($A83&lt;P3_DESDE,P3A_IVAN,P3_IVAN)-AG83*IVA_DEV</f>
        <v>0</v>
      </c>
      <c r="AM83" s="60" t="n">
        <f aca="false">N83*(1+RECARGO_ADS)</f>
        <v>0</v>
      </c>
      <c r="AN83" s="58" t="n">
        <f aca="false">IF(ISNUMBER(L83),E83+F83+G83+AA83+AB83+AC83,0)</f>
        <v>0</v>
      </c>
      <c r="AO83" s="60" t="n">
        <f aca="false">P83*COMISION</f>
        <v>0</v>
      </c>
      <c r="AP83" s="58" t="n">
        <f aca="false">MIN(N(K83),Q83)</f>
        <v>0</v>
      </c>
      <c r="AQ83" s="61" t="n">
        <f aca="false">IF(Q83&gt;0,((Q83-AP83)*AT83+AP83*TASA_INC)/Q83,AT83)</f>
        <v>0.659887072235414</v>
      </c>
      <c r="AR83" s="58" t="n">
        <f aca="false">IF($A83&lt;FECHA_EXPORT,NETWORKDAYS($A83+1,FECHA_EXPORT,FESTIVOS),0)</f>
        <v>0</v>
      </c>
      <c r="AS83" s="61" t="n">
        <f aca="false">IF(AR83&gt;=5,1,INDEX(CDF_INC,1,AR83+1))</f>
        <v>0.14</v>
      </c>
      <c r="AT83" s="61" t="n">
        <f aca="false">TASA_USADA+(TASA_INC-TASA_USADA)*Q_INC*(1-AS83)/(1-Q_INC*AS83)</f>
        <v>0.659887072235414</v>
      </c>
    </row>
    <row r="84" customFormat="false" ht="15" hidden="false" customHeight="false" outlineLevel="0" collapsed="false">
      <c r="A84" s="53" t="n">
        <v>46378</v>
      </c>
      <c r="B84" s="54"/>
      <c r="C84" s="54"/>
      <c r="D84" s="54"/>
      <c r="E84" s="54"/>
      <c r="F84" s="54"/>
      <c r="G84" s="54"/>
      <c r="H84" s="54"/>
      <c r="I84" s="54"/>
      <c r="J84" s="54"/>
      <c r="K84" s="54"/>
      <c r="L84" s="55"/>
      <c r="M84" s="55"/>
      <c r="N84" s="55"/>
      <c r="O84" s="56"/>
      <c r="P84" s="31" t="n">
        <f aca="false">B84+C84+D84</f>
        <v>0</v>
      </c>
      <c r="Q84" s="31" t="n">
        <f aca="false">AA84+AB84+AC84</f>
        <v>0</v>
      </c>
      <c r="R84" s="32" t="n">
        <f aca="false">B84*P1_PVP+C84*P2_PVP+D84*IF($A84&lt;P3_DESDE,P3A_PVP,P3_PVP)</f>
        <v>0</v>
      </c>
      <c r="S84" s="32" t="str">
        <f aca="false">IF(P84&gt;0,R84/P84,"")</f>
        <v/>
      </c>
      <c r="T84" s="32" t="str">
        <f aca="false">IF(P84&gt;0,N84/P84,"")</f>
        <v/>
      </c>
      <c r="U84" s="57" t="str">
        <f aca="false">IF(N84&gt;0,R84/N84,"")</f>
        <v/>
      </c>
      <c r="V84" s="34" t="str">
        <f aca="false">IF(E84+F84+G84+H84+I84+J84&gt;0,(E84+F84+G84)/(E84+F84+G84+H84+I84+J84),"")</f>
        <v/>
      </c>
      <c r="W84" s="33" t="n">
        <f aca="false">E84*(P1_PVP-P1_CPROD)+F84*(P2_PVP-P2_CPROD)+G84*(IF($A84&lt;P3_DESDE,P3A_PVP,P3_PVP)-IF($A84&lt;P3_DESDE,P3A_CPROD,P3_CPROD))-IF(ISNUMBER(L84),L84,E84*P1_LOG+F84*P2_LOG+G84*P3_LOG)</f>
        <v>0</v>
      </c>
      <c r="X84" s="33" t="n">
        <f aca="false">W84-(E84*P1_IVAN+F84*P2_IVAN+G84*IF($A84&lt;P3_DESDE,P3A_IVAN,P3_IVAN))-(H84+I84+J84)*(COSTE_DEV-IVA_DEV)-AM84-AO84</f>
        <v>0</v>
      </c>
      <c r="Y84" s="33" t="n">
        <f aca="false">AH84-AI84-AJ84-AK84-AL84-AM84-AO84</f>
        <v>0</v>
      </c>
      <c r="AA84" s="58" t="n">
        <f aca="false">MAX(0,B84-E84-H84)</f>
        <v>0</v>
      </c>
      <c r="AB84" s="58" t="n">
        <f aca="false">MAX(0,C84-F84-I84)</f>
        <v>0</v>
      </c>
      <c r="AC84" s="58" t="n">
        <f aca="false">MAX(0,D84-G84-J84)</f>
        <v>0</v>
      </c>
      <c r="AD84" s="59" t="n">
        <f aca="false">E84+AA84*AQ84</f>
        <v>0</v>
      </c>
      <c r="AE84" s="59" t="n">
        <f aca="false">F84+AB84*AQ84</f>
        <v>0</v>
      </c>
      <c r="AF84" s="59" t="n">
        <f aca="false">G84+AC84*AQ84</f>
        <v>0</v>
      </c>
      <c r="AG84" s="59" t="n">
        <f aca="false">H84+I84+J84+(AA84+AB84+AC84)*(1-AQ84)</f>
        <v>0</v>
      </c>
      <c r="AH84" s="60" t="n">
        <f aca="false">AD84*P1_PVP+AE84*P2_PVP+AF84*IF($A84&lt;P3_DESDE,P3A_PVP,P3_PVP)</f>
        <v>0</v>
      </c>
      <c r="AI84" s="60" t="n">
        <f aca="false">AD84*P1_CPROD+AE84*P2_CPROD+AF84*IF($A84&lt;P3_DESDE,P3A_CPROD,P3_CPROD)</f>
        <v>0</v>
      </c>
      <c r="AJ84" s="60" t="n">
        <f aca="false">IF(ISNUMBER(L84),L84,E84*P1_LOG+F84*P2_LOG+G84*P3_LOG)+IF(ISNUMBER(M84),M84,AA84*P1_LOG+AB84*P2_LOG+AC84*P3_LOG)*AQ84</f>
        <v>0</v>
      </c>
      <c r="AK84" s="60" t="n">
        <f aca="false">AG84*COSTE_DEV</f>
        <v>0</v>
      </c>
      <c r="AL84" s="60" t="n">
        <f aca="false">AD84*P1_IVAN+AE84*P2_IVAN+AF84*IF($A84&lt;P3_DESDE,P3A_IVAN,P3_IVAN)-AG84*IVA_DEV</f>
        <v>0</v>
      </c>
      <c r="AM84" s="60" t="n">
        <f aca="false">N84*(1+RECARGO_ADS)</f>
        <v>0</v>
      </c>
      <c r="AN84" s="58" t="n">
        <f aca="false">IF(ISNUMBER(L84),E84+F84+G84+AA84+AB84+AC84,0)</f>
        <v>0</v>
      </c>
      <c r="AO84" s="60" t="n">
        <f aca="false">P84*COMISION</f>
        <v>0</v>
      </c>
      <c r="AP84" s="58" t="n">
        <f aca="false">MIN(N(K84),Q84)</f>
        <v>0</v>
      </c>
      <c r="AQ84" s="61" t="n">
        <f aca="false">IF(Q84&gt;0,((Q84-AP84)*AT84+AP84*TASA_INC)/Q84,AT84)</f>
        <v>0.659887072235414</v>
      </c>
      <c r="AR84" s="58" t="n">
        <f aca="false">IF($A84&lt;FECHA_EXPORT,NETWORKDAYS($A84+1,FECHA_EXPORT,FESTIVOS),0)</f>
        <v>0</v>
      </c>
      <c r="AS84" s="61" t="n">
        <f aca="false">IF(AR84&gt;=5,1,INDEX(CDF_INC,1,AR84+1))</f>
        <v>0.14</v>
      </c>
      <c r="AT84" s="61" t="n">
        <f aca="false">TASA_USADA+(TASA_INC-TASA_USADA)*Q_INC*(1-AS84)/(1-Q_INC*AS84)</f>
        <v>0.659887072235414</v>
      </c>
    </row>
    <row r="85" customFormat="false" ht="15" hidden="false" customHeight="false" outlineLevel="0" collapsed="false">
      <c r="A85" s="53" t="n">
        <v>46379</v>
      </c>
      <c r="B85" s="54"/>
      <c r="C85" s="54"/>
      <c r="D85" s="54"/>
      <c r="E85" s="54"/>
      <c r="F85" s="54"/>
      <c r="G85" s="54"/>
      <c r="H85" s="54"/>
      <c r="I85" s="54"/>
      <c r="J85" s="54"/>
      <c r="K85" s="54"/>
      <c r="L85" s="55"/>
      <c r="M85" s="55"/>
      <c r="N85" s="55"/>
      <c r="O85" s="56"/>
      <c r="P85" s="31" t="n">
        <f aca="false">B85+C85+D85</f>
        <v>0</v>
      </c>
      <c r="Q85" s="31" t="n">
        <f aca="false">AA85+AB85+AC85</f>
        <v>0</v>
      </c>
      <c r="R85" s="32" t="n">
        <f aca="false">B85*P1_PVP+C85*P2_PVP+D85*IF($A85&lt;P3_DESDE,P3A_PVP,P3_PVP)</f>
        <v>0</v>
      </c>
      <c r="S85" s="32" t="str">
        <f aca="false">IF(P85&gt;0,R85/P85,"")</f>
        <v/>
      </c>
      <c r="T85" s="32" t="str">
        <f aca="false">IF(P85&gt;0,N85/P85,"")</f>
        <v/>
      </c>
      <c r="U85" s="57" t="str">
        <f aca="false">IF(N85&gt;0,R85/N85,"")</f>
        <v/>
      </c>
      <c r="V85" s="34" t="str">
        <f aca="false">IF(E85+F85+G85+H85+I85+J85&gt;0,(E85+F85+G85)/(E85+F85+G85+H85+I85+J85),"")</f>
        <v/>
      </c>
      <c r="W85" s="33" t="n">
        <f aca="false">E85*(P1_PVP-P1_CPROD)+F85*(P2_PVP-P2_CPROD)+G85*(IF($A85&lt;P3_DESDE,P3A_PVP,P3_PVP)-IF($A85&lt;P3_DESDE,P3A_CPROD,P3_CPROD))-IF(ISNUMBER(L85),L85,E85*P1_LOG+F85*P2_LOG+G85*P3_LOG)</f>
        <v>0</v>
      </c>
      <c r="X85" s="33" t="n">
        <f aca="false">W85-(E85*P1_IVAN+F85*P2_IVAN+G85*IF($A85&lt;P3_DESDE,P3A_IVAN,P3_IVAN))-(H85+I85+J85)*(COSTE_DEV-IVA_DEV)-AM85-AO85</f>
        <v>0</v>
      </c>
      <c r="Y85" s="33" t="n">
        <f aca="false">AH85-AI85-AJ85-AK85-AL85-AM85-AO85</f>
        <v>0</v>
      </c>
      <c r="AA85" s="58" t="n">
        <f aca="false">MAX(0,B85-E85-H85)</f>
        <v>0</v>
      </c>
      <c r="AB85" s="58" t="n">
        <f aca="false">MAX(0,C85-F85-I85)</f>
        <v>0</v>
      </c>
      <c r="AC85" s="58" t="n">
        <f aca="false">MAX(0,D85-G85-J85)</f>
        <v>0</v>
      </c>
      <c r="AD85" s="59" t="n">
        <f aca="false">E85+AA85*AQ85</f>
        <v>0</v>
      </c>
      <c r="AE85" s="59" t="n">
        <f aca="false">F85+AB85*AQ85</f>
        <v>0</v>
      </c>
      <c r="AF85" s="59" t="n">
        <f aca="false">G85+AC85*AQ85</f>
        <v>0</v>
      </c>
      <c r="AG85" s="59" t="n">
        <f aca="false">H85+I85+J85+(AA85+AB85+AC85)*(1-AQ85)</f>
        <v>0</v>
      </c>
      <c r="AH85" s="60" t="n">
        <f aca="false">AD85*P1_PVP+AE85*P2_PVP+AF85*IF($A85&lt;P3_DESDE,P3A_PVP,P3_PVP)</f>
        <v>0</v>
      </c>
      <c r="AI85" s="60" t="n">
        <f aca="false">AD85*P1_CPROD+AE85*P2_CPROD+AF85*IF($A85&lt;P3_DESDE,P3A_CPROD,P3_CPROD)</f>
        <v>0</v>
      </c>
      <c r="AJ85" s="60" t="n">
        <f aca="false">IF(ISNUMBER(L85),L85,E85*P1_LOG+F85*P2_LOG+G85*P3_LOG)+IF(ISNUMBER(M85),M85,AA85*P1_LOG+AB85*P2_LOG+AC85*P3_LOG)*AQ85</f>
        <v>0</v>
      </c>
      <c r="AK85" s="60" t="n">
        <f aca="false">AG85*COSTE_DEV</f>
        <v>0</v>
      </c>
      <c r="AL85" s="60" t="n">
        <f aca="false">AD85*P1_IVAN+AE85*P2_IVAN+AF85*IF($A85&lt;P3_DESDE,P3A_IVAN,P3_IVAN)-AG85*IVA_DEV</f>
        <v>0</v>
      </c>
      <c r="AM85" s="60" t="n">
        <f aca="false">N85*(1+RECARGO_ADS)</f>
        <v>0</v>
      </c>
      <c r="AN85" s="58" t="n">
        <f aca="false">IF(ISNUMBER(L85),E85+F85+G85+AA85+AB85+AC85,0)</f>
        <v>0</v>
      </c>
      <c r="AO85" s="60" t="n">
        <f aca="false">P85*COMISION</f>
        <v>0</v>
      </c>
      <c r="AP85" s="58" t="n">
        <f aca="false">MIN(N(K85),Q85)</f>
        <v>0</v>
      </c>
      <c r="AQ85" s="61" t="n">
        <f aca="false">IF(Q85&gt;0,((Q85-AP85)*AT85+AP85*TASA_INC)/Q85,AT85)</f>
        <v>0.659887072235414</v>
      </c>
      <c r="AR85" s="58" t="n">
        <f aca="false">IF($A85&lt;FECHA_EXPORT,NETWORKDAYS($A85+1,FECHA_EXPORT,FESTIVOS),0)</f>
        <v>0</v>
      </c>
      <c r="AS85" s="61" t="n">
        <f aca="false">IF(AR85&gt;=5,1,INDEX(CDF_INC,1,AR85+1))</f>
        <v>0.14</v>
      </c>
      <c r="AT85" s="61" t="n">
        <f aca="false">TASA_USADA+(TASA_INC-TASA_USADA)*Q_INC*(1-AS85)/(1-Q_INC*AS85)</f>
        <v>0.659887072235414</v>
      </c>
    </row>
    <row r="86" customFormat="false" ht="15" hidden="false" customHeight="false" outlineLevel="0" collapsed="false">
      <c r="A86" s="53" t="n">
        <v>46380</v>
      </c>
      <c r="B86" s="54"/>
      <c r="C86" s="54"/>
      <c r="D86" s="54"/>
      <c r="E86" s="54"/>
      <c r="F86" s="54"/>
      <c r="G86" s="54"/>
      <c r="H86" s="54"/>
      <c r="I86" s="54"/>
      <c r="J86" s="54"/>
      <c r="K86" s="54"/>
      <c r="L86" s="55"/>
      <c r="M86" s="55"/>
      <c r="N86" s="55"/>
      <c r="O86" s="56"/>
      <c r="P86" s="31" t="n">
        <f aca="false">B86+C86+D86</f>
        <v>0</v>
      </c>
      <c r="Q86" s="31" t="n">
        <f aca="false">AA86+AB86+AC86</f>
        <v>0</v>
      </c>
      <c r="R86" s="32" t="n">
        <f aca="false">B86*P1_PVP+C86*P2_PVP+D86*IF($A86&lt;P3_DESDE,P3A_PVP,P3_PVP)</f>
        <v>0</v>
      </c>
      <c r="S86" s="32" t="str">
        <f aca="false">IF(P86&gt;0,R86/P86,"")</f>
        <v/>
      </c>
      <c r="T86" s="32" t="str">
        <f aca="false">IF(P86&gt;0,N86/P86,"")</f>
        <v/>
      </c>
      <c r="U86" s="57" t="str">
        <f aca="false">IF(N86&gt;0,R86/N86,"")</f>
        <v/>
      </c>
      <c r="V86" s="34" t="str">
        <f aca="false">IF(E86+F86+G86+H86+I86+J86&gt;0,(E86+F86+G86)/(E86+F86+G86+H86+I86+J86),"")</f>
        <v/>
      </c>
      <c r="W86" s="33" t="n">
        <f aca="false">E86*(P1_PVP-P1_CPROD)+F86*(P2_PVP-P2_CPROD)+G86*(IF($A86&lt;P3_DESDE,P3A_PVP,P3_PVP)-IF($A86&lt;P3_DESDE,P3A_CPROD,P3_CPROD))-IF(ISNUMBER(L86),L86,E86*P1_LOG+F86*P2_LOG+G86*P3_LOG)</f>
        <v>0</v>
      </c>
      <c r="X86" s="33" t="n">
        <f aca="false">W86-(E86*P1_IVAN+F86*P2_IVAN+G86*IF($A86&lt;P3_DESDE,P3A_IVAN,P3_IVAN))-(H86+I86+J86)*(COSTE_DEV-IVA_DEV)-AM86-AO86</f>
        <v>0</v>
      </c>
      <c r="Y86" s="33" t="n">
        <f aca="false">AH86-AI86-AJ86-AK86-AL86-AM86-AO86</f>
        <v>0</v>
      </c>
      <c r="AA86" s="58" t="n">
        <f aca="false">MAX(0,B86-E86-H86)</f>
        <v>0</v>
      </c>
      <c r="AB86" s="58" t="n">
        <f aca="false">MAX(0,C86-F86-I86)</f>
        <v>0</v>
      </c>
      <c r="AC86" s="58" t="n">
        <f aca="false">MAX(0,D86-G86-J86)</f>
        <v>0</v>
      </c>
      <c r="AD86" s="59" t="n">
        <f aca="false">E86+AA86*AQ86</f>
        <v>0</v>
      </c>
      <c r="AE86" s="59" t="n">
        <f aca="false">F86+AB86*AQ86</f>
        <v>0</v>
      </c>
      <c r="AF86" s="59" t="n">
        <f aca="false">G86+AC86*AQ86</f>
        <v>0</v>
      </c>
      <c r="AG86" s="59" t="n">
        <f aca="false">H86+I86+J86+(AA86+AB86+AC86)*(1-AQ86)</f>
        <v>0</v>
      </c>
      <c r="AH86" s="60" t="n">
        <f aca="false">AD86*P1_PVP+AE86*P2_PVP+AF86*IF($A86&lt;P3_DESDE,P3A_PVP,P3_PVP)</f>
        <v>0</v>
      </c>
      <c r="AI86" s="60" t="n">
        <f aca="false">AD86*P1_CPROD+AE86*P2_CPROD+AF86*IF($A86&lt;P3_DESDE,P3A_CPROD,P3_CPROD)</f>
        <v>0</v>
      </c>
      <c r="AJ86" s="60" t="n">
        <f aca="false">IF(ISNUMBER(L86),L86,E86*P1_LOG+F86*P2_LOG+G86*P3_LOG)+IF(ISNUMBER(M86),M86,AA86*P1_LOG+AB86*P2_LOG+AC86*P3_LOG)*AQ86</f>
        <v>0</v>
      </c>
      <c r="AK86" s="60" t="n">
        <f aca="false">AG86*COSTE_DEV</f>
        <v>0</v>
      </c>
      <c r="AL86" s="60" t="n">
        <f aca="false">AD86*P1_IVAN+AE86*P2_IVAN+AF86*IF($A86&lt;P3_DESDE,P3A_IVAN,P3_IVAN)-AG86*IVA_DEV</f>
        <v>0</v>
      </c>
      <c r="AM86" s="60" t="n">
        <f aca="false">N86*(1+RECARGO_ADS)</f>
        <v>0</v>
      </c>
      <c r="AN86" s="58" t="n">
        <f aca="false">IF(ISNUMBER(L86),E86+F86+G86+AA86+AB86+AC86,0)</f>
        <v>0</v>
      </c>
      <c r="AO86" s="60" t="n">
        <f aca="false">P86*COMISION</f>
        <v>0</v>
      </c>
      <c r="AP86" s="58" t="n">
        <f aca="false">MIN(N(K86),Q86)</f>
        <v>0</v>
      </c>
      <c r="AQ86" s="61" t="n">
        <f aca="false">IF(Q86&gt;0,((Q86-AP86)*AT86+AP86*TASA_INC)/Q86,AT86)</f>
        <v>0.659887072235414</v>
      </c>
      <c r="AR86" s="58" t="n">
        <f aca="false">IF($A86&lt;FECHA_EXPORT,NETWORKDAYS($A86+1,FECHA_EXPORT,FESTIVOS),0)</f>
        <v>0</v>
      </c>
      <c r="AS86" s="61" t="n">
        <f aca="false">IF(AR86&gt;=5,1,INDEX(CDF_INC,1,AR86+1))</f>
        <v>0.14</v>
      </c>
      <c r="AT86" s="61" t="n">
        <f aca="false">TASA_USADA+(TASA_INC-TASA_USADA)*Q_INC*(1-AS86)/(1-Q_INC*AS86)</f>
        <v>0.659887072235414</v>
      </c>
    </row>
    <row r="87" customFormat="false" ht="15" hidden="false" customHeight="false" outlineLevel="0" collapsed="false">
      <c r="A87" s="53" t="n">
        <v>46381</v>
      </c>
      <c r="B87" s="54"/>
      <c r="C87" s="54"/>
      <c r="D87" s="54"/>
      <c r="E87" s="54"/>
      <c r="F87" s="54"/>
      <c r="G87" s="54"/>
      <c r="H87" s="54"/>
      <c r="I87" s="54"/>
      <c r="J87" s="54"/>
      <c r="K87" s="54"/>
      <c r="L87" s="55"/>
      <c r="M87" s="55"/>
      <c r="N87" s="55"/>
      <c r="O87" s="56"/>
      <c r="P87" s="31" t="n">
        <f aca="false">B87+C87+D87</f>
        <v>0</v>
      </c>
      <c r="Q87" s="31" t="n">
        <f aca="false">AA87+AB87+AC87</f>
        <v>0</v>
      </c>
      <c r="R87" s="32" t="n">
        <f aca="false">B87*P1_PVP+C87*P2_PVP+D87*IF($A87&lt;P3_DESDE,P3A_PVP,P3_PVP)</f>
        <v>0</v>
      </c>
      <c r="S87" s="32" t="str">
        <f aca="false">IF(P87&gt;0,R87/P87,"")</f>
        <v/>
      </c>
      <c r="T87" s="32" t="str">
        <f aca="false">IF(P87&gt;0,N87/P87,"")</f>
        <v/>
      </c>
      <c r="U87" s="57" t="str">
        <f aca="false">IF(N87&gt;0,R87/N87,"")</f>
        <v/>
      </c>
      <c r="V87" s="34" t="str">
        <f aca="false">IF(E87+F87+G87+H87+I87+J87&gt;0,(E87+F87+G87)/(E87+F87+G87+H87+I87+J87),"")</f>
        <v/>
      </c>
      <c r="W87" s="33" t="n">
        <f aca="false">E87*(P1_PVP-P1_CPROD)+F87*(P2_PVP-P2_CPROD)+G87*(IF($A87&lt;P3_DESDE,P3A_PVP,P3_PVP)-IF($A87&lt;P3_DESDE,P3A_CPROD,P3_CPROD))-IF(ISNUMBER(L87),L87,E87*P1_LOG+F87*P2_LOG+G87*P3_LOG)</f>
        <v>0</v>
      </c>
      <c r="X87" s="33" t="n">
        <f aca="false">W87-(E87*P1_IVAN+F87*P2_IVAN+G87*IF($A87&lt;P3_DESDE,P3A_IVAN,P3_IVAN))-(H87+I87+J87)*(COSTE_DEV-IVA_DEV)-AM87-AO87</f>
        <v>0</v>
      </c>
      <c r="Y87" s="33" t="n">
        <f aca="false">AH87-AI87-AJ87-AK87-AL87-AM87-AO87</f>
        <v>0</v>
      </c>
      <c r="AA87" s="58" t="n">
        <f aca="false">MAX(0,B87-E87-H87)</f>
        <v>0</v>
      </c>
      <c r="AB87" s="58" t="n">
        <f aca="false">MAX(0,C87-F87-I87)</f>
        <v>0</v>
      </c>
      <c r="AC87" s="58" t="n">
        <f aca="false">MAX(0,D87-G87-J87)</f>
        <v>0</v>
      </c>
      <c r="AD87" s="59" t="n">
        <f aca="false">E87+AA87*AQ87</f>
        <v>0</v>
      </c>
      <c r="AE87" s="59" t="n">
        <f aca="false">F87+AB87*AQ87</f>
        <v>0</v>
      </c>
      <c r="AF87" s="59" t="n">
        <f aca="false">G87+AC87*AQ87</f>
        <v>0</v>
      </c>
      <c r="AG87" s="59" t="n">
        <f aca="false">H87+I87+J87+(AA87+AB87+AC87)*(1-AQ87)</f>
        <v>0</v>
      </c>
      <c r="AH87" s="60" t="n">
        <f aca="false">AD87*P1_PVP+AE87*P2_PVP+AF87*IF($A87&lt;P3_DESDE,P3A_PVP,P3_PVP)</f>
        <v>0</v>
      </c>
      <c r="AI87" s="60" t="n">
        <f aca="false">AD87*P1_CPROD+AE87*P2_CPROD+AF87*IF($A87&lt;P3_DESDE,P3A_CPROD,P3_CPROD)</f>
        <v>0</v>
      </c>
      <c r="AJ87" s="60" t="n">
        <f aca="false">IF(ISNUMBER(L87),L87,E87*P1_LOG+F87*P2_LOG+G87*P3_LOG)+IF(ISNUMBER(M87),M87,AA87*P1_LOG+AB87*P2_LOG+AC87*P3_LOG)*AQ87</f>
        <v>0</v>
      </c>
      <c r="AK87" s="60" t="n">
        <f aca="false">AG87*COSTE_DEV</f>
        <v>0</v>
      </c>
      <c r="AL87" s="60" t="n">
        <f aca="false">AD87*P1_IVAN+AE87*P2_IVAN+AF87*IF($A87&lt;P3_DESDE,P3A_IVAN,P3_IVAN)-AG87*IVA_DEV</f>
        <v>0</v>
      </c>
      <c r="AM87" s="60" t="n">
        <f aca="false">N87*(1+RECARGO_ADS)</f>
        <v>0</v>
      </c>
      <c r="AN87" s="58" t="n">
        <f aca="false">IF(ISNUMBER(L87),E87+F87+G87+AA87+AB87+AC87,0)</f>
        <v>0</v>
      </c>
      <c r="AO87" s="60" t="n">
        <f aca="false">P87*COMISION</f>
        <v>0</v>
      </c>
      <c r="AP87" s="58" t="n">
        <f aca="false">MIN(N(K87),Q87)</f>
        <v>0</v>
      </c>
      <c r="AQ87" s="61" t="n">
        <f aca="false">IF(Q87&gt;0,((Q87-AP87)*AT87+AP87*TASA_INC)/Q87,AT87)</f>
        <v>0.659887072235414</v>
      </c>
      <c r="AR87" s="58" t="n">
        <f aca="false">IF($A87&lt;FECHA_EXPORT,NETWORKDAYS($A87+1,FECHA_EXPORT,FESTIVOS),0)</f>
        <v>0</v>
      </c>
      <c r="AS87" s="61" t="n">
        <f aca="false">IF(AR87&gt;=5,1,INDEX(CDF_INC,1,AR87+1))</f>
        <v>0.14</v>
      </c>
      <c r="AT87" s="61" t="n">
        <f aca="false">TASA_USADA+(TASA_INC-TASA_USADA)*Q_INC*(1-AS87)/(1-Q_INC*AS87)</f>
        <v>0.659887072235414</v>
      </c>
    </row>
    <row r="88" customFormat="false" ht="15" hidden="false" customHeight="false" outlineLevel="0" collapsed="false">
      <c r="A88" s="53" t="n">
        <v>46382</v>
      </c>
      <c r="B88" s="54"/>
      <c r="C88" s="54"/>
      <c r="D88" s="54"/>
      <c r="E88" s="54"/>
      <c r="F88" s="54"/>
      <c r="G88" s="54"/>
      <c r="H88" s="54"/>
      <c r="I88" s="54"/>
      <c r="J88" s="54"/>
      <c r="K88" s="54"/>
      <c r="L88" s="55"/>
      <c r="M88" s="55"/>
      <c r="N88" s="55"/>
      <c r="O88" s="56"/>
      <c r="P88" s="31" t="n">
        <f aca="false">B88+C88+D88</f>
        <v>0</v>
      </c>
      <c r="Q88" s="31" t="n">
        <f aca="false">AA88+AB88+AC88</f>
        <v>0</v>
      </c>
      <c r="R88" s="32" t="n">
        <f aca="false">B88*P1_PVP+C88*P2_PVP+D88*IF($A88&lt;P3_DESDE,P3A_PVP,P3_PVP)</f>
        <v>0</v>
      </c>
      <c r="S88" s="32" t="str">
        <f aca="false">IF(P88&gt;0,R88/P88,"")</f>
        <v/>
      </c>
      <c r="T88" s="32" t="str">
        <f aca="false">IF(P88&gt;0,N88/P88,"")</f>
        <v/>
      </c>
      <c r="U88" s="57" t="str">
        <f aca="false">IF(N88&gt;0,R88/N88,"")</f>
        <v/>
      </c>
      <c r="V88" s="34" t="str">
        <f aca="false">IF(E88+F88+G88+H88+I88+J88&gt;0,(E88+F88+G88)/(E88+F88+G88+H88+I88+J88),"")</f>
        <v/>
      </c>
      <c r="W88" s="33" t="n">
        <f aca="false">E88*(P1_PVP-P1_CPROD)+F88*(P2_PVP-P2_CPROD)+G88*(IF($A88&lt;P3_DESDE,P3A_PVP,P3_PVP)-IF($A88&lt;P3_DESDE,P3A_CPROD,P3_CPROD))-IF(ISNUMBER(L88),L88,E88*P1_LOG+F88*P2_LOG+G88*P3_LOG)</f>
        <v>0</v>
      </c>
      <c r="X88" s="33" t="n">
        <f aca="false">W88-(E88*P1_IVAN+F88*P2_IVAN+G88*IF($A88&lt;P3_DESDE,P3A_IVAN,P3_IVAN))-(H88+I88+J88)*(COSTE_DEV-IVA_DEV)-AM88-AO88</f>
        <v>0</v>
      </c>
      <c r="Y88" s="33" t="n">
        <f aca="false">AH88-AI88-AJ88-AK88-AL88-AM88-AO88</f>
        <v>0</v>
      </c>
      <c r="AA88" s="58" t="n">
        <f aca="false">MAX(0,B88-E88-H88)</f>
        <v>0</v>
      </c>
      <c r="AB88" s="58" t="n">
        <f aca="false">MAX(0,C88-F88-I88)</f>
        <v>0</v>
      </c>
      <c r="AC88" s="58" t="n">
        <f aca="false">MAX(0,D88-G88-J88)</f>
        <v>0</v>
      </c>
      <c r="AD88" s="59" t="n">
        <f aca="false">E88+AA88*AQ88</f>
        <v>0</v>
      </c>
      <c r="AE88" s="59" t="n">
        <f aca="false">F88+AB88*AQ88</f>
        <v>0</v>
      </c>
      <c r="AF88" s="59" t="n">
        <f aca="false">G88+AC88*AQ88</f>
        <v>0</v>
      </c>
      <c r="AG88" s="59" t="n">
        <f aca="false">H88+I88+J88+(AA88+AB88+AC88)*(1-AQ88)</f>
        <v>0</v>
      </c>
      <c r="AH88" s="60" t="n">
        <f aca="false">AD88*P1_PVP+AE88*P2_PVP+AF88*IF($A88&lt;P3_DESDE,P3A_PVP,P3_PVP)</f>
        <v>0</v>
      </c>
      <c r="AI88" s="60" t="n">
        <f aca="false">AD88*P1_CPROD+AE88*P2_CPROD+AF88*IF($A88&lt;P3_DESDE,P3A_CPROD,P3_CPROD)</f>
        <v>0</v>
      </c>
      <c r="AJ88" s="60" t="n">
        <f aca="false">IF(ISNUMBER(L88),L88,E88*P1_LOG+F88*P2_LOG+G88*P3_LOG)+IF(ISNUMBER(M88),M88,AA88*P1_LOG+AB88*P2_LOG+AC88*P3_LOG)*AQ88</f>
        <v>0</v>
      </c>
      <c r="AK88" s="60" t="n">
        <f aca="false">AG88*COSTE_DEV</f>
        <v>0</v>
      </c>
      <c r="AL88" s="60" t="n">
        <f aca="false">AD88*P1_IVAN+AE88*P2_IVAN+AF88*IF($A88&lt;P3_DESDE,P3A_IVAN,P3_IVAN)-AG88*IVA_DEV</f>
        <v>0</v>
      </c>
      <c r="AM88" s="60" t="n">
        <f aca="false">N88*(1+RECARGO_ADS)</f>
        <v>0</v>
      </c>
      <c r="AN88" s="58" t="n">
        <f aca="false">IF(ISNUMBER(L88),E88+F88+G88+AA88+AB88+AC88,0)</f>
        <v>0</v>
      </c>
      <c r="AO88" s="60" t="n">
        <f aca="false">P88*COMISION</f>
        <v>0</v>
      </c>
      <c r="AP88" s="58" t="n">
        <f aca="false">MIN(N(K88),Q88)</f>
        <v>0</v>
      </c>
      <c r="AQ88" s="61" t="n">
        <f aca="false">IF(Q88&gt;0,((Q88-AP88)*AT88+AP88*TASA_INC)/Q88,AT88)</f>
        <v>0.659887072235414</v>
      </c>
      <c r="AR88" s="58" t="n">
        <f aca="false">IF($A88&lt;FECHA_EXPORT,NETWORKDAYS($A88+1,FECHA_EXPORT,FESTIVOS),0)</f>
        <v>0</v>
      </c>
      <c r="AS88" s="61" t="n">
        <f aca="false">IF(AR88&gt;=5,1,INDEX(CDF_INC,1,AR88+1))</f>
        <v>0.14</v>
      </c>
      <c r="AT88" s="61" t="n">
        <f aca="false">TASA_USADA+(TASA_INC-TASA_USADA)*Q_INC*(1-AS88)/(1-Q_INC*AS88)</f>
        <v>0.659887072235414</v>
      </c>
    </row>
    <row r="89" customFormat="false" ht="15" hidden="false" customHeight="false" outlineLevel="0" collapsed="false">
      <c r="A89" s="53" t="n">
        <v>46383</v>
      </c>
      <c r="B89" s="54"/>
      <c r="C89" s="54"/>
      <c r="D89" s="54"/>
      <c r="E89" s="54"/>
      <c r="F89" s="54"/>
      <c r="G89" s="54"/>
      <c r="H89" s="54"/>
      <c r="I89" s="54"/>
      <c r="J89" s="54"/>
      <c r="K89" s="54"/>
      <c r="L89" s="55"/>
      <c r="M89" s="55"/>
      <c r="N89" s="55"/>
      <c r="O89" s="56"/>
      <c r="P89" s="31" t="n">
        <f aca="false">B89+C89+D89</f>
        <v>0</v>
      </c>
      <c r="Q89" s="31" t="n">
        <f aca="false">AA89+AB89+AC89</f>
        <v>0</v>
      </c>
      <c r="R89" s="32" t="n">
        <f aca="false">B89*P1_PVP+C89*P2_PVP+D89*IF($A89&lt;P3_DESDE,P3A_PVP,P3_PVP)</f>
        <v>0</v>
      </c>
      <c r="S89" s="32" t="str">
        <f aca="false">IF(P89&gt;0,R89/P89,"")</f>
        <v/>
      </c>
      <c r="T89" s="32" t="str">
        <f aca="false">IF(P89&gt;0,N89/P89,"")</f>
        <v/>
      </c>
      <c r="U89" s="57" t="str">
        <f aca="false">IF(N89&gt;0,R89/N89,"")</f>
        <v/>
      </c>
      <c r="V89" s="34" t="str">
        <f aca="false">IF(E89+F89+G89+H89+I89+J89&gt;0,(E89+F89+G89)/(E89+F89+G89+H89+I89+J89),"")</f>
        <v/>
      </c>
      <c r="W89" s="33" t="n">
        <f aca="false">E89*(P1_PVP-P1_CPROD)+F89*(P2_PVP-P2_CPROD)+G89*(IF($A89&lt;P3_DESDE,P3A_PVP,P3_PVP)-IF($A89&lt;P3_DESDE,P3A_CPROD,P3_CPROD))-IF(ISNUMBER(L89),L89,E89*P1_LOG+F89*P2_LOG+G89*P3_LOG)</f>
        <v>0</v>
      </c>
      <c r="X89" s="33" t="n">
        <f aca="false">W89-(E89*P1_IVAN+F89*P2_IVAN+G89*IF($A89&lt;P3_DESDE,P3A_IVAN,P3_IVAN))-(H89+I89+J89)*(COSTE_DEV-IVA_DEV)-AM89-AO89</f>
        <v>0</v>
      </c>
      <c r="Y89" s="33" t="n">
        <f aca="false">AH89-AI89-AJ89-AK89-AL89-AM89-AO89</f>
        <v>0</v>
      </c>
      <c r="AA89" s="58" t="n">
        <f aca="false">MAX(0,B89-E89-H89)</f>
        <v>0</v>
      </c>
      <c r="AB89" s="58" t="n">
        <f aca="false">MAX(0,C89-F89-I89)</f>
        <v>0</v>
      </c>
      <c r="AC89" s="58" t="n">
        <f aca="false">MAX(0,D89-G89-J89)</f>
        <v>0</v>
      </c>
      <c r="AD89" s="59" t="n">
        <f aca="false">E89+AA89*AQ89</f>
        <v>0</v>
      </c>
      <c r="AE89" s="59" t="n">
        <f aca="false">F89+AB89*AQ89</f>
        <v>0</v>
      </c>
      <c r="AF89" s="59" t="n">
        <f aca="false">G89+AC89*AQ89</f>
        <v>0</v>
      </c>
      <c r="AG89" s="59" t="n">
        <f aca="false">H89+I89+J89+(AA89+AB89+AC89)*(1-AQ89)</f>
        <v>0</v>
      </c>
      <c r="AH89" s="60" t="n">
        <f aca="false">AD89*P1_PVP+AE89*P2_PVP+AF89*IF($A89&lt;P3_DESDE,P3A_PVP,P3_PVP)</f>
        <v>0</v>
      </c>
      <c r="AI89" s="60" t="n">
        <f aca="false">AD89*P1_CPROD+AE89*P2_CPROD+AF89*IF($A89&lt;P3_DESDE,P3A_CPROD,P3_CPROD)</f>
        <v>0</v>
      </c>
      <c r="AJ89" s="60" t="n">
        <f aca="false">IF(ISNUMBER(L89),L89,E89*P1_LOG+F89*P2_LOG+G89*P3_LOG)+IF(ISNUMBER(M89),M89,AA89*P1_LOG+AB89*P2_LOG+AC89*P3_LOG)*AQ89</f>
        <v>0</v>
      </c>
      <c r="AK89" s="60" t="n">
        <f aca="false">AG89*COSTE_DEV</f>
        <v>0</v>
      </c>
      <c r="AL89" s="60" t="n">
        <f aca="false">AD89*P1_IVAN+AE89*P2_IVAN+AF89*IF($A89&lt;P3_DESDE,P3A_IVAN,P3_IVAN)-AG89*IVA_DEV</f>
        <v>0</v>
      </c>
      <c r="AM89" s="60" t="n">
        <f aca="false">N89*(1+RECARGO_ADS)</f>
        <v>0</v>
      </c>
      <c r="AN89" s="58" t="n">
        <f aca="false">IF(ISNUMBER(L89),E89+F89+G89+AA89+AB89+AC89,0)</f>
        <v>0</v>
      </c>
      <c r="AO89" s="60" t="n">
        <f aca="false">P89*COMISION</f>
        <v>0</v>
      </c>
      <c r="AP89" s="58" t="n">
        <f aca="false">MIN(N(K89),Q89)</f>
        <v>0</v>
      </c>
      <c r="AQ89" s="61" t="n">
        <f aca="false">IF(Q89&gt;0,((Q89-AP89)*AT89+AP89*TASA_INC)/Q89,AT89)</f>
        <v>0.659887072235414</v>
      </c>
      <c r="AR89" s="58" t="n">
        <f aca="false">IF($A89&lt;FECHA_EXPORT,NETWORKDAYS($A89+1,FECHA_EXPORT,FESTIVOS),0)</f>
        <v>0</v>
      </c>
      <c r="AS89" s="61" t="n">
        <f aca="false">IF(AR89&gt;=5,1,INDEX(CDF_INC,1,AR89+1))</f>
        <v>0.14</v>
      </c>
      <c r="AT89" s="61" t="n">
        <f aca="false">TASA_USADA+(TASA_INC-TASA_USADA)*Q_INC*(1-AS89)/(1-Q_INC*AS89)</f>
        <v>0.659887072235414</v>
      </c>
    </row>
    <row r="90" customFormat="false" ht="15" hidden="false" customHeight="false" outlineLevel="0" collapsed="false">
      <c r="A90" s="53" t="n">
        <v>46384</v>
      </c>
      <c r="B90" s="54"/>
      <c r="C90" s="54"/>
      <c r="D90" s="54"/>
      <c r="E90" s="54"/>
      <c r="F90" s="54"/>
      <c r="G90" s="54"/>
      <c r="H90" s="54"/>
      <c r="I90" s="54"/>
      <c r="J90" s="54"/>
      <c r="K90" s="54"/>
      <c r="L90" s="55"/>
      <c r="M90" s="55"/>
      <c r="N90" s="55"/>
      <c r="O90" s="56"/>
      <c r="P90" s="31" t="n">
        <f aca="false">B90+C90+D90</f>
        <v>0</v>
      </c>
      <c r="Q90" s="31" t="n">
        <f aca="false">AA90+AB90+AC90</f>
        <v>0</v>
      </c>
      <c r="R90" s="32" t="n">
        <f aca="false">B90*P1_PVP+C90*P2_PVP+D90*IF($A90&lt;P3_DESDE,P3A_PVP,P3_PVP)</f>
        <v>0</v>
      </c>
      <c r="S90" s="32" t="str">
        <f aca="false">IF(P90&gt;0,R90/P90,"")</f>
        <v/>
      </c>
      <c r="T90" s="32" t="str">
        <f aca="false">IF(P90&gt;0,N90/P90,"")</f>
        <v/>
      </c>
      <c r="U90" s="57" t="str">
        <f aca="false">IF(N90&gt;0,R90/N90,"")</f>
        <v/>
      </c>
      <c r="V90" s="34" t="str">
        <f aca="false">IF(E90+F90+G90+H90+I90+J90&gt;0,(E90+F90+G90)/(E90+F90+G90+H90+I90+J90),"")</f>
        <v/>
      </c>
      <c r="W90" s="33" t="n">
        <f aca="false">E90*(P1_PVP-P1_CPROD)+F90*(P2_PVP-P2_CPROD)+G90*(IF($A90&lt;P3_DESDE,P3A_PVP,P3_PVP)-IF($A90&lt;P3_DESDE,P3A_CPROD,P3_CPROD))-IF(ISNUMBER(L90),L90,E90*P1_LOG+F90*P2_LOG+G90*P3_LOG)</f>
        <v>0</v>
      </c>
      <c r="X90" s="33" t="n">
        <f aca="false">W90-(E90*P1_IVAN+F90*P2_IVAN+G90*IF($A90&lt;P3_DESDE,P3A_IVAN,P3_IVAN))-(H90+I90+J90)*(COSTE_DEV-IVA_DEV)-AM90-AO90</f>
        <v>0</v>
      </c>
      <c r="Y90" s="33" t="n">
        <f aca="false">AH90-AI90-AJ90-AK90-AL90-AM90-AO90</f>
        <v>0</v>
      </c>
      <c r="AA90" s="58" t="n">
        <f aca="false">MAX(0,B90-E90-H90)</f>
        <v>0</v>
      </c>
      <c r="AB90" s="58" t="n">
        <f aca="false">MAX(0,C90-F90-I90)</f>
        <v>0</v>
      </c>
      <c r="AC90" s="58" t="n">
        <f aca="false">MAX(0,D90-G90-J90)</f>
        <v>0</v>
      </c>
      <c r="AD90" s="59" t="n">
        <f aca="false">E90+AA90*AQ90</f>
        <v>0</v>
      </c>
      <c r="AE90" s="59" t="n">
        <f aca="false">F90+AB90*AQ90</f>
        <v>0</v>
      </c>
      <c r="AF90" s="59" t="n">
        <f aca="false">G90+AC90*AQ90</f>
        <v>0</v>
      </c>
      <c r="AG90" s="59" t="n">
        <f aca="false">H90+I90+J90+(AA90+AB90+AC90)*(1-AQ90)</f>
        <v>0</v>
      </c>
      <c r="AH90" s="60" t="n">
        <f aca="false">AD90*P1_PVP+AE90*P2_PVP+AF90*IF($A90&lt;P3_DESDE,P3A_PVP,P3_PVP)</f>
        <v>0</v>
      </c>
      <c r="AI90" s="60" t="n">
        <f aca="false">AD90*P1_CPROD+AE90*P2_CPROD+AF90*IF($A90&lt;P3_DESDE,P3A_CPROD,P3_CPROD)</f>
        <v>0</v>
      </c>
      <c r="AJ90" s="60" t="n">
        <f aca="false">IF(ISNUMBER(L90),L90,E90*P1_LOG+F90*P2_LOG+G90*P3_LOG)+IF(ISNUMBER(M90),M90,AA90*P1_LOG+AB90*P2_LOG+AC90*P3_LOG)*AQ90</f>
        <v>0</v>
      </c>
      <c r="AK90" s="60" t="n">
        <f aca="false">AG90*COSTE_DEV</f>
        <v>0</v>
      </c>
      <c r="AL90" s="60" t="n">
        <f aca="false">AD90*P1_IVAN+AE90*P2_IVAN+AF90*IF($A90&lt;P3_DESDE,P3A_IVAN,P3_IVAN)-AG90*IVA_DEV</f>
        <v>0</v>
      </c>
      <c r="AM90" s="60" t="n">
        <f aca="false">N90*(1+RECARGO_ADS)</f>
        <v>0</v>
      </c>
      <c r="AN90" s="58" t="n">
        <f aca="false">IF(ISNUMBER(L90),E90+F90+G90+AA90+AB90+AC90,0)</f>
        <v>0</v>
      </c>
      <c r="AO90" s="60" t="n">
        <f aca="false">P90*COMISION</f>
        <v>0</v>
      </c>
      <c r="AP90" s="58" t="n">
        <f aca="false">MIN(N(K90),Q90)</f>
        <v>0</v>
      </c>
      <c r="AQ90" s="61" t="n">
        <f aca="false">IF(Q90&gt;0,((Q90-AP90)*AT90+AP90*TASA_INC)/Q90,AT90)</f>
        <v>0.659887072235414</v>
      </c>
      <c r="AR90" s="58" t="n">
        <f aca="false">IF($A90&lt;FECHA_EXPORT,NETWORKDAYS($A90+1,FECHA_EXPORT,FESTIVOS),0)</f>
        <v>0</v>
      </c>
      <c r="AS90" s="61" t="n">
        <f aca="false">IF(AR90&gt;=5,1,INDEX(CDF_INC,1,AR90+1))</f>
        <v>0.14</v>
      </c>
      <c r="AT90" s="61" t="n">
        <f aca="false">TASA_USADA+(TASA_INC-TASA_USADA)*Q_INC*(1-AS90)/(1-Q_INC*AS90)</f>
        <v>0.659887072235414</v>
      </c>
    </row>
    <row r="91" customFormat="false" ht="15" hidden="false" customHeight="false" outlineLevel="0" collapsed="false">
      <c r="A91" s="53" t="n">
        <v>46385</v>
      </c>
      <c r="B91" s="54"/>
      <c r="C91" s="54"/>
      <c r="D91" s="54"/>
      <c r="E91" s="54"/>
      <c r="F91" s="54"/>
      <c r="G91" s="54"/>
      <c r="H91" s="54"/>
      <c r="I91" s="54"/>
      <c r="J91" s="54"/>
      <c r="K91" s="54"/>
      <c r="L91" s="55"/>
      <c r="M91" s="55"/>
      <c r="N91" s="55"/>
      <c r="O91" s="56"/>
      <c r="P91" s="31" t="n">
        <f aca="false">B91+C91+D91</f>
        <v>0</v>
      </c>
      <c r="Q91" s="31" t="n">
        <f aca="false">AA91+AB91+AC91</f>
        <v>0</v>
      </c>
      <c r="R91" s="32" t="n">
        <f aca="false">B91*P1_PVP+C91*P2_PVP+D91*IF($A91&lt;P3_DESDE,P3A_PVP,P3_PVP)</f>
        <v>0</v>
      </c>
      <c r="S91" s="32" t="str">
        <f aca="false">IF(P91&gt;0,R91/P91,"")</f>
        <v/>
      </c>
      <c r="T91" s="32" t="str">
        <f aca="false">IF(P91&gt;0,N91/P91,"")</f>
        <v/>
      </c>
      <c r="U91" s="57" t="str">
        <f aca="false">IF(N91&gt;0,R91/N91,"")</f>
        <v/>
      </c>
      <c r="V91" s="34" t="str">
        <f aca="false">IF(E91+F91+G91+H91+I91+J91&gt;0,(E91+F91+G91)/(E91+F91+G91+H91+I91+J91),"")</f>
        <v/>
      </c>
      <c r="W91" s="33" t="n">
        <f aca="false">E91*(P1_PVP-P1_CPROD)+F91*(P2_PVP-P2_CPROD)+G91*(IF($A91&lt;P3_DESDE,P3A_PVP,P3_PVP)-IF($A91&lt;P3_DESDE,P3A_CPROD,P3_CPROD))-IF(ISNUMBER(L91),L91,E91*P1_LOG+F91*P2_LOG+G91*P3_LOG)</f>
        <v>0</v>
      </c>
      <c r="X91" s="33" t="n">
        <f aca="false">W91-(E91*P1_IVAN+F91*P2_IVAN+G91*IF($A91&lt;P3_DESDE,P3A_IVAN,P3_IVAN))-(H91+I91+J91)*(COSTE_DEV-IVA_DEV)-AM91-AO91</f>
        <v>0</v>
      </c>
      <c r="Y91" s="33" t="n">
        <f aca="false">AH91-AI91-AJ91-AK91-AL91-AM91-AO91</f>
        <v>0</v>
      </c>
      <c r="AA91" s="58" t="n">
        <f aca="false">MAX(0,B91-E91-H91)</f>
        <v>0</v>
      </c>
      <c r="AB91" s="58" t="n">
        <f aca="false">MAX(0,C91-F91-I91)</f>
        <v>0</v>
      </c>
      <c r="AC91" s="58" t="n">
        <f aca="false">MAX(0,D91-G91-J91)</f>
        <v>0</v>
      </c>
      <c r="AD91" s="59" t="n">
        <f aca="false">E91+AA91*AQ91</f>
        <v>0</v>
      </c>
      <c r="AE91" s="59" t="n">
        <f aca="false">F91+AB91*AQ91</f>
        <v>0</v>
      </c>
      <c r="AF91" s="59" t="n">
        <f aca="false">G91+AC91*AQ91</f>
        <v>0</v>
      </c>
      <c r="AG91" s="59" t="n">
        <f aca="false">H91+I91+J91+(AA91+AB91+AC91)*(1-AQ91)</f>
        <v>0</v>
      </c>
      <c r="AH91" s="60" t="n">
        <f aca="false">AD91*P1_PVP+AE91*P2_PVP+AF91*IF($A91&lt;P3_DESDE,P3A_PVP,P3_PVP)</f>
        <v>0</v>
      </c>
      <c r="AI91" s="60" t="n">
        <f aca="false">AD91*P1_CPROD+AE91*P2_CPROD+AF91*IF($A91&lt;P3_DESDE,P3A_CPROD,P3_CPROD)</f>
        <v>0</v>
      </c>
      <c r="AJ91" s="60" t="n">
        <f aca="false">IF(ISNUMBER(L91),L91,E91*P1_LOG+F91*P2_LOG+G91*P3_LOG)+IF(ISNUMBER(M91),M91,AA91*P1_LOG+AB91*P2_LOG+AC91*P3_LOG)*AQ91</f>
        <v>0</v>
      </c>
      <c r="AK91" s="60" t="n">
        <f aca="false">AG91*COSTE_DEV</f>
        <v>0</v>
      </c>
      <c r="AL91" s="60" t="n">
        <f aca="false">AD91*P1_IVAN+AE91*P2_IVAN+AF91*IF($A91&lt;P3_DESDE,P3A_IVAN,P3_IVAN)-AG91*IVA_DEV</f>
        <v>0</v>
      </c>
      <c r="AM91" s="60" t="n">
        <f aca="false">N91*(1+RECARGO_ADS)</f>
        <v>0</v>
      </c>
      <c r="AN91" s="58" t="n">
        <f aca="false">IF(ISNUMBER(L91),E91+F91+G91+AA91+AB91+AC91,0)</f>
        <v>0</v>
      </c>
      <c r="AO91" s="60" t="n">
        <f aca="false">P91*COMISION</f>
        <v>0</v>
      </c>
      <c r="AP91" s="58" t="n">
        <f aca="false">MIN(N(K91),Q91)</f>
        <v>0</v>
      </c>
      <c r="AQ91" s="61" t="n">
        <f aca="false">IF(Q91&gt;0,((Q91-AP91)*AT91+AP91*TASA_INC)/Q91,AT91)</f>
        <v>0.659887072235414</v>
      </c>
      <c r="AR91" s="58" t="n">
        <f aca="false">IF($A91&lt;FECHA_EXPORT,NETWORKDAYS($A91+1,FECHA_EXPORT,FESTIVOS),0)</f>
        <v>0</v>
      </c>
      <c r="AS91" s="61" t="n">
        <f aca="false">IF(AR91&gt;=5,1,INDEX(CDF_INC,1,AR91+1))</f>
        <v>0.14</v>
      </c>
      <c r="AT91" s="61" t="n">
        <f aca="false">TASA_USADA+(TASA_INC-TASA_USADA)*Q_INC*(1-AS91)/(1-Q_INC*AS91)</f>
        <v>0.659887072235414</v>
      </c>
    </row>
    <row r="92" customFormat="false" ht="15" hidden="false" customHeight="false" outlineLevel="0" collapsed="false">
      <c r="A92" s="53" t="n">
        <v>46386</v>
      </c>
      <c r="B92" s="54"/>
      <c r="C92" s="54"/>
      <c r="D92" s="54"/>
      <c r="E92" s="54"/>
      <c r="F92" s="54"/>
      <c r="G92" s="54"/>
      <c r="H92" s="54"/>
      <c r="I92" s="54"/>
      <c r="J92" s="54"/>
      <c r="K92" s="54"/>
      <c r="L92" s="55"/>
      <c r="M92" s="55"/>
      <c r="N92" s="55"/>
      <c r="O92" s="56"/>
      <c r="P92" s="31" t="n">
        <f aca="false">B92+C92+D92</f>
        <v>0</v>
      </c>
      <c r="Q92" s="31" t="n">
        <f aca="false">AA92+AB92+AC92</f>
        <v>0</v>
      </c>
      <c r="R92" s="32" t="n">
        <f aca="false">B92*P1_PVP+C92*P2_PVP+D92*IF($A92&lt;P3_DESDE,P3A_PVP,P3_PVP)</f>
        <v>0</v>
      </c>
      <c r="S92" s="32" t="str">
        <f aca="false">IF(P92&gt;0,R92/P92,"")</f>
        <v/>
      </c>
      <c r="T92" s="32" t="str">
        <f aca="false">IF(P92&gt;0,N92/P92,"")</f>
        <v/>
      </c>
      <c r="U92" s="57" t="str">
        <f aca="false">IF(N92&gt;0,R92/N92,"")</f>
        <v/>
      </c>
      <c r="V92" s="34" t="str">
        <f aca="false">IF(E92+F92+G92+H92+I92+J92&gt;0,(E92+F92+G92)/(E92+F92+G92+H92+I92+J92),"")</f>
        <v/>
      </c>
      <c r="W92" s="33" t="n">
        <f aca="false">E92*(P1_PVP-P1_CPROD)+F92*(P2_PVP-P2_CPROD)+G92*(IF($A92&lt;P3_DESDE,P3A_PVP,P3_PVP)-IF($A92&lt;P3_DESDE,P3A_CPROD,P3_CPROD))-IF(ISNUMBER(L92),L92,E92*P1_LOG+F92*P2_LOG+G92*P3_LOG)</f>
        <v>0</v>
      </c>
      <c r="X92" s="33" t="n">
        <f aca="false">W92-(E92*P1_IVAN+F92*P2_IVAN+G92*IF($A92&lt;P3_DESDE,P3A_IVAN,P3_IVAN))-(H92+I92+J92)*(COSTE_DEV-IVA_DEV)-AM92-AO92</f>
        <v>0</v>
      </c>
      <c r="Y92" s="33" t="n">
        <f aca="false">AH92-AI92-AJ92-AK92-AL92-AM92-AO92</f>
        <v>0</v>
      </c>
      <c r="AA92" s="58" t="n">
        <f aca="false">MAX(0,B92-E92-H92)</f>
        <v>0</v>
      </c>
      <c r="AB92" s="58" t="n">
        <f aca="false">MAX(0,C92-F92-I92)</f>
        <v>0</v>
      </c>
      <c r="AC92" s="58" t="n">
        <f aca="false">MAX(0,D92-G92-J92)</f>
        <v>0</v>
      </c>
      <c r="AD92" s="59" t="n">
        <f aca="false">E92+AA92*AQ92</f>
        <v>0</v>
      </c>
      <c r="AE92" s="59" t="n">
        <f aca="false">F92+AB92*AQ92</f>
        <v>0</v>
      </c>
      <c r="AF92" s="59" t="n">
        <f aca="false">G92+AC92*AQ92</f>
        <v>0</v>
      </c>
      <c r="AG92" s="59" t="n">
        <f aca="false">H92+I92+J92+(AA92+AB92+AC92)*(1-AQ92)</f>
        <v>0</v>
      </c>
      <c r="AH92" s="60" t="n">
        <f aca="false">AD92*P1_PVP+AE92*P2_PVP+AF92*IF($A92&lt;P3_DESDE,P3A_PVP,P3_PVP)</f>
        <v>0</v>
      </c>
      <c r="AI92" s="60" t="n">
        <f aca="false">AD92*P1_CPROD+AE92*P2_CPROD+AF92*IF($A92&lt;P3_DESDE,P3A_CPROD,P3_CPROD)</f>
        <v>0</v>
      </c>
      <c r="AJ92" s="60" t="n">
        <f aca="false">IF(ISNUMBER(L92),L92,E92*P1_LOG+F92*P2_LOG+G92*P3_LOG)+IF(ISNUMBER(M92),M92,AA92*P1_LOG+AB92*P2_LOG+AC92*P3_LOG)*AQ92</f>
        <v>0</v>
      </c>
      <c r="AK92" s="60" t="n">
        <f aca="false">AG92*COSTE_DEV</f>
        <v>0</v>
      </c>
      <c r="AL92" s="60" t="n">
        <f aca="false">AD92*P1_IVAN+AE92*P2_IVAN+AF92*IF($A92&lt;P3_DESDE,P3A_IVAN,P3_IVAN)-AG92*IVA_DEV</f>
        <v>0</v>
      </c>
      <c r="AM92" s="60" t="n">
        <f aca="false">N92*(1+RECARGO_ADS)</f>
        <v>0</v>
      </c>
      <c r="AN92" s="58" t="n">
        <f aca="false">IF(ISNUMBER(L92),E92+F92+G92+AA92+AB92+AC92,0)</f>
        <v>0</v>
      </c>
      <c r="AO92" s="60" t="n">
        <f aca="false">P92*COMISION</f>
        <v>0</v>
      </c>
      <c r="AP92" s="58" t="n">
        <f aca="false">MIN(N(K92),Q92)</f>
        <v>0</v>
      </c>
      <c r="AQ92" s="61" t="n">
        <f aca="false">IF(Q92&gt;0,((Q92-AP92)*AT92+AP92*TASA_INC)/Q92,AT92)</f>
        <v>0.659887072235414</v>
      </c>
      <c r="AR92" s="58" t="n">
        <f aca="false">IF($A92&lt;FECHA_EXPORT,NETWORKDAYS($A92+1,FECHA_EXPORT,FESTIVOS),0)</f>
        <v>0</v>
      </c>
      <c r="AS92" s="61" t="n">
        <f aca="false">IF(AR92&gt;=5,1,INDEX(CDF_INC,1,AR92+1))</f>
        <v>0.14</v>
      </c>
      <c r="AT92" s="61" t="n">
        <f aca="false">TASA_USADA+(TASA_INC-TASA_USADA)*Q_INC*(1-AS92)/(1-Q_INC*AS92)</f>
        <v>0.659887072235414</v>
      </c>
    </row>
    <row r="93" customFormat="false" ht="15" hidden="false" customHeight="false" outlineLevel="0" collapsed="false">
      <c r="A93" s="53" t="n">
        <v>46387</v>
      </c>
      <c r="B93" s="54"/>
      <c r="C93" s="54"/>
      <c r="D93" s="54"/>
      <c r="E93" s="54"/>
      <c r="F93" s="54"/>
      <c r="G93" s="54"/>
      <c r="H93" s="54"/>
      <c r="I93" s="54"/>
      <c r="J93" s="54"/>
      <c r="K93" s="54"/>
      <c r="L93" s="55"/>
      <c r="M93" s="55"/>
      <c r="N93" s="55"/>
      <c r="O93" s="56"/>
      <c r="P93" s="31" t="n">
        <f aca="false">B93+C93+D93</f>
        <v>0</v>
      </c>
      <c r="Q93" s="31" t="n">
        <f aca="false">AA93+AB93+AC93</f>
        <v>0</v>
      </c>
      <c r="R93" s="32" t="n">
        <f aca="false">B93*P1_PVP+C93*P2_PVP+D93*IF($A93&lt;P3_DESDE,P3A_PVP,P3_PVP)</f>
        <v>0</v>
      </c>
      <c r="S93" s="32" t="str">
        <f aca="false">IF(P93&gt;0,R93/P93,"")</f>
        <v/>
      </c>
      <c r="T93" s="32" t="str">
        <f aca="false">IF(P93&gt;0,N93/P93,"")</f>
        <v/>
      </c>
      <c r="U93" s="57" t="str">
        <f aca="false">IF(N93&gt;0,R93/N93,"")</f>
        <v/>
      </c>
      <c r="V93" s="34" t="str">
        <f aca="false">IF(E93+F93+G93+H93+I93+J93&gt;0,(E93+F93+G93)/(E93+F93+G93+H93+I93+J93),"")</f>
        <v/>
      </c>
      <c r="W93" s="33" t="n">
        <f aca="false">E93*(P1_PVP-P1_CPROD)+F93*(P2_PVP-P2_CPROD)+G93*(IF($A93&lt;P3_DESDE,P3A_PVP,P3_PVP)-IF($A93&lt;P3_DESDE,P3A_CPROD,P3_CPROD))-IF(ISNUMBER(L93),L93,E93*P1_LOG+F93*P2_LOG+G93*P3_LOG)</f>
        <v>0</v>
      </c>
      <c r="X93" s="33" t="n">
        <f aca="false">W93-(E93*P1_IVAN+F93*P2_IVAN+G93*IF($A93&lt;P3_DESDE,P3A_IVAN,P3_IVAN))-(H93+I93+J93)*(COSTE_DEV-IVA_DEV)-AM93-AO93</f>
        <v>0</v>
      </c>
      <c r="Y93" s="33" t="n">
        <f aca="false">AH93-AI93-AJ93-AK93-AL93-AM93-AO93</f>
        <v>0</v>
      </c>
      <c r="AA93" s="58" t="n">
        <f aca="false">MAX(0,B93-E93-H93)</f>
        <v>0</v>
      </c>
      <c r="AB93" s="58" t="n">
        <f aca="false">MAX(0,C93-F93-I93)</f>
        <v>0</v>
      </c>
      <c r="AC93" s="58" t="n">
        <f aca="false">MAX(0,D93-G93-J93)</f>
        <v>0</v>
      </c>
      <c r="AD93" s="59" t="n">
        <f aca="false">E93+AA93*AQ93</f>
        <v>0</v>
      </c>
      <c r="AE93" s="59" t="n">
        <f aca="false">F93+AB93*AQ93</f>
        <v>0</v>
      </c>
      <c r="AF93" s="59" t="n">
        <f aca="false">G93+AC93*AQ93</f>
        <v>0</v>
      </c>
      <c r="AG93" s="59" t="n">
        <f aca="false">H93+I93+J93+(AA93+AB93+AC93)*(1-AQ93)</f>
        <v>0</v>
      </c>
      <c r="AH93" s="60" t="n">
        <f aca="false">AD93*P1_PVP+AE93*P2_PVP+AF93*IF($A93&lt;P3_DESDE,P3A_PVP,P3_PVP)</f>
        <v>0</v>
      </c>
      <c r="AI93" s="60" t="n">
        <f aca="false">AD93*P1_CPROD+AE93*P2_CPROD+AF93*IF($A93&lt;P3_DESDE,P3A_CPROD,P3_CPROD)</f>
        <v>0</v>
      </c>
      <c r="AJ93" s="60" t="n">
        <f aca="false">IF(ISNUMBER(L93),L93,E93*P1_LOG+F93*P2_LOG+G93*P3_LOG)+IF(ISNUMBER(M93),M93,AA93*P1_LOG+AB93*P2_LOG+AC93*P3_LOG)*AQ93</f>
        <v>0</v>
      </c>
      <c r="AK93" s="60" t="n">
        <f aca="false">AG93*COSTE_DEV</f>
        <v>0</v>
      </c>
      <c r="AL93" s="60" t="n">
        <f aca="false">AD93*P1_IVAN+AE93*P2_IVAN+AF93*IF($A93&lt;P3_DESDE,P3A_IVAN,P3_IVAN)-AG93*IVA_DEV</f>
        <v>0</v>
      </c>
      <c r="AM93" s="60" t="n">
        <f aca="false">N93*(1+RECARGO_ADS)</f>
        <v>0</v>
      </c>
      <c r="AN93" s="58" t="n">
        <f aca="false">IF(ISNUMBER(L93),E93+F93+G93+AA93+AB93+AC93,0)</f>
        <v>0</v>
      </c>
      <c r="AO93" s="60" t="n">
        <f aca="false">P93*COMISION</f>
        <v>0</v>
      </c>
      <c r="AP93" s="58" t="n">
        <f aca="false">MIN(N(K93),Q93)</f>
        <v>0</v>
      </c>
      <c r="AQ93" s="61" t="n">
        <f aca="false">IF(Q93&gt;0,((Q93-AP93)*AT93+AP93*TASA_INC)/Q93,AT93)</f>
        <v>0.659887072235414</v>
      </c>
      <c r="AR93" s="58" t="n">
        <f aca="false">IF($A93&lt;FECHA_EXPORT,NETWORKDAYS($A93+1,FECHA_EXPORT,FESTIVOS),0)</f>
        <v>0</v>
      </c>
      <c r="AS93" s="61" t="n">
        <f aca="false">IF(AR93&gt;=5,1,INDEX(CDF_INC,1,AR93+1))</f>
        <v>0.14</v>
      </c>
      <c r="AT93" s="61" t="n">
        <f aca="false">TASA_USADA+(TASA_INC-TASA_USADA)*Q_INC*(1-AS93)/(1-Q_INC*AS93)</f>
        <v>0.659887072235414</v>
      </c>
    </row>
    <row r="94" customFormat="false" ht="15" hidden="false" customHeight="false" outlineLevel="0" collapsed="false">
      <c r="A94" s="53" t="n">
        <v>46388</v>
      </c>
      <c r="B94" s="54"/>
      <c r="C94" s="54"/>
      <c r="D94" s="54"/>
      <c r="E94" s="54"/>
      <c r="F94" s="54"/>
      <c r="G94" s="54"/>
      <c r="H94" s="54"/>
      <c r="I94" s="54"/>
      <c r="J94" s="54"/>
      <c r="K94" s="54"/>
      <c r="L94" s="55"/>
      <c r="M94" s="55"/>
      <c r="N94" s="55"/>
      <c r="O94" s="56"/>
      <c r="P94" s="31" t="n">
        <f aca="false">B94+C94+D94</f>
        <v>0</v>
      </c>
      <c r="Q94" s="31" t="n">
        <f aca="false">AA94+AB94+AC94</f>
        <v>0</v>
      </c>
      <c r="R94" s="32" t="n">
        <f aca="false">B94*P1_PVP+C94*P2_PVP+D94*IF($A94&lt;P3_DESDE,P3A_PVP,P3_PVP)</f>
        <v>0</v>
      </c>
      <c r="S94" s="32" t="str">
        <f aca="false">IF(P94&gt;0,R94/P94,"")</f>
        <v/>
      </c>
      <c r="T94" s="32" t="str">
        <f aca="false">IF(P94&gt;0,N94/P94,"")</f>
        <v/>
      </c>
      <c r="U94" s="57" t="str">
        <f aca="false">IF(N94&gt;0,R94/N94,"")</f>
        <v/>
      </c>
      <c r="V94" s="34" t="str">
        <f aca="false">IF(E94+F94+G94+H94+I94+J94&gt;0,(E94+F94+G94)/(E94+F94+G94+H94+I94+J94),"")</f>
        <v/>
      </c>
      <c r="W94" s="33" t="n">
        <f aca="false">E94*(P1_PVP-P1_CPROD)+F94*(P2_PVP-P2_CPROD)+G94*(IF($A94&lt;P3_DESDE,P3A_PVP,P3_PVP)-IF($A94&lt;P3_DESDE,P3A_CPROD,P3_CPROD))-IF(ISNUMBER(L94),L94,E94*P1_LOG+F94*P2_LOG+G94*P3_LOG)</f>
        <v>0</v>
      </c>
      <c r="X94" s="33" t="n">
        <f aca="false">W94-(E94*P1_IVAN+F94*P2_IVAN+G94*IF($A94&lt;P3_DESDE,P3A_IVAN,P3_IVAN))-(H94+I94+J94)*(COSTE_DEV-IVA_DEV)-AM94-AO94</f>
        <v>0</v>
      </c>
      <c r="Y94" s="33" t="n">
        <f aca="false">AH94-AI94-AJ94-AK94-AL94-AM94-AO94</f>
        <v>0</v>
      </c>
      <c r="AA94" s="58" t="n">
        <f aca="false">MAX(0,B94-E94-H94)</f>
        <v>0</v>
      </c>
      <c r="AB94" s="58" t="n">
        <f aca="false">MAX(0,C94-F94-I94)</f>
        <v>0</v>
      </c>
      <c r="AC94" s="58" t="n">
        <f aca="false">MAX(0,D94-G94-J94)</f>
        <v>0</v>
      </c>
      <c r="AD94" s="59" t="n">
        <f aca="false">E94+AA94*AQ94</f>
        <v>0</v>
      </c>
      <c r="AE94" s="59" t="n">
        <f aca="false">F94+AB94*AQ94</f>
        <v>0</v>
      </c>
      <c r="AF94" s="59" t="n">
        <f aca="false">G94+AC94*AQ94</f>
        <v>0</v>
      </c>
      <c r="AG94" s="59" t="n">
        <f aca="false">H94+I94+J94+(AA94+AB94+AC94)*(1-AQ94)</f>
        <v>0</v>
      </c>
      <c r="AH94" s="60" t="n">
        <f aca="false">AD94*P1_PVP+AE94*P2_PVP+AF94*IF($A94&lt;P3_DESDE,P3A_PVP,P3_PVP)</f>
        <v>0</v>
      </c>
      <c r="AI94" s="60" t="n">
        <f aca="false">AD94*P1_CPROD+AE94*P2_CPROD+AF94*IF($A94&lt;P3_DESDE,P3A_CPROD,P3_CPROD)</f>
        <v>0</v>
      </c>
      <c r="AJ94" s="60" t="n">
        <f aca="false">IF(ISNUMBER(L94),L94,E94*P1_LOG+F94*P2_LOG+G94*P3_LOG)+IF(ISNUMBER(M94),M94,AA94*P1_LOG+AB94*P2_LOG+AC94*P3_LOG)*AQ94</f>
        <v>0</v>
      </c>
      <c r="AK94" s="60" t="n">
        <f aca="false">AG94*COSTE_DEV</f>
        <v>0</v>
      </c>
      <c r="AL94" s="60" t="n">
        <f aca="false">AD94*P1_IVAN+AE94*P2_IVAN+AF94*IF($A94&lt;P3_DESDE,P3A_IVAN,P3_IVAN)-AG94*IVA_DEV</f>
        <v>0</v>
      </c>
      <c r="AM94" s="60" t="n">
        <f aca="false">N94*(1+RECARGO_ADS)</f>
        <v>0</v>
      </c>
      <c r="AN94" s="58" t="n">
        <f aca="false">IF(ISNUMBER(L94),E94+F94+G94+AA94+AB94+AC94,0)</f>
        <v>0</v>
      </c>
      <c r="AO94" s="60" t="n">
        <f aca="false">P94*COMISION</f>
        <v>0</v>
      </c>
      <c r="AP94" s="58" t="n">
        <f aca="false">MIN(N(K94),Q94)</f>
        <v>0</v>
      </c>
      <c r="AQ94" s="61" t="n">
        <f aca="false">IF(Q94&gt;0,((Q94-AP94)*AT94+AP94*TASA_INC)/Q94,AT94)</f>
        <v>0.659887072235414</v>
      </c>
      <c r="AR94" s="58" t="n">
        <f aca="false">IF($A94&lt;FECHA_EXPORT,NETWORKDAYS($A94+1,FECHA_EXPORT,FESTIVOS),0)</f>
        <v>0</v>
      </c>
      <c r="AS94" s="61" t="n">
        <f aca="false">IF(AR94&gt;=5,1,INDEX(CDF_INC,1,AR94+1))</f>
        <v>0.14</v>
      </c>
      <c r="AT94" s="61" t="n">
        <f aca="false">TASA_USADA+(TASA_INC-TASA_USADA)*Q_INC*(1-AS94)/(1-Q_INC*AS94)</f>
        <v>0.659887072235414</v>
      </c>
    </row>
    <row r="95" customFormat="false" ht="15" hidden="false" customHeight="false" outlineLevel="0" collapsed="false">
      <c r="A95" s="53" t="n">
        <v>46389</v>
      </c>
      <c r="B95" s="54"/>
      <c r="C95" s="54"/>
      <c r="D95" s="54"/>
      <c r="E95" s="54"/>
      <c r="F95" s="54"/>
      <c r="G95" s="54"/>
      <c r="H95" s="54"/>
      <c r="I95" s="54"/>
      <c r="J95" s="54"/>
      <c r="K95" s="54"/>
      <c r="L95" s="55"/>
      <c r="M95" s="55"/>
      <c r="N95" s="55"/>
      <c r="O95" s="56"/>
      <c r="P95" s="31" t="n">
        <f aca="false">B95+C95+D95</f>
        <v>0</v>
      </c>
      <c r="Q95" s="31" t="n">
        <f aca="false">AA95+AB95+AC95</f>
        <v>0</v>
      </c>
      <c r="R95" s="32" t="n">
        <f aca="false">B95*P1_PVP+C95*P2_PVP+D95*IF($A95&lt;P3_DESDE,P3A_PVP,P3_PVP)</f>
        <v>0</v>
      </c>
      <c r="S95" s="32" t="str">
        <f aca="false">IF(P95&gt;0,R95/P95,"")</f>
        <v/>
      </c>
      <c r="T95" s="32" t="str">
        <f aca="false">IF(P95&gt;0,N95/P95,"")</f>
        <v/>
      </c>
      <c r="U95" s="57" t="str">
        <f aca="false">IF(N95&gt;0,R95/N95,"")</f>
        <v/>
      </c>
      <c r="V95" s="34" t="str">
        <f aca="false">IF(E95+F95+G95+H95+I95+J95&gt;0,(E95+F95+G95)/(E95+F95+G95+H95+I95+J95),"")</f>
        <v/>
      </c>
      <c r="W95" s="33" t="n">
        <f aca="false">E95*(P1_PVP-P1_CPROD)+F95*(P2_PVP-P2_CPROD)+G95*(IF($A95&lt;P3_DESDE,P3A_PVP,P3_PVP)-IF($A95&lt;P3_DESDE,P3A_CPROD,P3_CPROD))-IF(ISNUMBER(L95),L95,E95*P1_LOG+F95*P2_LOG+G95*P3_LOG)</f>
        <v>0</v>
      </c>
      <c r="X95" s="33" t="n">
        <f aca="false">W95-(E95*P1_IVAN+F95*P2_IVAN+G95*IF($A95&lt;P3_DESDE,P3A_IVAN,P3_IVAN))-(H95+I95+J95)*(COSTE_DEV-IVA_DEV)-AM95-AO95</f>
        <v>0</v>
      </c>
      <c r="Y95" s="33" t="n">
        <f aca="false">AH95-AI95-AJ95-AK95-AL95-AM95-AO95</f>
        <v>0</v>
      </c>
      <c r="AA95" s="58" t="n">
        <f aca="false">MAX(0,B95-E95-H95)</f>
        <v>0</v>
      </c>
      <c r="AB95" s="58" t="n">
        <f aca="false">MAX(0,C95-F95-I95)</f>
        <v>0</v>
      </c>
      <c r="AC95" s="58" t="n">
        <f aca="false">MAX(0,D95-G95-J95)</f>
        <v>0</v>
      </c>
      <c r="AD95" s="59" t="n">
        <f aca="false">E95+AA95*AQ95</f>
        <v>0</v>
      </c>
      <c r="AE95" s="59" t="n">
        <f aca="false">F95+AB95*AQ95</f>
        <v>0</v>
      </c>
      <c r="AF95" s="59" t="n">
        <f aca="false">G95+AC95*AQ95</f>
        <v>0</v>
      </c>
      <c r="AG95" s="59" t="n">
        <f aca="false">H95+I95+J95+(AA95+AB95+AC95)*(1-AQ95)</f>
        <v>0</v>
      </c>
      <c r="AH95" s="60" t="n">
        <f aca="false">AD95*P1_PVP+AE95*P2_PVP+AF95*IF($A95&lt;P3_DESDE,P3A_PVP,P3_PVP)</f>
        <v>0</v>
      </c>
      <c r="AI95" s="60" t="n">
        <f aca="false">AD95*P1_CPROD+AE95*P2_CPROD+AF95*IF($A95&lt;P3_DESDE,P3A_CPROD,P3_CPROD)</f>
        <v>0</v>
      </c>
      <c r="AJ95" s="60" t="n">
        <f aca="false">IF(ISNUMBER(L95),L95,E95*P1_LOG+F95*P2_LOG+G95*P3_LOG)+IF(ISNUMBER(M95),M95,AA95*P1_LOG+AB95*P2_LOG+AC95*P3_LOG)*AQ95</f>
        <v>0</v>
      </c>
      <c r="AK95" s="60" t="n">
        <f aca="false">AG95*COSTE_DEV</f>
        <v>0</v>
      </c>
      <c r="AL95" s="60" t="n">
        <f aca="false">AD95*P1_IVAN+AE95*P2_IVAN+AF95*IF($A95&lt;P3_DESDE,P3A_IVAN,P3_IVAN)-AG95*IVA_DEV</f>
        <v>0</v>
      </c>
      <c r="AM95" s="60" t="n">
        <f aca="false">N95*(1+RECARGO_ADS)</f>
        <v>0</v>
      </c>
      <c r="AN95" s="58" t="n">
        <f aca="false">IF(ISNUMBER(L95),E95+F95+G95+AA95+AB95+AC95,0)</f>
        <v>0</v>
      </c>
      <c r="AO95" s="60" t="n">
        <f aca="false">P95*COMISION</f>
        <v>0</v>
      </c>
      <c r="AP95" s="58" t="n">
        <f aca="false">MIN(N(K95),Q95)</f>
        <v>0</v>
      </c>
      <c r="AQ95" s="61" t="n">
        <f aca="false">IF(Q95&gt;0,((Q95-AP95)*AT95+AP95*TASA_INC)/Q95,AT95)</f>
        <v>0.659887072235414</v>
      </c>
      <c r="AR95" s="58" t="n">
        <f aca="false">IF($A95&lt;FECHA_EXPORT,NETWORKDAYS($A95+1,FECHA_EXPORT,FESTIVOS),0)</f>
        <v>0</v>
      </c>
      <c r="AS95" s="61" t="n">
        <f aca="false">IF(AR95&gt;=5,1,INDEX(CDF_INC,1,AR95+1))</f>
        <v>0.14</v>
      </c>
      <c r="AT95" s="61" t="n">
        <f aca="false">TASA_USADA+(TASA_INC-TASA_USADA)*Q_INC*(1-AS95)/(1-Q_INC*AS95)</f>
        <v>0.659887072235414</v>
      </c>
    </row>
    <row r="96" customFormat="false" ht="15" hidden="false" customHeight="false" outlineLevel="0" collapsed="false">
      <c r="A96" s="53" t="n">
        <v>46390</v>
      </c>
      <c r="B96" s="54"/>
      <c r="C96" s="54"/>
      <c r="D96" s="54"/>
      <c r="E96" s="54"/>
      <c r="F96" s="54"/>
      <c r="G96" s="54"/>
      <c r="H96" s="54"/>
      <c r="I96" s="54"/>
      <c r="J96" s="54"/>
      <c r="K96" s="54"/>
      <c r="L96" s="55"/>
      <c r="M96" s="55"/>
      <c r="N96" s="55"/>
      <c r="O96" s="56"/>
      <c r="P96" s="31" t="n">
        <f aca="false">B96+C96+D96</f>
        <v>0</v>
      </c>
      <c r="Q96" s="31" t="n">
        <f aca="false">AA96+AB96+AC96</f>
        <v>0</v>
      </c>
      <c r="R96" s="32" t="n">
        <f aca="false">B96*P1_PVP+C96*P2_PVP+D96*IF($A96&lt;P3_DESDE,P3A_PVP,P3_PVP)</f>
        <v>0</v>
      </c>
      <c r="S96" s="32" t="str">
        <f aca="false">IF(P96&gt;0,R96/P96,"")</f>
        <v/>
      </c>
      <c r="T96" s="32" t="str">
        <f aca="false">IF(P96&gt;0,N96/P96,"")</f>
        <v/>
      </c>
      <c r="U96" s="57" t="str">
        <f aca="false">IF(N96&gt;0,R96/N96,"")</f>
        <v/>
      </c>
      <c r="V96" s="34" t="str">
        <f aca="false">IF(E96+F96+G96+H96+I96+J96&gt;0,(E96+F96+G96)/(E96+F96+G96+H96+I96+J96),"")</f>
        <v/>
      </c>
      <c r="W96" s="33" t="n">
        <f aca="false">E96*(P1_PVP-P1_CPROD)+F96*(P2_PVP-P2_CPROD)+G96*(IF($A96&lt;P3_DESDE,P3A_PVP,P3_PVP)-IF($A96&lt;P3_DESDE,P3A_CPROD,P3_CPROD))-IF(ISNUMBER(L96),L96,E96*P1_LOG+F96*P2_LOG+G96*P3_LOG)</f>
        <v>0</v>
      </c>
      <c r="X96" s="33" t="n">
        <f aca="false">W96-(E96*P1_IVAN+F96*P2_IVAN+G96*IF($A96&lt;P3_DESDE,P3A_IVAN,P3_IVAN))-(H96+I96+J96)*(COSTE_DEV-IVA_DEV)-AM96-AO96</f>
        <v>0</v>
      </c>
      <c r="Y96" s="33" t="n">
        <f aca="false">AH96-AI96-AJ96-AK96-AL96-AM96-AO96</f>
        <v>0</v>
      </c>
      <c r="AA96" s="58" t="n">
        <f aca="false">MAX(0,B96-E96-H96)</f>
        <v>0</v>
      </c>
      <c r="AB96" s="58" t="n">
        <f aca="false">MAX(0,C96-F96-I96)</f>
        <v>0</v>
      </c>
      <c r="AC96" s="58" t="n">
        <f aca="false">MAX(0,D96-G96-J96)</f>
        <v>0</v>
      </c>
      <c r="AD96" s="59" t="n">
        <f aca="false">E96+AA96*AQ96</f>
        <v>0</v>
      </c>
      <c r="AE96" s="59" t="n">
        <f aca="false">F96+AB96*AQ96</f>
        <v>0</v>
      </c>
      <c r="AF96" s="59" t="n">
        <f aca="false">G96+AC96*AQ96</f>
        <v>0</v>
      </c>
      <c r="AG96" s="59" t="n">
        <f aca="false">H96+I96+J96+(AA96+AB96+AC96)*(1-AQ96)</f>
        <v>0</v>
      </c>
      <c r="AH96" s="60" t="n">
        <f aca="false">AD96*P1_PVP+AE96*P2_PVP+AF96*IF($A96&lt;P3_DESDE,P3A_PVP,P3_PVP)</f>
        <v>0</v>
      </c>
      <c r="AI96" s="60" t="n">
        <f aca="false">AD96*P1_CPROD+AE96*P2_CPROD+AF96*IF($A96&lt;P3_DESDE,P3A_CPROD,P3_CPROD)</f>
        <v>0</v>
      </c>
      <c r="AJ96" s="60" t="n">
        <f aca="false">IF(ISNUMBER(L96),L96,E96*P1_LOG+F96*P2_LOG+G96*P3_LOG)+IF(ISNUMBER(M96),M96,AA96*P1_LOG+AB96*P2_LOG+AC96*P3_LOG)*AQ96</f>
        <v>0</v>
      </c>
      <c r="AK96" s="60" t="n">
        <f aca="false">AG96*COSTE_DEV</f>
        <v>0</v>
      </c>
      <c r="AL96" s="60" t="n">
        <f aca="false">AD96*P1_IVAN+AE96*P2_IVAN+AF96*IF($A96&lt;P3_DESDE,P3A_IVAN,P3_IVAN)-AG96*IVA_DEV</f>
        <v>0</v>
      </c>
      <c r="AM96" s="60" t="n">
        <f aca="false">N96*(1+RECARGO_ADS)</f>
        <v>0</v>
      </c>
      <c r="AN96" s="58" t="n">
        <f aca="false">IF(ISNUMBER(L96),E96+F96+G96+AA96+AB96+AC96,0)</f>
        <v>0</v>
      </c>
      <c r="AO96" s="60" t="n">
        <f aca="false">P96*COMISION</f>
        <v>0</v>
      </c>
      <c r="AP96" s="58" t="n">
        <f aca="false">MIN(N(K96),Q96)</f>
        <v>0</v>
      </c>
      <c r="AQ96" s="61" t="n">
        <f aca="false">IF(Q96&gt;0,((Q96-AP96)*AT96+AP96*TASA_INC)/Q96,AT96)</f>
        <v>0.659887072235414</v>
      </c>
      <c r="AR96" s="58" t="n">
        <f aca="false">IF($A96&lt;FECHA_EXPORT,NETWORKDAYS($A96+1,FECHA_EXPORT,FESTIVOS),0)</f>
        <v>0</v>
      </c>
      <c r="AS96" s="61" t="n">
        <f aca="false">IF(AR96&gt;=5,1,INDEX(CDF_INC,1,AR96+1))</f>
        <v>0.14</v>
      </c>
      <c r="AT96" s="61" t="n">
        <f aca="false">TASA_USADA+(TASA_INC-TASA_USADA)*Q_INC*(1-AS96)/(1-Q_INC*AS96)</f>
        <v>0.659887072235414</v>
      </c>
    </row>
    <row r="97" customFormat="false" ht="15" hidden="false" customHeight="false" outlineLevel="0" collapsed="false">
      <c r="A97" s="53" t="n">
        <v>46391</v>
      </c>
      <c r="B97" s="54"/>
      <c r="C97" s="54"/>
      <c r="D97" s="54"/>
      <c r="E97" s="54"/>
      <c r="F97" s="54"/>
      <c r="G97" s="54"/>
      <c r="H97" s="54"/>
      <c r="I97" s="54"/>
      <c r="J97" s="54"/>
      <c r="K97" s="54"/>
      <c r="L97" s="55"/>
      <c r="M97" s="55"/>
      <c r="N97" s="55"/>
      <c r="O97" s="56"/>
      <c r="P97" s="31" t="n">
        <f aca="false">B97+C97+D97</f>
        <v>0</v>
      </c>
      <c r="Q97" s="31" t="n">
        <f aca="false">AA97+AB97+AC97</f>
        <v>0</v>
      </c>
      <c r="R97" s="32" t="n">
        <f aca="false">B97*P1_PVP+C97*P2_PVP+D97*IF($A97&lt;P3_DESDE,P3A_PVP,P3_PVP)</f>
        <v>0</v>
      </c>
      <c r="S97" s="32" t="str">
        <f aca="false">IF(P97&gt;0,R97/P97,"")</f>
        <v/>
      </c>
      <c r="T97" s="32" t="str">
        <f aca="false">IF(P97&gt;0,N97/P97,"")</f>
        <v/>
      </c>
      <c r="U97" s="57" t="str">
        <f aca="false">IF(N97&gt;0,R97/N97,"")</f>
        <v/>
      </c>
      <c r="V97" s="34" t="str">
        <f aca="false">IF(E97+F97+G97+H97+I97+J97&gt;0,(E97+F97+G97)/(E97+F97+G97+H97+I97+J97),"")</f>
        <v/>
      </c>
      <c r="W97" s="33" t="n">
        <f aca="false">E97*(P1_PVP-P1_CPROD)+F97*(P2_PVP-P2_CPROD)+G97*(IF($A97&lt;P3_DESDE,P3A_PVP,P3_PVP)-IF($A97&lt;P3_DESDE,P3A_CPROD,P3_CPROD))-IF(ISNUMBER(L97),L97,E97*P1_LOG+F97*P2_LOG+G97*P3_LOG)</f>
        <v>0</v>
      </c>
      <c r="X97" s="33" t="n">
        <f aca="false">W97-(E97*P1_IVAN+F97*P2_IVAN+G97*IF($A97&lt;P3_DESDE,P3A_IVAN,P3_IVAN))-(H97+I97+J97)*(COSTE_DEV-IVA_DEV)-AM97-AO97</f>
        <v>0</v>
      </c>
      <c r="Y97" s="33" t="n">
        <f aca="false">AH97-AI97-AJ97-AK97-AL97-AM97-AO97</f>
        <v>0</v>
      </c>
      <c r="AA97" s="58" t="n">
        <f aca="false">MAX(0,B97-E97-H97)</f>
        <v>0</v>
      </c>
      <c r="AB97" s="58" t="n">
        <f aca="false">MAX(0,C97-F97-I97)</f>
        <v>0</v>
      </c>
      <c r="AC97" s="58" t="n">
        <f aca="false">MAX(0,D97-G97-J97)</f>
        <v>0</v>
      </c>
      <c r="AD97" s="59" t="n">
        <f aca="false">E97+AA97*AQ97</f>
        <v>0</v>
      </c>
      <c r="AE97" s="59" t="n">
        <f aca="false">F97+AB97*AQ97</f>
        <v>0</v>
      </c>
      <c r="AF97" s="59" t="n">
        <f aca="false">G97+AC97*AQ97</f>
        <v>0</v>
      </c>
      <c r="AG97" s="59" t="n">
        <f aca="false">H97+I97+J97+(AA97+AB97+AC97)*(1-AQ97)</f>
        <v>0</v>
      </c>
      <c r="AH97" s="60" t="n">
        <f aca="false">AD97*P1_PVP+AE97*P2_PVP+AF97*IF($A97&lt;P3_DESDE,P3A_PVP,P3_PVP)</f>
        <v>0</v>
      </c>
      <c r="AI97" s="60" t="n">
        <f aca="false">AD97*P1_CPROD+AE97*P2_CPROD+AF97*IF($A97&lt;P3_DESDE,P3A_CPROD,P3_CPROD)</f>
        <v>0</v>
      </c>
      <c r="AJ97" s="60" t="n">
        <f aca="false">IF(ISNUMBER(L97),L97,E97*P1_LOG+F97*P2_LOG+G97*P3_LOG)+IF(ISNUMBER(M97),M97,AA97*P1_LOG+AB97*P2_LOG+AC97*P3_LOG)*AQ97</f>
        <v>0</v>
      </c>
      <c r="AK97" s="60" t="n">
        <f aca="false">AG97*COSTE_DEV</f>
        <v>0</v>
      </c>
      <c r="AL97" s="60" t="n">
        <f aca="false">AD97*P1_IVAN+AE97*P2_IVAN+AF97*IF($A97&lt;P3_DESDE,P3A_IVAN,P3_IVAN)-AG97*IVA_DEV</f>
        <v>0</v>
      </c>
      <c r="AM97" s="60" t="n">
        <f aca="false">N97*(1+RECARGO_ADS)</f>
        <v>0</v>
      </c>
      <c r="AN97" s="58" t="n">
        <f aca="false">IF(ISNUMBER(L97),E97+F97+G97+AA97+AB97+AC97,0)</f>
        <v>0</v>
      </c>
      <c r="AO97" s="60" t="n">
        <f aca="false">P97*COMISION</f>
        <v>0</v>
      </c>
      <c r="AP97" s="58" t="n">
        <f aca="false">MIN(N(K97),Q97)</f>
        <v>0</v>
      </c>
      <c r="AQ97" s="61" t="n">
        <f aca="false">IF(Q97&gt;0,((Q97-AP97)*AT97+AP97*TASA_INC)/Q97,AT97)</f>
        <v>0.659887072235414</v>
      </c>
      <c r="AR97" s="58" t="n">
        <f aca="false">IF($A97&lt;FECHA_EXPORT,NETWORKDAYS($A97+1,FECHA_EXPORT,FESTIVOS),0)</f>
        <v>0</v>
      </c>
      <c r="AS97" s="61" t="n">
        <f aca="false">IF(AR97&gt;=5,1,INDEX(CDF_INC,1,AR97+1))</f>
        <v>0.14</v>
      </c>
      <c r="AT97" s="61" t="n">
        <f aca="false">TASA_USADA+(TASA_INC-TASA_USADA)*Q_INC*(1-AS97)/(1-Q_INC*AS97)</f>
        <v>0.659887072235414</v>
      </c>
    </row>
    <row r="98" customFormat="false" ht="15" hidden="false" customHeight="false" outlineLevel="0" collapsed="false">
      <c r="A98" s="53" t="n">
        <v>46392</v>
      </c>
      <c r="B98" s="54"/>
      <c r="C98" s="54"/>
      <c r="D98" s="54"/>
      <c r="E98" s="54"/>
      <c r="F98" s="54"/>
      <c r="G98" s="54"/>
      <c r="H98" s="54"/>
      <c r="I98" s="54"/>
      <c r="J98" s="54"/>
      <c r="K98" s="54"/>
      <c r="L98" s="55"/>
      <c r="M98" s="55"/>
      <c r="N98" s="55"/>
      <c r="O98" s="56"/>
      <c r="P98" s="31" t="n">
        <f aca="false">B98+C98+D98</f>
        <v>0</v>
      </c>
      <c r="Q98" s="31" t="n">
        <f aca="false">AA98+AB98+AC98</f>
        <v>0</v>
      </c>
      <c r="R98" s="32" t="n">
        <f aca="false">B98*P1_PVP+C98*P2_PVP+D98*IF($A98&lt;P3_DESDE,P3A_PVP,P3_PVP)</f>
        <v>0</v>
      </c>
      <c r="S98" s="32" t="str">
        <f aca="false">IF(P98&gt;0,R98/P98,"")</f>
        <v/>
      </c>
      <c r="T98" s="32" t="str">
        <f aca="false">IF(P98&gt;0,N98/P98,"")</f>
        <v/>
      </c>
      <c r="U98" s="57" t="str">
        <f aca="false">IF(N98&gt;0,R98/N98,"")</f>
        <v/>
      </c>
      <c r="V98" s="34" t="str">
        <f aca="false">IF(E98+F98+G98+H98+I98+J98&gt;0,(E98+F98+G98)/(E98+F98+G98+H98+I98+J98),"")</f>
        <v/>
      </c>
      <c r="W98" s="33" t="n">
        <f aca="false">E98*(P1_PVP-P1_CPROD)+F98*(P2_PVP-P2_CPROD)+G98*(IF($A98&lt;P3_DESDE,P3A_PVP,P3_PVP)-IF($A98&lt;P3_DESDE,P3A_CPROD,P3_CPROD))-IF(ISNUMBER(L98),L98,E98*P1_LOG+F98*P2_LOG+G98*P3_LOG)</f>
        <v>0</v>
      </c>
      <c r="X98" s="33" t="n">
        <f aca="false">W98-(E98*P1_IVAN+F98*P2_IVAN+G98*IF($A98&lt;P3_DESDE,P3A_IVAN,P3_IVAN))-(H98+I98+J98)*(COSTE_DEV-IVA_DEV)-AM98-AO98</f>
        <v>0</v>
      </c>
      <c r="Y98" s="33" t="n">
        <f aca="false">AH98-AI98-AJ98-AK98-AL98-AM98-AO98</f>
        <v>0</v>
      </c>
      <c r="AA98" s="58" t="n">
        <f aca="false">MAX(0,B98-E98-H98)</f>
        <v>0</v>
      </c>
      <c r="AB98" s="58" t="n">
        <f aca="false">MAX(0,C98-F98-I98)</f>
        <v>0</v>
      </c>
      <c r="AC98" s="58" t="n">
        <f aca="false">MAX(0,D98-G98-J98)</f>
        <v>0</v>
      </c>
      <c r="AD98" s="59" t="n">
        <f aca="false">E98+AA98*AQ98</f>
        <v>0</v>
      </c>
      <c r="AE98" s="59" t="n">
        <f aca="false">F98+AB98*AQ98</f>
        <v>0</v>
      </c>
      <c r="AF98" s="59" t="n">
        <f aca="false">G98+AC98*AQ98</f>
        <v>0</v>
      </c>
      <c r="AG98" s="59" t="n">
        <f aca="false">H98+I98+J98+(AA98+AB98+AC98)*(1-AQ98)</f>
        <v>0</v>
      </c>
      <c r="AH98" s="60" t="n">
        <f aca="false">AD98*P1_PVP+AE98*P2_PVP+AF98*IF($A98&lt;P3_DESDE,P3A_PVP,P3_PVP)</f>
        <v>0</v>
      </c>
      <c r="AI98" s="60" t="n">
        <f aca="false">AD98*P1_CPROD+AE98*P2_CPROD+AF98*IF($A98&lt;P3_DESDE,P3A_CPROD,P3_CPROD)</f>
        <v>0</v>
      </c>
      <c r="AJ98" s="60" t="n">
        <f aca="false">IF(ISNUMBER(L98),L98,E98*P1_LOG+F98*P2_LOG+G98*P3_LOG)+IF(ISNUMBER(M98),M98,AA98*P1_LOG+AB98*P2_LOG+AC98*P3_LOG)*AQ98</f>
        <v>0</v>
      </c>
      <c r="AK98" s="60" t="n">
        <f aca="false">AG98*COSTE_DEV</f>
        <v>0</v>
      </c>
      <c r="AL98" s="60" t="n">
        <f aca="false">AD98*P1_IVAN+AE98*P2_IVAN+AF98*IF($A98&lt;P3_DESDE,P3A_IVAN,P3_IVAN)-AG98*IVA_DEV</f>
        <v>0</v>
      </c>
      <c r="AM98" s="60" t="n">
        <f aca="false">N98*(1+RECARGO_ADS)</f>
        <v>0</v>
      </c>
      <c r="AN98" s="58" t="n">
        <f aca="false">IF(ISNUMBER(L98),E98+F98+G98+AA98+AB98+AC98,0)</f>
        <v>0</v>
      </c>
      <c r="AO98" s="60" t="n">
        <f aca="false">P98*COMISION</f>
        <v>0</v>
      </c>
      <c r="AP98" s="58" t="n">
        <f aca="false">MIN(N(K98),Q98)</f>
        <v>0</v>
      </c>
      <c r="AQ98" s="61" t="n">
        <f aca="false">IF(Q98&gt;0,((Q98-AP98)*AT98+AP98*TASA_INC)/Q98,AT98)</f>
        <v>0.659887072235414</v>
      </c>
      <c r="AR98" s="58" t="n">
        <f aca="false">IF($A98&lt;FECHA_EXPORT,NETWORKDAYS($A98+1,FECHA_EXPORT,FESTIVOS),0)</f>
        <v>0</v>
      </c>
      <c r="AS98" s="61" t="n">
        <f aca="false">IF(AR98&gt;=5,1,INDEX(CDF_INC,1,AR98+1))</f>
        <v>0.14</v>
      </c>
      <c r="AT98" s="61" t="n">
        <f aca="false">TASA_USADA+(TASA_INC-TASA_USADA)*Q_INC*(1-AS98)/(1-Q_INC*AS98)</f>
        <v>0.659887072235414</v>
      </c>
    </row>
    <row r="99" customFormat="false" ht="15" hidden="false" customHeight="false" outlineLevel="0" collapsed="false">
      <c r="A99" s="53" t="n">
        <v>46393</v>
      </c>
      <c r="B99" s="54"/>
      <c r="C99" s="54"/>
      <c r="D99" s="54"/>
      <c r="E99" s="54"/>
      <c r="F99" s="54"/>
      <c r="G99" s="54"/>
      <c r="H99" s="54"/>
      <c r="I99" s="54"/>
      <c r="J99" s="54"/>
      <c r="K99" s="54"/>
      <c r="L99" s="55"/>
      <c r="M99" s="55"/>
      <c r="N99" s="55"/>
      <c r="O99" s="56"/>
      <c r="P99" s="31" t="n">
        <f aca="false">B99+C99+D99</f>
        <v>0</v>
      </c>
      <c r="Q99" s="31" t="n">
        <f aca="false">AA99+AB99+AC99</f>
        <v>0</v>
      </c>
      <c r="R99" s="32" t="n">
        <f aca="false">B99*P1_PVP+C99*P2_PVP+D99*IF($A99&lt;P3_DESDE,P3A_PVP,P3_PVP)</f>
        <v>0</v>
      </c>
      <c r="S99" s="32" t="str">
        <f aca="false">IF(P99&gt;0,R99/P99,"")</f>
        <v/>
      </c>
      <c r="T99" s="32" t="str">
        <f aca="false">IF(P99&gt;0,N99/P99,"")</f>
        <v/>
      </c>
      <c r="U99" s="57" t="str">
        <f aca="false">IF(N99&gt;0,R99/N99,"")</f>
        <v/>
      </c>
      <c r="V99" s="34" t="str">
        <f aca="false">IF(E99+F99+G99+H99+I99+J99&gt;0,(E99+F99+G99)/(E99+F99+G99+H99+I99+J99),"")</f>
        <v/>
      </c>
      <c r="W99" s="33" t="n">
        <f aca="false">E99*(P1_PVP-P1_CPROD)+F99*(P2_PVP-P2_CPROD)+G99*(IF($A99&lt;P3_DESDE,P3A_PVP,P3_PVP)-IF($A99&lt;P3_DESDE,P3A_CPROD,P3_CPROD))-IF(ISNUMBER(L99),L99,E99*P1_LOG+F99*P2_LOG+G99*P3_LOG)</f>
        <v>0</v>
      </c>
      <c r="X99" s="33" t="n">
        <f aca="false">W99-(E99*P1_IVAN+F99*P2_IVAN+G99*IF($A99&lt;P3_DESDE,P3A_IVAN,P3_IVAN))-(H99+I99+J99)*(COSTE_DEV-IVA_DEV)-AM99-AO99</f>
        <v>0</v>
      </c>
      <c r="Y99" s="33" t="n">
        <f aca="false">AH99-AI99-AJ99-AK99-AL99-AM99-AO99</f>
        <v>0</v>
      </c>
      <c r="AA99" s="58" t="n">
        <f aca="false">MAX(0,B99-E99-H99)</f>
        <v>0</v>
      </c>
      <c r="AB99" s="58" t="n">
        <f aca="false">MAX(0,C99-F99-I99)</f>
        <v>0</v>
      </c>
      <c r="AC99" s="58" t="n">
        <f aca="false">MAX(0,D99-G99-J99)</f>
        <v>0</v>
      </c>
      <c r="AD99" s="59" t="n">
        <f aca="false">E99+AA99*AQ99</f>
        <v>0</v>
      </c>
      <c r="AE99" s="59" t="n">
        <f aca="false">F99+AB99*AQ99</f>
        <v>0</v>
      </c>
      <c r="AF99" s="59" t="n">
        <f aca="false">G99+AC99*AQ99</f>
        <v>0</v>
      </c>
      <c r="AG99" s="59" t="n">
        <f aca="false">H99+I99+J99+(AA99+AB99+AC99)*(1-AQ99)</f>
        <v>0</v>
      </c>
      <c r="AH99" s="60" t="n">
        <f aca="false">AD99*P1_PVP+AE99*P2_PVP+AF99*IF($A99&lt;P3_DESDE,P3A_PVP,P3_PVP)</f>
        <v>0</v>
      </c>
      <c r="AI99" s="60" t="n">
        <f aca="false">AD99*P1_CPROD+AE99*P2_CPROD+AF99*IF($A99&lt;P3_DESDE,P3A_CPROD,P3_CPROD)</f>
        <v>0</v>
      </c>
      <c r="AJ99" s="60" t="n">
        <f aca="false">IF(ISNUMBER(L99),L99,E99*P1_LOG+F99*P2_LOG+G99*P3_LOG)+IF(ISNUMBER(M99),M99,AA99*P1_LOG+AB99*P2_LOG+AC99*P3_LOG)*AQ99</f>
        <v>0</v>
      </c>
      <c r="AK99" s="60" t="n">
        <f aca="false">AG99*COSTE_DEV</f>
        <v>0</v>
      </c>
      <c r="AL99" s="60" t="n">
        <f aca="false">AD99*P1_IVAN+AE99*P2_IVAN+AF99*IF($A99&lt;P3_DESDE,P3A_IVAN,P3_IVAN)-AG99*IVA_DEV</f>
        <v>0</v>
      </c>
      <c r="AM99" s="60" t="n">
        <f aca="false">N99*(1+RECARGO_ADS)</f>
        <v>0</v>
      </c>
      <c r="AN99" s="58" t="n">
        <f aca="false">IF(ISNUMBER(L99),E99+F99+G99+AA99+AB99+AC99,0)</f>
        <v>0</v>
      </c>
      <c r="AO99" s="60" t="n">
        <f aca="false">P99*COMISION</f>
        <v>0</v>
      </c>
      <c r="AP99" s="58" t="n">
        <f aca="false">MIN(N(K99),Q99)</f>
        <v>0</v>
      </c>
      <c r="AQ99" s="61" t="n">
        <f aca="false">IF(Q99&gt;0,((Q99-AP99)*AT99+AP99*TASA_INC)/Q99,AT99)</f>
        <v>0.659887072235414</v>
      </c>
      <c r="AR99" s="58" t="n">
        <f aca="false">IF($A99&lt;FECHA_EXPORT,NETWORKDAYS($A99+1,FECHA_EXPORT,FESTIVOS),0)</f>
        <v>0</v>
      </c>
      <c r="AS99" s="61" t="n">
        <f aca="false">IF(AR99&gt;=5,1,INDEX(CDF_INC,1,AR99+1))</f>
        <v>0.14</v>
      </c>
      <c r="AT99" s="61" t="n">
        <f aca="false">TASA_USADA+(TASA_INC-TASA_USADA)*Q_INC*(1-AS99)/(1-Q_INC*AS99)</f>
        <v>0.659887072235414</v>
      </c>
    </row>
    <row r="100" customFormat="false" ht="15" hidden="false" customHeight="false" outlineLevel="0" collapsed="false">
      <c r="A100" s="53" t="n">
        <v>46394</v>
      </c>
      <c r="B100" s="54"/>
      <c r="C100" s="54"/>
      <c r="D100" s="54"/>
      <c r="E100" s="54"/>
      <c r="F100" s="54"/>
      <c r="G100" s="54"/>
      <c r="H100" s="54"/>
      <c r="I100" s="54"/>
      <c r="J100" s="54"/>
      <c r="K100" s="54"/>
      <c r="L100" s="55"/>
      <c r="M100" s="55"/>
      <c r="N100" s="55"/>
      <c r="O100" s="56"/>
      <c r="P100" s="31" t="n">
        <f aca="false">B100+C100+D100</f>
        <v>0</v>
      </c>
      <c r="Q100" s="31" t="n">
        <f aca="false">AA100+AB100+AC100</f>
        <v>0</v>
      </c>
      <c r="R100" s="32" t="n">
        <f aca="false">B100*P1_PVP+C100*P2_PVP+D100*IF($A100&lt;P3_DESDE,P3A_PVP,P3_PVP)</f>
        <v>0</v>
      </c>
      <c r="S100" s="32" t="str">
        <f aca="false">IF(P100&gt;0,R100/P100,"")</f>
        <v/>
      </c>
      <c r="T100" s="32" t="str">
        <f aca="false">IF(P100&gt;0,N100/P100,"")</f>
        <v/>
      </c>
      <c r="U100" s="57" t="str">
        <f aca="false">IF(N100&gt;0,R100/N100,"")</f>
        <v/>
      </c>
      <c r="V100" s="34" t="str">
        <f aca="false">IF(E100+F100+G100+H100+I100+J100&gt;0,(E100+F100+G100)/(E100+F100+G100+H100+I100+J100),"")</f>
        <v/>
      </c>
      <c r="W100" s="33" t="n">
        <f aca="false">E100*(P1_PVP-P1_CPROD)+F100*(P2_PVP-P2_CPROD)+G100*(IF($A100&lt;P3_DESDE,P3A_PVP,P3_PVP)-IF($A100&lt;P3_DESDE,P3A_CPROD,P3_CPROD))-IF(ISNUMBER(L100),L100,E100*P1_LOG+F100*P2_LOG+G100*P3_LOG)</f>
        <v>0</v>
      </c>
      <c r="X100" s="33" t="n">
        <f aca="false">W100-(E100*P1_IVAN+F100*P2_IVAN+G100*IF($A100&lt;P3_DESDE,P3A_IVAN,P3_IVAN))-(H100+I100+J100)*(COSTE_DEV-IVA_DEV)-AM100-AO100</f>
        <v>0</v>
      </c>
      <c r="Y100" s="33" t="n">
        <f aca="false">AH100-AI100-AJ100-AK100-AL100-AM100-AO100</f>
        <v>0</v>
      </c>
      <c r="AA100" s="58" t="n">
        <f aca="false">MAX(0,B100-E100-H100)</f>
        <v>0</v>
      </c>
      <c r="AB100" s="58" t="n">
        <f aca="false">MAX(0,C100-F100-I100)</f>
        <v>0</v>
      </c>
      <c r="AC100" s="58" t="n">
        <f aca="false">MAX(0,D100-G100-J100)</f>
        <v>0</v>
      </c>
      <c r="AD100" s="59" t="n">
        <f aca="false">E100+AA100*AQ100</f>
        <v>0</v>
      </c>
      <c r="AE100" s="59" t="n">
        <f aca="false">F100+AB100*AQ100</f>
        <v>0</v>
      </c>
      <c r="AF100" s="59" t="n">
        <f aca="false">G100+AC100*AQ100</f>
        <v>0</v>
      </c>
      <c r="AG100" s="59" t="n">
        <f aca="false">H100+I100+J100+(AA100+AB100+AC100)*(1-AQ100)</f>
        <v>0</v>
      </c>
      <c r="AH100" s="60" t="n">
        <f aca="false">AD100*P1_PVP+AE100*P2_PVP+AF100*IF($A100&lt;P3_DESDE,P3A_PVP,P3_PVP)</f>
        <v>0</v>
      </c>
      <c r="AI100" s="60" t="n">
        <f aca="false">AD100*P1_CPROD+AE100*P2_CPROD+AF100*IF($A100&lt;P3_DESDE,P3A_CPROD,P3_CPROD)</f>
        <v>0</v>
      </c>
      <c r="AJ100" s="60" t="n">
        <f aca="false">IF(ISNUMBER(L100),L100,E100*P1_LOG+F100*P2_LOG+G100*P3_LOG)+IF(ISNUMBER(M100),M100,AA100*P1_LOG+AB100*P2_LOG+AC100*P3_LOG)*AQ100</f>
        <v>0</v>
      </c>
      <c r="AK100" s="60" t="n">
        <f aca="false">AG100*COSTE_DEV</f>
        <v>0</v>
      </c>
      <c r="AL100" s="60" t="n">
        <f aca="false">AD100*P1_IVAN+AE100*P2_IVAN+AF100*IF($A100&lt;P3_DESDE,P3A_IVAN,P3_IVAN)-AG100*IVA_DEV</f>
        <v>0</v>
      </c>
      <c r="AM100" s="60" t="n">
        <f aca="false">N100*(1+RECARGO_ADS)</f>
        <v>0</v>
      </c>
      <c r="AN100" s="58" t="n">
        <f aca="false">IF(ISNUMBER(L100),E100+F100+G100+AA100+AB100+AC100,0)</f>
        <v>0</v>
      </c>
      <c r="AO100" s="60" t="n">
        <f aca="false">P100*COMISION</f>
        <v>0</v>
      </c>
      <c r="AP100" s="58" t="n">
        <f aca="false">MIN(N(K100),Q100)</f>
        <v>0</v>
      </c>
      <c r="AQ100" s="61" t="n">
        <f aca="false">IF(Q100&gt;0,((Q100-AP100)*AT100+AP100*TASA_INC)/Q100,AT100)</f>
        <v>0.659887072235414</v>
      </c>
      <c r="AR100" s="58" t="n">
        <f aca="false">IF($A100&lt;FECHA_EXPORT,NETWORKDAYS($A100+1,FECHA_EXPORT,FESTIVOS),0)</f>
        <v>0</v>
      </c>
      <c r="AS100" s="61" t="n">
        <f aca="false">IF(AR100&gt;=5,1,INDEX(CDF_INC,1,AR100+1))</f>
        <v>0.14</v>
      </c>
      <c r="AT100" s="61" t="n">
        <f aca="false">TASA_USADA+(TASA_INC-TASA_USADA)*Q_INC*(1-AS100)/(1-Q_INC*AS100)</f>
        <v>0.659887072235414</v>
      </c>
    </row>
    <row r="101" customFormat="false" ht="15" hidden="false" customHeight="false" outlineLevel="0" collapsed="false">
      <c r="A101" s="53" t="n">
        <v>46395</v>
      </c>
      <c r="B101" s="54"/>
      <c r="C101" s="54"/>
      <c r="D101" s="54"/>
      <c r="E101" s="54"/>
      <c r="F101" s="54"/>
      <c r="G101" s="54"/>
      <c r="H101" s="54"/>
      <c r="I101" s="54"/>
      <c r="J101" s="54"/>
      <c r="K101" s="54"/>
      <c r="L101" s="55"/>
      <c r="M101" s="55"/>
      <c r="N101" s="55"/>
      <c r="O101" s="56"/>
      <c r="P101" s="31" t="n">
        <f aca="false">B101+C101+D101</f>
        <v>0</v>
      </c>
      <c r="Q101" s="31" t="n">
        <f aca="false">AA101+AB101+AC101</f>
        <v>0</v>
      </c>
      <c r="R101" s="32" t="n">
        <f aca="false">B101*P1_PVP+C101*P2_PVP+D101*IF($A101&lt;P3_DESDE,P3A_PVP,P3_PVP)</f>
        <v>0</v>
      </c>
      <c r="S101" s="32" t="str">
        <f aca="false">IF(P101&gt;0,R101/P101,"")</f>
        <v/>
      </c>
      <c r="T101" s="32" t="str">
        <f aca="false">IF(P101&gt;0,N101/P101,"")</f>
        <v/>
      </c>
      <c r="U101" s="57" t="str">
        <f aca="false">IF(N101&gt;0,R101/N101,"")</f>
        <v/>
      </c>
      <c r="V101" s="34" t="str">
        <f aca="false">IF(E101+F101+G101+H101+I101+J101&gt;0,(E101+F101+G101)/(E101+F101+G101+H101+I101+J101),"")</f>
        <v/>
      </c>
      <c r="W101" s="33" t="n">
        <f aca="false">E101*(P1_PVP-P1_CPROD)+F101*(P2_PVP-P2_CPROD)+G101*(IF($A101&lt;P3_DESDE,P3A_PVP,P3_PVP)-IF($A101&lt;P3_DESDE,P3A_CPROD,P3_CPROD))-IF(ISNUMBER(L101),L101,E101*P1_LOG+F101*P2_LOG+G101*P3_LOG)</f>
        <v>0</v>
      </c>
      <c r="X101" s="33" t="n">
        <f aca="false">W101-(E101*P1_IVAN+F101*P2_IVAN+G101*IF($A101&lt;P3_DESDE,P3A_IVAN,P3_IVAN))-(H101+I101+J101)*(COSTE_DEV-IVA_DEV)-AM101-AO101</f>
        <v>0</v>
      </c>
      <c r="Y101" s="33" t="n">
        <f aca="false">AH101-AI101-AJ101-AK101-AL101-AM101-AO101</f>
        <v>0</v>
      </c>
      <c r="AA101" s="58" t="n">
        <f aca="false">MAX(0,B101-E101-H101)</f>
        <v>0</v>
      </c>
      <c r="AB101" s="58" t="n">
        <f aca="false">MAX(0,C101-F101-I101)</f>
        <v>0</v>
      </c>
      <c r="AC101" s="58" t="n">
        <f aca="false">MAX(0,D101-G101-J101)</f>
        <v>0</v>
      </c>
      <c r="AD101" s="59" t="n">
        <f aca="false">E101+AA101*AQ101</f>
        <v>0</v>
      </c>
      <c r="AE101" s="59" t="n">
        <f aca="false">F101+AB101*AQ101</f>
        <v>0</v>
      </c>
      <c r="AF101" s="59" t="n">
        <f aca="false">G101+AC101*AQ101</f>
        <v>0</v>
      </c>
      <c r="AG101" s="59" t="n">
        <f aca="false">H101+I101+J101+(AA101+AB101+AC101)*(1-AQ101)</f>
        <v>0</v>
      </c>
      <c r="AH101" s="60" t="n">
        <f aca="false">AD101*P1_PVP+AE101*P2_PVP+AF101*IF($A101&lt;P3_DESDE,P3A_PVP,P3_PVP)</f>
        <v>0</v>
      </c>
      <c r="AI101" s="60" t="n">
        <f aca="false">AD101*P1_CPROD+AE101*P2_CPROD+AF101*IF($A101&lt;P3_DESDE,P3A_CPROD,P3_CPROD)</f>
        <v>0</v>
      </c>
      <c r="AJ101" s="60" t="n">
        <f aca="false">IF(ISNUMBER(L101),L101,E101*P1_LOG+F101*P2_LOG+G101*P3_LOG)+IF(ISNUMBER(M101),M101,AA101*P1_LOG+AB101*P2_LOG+AC101*P3_LOG)*AQ101</f>
        <v>0</v>
      </c>
      <c r="AK101" s="60" t="n">
        <f aca="false">AG101*COSTE_DEV</f>
        <v>0</v>
      </c>
      <c r="AL101" s="60" t="n">
        <f aca="false">AD101*P1_IVAN+AE101*P2_IVAN+AF101*IF($A101&lt;P3_DESDE,P3A_IVAN,P3_IVAN)-AG101*IVA_DEV</f>
        <v>0</v>
      </c>
      <c r="AM101" s="60" t="n">
        <f aca="false">N101*(1+RECARGO_ADS)</f>
        <v>0</v>
      </c>
      <c r="AN101" s="58" t="n">
        <f aca="false">IF(ISNUMBER(L101),E101+F101+G101+AA101+AB101+AC101,0)</f>
        <v>0</v>
      </c>
      <c r="AO101" s="60" t="n">
        <f aca="false">P101*COMISION</f>
        <v>0</v>
      </c>
      <c r="AP101" s="58" t="n">
        <f aca="false">MIN(N(K101),Q101)</f>
        <v>0</v>
      </c>
      <c r="AQ101" s="61" t="n">
        <f aca="false">IF(Q101&gt;0,((Q101-AP101)*AT101+AP101*TASA_INC)/Q101,AT101)</f>
        <v>0.659887072235414</v>
      </c>
      <c r="AR101" s="58" t="n">
        <f aca="false">IF($A101&lt;FECHA_EXPORT,NETWORKDAYS($A101+1,FECHA_EXPORT,FESTIVOS),0)</f>
        <v>0</v>
      </c>
      <c r="AS101" s="61" t="n">
        <f aca="false">IF(AR101&gt;=5,1,INDEX(CDF_INC,1,AR101+1))</f>
        <v>0.14</v>
      </c>
      <c r="AT101" s="61" t="n">
        <f aca="false">TASA_USADA+(TASA_INC-TASA_USADA)*Q_INC*(1-AS101)/(1-Q_INC*AS101)</f>
        <v>0.659887072235414</v>
      </c>
    </row>
    <row r="102" customFormat="false" ht="15" hidden="false" customHeight="false" outlineLevel="0" collapsed="false">
      <c r="A102" s="53" t="n">
        <v>46396</v>
      </c>
      <c r="B102" s="54"/>
      <c r="C102" s="54"/>
      <c r="D102" s="54"/>
      <c r="E102" s="54"/>
      <c r="F102" s="54"/>
      <c r="G102" s="54"/>
      <c r="H102" s="54"/>
      <c r="I102" s="54"/>
      <c r="J102" s="54"/>
      <c r="K102" s="54"/>
      <c r="L102" s="55"/>
      <c r="M102" s="55"/>
      <c r="N102" s="55"/>
      <c r="O102" s="56"/>
      <c r="P102" s="31" t="n">
        <f aca="false">B102+C102+D102</f>
        <v>0</v>
      </c>
      <c r="Q102" s="31" t="n">
        <f aca="false">AA102+AB102+AC102</f>
        <v>0</v>
      </c>
      <c r="R102" s="32" t="n">
        <f aca="false">B102*P1_PVP+C102*P2_PVP+D102*IF($A102&lt;P3_DESDE,P3A_PVP,P3_PVP)</f>
        <v>0</v>
      </c>
      <c r="S102" s="32" t="str">
        <f aca="false">IF(P102&gt;0,R102/P102,"")</f>
        <v/>
      </c>
      <c r="T102" s="32" t="str">
        <f aca="false">IF(P102&gt;0,N102/P102,"")</f>
        <v/>
      </c>
      <c r="U102" s="57" t="str">
        <f aca="false">IF(N102&gt;0,R102/N102,"")</f>
        <v/>
      </c>
      <c r="V102" s="34" t="str">
        <f aca="false">IF(E102+F102+G102+H102+I102+J102&gt;0,(E102+F102+G102)/(E102+F102+G102+H102+I102+J102),"")</f>
        <v/>
      </c>
      <c r="W102" s="33" t="n">
        <f aca="false">E102*(P1_PVP-P1_CPROD)+F102*(P2_PVP-P2_CPROD)+G102*(IF($A102&lt;P3_DESDE,P3A_PVP,P3_PVP)-IF($A102&lt;P3_DESDE,P3A_CPROD,P3_CPROD))-IF(ISNUMBER(L102),L102,E102*P1_LOG+F102*P2_LOG+G102*P3_LOG)</f>
        <v>0</v>
      </c>
      <c r="X102" s="33" t="n">
        <f aca="false">W102-(E102*P1_IVAN+F102*P2_IVAN+G102*IF($A102&lt;P3_DESDE,P3A_IVAN,P3_IVAN))-(H102+I102+J102)*(COSTE_DEV-IVA_DEV)-AM102-AO102</f>
        <v>0</v>
      </c>
      <c r="Y102" s="33" t="n">
        <f aca="false">AH102-AI102-AJ102-AK102-AL102-AM102-AO102</f>
        <v>0</v>
      </c>
      <c r="AA102" s="58" t="n">
        <f aca="false">MAX(0,B102-E102-H102)</f>
        <v>0</v>
      </c>
      <c r="AB102" s="58" t="n">
        <f aca="false">MAX(0,C102-F102-I102)</f>
        <v>0</v>
      </c>
      <c r="AC102" s="58" t="n">
        <f aca="false">MAX(0,D102-G102-J102)</f>
        <v>0</v>
      </c>
      <c r="AD102" s="59" t="n">
        <f aca="false">E102+AA102*AQ102</f>
        <v>0</v>
      </c>
      <c r="AE102" s="59" t="n">
        <f aca="false">F102+AB102*AQ102</f>
        <v>0</v>
      </c>
      <c r="AF102" s="59" t="n">
        <f aca="false">G102+AC102*AQ102</f>
        <v>0</v>
      </c>
      <c r="AG102" s="59" t="n">
        <f aca="false">H102+I102+J102+(AA102+AB102+AC102)*(1-AQ102)</f>
        <v>0</v>
      </c>
      <c r="AH102" s="60" t="n">
        <f aca="false">AD102*P1_PVP+AE102*P2_PVP+AF102*IF($A102&lt;P3_DESDE,P3A_PVP,P3_PVP)</f>
        <v>0</v>
      </c>
      <c r="AI102" s="60" t="n">
        <f aca="false">AD102*P1_CPROD+AE102*P2_CPROD+AF102*IF($A102&lt;P3_DESDE,P3A_CPROD,P3_CPROD)</f>
        <v>0</v>
      </c>
      <c r="AJ102" s="60" t="n">
        <f aca="false">IF(ISNUMBER(L102),L102,E102*P1_LOG+F102*P2_LOG+G102*P3_LOG)+IF(ISNUMBER(M102),M102,AA102*P1_LOG+AB102*P2_LOG+AC102*P3_LOG)*AQ102</f>
        <v>0</v>
      </c>
      <c r="AK102" s="60" t="n">
        <f aca="false">AG102*COSTE_DEV</f>
        <v>0</v>
      </c>
      <c r="AL102" s="60" t="n">
        <f aca="false">AD102*P1_IVAN+AE102*P2_IVAN+AF102*IF($A102&lt;P3_DESDE,P3A_IVAN,P3_IVAN)-AG102*IVA_DEV</f>
        <v>0</v>
      </c>
      <c r="AM102" s="60" t="n">
        <f aca="false">N102*(1+RECARGO_ADS)</f>
        <v>0</v>
      </c>
      <c r="AN102" s="58" t="n">
        <f aca="false">IF(ISNUMBER(L102),E102+F102+G102+AA102+AB102+AC102,0)</f>
        <v>0</v>
      </c>
      <c r="AO102" s="60" t="n">
        <f aca="false">P102*COMISION</f>
        <v>0</v>
      </c>
      <c r="AP102" s="58" t="n">
        <f aca="false">MIN(N(K102),Q102)</f>
        <v>0</v>
      </c>
      <c r="AQ102" s="61" t="n">
        <f aca="false">IF(Q102&gt;0,((Q102-AP102)*AT102+AP102*TASA_INC)/Q102,AT102)</f>
        <v>0.659887072235414</v>
      </c>
      <c r="AR102" s="58" t="n">
        <f aca="false">IF($A102&lt;FECHA_EXPORT,NETWORKDAYS($A102+1,FECHA_EXPORT,FESTIVOS),0)</f>
        <v>0</v>
      </c>
      <c r="AS102" s="61" t="n">
        <f aca="false">IF(AR102&gt;=5,1,INDEX(CDF_INC,1,AR102+1))</f>
        <v>0.14</v>
      </c>
      <c r="AT102" s="61" t="n">
        <f aca="false">TASA_USADA+(TASA_INC-TASA_USADA)*Q_INC*(1-AS102)/(1-Q_INC*AS102)</f>
        <v>0.659887072235414</v>
      </c>
    </row>
    <row r="103" customFormat="false" ht="15" hidden="false" customHeight="false" outlineLevel="0" collapsed="false">
      <c r="A103" s="53" t="n">
        <v>46397</v>
      </c>
      <c r="B103" s="54"/>
      <c r="C103" s="54"/>
      <c r="D103" s="54"/>
      <c r="E103" s="54"/>
      <c r="F103" s="54"/>
      <c r="G103" s="54"/>
      <c r="H103" s="54"/>
      <c r="I103" s="54"/>
      <c r="J103" s="54"/>
      <c r="K103" s="54"/>
      <c r="L103" s="55"/>
      <c r="M103" s="55"/>
      <c r="N103" s="55"/>
      <c r="O103" s="56"/>
      <c r="P103" s="31" t="n">
        <f aca="false">B103+C103+D103</f>
        <v>0</v>
      </c>
      <c r="Q103" s="31" t="n">
        <f aca="false">AA103+AB103+AC103</f>
        <v>0</v>
      </c>
      <c r="R103" s="32" t="n">
        <f aca="false">B103*P1_PVP+C103*P2_PVP+D103*IF($A103&lt;P3_DESDE,P3A_PVP,P3_PVP)</f>
        <v>0</v>
      </c>
      <c r="S103" s="32" t="str">
        <f aca="false">IF(P103&gt;0,R103/P103,"")</f>
        <v/>
      </c>
      <c r="T103" s="32" t="str">
        <f aca="false">IF(P103&gt;0,N103/P103,"")</f>
        <v/>
      </c>
      <c r="U103" s="57" t="str">
        <f aca="false">IF(N103&gt;0,R103/N103,"")</f>
        <v/>
      </c>
      <c r="V103" s="34" t="str">
        <f aca="false">IF(E103+F103+G103+H103+I103+J103&gt;0,(E103+F103+G103)/(E103+F103+G103+H103+I103+J103),"")</f>
        <v/>
      </c>
      <c r="W103" s="33" t="n">
        <f aca="false">E103*(P1_PVP-P1_CPROD)+F103*(P2_PVP-P2_CPROD)+G103*(IF($A103&lt;P3_DESDE,P3A_PVP,P3_PVP)-IF($A103&lt;P3_DESDE,P3A_CPROD,P3_CPROD))-IF(ISNUMBER(L103),L103,E103*P1_LOG+F103*P2_LOG+G103*P3_LOG)</f>
        <v>0</v>
      </c>
      <c r="X103" s="33" t="n">
        <f aca="false">W103-(E103*P1_IVAN+F103*P2_IVAN+G103*IF($A103&lt;P3_DESDE,P3A_IVAN,P3_IVAN))-(H103+I103+J103)*(COSTE_DEV-IVA_DEV)-AM103-AO103</f>
        <v>0</v>
      </c>
      <c r="Y103" s="33" t="n">
        <f aca="false">AH103-AI103-AJ103-AK103-AL103-AM103-AO103</f>
        <v>0</v>
      </c>
      <c r="AA103" s="58" t="n">
        <f aca="false">MAX(0,B103-E103-H103)</f>
        <v>0</v>
      </c>
      <c r="AB103" s="58" t="n">
        <f aca="false">MAX(0,C103-F103-I103)</f>
        <v>0</v>
      </c>
      <c r="AC103" s="58" t="n">
        <f aca="false">MAX(0,D103-G103-J103)</f>
        <v>0</v>
      </c>
      <c r="AD103" s="59" t="n">
        <f aca="false">E103+AA103*AQ103</f>
        <v>0</v>
      </c>
      <c r="AE103" s="59" t="n">
        <f aca="false">F103+AB103*AQ103</f>
        <v>0</v>
      </c>
      <c r="AF103" s="59" t="n">
        <f aca="false">G103+AC103*AQ103</f>
        <v>0</v>
      </c>
      <c r="AG103" s="59" t="n">
        <f aca="false">H103+I103+J103+(AA103+AB103+AC103)*(1-AQ103)</f>
        <v>0</v>
      </c>
      <c r="AH103" s="60" t="n">
        <f aca="false">AD103*P1_PVP+AE103*P2_PVP+AF103*IF($A103&lt;P3_DESDE,P3A_PVP,P3_PVP)</f>
        <v>0</v>
      </c>
      <c r="AI103" s="60" t="n">
        <f aca="false">AD103*P1_CPROD+AE103*P2_CPROD+AF103*IF($A103&lt;P3_DESDE,P3A_CPROD,P3_CPROD)</f>
        <v>0</v>
      </c>
      <c r="AJ103" s="60" t="n">
        <f aca="false">IF(ISNUMBER(L103),L103,E103*P1_LOG+F103*P2_LOG+G103*P3_LOG)+IF(ISNUMBER(M103),M103,AA103*P1_LOG+AB103*P2_LOG+AC103*P3_LOG)*AQ103</f>
        <v>0</v>
      </c>
      <c r="AK103" s="60" t="n">
        <f aca="false">AG103*COSTE_DEV</f>
        <v>0</v>
      </c>
      <c r="AL103" s="60" t="n">
        <f aca="false">AD103*P1_IVAN+AE103*P2_IVAN+AF103*IF($A103&lt;P3_DESDE,P3A_IVAN,P3_IVAN)-AG103*IVA_DEV</f>
        <v>0</v>
      </c>
      <c r="AM103" s="60" t="n">
        <f aca="false">N103*(1+RECARGO_ADS)</f>
        <v>0</v>
      </c>
      <c r="AN103" s="58" t="n">
        <f aca="false">IF(ISNUMBER(L103),E103+F103+G103+AA103+AB103+AC103,0)</f>
        <v>0</v>
      </c>
      <c r="AO103" s="60" t="n">
        <f aca="false">P103*COMISION</f>
        <v>0</v>
      </c>
      <c r="AP103" s="58" t="n">
        <f aca="false">MIN(N(K103),Q103)</f>
        <v>0</v>
      </c>
      <c r="AQ103" s="61" t="n">
        <f aca="false">IF(Q103&gt;0,((Q103-AP103)*AT103+AP103*TASA_INC)/Q103,AT103)</f>
        <v>0.659887072235414</v>
      </c>
      <c r="AR103" s="58" t="n">
        <f aca="false">IF($A103&lt;FECHA_EXPORT,NETWORKDAYS($A103+1,FECHA_EXPORT,FESTIVOS),0)</f>
        <v>0</v>
      </c>
      <c r="AS103" s="61" t="n">
        <f aca="false">IF(AR103&gt;=5,1,INDEX(CDF_INC,1,AR103+1))</f>
        <v>0.14</v>
      </c>
      <c r="AT103" s="61" t="n">
        <f aca="false">TASA_USADA+(TASA_INC-TASA_USADA)*Q_INC*(1-AS103)/(1-Q_INC*AS103)</f>
        <v>0.659887072235414</v>
      </c>
    </row>
    <row r="104" customFormat="false" ht="15" hidden="false" customHeight="false" outlineLevel="0" collapsed="false">
      <c r="A104" s="53" t="n">
        <v>46398</v>
      </c>
      <c r="B104" s="54"/>
      <c r="C104" s="54"/>
      <c r="D104" s="54"/>
      <c r="E104" s="54"/>
      <c r="F104" s="54"/>
      <c r="G104" s="54"/>
      <c r="H104" s="54"/>
      <c r="I104" s="54"/>
      <c r="J104" s="54"/>
      <c r="K104" s="54"/>
      <c r="L104" s="55"/>
      <c r="M104" s="55"/>
      <c r="N104" s="55"/>
      <c r="O104" s="56"/>
      <c r="P104" s="31" t="n">
        <f aca="false">B104+C104+D104</f>
        <v>0</v>
      </c>
      <c r="Q104" s="31" t="n">
        <f aca="false">AA104+AB104+AC104</f>
        <v>0</v>
      </c>
      <c r="R104" s="32" t="n">
        <f aca="false">B104*P1_PVP+C104*P2_PVP+D104*IF($A104&lt;P3_DESDE,P3A_PVP,P3_PVP)</f>
        <v>0</v>
      </c>
      <c r="S104" s="32" t="str">
        <f aca="false">IF(P104&gt;0,R104/P104,"")</f>
        <v/>
      </c>
      <c r="T104" s="32" t="str">
        <f aca="false">IF(P104&gt;0,N104/P104,"")</f>
        <v/>
      </c>
      <c r="U104" s="57" t="str">
        <f aca="false">IF(N104&gt;0,R104/N104,"")</f>
        <v/>
      </c>
      <c r="V104" s="34" t="str">
        <f aca="false">IF(E104+F104+G104+H104+I104+J104&gt;0,(E104+F104+G104)/(E104+F104+G104+H104+I104+J104),"")</f>
        <v/>
      </c>
      <c r="W104" s="33" t="n">
        <f aca="false">E104*(P1_PVP-P1_CPROD)+F104*(P2_PVP-P2_CPROD)+G104*(IF($A104&lt;P3_DESDE,P3A_PVP,P3_PVP)-IF($A104&lt;P3_DESDE,P3A_CPROD,P3_CPROD))-IF(ISNUMBER(L104),L104,E104*P1_LOG+F104*P2_LOG+G104*P3_LOG)</f>
        <v>0</v>
      </c>
      <c r="X104" s="33" t="n">
        <f aca="false">W104-(E104*P1_IVAN+F104*P2_IVAN+G104*IF($A104&lt;P3_DESDE,P3A_IVAN,P3_IVAN))-(H104+I104+J104)*(COSTE_DEV-IVA_DEV)-AM104-AO104</f>
        <v>0</v>
      </c>
      <c r="Y104" s="33" t="n">
        <f aca="false">AH104-AI104-AJ104-AK104-AL104-AM104-AO104</f>
        <v>0</v>
      </c>
      <c r="AA104" s="58" t="n">
        <f aca="false">MAX(0,B104-E104-H104)</f>
        <v>0</v>
      </c>
      <c r="AB104" s="58" t="n">
        <f aca="false">MAX(0,C104-F104-I104)</f>
        <v>0</v>
      </c>
      <c r="AC104" s="58" t="n">
        <f aca="false">MAX(0,D104-G104-J104)</f>
        <v>0</v>
      </c>
      <c r="AD104" s="59" t="n">
        <f aca="false">E104+AA104*AQ104</f>
        <v>0</v>
      </c>
      <c r="AE104" s="59" t="n">
        <f aca="false">F104+AB104*AQ104</f>
        <v>0</v>
      </c>
      <c r="AF104" s="59" t="n">
        <f aca="false">G104+AC104*AQ104</f>
        <v>0</v>
      </c>
      <c r="AG104" s="59" t="n">
        <f aca="false">H104+I104+J104+(AA104+AB104+AC104)*(1-AQ104)</f>
        <v>0</v>
      </c>
      <c r="AH104" s="60" t="n">
        <f aca="false">AD104*P1_PVP+AE104*P2_PVP+AF104*IF($A104&lt;P3_DESDE,P3A_PVP,P3_PVP)</f>
        <v>0</v>
      </c>
      <c r="AI104" s="60" t="n">
        <f aca="false">AD104*P1_CPROD+AE104*P2_CPROD+AF104*IF($A104&lt;P3_DESDE,P3A_CPROD,P3_CPROD)</f>
        <v>0</v>
      </c>
      <c r="AJ104" s="60" t="n">
        <f aca="false">IF(ISNUMBER(L104),L104,E104*P1_LOG+F104*P2_LOG+G104*P3_LOG)+IF(ISNUMBER(M104),M104,AA104*P1_LOG+AB104*P2_LOG+AC104*P3_LOG)*AQ104</f>
        <v>0</v>
      </c>
      <c r="AK104" s="60" t="n">
        <f aca="false">AG104*COSTE_DEV</f>
        <v>0</v>
      </c>
      <c r="AL104" s="60" t="n">
        <f aca="false">AD104*P1_IVAN+AE104*P2_IVAN+AF104*IF($A104&lt;P3_DESDE,P3A_IVAN,P3_IVAN)-AG104*IVA_DEV</f>
        <v>0</v>
      </c>
      <c r="AM104" s="60" t="n">
        <f aca="false">N104*(1+RECARGO_ADS)</f>
        <v>0</v>
      </c>
      <c r="AN104" s="58" t="n">
        <f aca="false">IF(ISNUMBER(L104),E104+F104+G104+AA104+AB104+AC104,0)</f>
        <v>0</v>
      </c>
      <c r="AO104" s="60" t="n">
        <f aca="false">P104*COMISION</f>
        <v>0</v>
      </c>
      <c r="AP104" s="58" t="n">
        <f aca="false">MIN(N(K104),Q104)</f>
        <v>0</v>
      </c>
      <c r="AQ104" s="61" t="n">
        <f aca="false">IF(Q104&gt;0,((Q104-AP104)*AT104+AP104*TASA_INC)/Q104,AT104)</f>
        <v>0.659887072235414</v>
      </c>
      <c r="AR104" s="58" t="n">
        <f aca="false">IF($A104&lt;FECHA_EXPORT,NETWORKDAYS($A104+1,FECHA_EXPORT,FESTIVOS),0)</f>
        <v>0</v>
      </c>
      <c r="AS104" s="61" t="n">
        <f aca="false">IF(AR104&gt;=5,1,INDEX(CDF_INC,1,AR104+1))</f>
        <v>0.14</v>
      </c>
      <c r="AT104" s="61" t="n">
        <f aca="false">TASA_USADA+(TASA_INC-TASA_USADA)*Q_INC*(1-AS104)/(1-Q_INC*AS104)</f>
        <v>0.659887072235414</v>
      </c>
    </row>
    <row r="105" customFormat="false" ht="15" hidden="false" customHeight="false" outlineLevel="0" collapsed="false">
      <c r="A105" s="53" t="n">
        <v>46399</v>
      </c>
      <c r="B105" s="54"/>
      <c r="C105" s="54"/>
      <c r="D105" s="54"/>
      <c r="E105" s="54"/>
      <c r="F105" s="54"/>
      <c r="G105" s="54"/>
      <c r="H105" s="54"/>
      <c r="I105" s="54"/>
      <c r="J105" s="54"/>
      <c r="K105" s="54"/>
      <c r="L105" s="55"/>
      <c r="M105" s="55"/>
      <c r="N105" s="55"/>
      <c r="O105" s="56"/>
      <c r="P105" s="31" t="n">
        <f aca="false">B105+C105+D105</f>
        <v>0</v>
      </c>
      <c r="Q105" s="31" t="n">
        <f aca="false">AA105+AB105+AC105</f>
        <v>0</v>
      </c>
      <c r="R105" s="32" t="n">
        <f aca="false">B105*P1_PVP+C105*P2_PVP+D105*IF($A105&lt;P3_DESDE,P3A_PVP,P3_PVP)</f>
        <v>0</v>
      </c>
      <c r="S105" s="32" t="str">
        <f aca="false">IF(P105&gt;0,R105/P105,"")</f>
        <v/>
      </c>
      <c r="T105" s="32" t="str">
        <f aca="false">IF(P105&gt;0,N105/P105,"")</f>
        <v/>
      </c>
      <c r="U105" s="57" t="str">
        <f aca="false">IF(N105&gt;0,R105/N105,"")</f>
        <v/>
      </c>
      <c r="V105" s="34" t="str">
        <f aca="false">IF(E105+F105+G105+H105+I105+J105&gt;0,(E105+F105+G105)/(E105+F105+G105+H105+I105+J105),"")</f>
        <v/>
      </c>
      <c r="W105" s="33" t="n">
        <f aca="false">E105*(P1_PVP-P1_CPROD)+F105*(P2_PVP-P2_CPROD)+G105*(IF($A105&lt;P3_DESDE,P3A_PVP,P3_PVP)-IF($A105&lt;P3_DESDE,P3A_CPROD,P3_CPROD))-IF(ISNUMBER(L105),L105,E105*P1_LOG+F105*P2_LOG+G105*P3_LOG)</f>
        <v>0</v>
      </c>
      <c r="X105" s="33" t="n">
        <f aca="false">W105-(E105*P1_IVAN+F105*P2_IVAN+G105*IF($A105&lt;P3_DESDE,P3A_IVAN,P3_IVAN))-(H105+I105+J105)*(COSTE_DEV-IVA_DEV)-AM105-AO105</f>
        <v>0</v>
      </c>
      <c r="Y105" s="33" t="n">
        <f aca="false">AH105-AI105-AJ105-AK105-AL105-AM105-AO105</f>
        <v>0</v>
      </c>
      <c r="AA105" s="58" t="n">
        <f aca="false">MAX(0,B105-E105-H105)</f>
        <v>0</v>
      </c>
      <c r="AB105" s="58" t="n">
        <f aca="false">MAX(0,C105-F105-I105)</f>
        <v>0</v>
      </c>
      <c r="AC105" s="58" t="n">
        <f aca="false">MAX(0,D105-G105-J105)</f>
        <v>0</v>
      </c>
      <c r="AD105" s="59" t="n">
        <f aca="false">E105+AA105*AQ105</f>
        <v>0</v>
      </c>
      <c r="AE105" s="59" t="n">
        <f aca="false">F105+AB105*AQ105</f>
        <v>0</v>
      </c>
      <c r="AF105" s="59" t="n">
        <f aca="false">G105+AC105*AQ105</f>
        <v>0</v>
      </c>
      <c r="AG105" s="59" t="n">
        <f aca="false">H105+I105+J105+(AA105+AB105+AC105)*(1-AQ105)</f>
        <v>0</v>
      </c>
      <c r="AH105" s="60" t="n">
        <f aca="false">AD105*P1_PVP+AE105*P2_PVP+AF105*IF($A105&lt;P3_DESDE,P3A_PVP,P3_PVP)</f>
        <v>0</v>
      </c>
      <c r="AI105" s="60" t="n">
        <f aca="false">AD105*P1_CPROD+AE105*P2_CPROD+AF105*IF($A105&lt;P3_DESDE,P3A_CPROD,P3_CPROD)</f>
        <v>0</v>
      </c>
      <c r="AJ105" s="60" t="n">
        <f aca="false">IF(ISNUMBER(L105),L105,E105*P1_LOG+F105*P2_LOG+G105*P3_LOG)+IF(ISNUMBER(M105),M105,AA105*P1_LOG+AB105*P2_LOG+AC105*P3_LOG)*AQ105</f>
        <v>0</v>
      </c>
      <c r="AK105" s="60" t="n">
        <f aca="false">AG105*COSTE_DEV</f>
        <v>0</v>
      </c>
      <c r="AL105" s="60" t="n">
        <f aca="false">AD105*P1_IVAN+AE105*P2_IVAN+AF105*IF($A105&lt;P3_DESDE,P3A_IVAN,P3_IVAN)-AG105*IVA_DEV</f>
        <v>0</v>
      </c>
      <c r="AM105" s="60" t="n">
        <f aca="false">N105*(1+RECARGO_ADS)</f>
        <v>0</v>
      </c>
      <c r="AN105" s="58" t="n">
        <f aca="false">IF(ISNUMBER(L105),E105+F105+G105+AA105+AB105+AC105,0)</f>
        <v>0</v>
      </c>
      <c r="AO105" s="60" t="n">
        <f aca="false">P105*COMISION</f>
        <v>0</v>
      </c>
      <c r="AP105" s="58" t="n">
        <f aca="false">MIN(N(K105),Q105)</f>
        <v>0</v>
      </c>
      <c r="AQ105" s="61" t="n">
        <f aca="false">IF(Q105&gt;0,((Q105-AP105)*AT105+AP105*TASA_INC)/Q105,AT105)</f>
        <v>0.659887072235414</v>
      </c>
      <c r="AR105" s="58" t="n">
        <f aca="false">IF($A105&lt;FECHA_EXPORT,NETWORKDAYS($A105+1,FECHA_EXPORT,FESTIVOS),0)</f>
        <v>0</v>
      </c>
      <c r="AS105" s="61" t="n">
        <f aca="false">IF(AR105&gt;=5,1,INDEX(CDF_INC,1,AR105+1))</f>
        <v>0.14</v>
      </c>
      <c r="AT105" s="61" t="n">
        <f aca="false">TASA_USADA+(TASA_INC-TASA_USADA)*Q_INC*(1-AS105)/(1-Q_INC*AS105)</f>
        <v>0.659887072235414</v>
      </c>
    </row>
    <row r="106" customFormat="false" ht="15" hidden="false" customHeight="false" outlineLevel="0" collapsed="false">
      <c r="A106" s="53" t="n">
        <v>46400</v>
      </c>
      <c r="B106" s="54"/>
      <c r="C106" s="54"/>
      <c r="D106" s="54"/>
      <c r="E106" s="54"/>
      <c r="F106" s="54"/>
      <c r="G106" s="54"/>
      <c r="H106" s="54"/>
      <c r="I106" s="54"/>
      <c r="J106" s="54"/>
      <c r="K106" s="54"/>
      <c r="L106" s="55"/>
      <c r="M106" s="55"/>
      <c r="N106" s="55"/>
      <c r="O106" s="56"/>
      <c r="P106" s="31" t="n">
        <f aca="false">B106+C106+D106</f>
        <v>0</v>
      </c>
      <c r="Q106" s="31" t="n">
        <f aca="false">AA106+AB106+AC106</f>
        <v>0</v>
      </c>
      <c r="R106" s="32" t="n">
        <f aca="false">B106*P1_PVP+C106*P2_PVP+D106*IF($A106&lt;P3_DESDE,P3A_PVP,P3_PVP)</f>
        <v>0</v>
      </c>
      <c r="S106" s="32" t="str">
        <f aca="false">IF(P106&gt;0,R106/P106,"")</f>
        <v/>
      </c>
      <c r="T106" s="32" t="str">
        <f aca="false">IF(P106&gt;0,N106/P106,"")</f>
        <v/>
      </c>
      <c r="U106" s="57" t="str">
        <f aca="false">IF(N106&gt;0,R106/N106,"")</f>
        <v/>
      </c>
      <c r="V106" s="34" t="str">
        <f aca="false">IF(E106+F106+G106+H106+I106+J106&gt;0,(E106+F106+G106)/(E106+F106+G106+H106+I106+J106),"")</f>
        <v/>
      </c>
      <c r="W106" s="33" t="n">
        <f aca="false">E106*(P1_PVP-P1_CPROD)+F106*(P2_PVP-P2_CPROD)+G106*(IF($A106&lt;P3_DESDE,P3A_PVP,P3_PVP)-IF($A106&lt;P3_DESDE,P3A_CPROD,P3_CPROD))-IF(ISNUMBER(L106),L106,E106*P1_LOG+F106*P2_LOG+G106*P3_LOG)</f>
        <v>0</v>
      </c>
      <c r="X106" s="33" t="n">
        <f aca="false">W106-(E106*P1_IVAN+F106*P2_IVAN+G106*IF($A106&lt;P3_DESDE,P3A_IVAN,P3_IVAN))-(H106+I106+J106)*(COSTE_DEV-IVA_DEV)-AM106-AO106</f>
        <v>0</v>
      </c>
      <c r="Y106" s="33" t="n">
        <f aca="false">AH106-AI106-AJ106-AK106-AL106-AM106-AO106</f>
        <v>0</v>
      </c>
      <c r="AA106" s="58" t="n">
        <f aca="false">MAX(0,B106-E106-H106)</f>
        <v>0</v>
      </c>
      <c r="AB106" s="58" t="n">
        <f aca="false">MAX(0,C106-F106-I106)</f>
        <v>0</v>
      </c>
      <c r="AC106" s="58" t="n">
        <f aca="false">MAX(0,D106-G106-J106)</f>
        <v>0</v>
      </c>
      <c r="AD106" s="59" t="n">
        <f aca="false">E106+AA106*AQ106</f>
        <v>0</v>
      </c>
      <c r="AE106" s="59" t="n">
        <f aca="false">F106+AB106*AQ106</f>
        <v>0</v>
      </c>
      <c r="AF106" s="59" t="n">
        <f aca="false">G106+AC106*AQ106</f>
        <v>0</v>
      </c>
      <c r="AG106" s="59" t="n">
        <f aca="false">H106+I106+J106+(AA106+AB106+AC106)*(1-AQ106)</f>
        <v>0</v>
      </c>
      <c r="AH106" s="60" t="n">
        <f aca="false">AD106*P1_PVP+AE106*P2_PVP+AF106*IF($A106&lt;P3_DESDE,P3A_PVP,P3_PVP)</f>
        <v>0</v>
      </c>
      <c r="AI106" s="60" t="n">
        <f aca="false">AD106*P1_CPROD+AE106*P2_CPROD+AF106*IF($A106&lt;P3_DESDE,P3A_CPROD,P3_CPROD)</f>
        <v>0</v>
      </c>
      <c r="AJ106" s="60" t="n">
        <f aca="false">IF(ISNUMBER(L106),L106,E106*P1_LOG+F106*P2_LOG+G106*P3_LOG)+IF(ISNUMBER(M106),M106,AA106*P1_LOG+AB106*P2_LOG+AC106*P3_LOG)*AQ106</f>
        <v>0</v>
      </c>
      <c r="AK106" s="60" t="n">
        <f aca="false">AG106*COSTE_DEV</f>
        <v>0</v>
      </c>
      <c r="AL106" s="60" t="n">
        <f aca="false">AD106*P1_IVAN+AE106*P2_IVAN+AF106*IF($A106&lt;P3_DESDE,P3A_IVAN,P3_IVAN)-AG106*IVA_DEV</f>
        <v>0</v>
      </c>
      <c r="AM106" s="60" t="n">
        <f aca="false">N106*(1+RECARGO_ADS)</f>
        <v>0</v>
      </c>
      <c r="AN106" s="58" t="n">
        <f aca="false">IF(ISNUMBER(L106),E106+F106+G106+AA106+AB106+AC106,0)</f>
        <v>0</v>
      </c>
      <c r="AO106" s="60" t="n">
        <f aca="false">P106*COMISION</f>
        <v>0</v>
      </c>
      <c r="AP106" s="58" t="n">
        <f aca="false">MIN(N(K106),Q106)</f>
        <v>0</v>
      </c>
      <c r="AQ106" s="61" t="n">
        <f aca="false">IF(Q106&gt;0,((Q106-AP106)*AT106+AP106*TASA_INC)/Q106,AT106)</f>
        <v>0.659887072235414</v>
      </c>
      <c r="AR106" s="58" t="n">
        <f aca="false">IF($A106&lt;FECHA_EXPORT,NETWORKDAYS($A106+1,FECHA_EXPORT,FESTIVOS),0)</f>
        <v>0</v>
      </c>
      <c r="AS106" s="61" t="n">
        <f aca="false">IF(AR106&gt;=5,1,INDEX(CDF_INC,1,AR106+1))</f>
        <v>0.14</v>
      </c>
      <c r="AT106" s="61" t="n">
        <f aca="false">TASA_USADA+(TASA_INC-TASA_USADA)*Q_INC*(1-AS106)/(1-Q_INC*AS106)</f>
        <v>0.659887072235414</v>
      </c>
    </row>
    <row r="107" customFormat="false" ht="15" hidden="false" customHeight="false" outlineLevel="0" collapsed="false">
      <c r="A107" s="53" t="n">
        <v>46401</v>
      </c>
      <c r="B107" s="54"/>
      <c r="C107" s="54"/>
      <c r="D107" s="54"/>
      <c r="E107" s="54"/>
      <c r="F107" s="54"/>
      <c r="G107" s="54"/>
      <c r="H107" s="54"/>
      <c r="I107" s="54"/>
      <c r="J107" s="54"/>
      <c r="K107" s="54"/>
      <c r="L107" s="55"/>
      <c r="M107" s="55"/>
      <c r="N107" s="55"/>
      <c r="O107" s="56"/>
      <c r="P107" s="31" t="n">
        <f aca="false">B107+C107+D107</f>
        <v>0</v>
      </c>
      <c r="Q107" s="31" t="n">
        <f aca="false">AA107+AB107+AC107</f>
        <v>0</v>
      </c>
      <c r="R107" s="32" t="n">
        <f aca="false">B107*P1_PVP+C107*P2_PVP+D107*IF($A107&lt;P3_DESDE,P3A_PVP,P3_PVP)</f>
        <v>0</v>
      </c>
      <c r="S107" s="32" t="str">
        <f aca="false">IF(P107&gt;0,R107/P107,"")</f>
        <v/>
      </c>
      <c r="T107" s="32" t="str">
        <f aca="false">IF(P107&gt;0,N107/P107,"")</f>
        <v/>
      </c>
      <c r="U107" s="57" t="str">
        <f aca="false">IF(N107&gt;0,R107/N107,"")</f>
        <v/>
      </c>
      <c r="V107" s="34" t="str">
        <f aca="false">IF(E107+F107+G107+H107+I107+J107&gt;0,(E107+F107+G107)/(E107+F107+G107+H107+I107+J107),"")</f>
        <v/>
      </c>
      <c r="W107" s="33" t="n">
        <f aca="false">E107*(P1_PVP-P1_CPROD)+F107*(P2_PVP-P2_CPROD)+G107*(IF($A107&lt;P3_DESDE,P3A_PVP,P3_PVP)-IF($A107&lt;P3_DESDE,P3A_CPROD,P3_CPROD))-IF(ISNUMBER(L107),L107,E107*P1_LOG+F107*P2_LOG+G107*P3_LOG)</f>
        <v>0</v>
      </c>
      <c r="X107" s="33" t="n">
        <f aca="false">W107-(E107*P1_IVAN+F107*P2_IVAN+G107*IF($A107&lt;P3_DESDE,P3A_IVAN,P3_IVAN))-(H107+I107+J107)*(COSTE_DEV-IVA_DEV)-AM107-AO107</f>
        <v>0</v>
      </c>
      <c r="Y107" s="33" t="n">
        <f aca="false">AH107-AI107-AJ107-AK107-AL107-AM107-AO107</f>
        <v>0</v>
      </c>
      <c r="AA107" s="58" t="n">
        <f aca="false">MAX(0,B107-E107-H107)</f>
        <v>0</v>
      </c>
      <c r="AB107" s="58" t="n">
        <f aca="false">MAX(0,C107-F107-I107)</f>
        <v>0</v>
      </c>
      <c r="AC107" s="58" t="n">
        <f aca="false">MAX(0,D107-G107-J107)</f>
        <v>0</v>
      </c>
      <c r="AD107" s="59" t="n">
        <f aca="false">E107+AA107*AQ107</f>
        <v>0</v>
      </c>
      <c r="AE107" s="59" t="n">
        <f aca="false">F107+AB107*AQ107</f>
        <v>0</v>
      </c>
      <c r="AF107" s="59" t="n">
        <f aca="false">G107+AC107*AQ107</f>
        <v>0</v>
      </c>
      <c r="AG107" s="59" t="n">
        <f aca="false">H107+I107+J107+(AA107+AB107+AC107)*(1-AQ107)</f>
        <v>0</v>
      </c>
      <c r="AH107" s="60" t="n">
        <f aca="false">AD107*P1_PVP+AE107*P2_PVP+AF107*IF($A107&lt;P3_DESDE,P3A_PVP,P3_PVP)</f>
        <v>0</v>
      </c>
      <c r="AI107" s="60" t="n">
        <f aca="false">AD107*P1_CPROD+AE107*P2_CPROD+AF107*IF($A107&lt;P3_DESDE,P3A_CPROD,P3_CPROD)</f>
        <v>0</v>
      </c>
      <c r="AJ107" s="60" t="n">
        <f aca="false">IF(ISNUMBER(L107),L107,E107*P1_LOG+F107*P2_LOG+G107*P3_LOG)+IF(ISNUMBER(M107),M107,AA107*P1_LOG+AB107*P2_LOG+AC107*P3_LOG)*AQ107</f>
        <v>0</v>
      </c>
      <c r="AK107" s="60" t="n">
        <f aca="false">AG107*COSTE_DEV</f>
        <v>0</v>
      </c>
      <c r="AL107" s="60" t="n">
        <f aca="false">AD107*P1_IVAN+AE107*P2_IVAN+AF107*IF($A107&lt;P3_DESDE,P3A_IVAN,P3_IVAN)-AG107*IVA_DEV</f>
        <v>0</v>
      </c>
      <c r="AM107" s="60" t="n">
        <f aca="false">N107*(1+RECARGO_ADS)</f>
        <v>0</v>
      </c>
      <c r="AN107" s="58" t="n">
        <f aca="false">IF(ISNUMBER(L107),E107+F107+G107+AA107+AB107+AC107,0)</f>
        <v>0</v>
      </c>
      <c r="AO107" s="60" t="n">
        <f aca="false">P107*COMISION</f>
        <v>0</v>
      </c>
      <c r="AP107" s="58" t="n">
        <f aca="false">MIN(N(K107),Q107)</f>
        <v>0</v>
      </c>
      <c r="AQ107" s="61" t="n">
        <f aca="false">IF(Q107&gt;0,((Q107-AP107)*AT107+AP107*TASA_INC)/Q107,AT107)</f>
        <v>0.659887072235414</v>
      </c>
      <c r="AR107" s="58" t="n">
        <f aca="false">IF($A107&lt;FECHA_EXPORT,NETWORKDAYS($A107+1,FECHA_EXPORT,FESTIVOS),0)</f>
        <v>0</v>
      </c>
      <c r="AS107" s="61" t="n">
        <f aca="false">IF(AR107&gt;=5,1,INDEX(CDF_INC,1,AR107+1))</f>
        <v>0.14</v>
      </c>
      <c r="AT107" s="61" t="n">
        <f aca="false">TASA_USADA+(TASA_INC-TASA_USADA)*Q_INC*(1-AS107)/(1-Q_INC*AS107)</f>
        <v>0.659887072235414</v>
      </c>
    </row>
    <row r="108" customFormat="false" ht="15" hidden="false" customHeight="false" outlineLevel="0" collapsed="false">
      <c r="A108" s="53" t="n">
        <v>46402</v>
      </c>
      <c r="B108" s="54"/>
      <c r="C108" s="54"/>
      <c r="D108" s="54"/>
      <c r="E108" s="54"/>
      <c r="F108" s="54"/>
      <c r="G108" s="54"/>
      <c r="H108" s="54"/>
      <c r="I108" s="54"/>
      <c r="J108" s="54"/>
      <c r="K108" s="54"/>
      <c r="L108" s="55"/>
      <c r="M108" s="55"/>
      <c r="N108" s="55"/>
      <c r="O108" s="56"/>
      <c r="P108" s="31" t="n">
        <f aca="false">B108+C108+D108</f>
        <v>0</v>
      </c>
      <c r="Q108" s="31" t="n">
        <f aca="false">AA108+AB108+AC108</f>
        <v>0</v>
      </c>
      <c r="R108" s="32" t="n">
        <f aca="false">B108*P1_PVP+C108*P2_PVP+D108*IF($A108&lt;P3_DESDE,P3A_PVP,P3_PVP)</f>
        <v>0</v>
      </c>
      <c r="S108" s="32" t="str">
        <f aca="false">IF(P108&gt;0,R108/P108,"")</f>
        <v/>
      </c>
      <c r="T108" s="32" t="str">
        <f aca="false">IF(P108&gt;0,N108/P108,"")</f>
        <v/>
      </c>
      <c r="U108" s="57" t="str">
        <f aca="false">IF(N108&gt;0,R108/N108,"")</f>
        <v/>
      </c>
      <c r="V108" s="34" t="str">
        <f aca="false">IF(E108+F108+G108+H108+I108+J108&gt;0,(E108+F108+G108)/(E108+F108+G108+H108+I108+J108),"")</f>
        <v/>
      </c>
      <c r="W108" s="33" t="n">
        <f aca="false">E108*(P1_PVP-P1_CPROD)+F108*(P2_PVP-P2_CPROD)+G108*(IF($A108&lt;P3_DESDE,P3A_PVP,P3_PVP)-IF($A108&lt;P3_DESDE,P3A_CPROD,P3_CPROD))-IF(ISNUMBER(L108),L108,E108*P1_LOG+F108*P2_LOG+G108*P3_LOG)</f>
        <v>0</v>
      </c>
      <c r="X108" s="33" t="n">
        <f aca="false">W108-(E108*P1_IVAN+F108*P2_IVAN+G108*IF($A108&lt;P3_DESDE,P3A_IVAN,P3_IVAN))-(H108+I108+J108)*(COSTE_DEV-IVA_DEV)-AM108-AO108</f>
        <v>0</v>
      </c>
      <c r="Y108" s="33" t="n">
        <f aca="false">AH108-AI108-AJ108-AK108-AL108-AM108-AO108</f>
        <v>0</v>
      </c>
      <c r="AA108" s="58" t="n">
        <f aca="false">MAX(0,B108-E108-H108)</f>
        <v>0</v>
      </c>
      <c r="AB108" s="58" t="n">
        <f aca="false">MAX(0,C108-F108-I108)</f>
        <v>0</v>
      </c>
      <c r="AC108" s="58" t="n">
        <f aca="false">MAX(0,D108-G108-J108)</f>
        <v>0</v>
      </c>
      <c r="AD108" s="59" t="n">
        <f aca="false">E108+AA108*AQ108</f>
        <v>0</v>
      </c>
      <c r="AE108" s="59" t="n">
        <f aca="false">F108+AB108*AQ108</f>
        <v>0</v>
      </c>
      <c r="AF108" s="59" t="n">
        <f aca="false">G108+AC108*AQ108</f>
        <v>0</v>
      </c>
      <c r="AG108" s="59" t="n">
        <f aca="false">H108+I108+J108+(AA108+AB108+AC108)*(1-AQ108)</f>
        <v>0</v>
      </c>
      <c r="AH108" s="60" t="n">
        <f aca="false">AD108*P1_PVP+AE108*P2_PVP+AF108*IF($A108&lt;P3_DESDE,P3A_PVP,P3_PVP)</f>
        <v>0</v>
      </c>
      <c r="AI108" s="60" t="n">
        <f aca="false">AD108*P1_CPROD+AE108*P2_CPROD+AF108*IF($A108&lt;P3_DESDE,P3A_CPROD,P3_CPROD)</f>
        <v>0</v>
      </c>
      <c r="AJ108" s="60" t="n">
        <f aca="false">IF(ISNUMBER(L108),L108,E108*P1_LOG+F108*P2_LOG+G108*P3_LOG)+IF(ISNUMBER(M108),M108,AA108*P1_LOG+AB108*P2_LOG+AC108*P3_LOG)*AQ108</f>
        <v>0</v>
      </c>
      <c r="AK108" s="60" t="n">
        <f aca="false">AG108*COSTE_DEV</f>
        <v>0</v>
      </c>
      <c r="AL108" s="60" t="n">
        <f aca="false">AD108*P1_IVAN+AE108*P2_IVAN+AF108*IF($A108&lt;P3_DESDE,P3A_IVAN,P3_IVAN)-AG108*IVA_DEV</f>
        <v>0</v>
      </c>
      <c r="AM108" s="60" t="n">
        <f aca="false">N108*(1+RECARGO_ADS)</f>
        <v>0</v>
      </c>
      <c r="AN108" s="58" t="n">
        <f aca="false">IF(ISNUMBER(L108),E108+F108+G108+AA108+AB108+AC108,0)</f>
        <v>0</v>
      </c>
      <c r="AO108" s="60" t="n">
        <f aca="false">P108*COMISION</f>
        <v>0</v>
      </c>
      <c r="AP108" s="58" t="n">
        <f aca="false">MIN(N(K108),Q108)</f>
        <v>0</v>
      </c>
      <c r="AQ108" s="61" t="n">
        <f aca="false">IF(Q108&gt;0,((Q108-AP108)*AT108+AP108*TASA_INC)/Q108,AT108)</f>
        <v>0.659887072235414</v>
      </c>
      <c r="AR108" s="58" t="n">
        <f aca="false">IF($A108&lt;FECHA_EXPORT,NETWORKDAYS($A108+1,FECHA_EXPORT,FESTIVOS),0)</f>
        <v>0</v>
      </c>
      <c r="AS108" s="61" t="n">
        <f aca="false">IF(AR108&gt;=5,1,INDEX(CDF_INC,1,AR108+1))</f>
        <v>0.14</v>
      </c>
      <c r="AT108" s="61" t="n">
        <f aca="false">TASA_USADA+(TASA_INC-TASA_USADA)*Q_INC*(1-AS108)/(1-Q_INC*AS108)</f>
        <v>0.659887072235414</v>
      </c>
    </row>
    <row r="109" customFormat="false" ht="15" hidden="false" customHeight="false" outlineLevel="0" collapsed="false">
      <c r="A109" s="53" t="n">
        <v>46403</v>
      </c>
      <c r="B109" s="54"/>
      <c r="C109" s="54"/>
      <c r="D109" s="54"/>
      <c r="E109" s="54"/>
      <c r="F109" s="54"/>
      <c r="G109" s="54"/>
      <c r="H109" s="54"/>
      <c r="I109" s="54"/>
      <c r="J109" s="54"/>
      <c r="K109" s="54"/>
      <c r="L109" s="55"/>
      <c r="M109" s="55"/>
      <c r="N109" s="55"/>
      <c r="O109" s="56"/>
      <c r="P109" s="31" t="n">
        <f aca="false">B109+C109+D109</f>
        <v>0</v>
      </c>
      <c r="Q109" s="31" t="n">
        <f aca="false">AA109+AB109+AC109</f>
        <v>0</v>
      </c>
      <c r="R109" s="32" t="n">
        <f aca="false">B109*P1_PVP+C109*P2_PVP+D109*IF($A109&lt;P3_DESDE,P3A_PVP,P3_PVP)</f>
        <v>0</v>
      </c>
      <c r="S109" s="32" t="str">
        <f aca="false">IF(P109&gt;0,R109/P109,"")</f>
        <v/>
      </c>
      <c r="T109" s="32" t="str">
        <f aca="false">IF(P109&gt;0,N109/P109,"")</f>
        <v/>
      </c>
      <c r="U109" s="57" t="str">
        <f aca="false">IF(N109&gt;0,R109/N109,"")</f>
        <v/>
      </c>
      <c r="V109" s="34" t="str">
        <f aca="false">IF(E109+F109+G109+H109+I109+J109&gt;0,(E109+F109+G109)/(E109+F109+G109+H109+I109+J109),"")</f>
        <v/>
      </c>
      <c r="W109" s="33" t="n">
        <f aca="false">E109*(P1_PVP-P1_CPROD)+F109*(P2_PVP-P2_CPROD)+G109*(IF($A109&lt;P3_DESDE,P3A_PVP,P3_PVP)-IF($A109&lt;P3_DESDE,P3A_CPROD,P3_CPROD))-IF(ISNUMBER(L109),L109,E109*P1_LOG+F109*P2_LOG+G109*P3_LOG)</f>
        <v>0</v>
      </c>
      <c r="X109" s="33" t="n">
        <f aca="false">W109-(E109*P1_IVAN+F109*P2_IVAN+G109*IF($A109&lt;P3_DESDE,P3A_IVAN,P3_IVAN))-(H109+I109+J109)*(COSTE_DEV-IVA_DEV)-AM109-AO109</f>
        <v>0</v>
      </c>
      <c r="Y109" s="33" t="n">
        <f aca="false">AH109-AI109-AJ109-AK109-AL109-AM109-AO109</f>
        <v>0</v>
      </c>
      <c r="AA109" s="58" t="n">
        <f aca="false">MAX(0,B109-E109-H109)</f>
        <v>0</v>
      </c>
      <c r="AB109" s="58" t="n">
        <f aca="false">MAX(0,C109-F109-I109)</f>
        <v>0</v>
      </c>
      <c r="AC109" s="58" t="n">
        <f aca="false">MAX(0,D109-G109-J109)</f>
        <v>0</v>
      </c>
      <c r="AD109" s="59" t="n">
        <f aca="false">E109+AA109*AQ109</f>
        <v>0</v>
      </c>
      <c r="AE109" s="59" t="n">
        <f aca="false">F109+AB109*AQ109</f>
        <v>0</v>
      </c>
      <c r="AF109" s="59" t="n">
        <f aca="false">G109+AC109*AQ109</f>
        <v>0</v>
      </c>
      <c r="AG109" s="59" t="n">
        <f aca="false">H109+I109+J109+(AA109+AB109+AC109)*(1-AQ109)</f>
        <v>0</v>
      </c>
      <c r="AH109" s="60" t="n">
        <f aca="false">AD109*P1_PVP+AE109*P2_PVP+AF109*IF($A109&lt;P3_DESDE,P3A_PVP,P3_PVP)</f>
        <v>0</v>
      </c>
      <c r="AI109" s="60" t="n">
        <f aca="false">AD109*P1_CPROD+AE109*P2_CPROD+AF109*IF($A109&lt;P3_DESDE,P3A_CPROD,P3_CPROD)</f>
        <v>0</v>
      </c>
      <c r="AJ109" s="60" t="n">
        <f aca="false">IF(ISNUMBER(L109),L109,E109*P1_LOG+F109*P2_LOG+G109*P3_LOG)+IF(ISNUMBER(M109),M109,AA109*P1_LOG+AB109*P2_LOG+AC109*P3_LOG)*AQ109</f>
        <v>0</v>
      </c>
      <c r="AK109" s="60" t="n">
        <f aca="false">AG109*COSTE_DEV</f>
        <v>0</v>
      </c>
      <c r="AL109" s="60" t="n">
        <f aca="false">AD109*P1_IVAN+AE109*P2_IVAN+AF109*IF($A109&lt;P3_DESDE,P3A_IVAN,P3_IVAN)-AG109*IVA_DEV</f>
        <v>0</v>
      </c>
      <c r="AM109" s="60" t="n">
        <f aca="false">N109*(1+RECARGO_ADS)</f>
        <v>0</v>
      </c>
      <c r="AN109" s="58" t="n">
        <f aca="false">IF(ISNUMBER(L109),E109+F109+G109+AA109+AB109+AC109,0)</f>
        <v>0</v>
      </c>
      <c r="AO109" s="60" t="n">
        <f aca="false">P109*COMISION</f>
        <v>0</v>
      </c>
      <c r="AP109" s="58" t="n">
        <f aca="false">MIN(N(K109),Q109)</f>
        <v>0</v>
      </c>
      <c r="AQ109" s="61" t="n">
        <f aca="false">IF(Q109&gt;0,((Q109-AP109)*AT109+AP109*TASA_INC)/Q109,AT109)</f>
        <v>0.659887072235414</v>
      </c>
      <c r="AR109" s="58" t="n">
        <f aca="false">IF($A109&lt;FECHA_EXPORT,NETWORKDAYS($A109+1,FECHA_EXPORT,FESTIVOS),0)</f>
        <v>0</v>
      </c>
      <c r="AS109" s="61" t="n">
        <f aca="false">IF(AR109&gt;=5,1,INDEX(CDF_INC,1,AR109+1))</f>
        <v>0.14</v>
      </c>
      <c r="AT109" s="61" t="n">
        <f aca="false">TASA_USADA+(TASA_INC-TASA_USADA)*Q_INC*(1-AS109)/(1-Q_INC*AS109)</f>
        <v>0.659887072235414</v>
      </c>
    </row>
    <row r="110" customFormat="false" ht="15" hidden="false" customHeight="false" outlineLevel="0" collapsed="false">
      <c r="A110" s="53" t="n">
        <v>46404</v>
      </c>
      <c r="B110" s="54"/>
      <c r="C110" s="54"/>
      <c r="D110" s="54"/>
      <c r="E110" s="54"/>
      <c r="F110" s="54"/>
      <c r="G110" s="54"/>
      <c r="H110" s="54"/>
      <c r="I110" s="54"/>
      <c r="J110" s="54"/>
      <c r="K110" s="54"/>
      <c r="L110" s="55"/>
      <c r="M110" s="55"/>
      <c r="N110" s="55"/>
      <c r="O110" s="56"/>
      <c r="P110" s="31" t="n">
        <f aca="false">B110+C110+D110</f>
        <v>0</v>
      </c>
      <c r="Q110" s="31" t="n">
        <f aca="false">AA110+AB110+AC110</f>
        <v>0</v>
      </c>
      <c r="R110" s="32" t="n">
        <f aca="false">B110*P1_PVP+C110*P2_PVP+D110*IF($A110&lt;P3_DESDE,P3A_PVP,P3_PVP)</f>
        <v>0</v>
      </c>
      <c r="S110" s="32" t="str">
        <f aca="false">IF(P110&gt;0,R110/P110,"")</f>
        <v/>
      </c>
      <c r="T110" s="32" t="str">
        <f aca="false">IF(P110&gt;0,N110/P110,"")</f>
        <v/>
      </c>
      <c r="U110" s="57" t="str">
        <f aca="false">IF(N110&gt;0,R110/N110,"")</f>
        <v/>
      </c>
      <c r="V110" s="34" t="str">
        <f aca="false">IF(E110+F110+G110+H110+I110+J110&gt;0,(E110+F110+G110)/(E110+F110+G110+H110+I110+J110),"")</f>
        <v/>
      </c>
      <c r="W110" s="33" t="n">
        <f aca="false">E110*(P1_PVP-P1_CPROD)+F110*(P2_PVP-P2_CPROD)+G110*(IF($A110&lt;P3_DESDE,P3A_PVP,P3_PVP)-IF($A110&lt;P3_DESDE,P3A_CPROD,P3_CPROD))-IF(ISNUMBER(L110),L110,E110*P1_LOG+F110*P2_LOG+G110*P3_LOG)</f>
        <v>0</v>
      </c>
      <c r="X110" s="33" t="n">
        <f aca="false">W110-(E110*P1_IVAN+F110*P2_IVAN+G110*IF($A110&lt;P3_DESDE,P3A_IVAN,P3_IVAN))-(H110+I110+J110)*(COSTE_DEV-IVA_DEV)-AM110-AO110</f>
        <v>0</v>
      </c>
      <c r="Y110" s="33" t="n">
        <f aca="false">AH110-AI110-AJ110-AK110-AL110-AM110-AO110</f>
        <v>0</v>
      </c>
      <c r="AA110" s="58" t="n">
        <f aca="false">MAX(0,B110-E110-H110)</f>
        <v>0</v>
      </c>
      <c r="AB110" s="58" t="n">
        <f aca="false">MAX(0,C110-F110-I110)</f>
        <v>0</v>
      </c>
      <c r="AC110" s="58" t="n">
        <f aca="false">MAX(0,D110-G110-J110)</f>
        <v>0</v>
      </c>
      <c r="AD110" s="59" t="n">
        <f aca="false">E110+AA110*AQ110</f>
        <v>0</v>
      </c>
      <c r="AE110" s="59" t="n">
        <f aca="false">F110+AB110*AQ110</f>
        <v>0</v>
      </c>
      <c r="AF110" s="59" t="n">
        <f aca="false">G110+AC110*AQ110</f>
        <v>0</v>
      </c>
      <c r="AG110" s="59" t="n">
        <f aca="false">H110+I110+J110+(AA110+AB110+AC110)*(1-AQ110)</f>
        <v>0</v>
      </c>
      <c r="AH110" s="60" t="n">
        <f aca="false">AD110*P1_PVP+AE110*P2_PVP+AF110*IF($A110&lt;P3_DESDE,P3A_PVP,P3_PVP)</f>
        <v>0</v>
      </c>
      <c r="AI110" s="60" t="n">
        <f aca="false">AD110*P1_CPROD+AE110*P2_CPROD+AF110*IF($A110&lt;P3_DESDE,P3A_CPROD,P3_CPROD)</f>
        <v>0</v>
      </c>
      <c r="AJ110" s="60" t="n">
        <f aca="false">IF(ISNUMBER(L110),L110,E110*P1_LOG+F110*P2_LOG+G110*P3_LOG)+IF(ISNUMBER(M110),M110,AA110*P1_LOG+AB110*P2_LOG+AC110*P3_LOG)*AQ110</f>
        <v>0</v>
      </c>
      <c r="AK110" s="60" t="n">
        <f aca="false">AG110*COSTE_DEV</f>
        <v>0</v>
      </c>
      <c r="AL110" s="60" t="n">
        <f aca="false">AD110*P1_IVAN+AE110*P2_IVAN+AF110*IF($A110&lt;P3_DESDE,P3A_IVAN,P3_IVAN)-AG110*IVA_DEV</f>
        <v>0</v>
      </c>
      <c r="AM110" s="60" t="n">
        <f aca="false">N110*(1+RECARGO_ADS)</f>
        <v>0</v>
      </c>
      <c r="AN110" s="58" t="n">
        <f aca="false">IF(ISNUMBER(L110),E110+F110+G110+AA110+AB110+AC110,0)</f>
        <v>0</v>
      </c>
      <c r="AO110" s="60" t="n">
        <f aca="false">P110*COMISION</f>
        <v>0</v>
      </c>
      <c r="AP110" s="58" t="n">
        <f aca="false">MIN(N(K110),Q110)</f>
        <v>0</v>
      </c>
      <c r="AQ110" s="61" t="n">
        <f aca="false">IF(Q110&gt;0,((Q110-AP110)*AT110+AP110*TASA_INC)/Q110,AT110)</f>
        <v>0.659887072235414</v>
      </c>
      <c r="AR110" s="58" t="n">
        <f aca="false">IF($A110&lt;FECHA_EXPORT,NETWORKDAYS($A110+1,FECHA_EXPORT,FESTIVOS),0)</f>
        <v>0</v>
      </c>
      <c r="AS110" s="61" t="n">
        <f aca="false">IF(AR110&gt;=5,1,INDEX(CDF_INC,1,AR110+1))</f>
        <v>0.14</v>
      </c>
      <c r="AT110" s="61" t="n">
        <f aca="false">TASA_USADA+(TASA_INC-TASA_USADA)*Q_INC*(1-AS110)/(1-Q_INC*AS110)</f>
        <v>0.659887072235414</v>
      </c>
    </row>
    <row r="111" customFormat="false" ht="15" hidden="false" customHeight="false" outlineLevel="0" collapsed="false">
      <c r="A111" s="53" t="n">
        <v>46405</v>
      </c>
      <c r="B111" s="54"/>
      <c r="C111" s="54"/>
      <c r="D111" s="54"/>
      <c r="E111" s="54"/>
      <c r="F111" s="54"/>
      <c r="G111" s="54"/>
      <c r="H111" s="54"/>
      <c r="I111" s="54"/>
      <c r="J111" s="54"/>
      <c r="K111" s="54"/>
      <c r="L111" s="55"/>
      <c r="M111" s="55"/>
      <c r="N111" s="55"/>
      <c r="O111" s="56"/>
      <c r="P111" s="31" t="n">
        <f aca="false">B111+C111+D111</f>
        <v>0</v>
      </c>
      <c r="Q111" s="31" t="n">
        <f aca="false">AA111+AB111+AC111</f>
        <v>0</v>
      </c>
      <c r="R111" s="32" t="n">
        <f aca="false">B111*P1_PVP+C111*P2_PVP+D111*IF($A111&lt;P3_DESDE,P3A_PVP,P3_PVP)</f>
        <v>0</v>
      </c>
      <c r="S111" s="32" t="str">
        <f aca="false">IF(P111&gt;0,R111/P111,"")</f>
        <v/>
      </c>
      <c r="T111" s="32" t="str">
        <f aca="false">IF(P111&gt;0,N111/P111,"")</f>
        <v/>
      </c>
      <c r="U111" s="57" t="str">
        <f aca="false">IF(N111&gt;0,R111/N111,"")</f>
        <v/>
      </c>
      <c r="V111" s="34" t="str">
        <f aca="false">IF(E111+F111+G111+H111+I111+J111&gt;0,(E111+F111+G111)/(E111+F111+G111+H111+I111+J111),"")</f>
        <v/>
      </c>
      <c r="W111" s="33" t="n">
        <f aca="false">E111*(P1_PVP-P1_CPROD)+F111*(P2_PVP-P2_CPROD)+G111*(IF($A111&lt;P3_DESDE,P3A_PVP,P3_PVP)-IF($A111&lt;P3_DESDE,P3A_CPROD,P3_CPROD))-IF(ISNUMBER(L111),L111,E111*P1_LOG+F111*P2_LOG+G111*P3_LOG)</f>
        <v>0</v>
      </c>
      <c r="X111" s="33" t="n">
        <f aca="false">W111-(E111*P1_IVAN+F111*P2_IVAN+G111*IF($A111&lt;P3_DESDE,P3A_IVAN,P3_IVAN))-(H111+I111+J111)*(COSTE_DEV-IVA_DEV)-AM111-AO111</f>
        <v>0</v>
      </c>
      <c r="Y111" s="33" t="n">
        <f aca="false">AH111-AI111-AJ111-AK111-AL111-AM111-AO111</f>
        <v>0</v>
      </c>
      <c r="AA111" s="58" t="n">
        <f aca="false">MAX(0,B111-E111-H111)</f>
        <v>0</v>
      </c>
      <c r="AB111" s="58" t="n">
        <f aca="false">MAX(0,C111-F111-I111)</f>
        <v>0</v>
      </c>
      <c r="AC111" s="58" t="n">
        <f aca="false">MAX(0,D111-G111-J111)</f>
        <v>0</v>
      </c>
      <c r="AD111" s="59" t="n">
        <f aca="false">E111+AA111*AQ111</f>
        <v>0</v>
      </c>
      <c r="AE111" s="59" t="n">
        <f aca="false">F111+AB111*AQ111</f>
        <v>0</v>
      </c>
      <c r="AF111" s="59" t="n">
        <f aca="false">G111+AC111*AQ111</f>
        <v>0</v>
      </c>
      <c r="AG111" s="59" t="n">
        <f aca="false">H111+I111+J111+(AA111+AB111+AC111)*(1-AQ111)</f>
        <v>0</v>
      </c>
      <c r="AH111" s="60" t="n">
        <f aca="false">AD111*P1_PVP+AE111*P2_PVP+AF111*IF($A111&lt;P3_DESDE,P3A_PVP,P3_PVP)</f>
        <v>0</v>
      </c>
      <c r="AI111" s="60" t="n">
        <f aca="false">AD111*P1_CPROD+AE111*P2_CPROD+AF111*IF($A111&lt;P3_DESDE,P3A_CPROD,P3_CPROD)</f>
        <v>0</v>
      </c>
      <c r="AJ111" s="60" t="n">
        <f aca="false">IF(ISNUMBER(L111),L111,E111*P1_LOG+F111*P2_LOG+G111*P3_LOG)+IF(ISNUMBER(M111),M111,AA111*P1_LOG+AB111*P2_LOG+AC111*P3_LOG)*AQ111</f>
        <v>0</v>
      </c>
      <c r="AK111" s="60" t="n">
        <f aca="false">AG111*COSTE_DEV</f>
        <v>0</v>
      </c>
      <c r="AL111" s="60" t="n">
        <f aca="false">AD111*P1_IVAN+AE111*P2_IVAN+AF111*IF($A111&lt;P3_DESDE,P3A_IVAN,P3_IVAN)-AG111*IVA_DEV</f>
        <v>0</v>
      </c>
      <c r="AM111" s="60" t="n">
        <f aca="false">N111*(1+RECARGO_ADS)</f>
        <v>0</v>
      </c>
      <c r="AN111" s="58" t="n">
        <f aca="false">IF(ISNUMBER(L111),E111+F111+G111+AA111+AB111+AC111,0)</f>
        <v>0</v>
      </c>
      <c r="AO111" s="60" t="n">
        <f aca="false">P111*COMISION</f>
        <v>0</v>
      </c>
      <c r="AP111" s="58" t="n">
        <f aca="false">MIN(N(K111),Q111)</f>
        <v>0</v>
      </c>
      <c r="AQ111" s="61" t="n">
        <f aca="false">IF(Q111&gt;0,((Q111-AP111)*AT111+AP111*TASA_INC)/Q111,AT111)</f>
        <v>0.659887072235414</v>
      </c>
      <c r="AR111" s="58" t="n">
        <f aca="false">IF($A111&lt;FECHA_EXPORT,NETWORKDAYS($A111+1,FECHA_EXPORT,FESTIVOS),0)</f>
        <v>0</v>
      </c>
      <c r="AS111" s="61" t="n">
        <f aca="false">IF(AR111&gt;=5,1,INDEX(CDF_INC,1,AR111+1))</f>
        <v>0.14</v>
      </c>
      <c r="AT111" s="61" t="n">
        <f aca="false">TASA_USADA+(TASA_INC-TASA_USADA)*Q_INC*(1-AS111)/(1-Q_INC*AS111)</f>
        <v>0.659887072235414</v>
      </c>
    </row>
    <row r="112" customFormat="false" ht="15" hidden="false" customHeight="false" outlineLevel="0" collapsed="false">
      <c r="A112" s="53" t="n">
        <v>46406</v>
      </c>
      <c r="B112" s="54"/>
      <c r="C112" s="54"/>
      <c r="D112" s="54"/>
      <c r="E112" s="54"/>
      <c r="F112" s="54"/>
      <c r="G112" s="54"/>
      <c r="H112" s="54"/>
      <c r="I112" s="54"/>
      <c r="J112" s="54"/>
      <c r="K112" s="54"/>
      <c r="L112" s="55"/>
      <c r="M112" s="55"/>
      <c r="N112" s="55"/>
      <c r="O112" s="56"/>
      <c r="P112" s="31" t="n">
        <f aca="false">B112+C112+D112</f>
        <v>0</v>
      </c>
      <c r="Q112" s="31" t="n">
        <f aca="false">AA112+AB112+AC112</f>
        <v>0</v>
      </c>
      <c r="R112" s="32" t="n">
        <f aca="false">B112*P1_PVP+C112*P2_PVP+D112*IF($A112&lt;P3_DESDE,P3A_PVP,P3_PVP)</f>
        <v>0</v>
      </c>
      <c r="S112" s="32" t="str">
        <f aca="false">IF(P112&gt;0,R112/P112,"")</f>
        <v/>
      </c>
      <c r="T112" s="32" t="str">
        <f aca="false">IF(P112&gt;0,N112/P112,"")</f>
        <v/>
      </c>
      <c r="U112" s="57" t="str">
        <f aca="false">IF(N112&gt;0,R112/N112,"")</f>
        <v/>
      </c>
      <c r="V112" s="34" t="str">
        <f aca="false">IF(E112+F112+G112+H112+I112+J112&gt;0,(E112+F112+G112)/(E112+F112+G112+H112+I112+J112),"")</f>
        <v/>
      </c>
      <c r="W112" s="33" t="n">
        <f aca="false">E112*(P1_PVP-P1_CPROD)+F112*(P2_PVP-P2_CPROD)+G112*(IF($A112&lt;P3_DESDE,P3A_PVP,P3_PVP)-IF($A112&lt;P3_DESDE,P3A_CPROD,P3_CPROD))-IF(ISNUMBER(L112),L112,E112*P1_LOG+F112*P2_LOG+G112*P3_LOG)</f>
        <v>0</v>
      </c>
      <c r="X112" s="33" t="n">
        <f aca="false">W112-(E112*P1_IVAN+F112*P2_IVAN+G112*IF($A112&lt;P3_DESDE,P3A_IVAN,P3_IVAN))-(H112+I112+J112)*(COSTE_DEV-IVA_DEV)-AM112-AO112</f>
        <v>0</v>
      </c>
      <c r="Y112" s="33" t="n">
        <f aca="false">AH112-AI112-AJ112-AK112-AL112-AM112-AO112</f>
        <v>0</v>
      </c>
      <c r="AA112" s="58" t="n">
        <f aca="false">MAX(0,B112-E112-H112)</f>
        <v>0</v>
      </c>
      <c r="AB112" s="58" t="n">
        <f aca="false">MAX(0,C112-F112-I112)</f>
        <v>0</v>
      </c>
      <c r="AC112" s="58" t="n">
        <f aca="false">MAX(0,D112-G112-J112)</f>
        <v>0</v>
      </c>
      <c r="AD112" s="59" t="n">
        <f aca="false">E112+AA112*AQ112</f>
        <v>0</v>
      </c>
      <c r="AE112" s="59" t="n">
        <f aca="false">F112+AB112*AQ112</f>
        <v>0</v>
      </c>
      <c r="AF112" s="59" t="n">
        <f aca="false">G112+AC112*AQ112</f>
        <v>0</v>
      </c>
      <c r="AG112" s="59" t="n">
        <f aca="false">H112+I112+J112+(AA112+AB112+AC112)*(1-AQ112)</f>
        <v>0</v>
      </c>
      <c r="AH112" s="60" t="n">
        <f aca="false">AD112*P1_PVP+AE112*P2_PVP+AF112*IF($A112&lt;P3_DESDE,P3A_PVP,P3_PVP)</f>
        <v>0</v>
      </c>
      <c r="AI112" s="60" t="n">
        <f aca="false">AD112*P1_CPROD+AE112*P2_CPROD+AF112*IF($A112&lt;P3_DESDE,P3A_CPROD,P3_CPROD)</f>
        <v>0</v>
      </c>
      <c r="AJ112" s="60" t="n">
        <f aca="false">IF(ISNUMBER(L112),L112,E112*P1_LOG+F112*P2_LOG+G112*P3_LOG)+IF(ISNUMBER(M112),M112,AA112*P1_LOG+AB112*P2_LOG+AC112*P3_LOG)*AQ112</f>
        <v>0</v>
      </c>
      <c r="AK112" s="60" t="n">
        <f aca="false">AG112*COSTE_DEV</f>
        <v>0</v>
      </c>
      <c r="AL112" s="60" t="n">
        <f aca="false">AD112*P1_IVAN+AE112*P2_IVAN+AF112*IF($A112&lt;P3_DESDE,P3A_IVAN,P3_IVAN)-AG112*IVA_DEV</f>
        <v>0</v>
      </c>
      <c r="AM112" s="60" t="n">
        <f aca="false">N112*(1+RECARGO_ADS)</f>
        <v>0</v>
      </c>
      <c r="AN112" s="58" t="n">
        <f aca="false">IF(ISNUMBER(L112),E112+F112+G112+AA112+AB112+AC112,0)</f>
        <v>0</v>
      </c>
      <c r="AO112" s="60" t="n">
        <f aca="false">P112*COMISION</f>
        <v>0</v>
      </c>
      <c r="AP112" s="58" t="n">
        <f aca="false">MIN(N(K112),Q112)</f>
        <v>0</v>
      </c>
      <c r="AQ112" s="61" t="n">
        <f aca="false">IF(Q112&gt;0,((Q112-AP112)*AT112+AP112*TASA_INC)/Q112,AT112)</f>
        <v>0.659887072235414</v>
      </c>
      <c r="AR112" s="58" t="n">
        <f aca="false">IF($A112&lt;FECHA_EXPORT,NETWORKDAYS($A112+1,FECHA_EXPORT,FESTIVOS),0)</f>
        <v>0</v>
      </c>
      <c r="AS112" s="61" t="n">
        <f aca="false">IF(AR112&gt;=5,1,INDEX(CDF_INC,1,AR112+1))</f>
        <v>0.14</v>
      </c>
      <c r="AT112" s="61" t="n">
        <f aca="false">TASA_USADA+(TASA_INC-TASA_USADA)*Q_INC*(1-AS112)/(1-Q_INC*AS112)</f>
        <v>0.659887072235414</v>
      </c>
    </row>
    <row r="113" customFormat="false" ht="15" hidden="false" customHeight="false" outlineLevel="0" collapsed="false">
      <c r="A113" s="53" t="n">
        <v>46407</v>
      </c>
      <c r="B113" s="54"/>
      <c r="C113" s="54"/>
      <c r="D113" s="54"/>
      <c r="E113" s="54"/>
      <c r="F113" s="54"/>
      <c r="G113" s="54"/>
      <c r="H113" s="54"/>
      <c r="I113" s="54"/>
      <c r="J113" s="54"/>
      <c r="K113" s="54"/>
      <c r="L113" s="55"/>
      <c r="M113" s="55"/>
      <c r="N113" s="55"/>
      <c r="O113" s="56"/>
      <c r="P113" s="31" t="n">
        <f aca="false">B113+C113+D113</f>
        <v>0</v>
      </c>
      <c r="Q113" s="31" t="n">
        <f aca="false">AA113+AB113+AC113</f>
        <v>0</v>
      </c>
      <c r="R113" s="32" t="n">
        <f aca="false">B113*P1_PVP+C113*P2_PVP+D113*IF($A113&lt;P3_DESDE,P3A_PVP,P3_PVP)</f>
        <v>0</v>
      </c>
      <c r="S113" s="32" t="str">
        <f aca="false">IF(P113&gt;0,R113/P113,"")</f>
        <v/>
      </c>
      <c r="T113" s="32" t="str">
        <f aca="false">IF(P113&gt;0,N113/P113,"")</f>
        <v/>
      </c>
      <c r="U113" s="57" t="str">
        <f aca="false">IF(N113&gt;0,R113/N113,"")</f>
        <v/>
      </c>
      <c r="V113" s="34" t="str">
        <f aca="false">IF(E113+F113+G113+H113+I113+J113&gt;0,(E113+F113+G113)/(E113+F113+G113+H113+I113+J113),"")</f>
        <v/>
      </c>
      <c r="W113" s="33" t="n">
        <f aca="false">E113*(P1_PVP-P1_CPROD)+F113*(P2_PVP-P2_CPROD)+G113*(IF($A113&lt;P3_DESDE,P3A_PVP,P3_PVP)-IF($A113&lt;P3_DESDE,P3A_CPROD,P3_CPROD))-IF(ISNUMBER(L113),L113,E113*P1_LOG+F113*P2_LOG+G113*P3_LOG)</f>
        <v>0</v>
      </c>
      <c r="X113" s="33" t="n">
        <f aca="false">W113-(E113*P1_IVAN+F113*P2_IVAN+G113*IF($A113&lt;P3_DESDE,P3A_IVAN,P3_IVAN))-(H113+I113+J113)*(COSTE_DEV-IVA_DEV)-AM113-AO113</f>
        <v>0</v>
      </c>
      <c r="Y113" s="33" t="n">
        <f aca="false">AH113-AI113-AJ113-AK113-AL113-AM113-AO113</f>
        <v>0</v>
      </c>
      <c r="AA113" s="58" t="n">
        <f aca="false">MAX(0,B113-E113-H113)</f>
        <v>0</v>
      </c>
      <c r="AB113" s="58" t="n">
        <f aca="false">MAX(0,C113-F113-I113)</f>
        <v>0</v>
      </c>
      <c r="AC113" s="58" t="n">
        <f aca="false">MAX(0,D113-G113-J113)</f>
        <v>0</v>
      </c>
      <c r="AD113" s="59" t="n">
        <f aca="false">E113+AA113*AQ113</f>
        <v>0</v>
      </c>
      <c r="AE113" s="59" t="n">
        <f aca="false">F113+AB113*AQ113</f>
        <v>0</v>
      </c>
      <c r="AF113" s="59" t="n">
        <f aca="false">G113+AC113*AQ113</f>
        <v>0</v>
      </c>
      <c r="AG113" s="59" t="n">
        <f aca="false">H113+I113+J113+(AA113+AB113+AC113)*(1-AQ113)</f>
        <v>0</v>
      </c>
      <c r="AH113" s="60" t="n">
        <f aca="false">AD113*P1_PVP+AE113*P2_PVP+AF113*IF($A113&lt;P3_DESDE,P3A_PVP,P3_PVP)</f>
        <v>0</v>
      </c>
      <c r="AI113" s="60" t="n">
        <f aca="false">AD113*P1_CPROD+AE113*P2_CPROD+AF113*IF($A113&lt;P3_DESDE,P3A_CPROD,P3_CPROD)</f>
        <v>0</v>
      </c>
      <c r="AJ113" s="60" t="n">
        <f aca="false">IF(ISNUMBER(L113),L113,E113*P1_LOG+F113*P2_LOG+G113*P3_LOG)+IF(ISNUMBER(M113),M113,AA113*P1_LOG+AB113*P2_LOG+AC113*P3_LOG)*AQ113</f>
        <v>0</v>
      </c>
      <c r="AK113" s="60" t="n">
        <f aca="false">AG113*COSTE_DEV</f>
        <v>0</v>
      </c>
      <c r="AL113" s="60" t="n">
        <f aca="false">AD113*P1_IVAN+AE113*P2_IVAN+AF113*IF($A113&lt;P3_DESDE,P3A_IVAN,P3_IVAN)-AG113*IVA_DEV</f>
        <v>0</v>
      </c>
      <c r="AM113" s="60" t="n">
        <f aca="false">N113*(1+RECARGO_ADS)</f>
        <v>0</v>
      </c>
      <c r="AN113" s="58" t="n">
        <f aca="false">IF(ISNUMBER(L113),E113+F113+G113+AA113+AB113+AC113,0)</f>
        <v>0</v>
      </c>
      <c r="AO113" s="60" t="n">
        <f aca="false">P113*COMISION</f>
        <v>0</v>
      </c>
      <c r="AP113" s="58" t="n">
        <f aca="false">MIN(N(K113),Q113)</f>
        <v>0</v>
      </c>
      <c r="AQ113" s="61" t="n">
        <f aca="false">IF(Q113&gt;0,((Q113-AP113)*AT113+AP113*TASA_INC)/Q113,AT113)</f>
        <v>0.659887072235414</v>
      </c>
      <c r="AR113" s="58" t="n">
        <f aca="false">IF($A113&lt;FECHA_EXPORT,NETWORKDAYS($A113+1,FECHA_EXPORT,FESTIVOS),0)</f>
        <v>0</v>
      </c>
      <c r="AS113" s="61" t="n">
        <f aca="false">IF(AR113&gt;=5,1,INDEX(CDF_INC,1,AR113+1))</f>
        <v>0.14</v>
      </c>
      <c r="AT113" s="61" t="n">
        <f aca="false">TASA_USADA+(TASA_INC-TASA_USADA)*Q_INC*(1-AS113)/(1-Q_INC*AS113)</f>
        <v>0.659887072235414</v>
      </c>
    </row>
    <row r="114" customFormat="false" ht="15" hidden="false" customHeight="false" outlineLevel="0" collapsed="false">
      <c r="A114" s="53" t="n">
        <v>46408</v>
      </c>
      <c r="B114" s="54"/>
      <c r="C114" s="54"/>
      <c r="D114" s="54"/>
      <c r="E114" s="54"/>
      <c r="F114" s="54"/>
      <c r="G114" s="54"/>
      <c r="H114" s="54"/>
      <c r="I114" s="54"/>
      <c r="J114" s="54"/>
      <c r="K114" s="54"/>
      <c r="L114" s="55"/>
      <c r="M114" s="55"/>
      <c r="N114" s="55"/>
      <c r="O114" s="56"/>
      <c r="P114" s="31" t="n">
        <f aca="false">B114+C114+D114</f>
        <v>0</v>
      </c>
      <c r="Q114" s="31" t="n">
        <f aca="false">AA114+AB114+AC114</f>
        <v>0</v>
      </c>
      <c r="R114" s="32" t="n">
        <f aca="false">B114*P1_PVP+C114*P2_PVP+D114*IF($A114&lt;P3_DESDE,P3A_PVP,P3_PVP)</f>
        <v>0</v>
      </c>
      <c r="S114" s="32" t="str">
        <f aca="false">IF(P114&gt;0,R114/P114,"")</f>
        <v/>
      </c>
      <c r="T114" s="32" t="str">
        <f aca="false">IF(P114&gt;0,N114/P114,"")</f>
        <v/>
      </c>
      <c r="U114" s="57" t="str">
        <f aca="false">IF(N114&gt;0,R114/N114,"")</f>
        <v/>
      </c>
      <c r="V114" s="34" t="str">
        <f aca="false">IF(E114+F114+G114+H114+I114+J114&gt;0,(E114+F114+G114)/(E114+F114+G114+H114+I114+J114),"")</f>
        <v/>
      </c>
      <c r="W114" s="33" t="n">
        <f aca="false">E114*(P1_PVP-P1_CPROD)+F114*(P2_PVP-P2_CPROD)+G114*(IF($A114&lt;P3_DESDE,P3A_PVP,P3_PVP)-IF($A114&lt;P3_DESDE,P3A_CPROD,P3_CPROD))-IF(ISNUMBER(L114),L114,E114*P1_LOG+F114*P2_LOG+G114*P3_LOG)</f>
        <v>0</v>
      </c>
      <c r="X114" s="33" t="n">
        <f aca="false">W114-(E114*P1_IVAN+F114*P2_IVAN+G114*IF($A114&lt;P3_DESDE,P3A_IVAN,P3_IVAN))-(H114+I114+J114)*(COSTE_DEV-IVA_DEV)-AM114-AO114</f>
        <v>0</v>
      </c>
      <c r="Y114" s="33" t="n">
        <f aca="false">AH114-AI114-AJ114-AK114-AL114-AM114-AO114</f>
        <v>0</v>
      </c>
      <c r="AA114" s="58" t="n">
        <f aca="false">MAX(0,B114-E114-H114)</f>
        <v>0</v>
      </c>
      <c r="AB114" s="58" t="n">
        <f aca="false">MAX(0,C114-F114-I114)</f>
        <v>0</v>
      </c>
      <c r="AC114" s="58" t="n">
        <f aca="false">MAX(0,D114-G114-J114)</f>
        <v>0</v>
      </c>
      <c r="AD114" s="59" t="n">
        <f aca="false">E114+AA114*AQ114</f>
        <v>0</v>
      </c>
      <c r="AE114" s="59" t="n">
        <f aca="false">F114+AB114*AQ114</f>
        <v>0</v>
      </c>
      <c r="AF114" s="59" t="n">
        <f aca="false">G114+AC114*AQ114</f>
        <v>0</v>
      </c>
      <c r="AG114" s="59" t="n">
        <f aca="false">H114+I114+J114+(AA114+AB114+AC114)*(1-AQ114)</f>
        <v>0</v>
      </c>
      <c r="AH114" s="60" t="n">
        <f aca="false">AD114*P1_PVP+AE114*P2_PVP+AF114*IF($A114&lt;P3_DESDE,P3A_PVP,P3_PVP)</f>
        <v>0</v>
      </c>
      <c r="AI114" s="60" t="n">
        <f aca="false">AD114*P1_CPROD+AE114*P2_CPROD+AF114*IF($A114&lt;P3_DESDE,P3A_CPROD,P3_CPROD)</f>
        <v>0</v>
      </c>
      <c r="AJ114" s="60" t="n">
        <f aca="false">IF(ISNUMBER(L114),L114,E114*P1_LOG+F114*P2_LOG+G114*P3_LOG)+IF(ISNUMBER(M114),M114,AA114*P1_LOG+AB114*P2_LOG+AC114*P3_LOG)*AQ114</f>
        <v>0</v>
      </c>
      <c r="AK114" s="60" t="n">
        <f aca="false">AG114*COSTE_DEV</f>
        <v>0</v>
      </c>
      <c r="AL114" s="60" t="n">
        <f aca="false">AD114*P1_IVAN+AE114*P2_IVAN+AF114*IF($A114&lt;P3_DESDE,P3A_IVAN,P3_IVAN)-AG114*IVA_DEV</f>
        <v>0</v>
      </c>
      <c r="AM114" s="60" t="n">
        <f aca="false">N114*(1+RECARGO_ADS)</f>
        <v>0</v>
      </c>
      <c r="AN114" s="58" t="n">
        <f aca="false">IF(ISNUMBER(L114),E114+F114+G114+AA114+AB114+AC114,0)</f>
        <v>0</v>
      </c>
      <c r="AO114" s="60" t="n">
        <f aca="false">P114*COMISION</f>
        <v>0</v>
      </c>
      <c r="AP114" s="58" t="n">
        <f aca="false">MIN(N(K114),Q114)</f>
        <v>0</v>
      </c>
      <c r="AQ114" s="61" t="n">
        <f aca="false">IF(Q114&gt;0,((Q114-AP114)*AT114+AP114*TASA_INC)/Q114,AT114)</f>
        <v>0.659887072235414</v>
      </c>
      <c r="AR114" s="58" t="n">
        <f aca="false">IF($A114&lt;FECHA_EXPORT,NETWORKDAYS($A114+1,FECHA_EXPORT,FESTIVOS),0)</f>
        <v>0</v>
      </c>
      <c r="AS114" s="61" t="n">
        <f aca="false">IF(AR114&gt;=5,1,INDEX(CDF_INC,1,AR114+1))</f>
        <v>0.14</v>
      </c>
      <c r="AT114" s="61" t="n">
        <f aca="false">TASA_USADA+(TASA_INC-TASA_USADA)*Q_INC*(1-AS114)/(1-Q_INC*AS114)</f>
        <v>0.659887072235414</v>
      </c>
    </row>
    <row r="115" customFormat="false" ht="15" hidden="false" customHeight="false" outlineLevel="0" collapsed="false">
      <c r="A115" s="53" t="n">
        <v>46409</v>
      </c>
      <c r="B115" s="54"/>
      <c r="C115" s="54"/>
      <c r="D115" s="54"/>
      <c r="E115" s="54"/>
      <c r="F115" s="54"/>
      <c r="G115" s="54"/>
      <c r="H115" s="54"/>
      <c r="I115" s="54"/>
      <c r="J115" s="54"/>
      <c r="K115" s="54"/>
      <c r="L115" s="55"/>
      <c r="M115" s="55"/>
      <c r="N115" s="55"/>
      <c r="O115" s="56"/>
      <c r="P115" s="31" t="n">
        <f aca="false">B115+C115+D115</f>
        <v>0</v>
      </c>
      <c r="Q115" s="31" t="n">
        <f aca="false">AA115+AB115+AC115</f>
        <v>0</v>
      </c>
      <c r="R115" s="32" t="n">
        <f aca="false">B115*P1_PVP+C115*P2_PVP+D115*IF($A115&lt;P3_DESDE,P3A_PVP,P3_PVP)</f>
        <v>0</v>
      </c>
      <c r="S115" s="32" t="str">
        <f aca="false">IF(P115&gt;0,R115/P115,"")</f>
        <v/>
      </c>
      <c r="T115" s="32" t="str">
        <f aca="false">IF(P115&gt;0,N115/P115,"")</f>
        <v/>
      </c>
      <c r="U115" s="57" t="str">
        <f aca="false">IF(N115&gt;0,R115/N115,"")</f>
        <v/>
      </c>
      <c r="V115" s="34" t="str">
        <f aca="false">IF(E115+F115+G115+H115+I115+J115&gt;0,(E115+F115+G115)/(E115+F115+G115+H115+I115+J115),"")</f>
        <v/>
      </c>
      <c r="W115" s="33" t="n">
        <f aca="false">E115*(P1_PVP-P1_CPROD)+F115*(P2_PVP-P2_CPROD)+G115*(IF($A115&lt;P3_DESDE,P3A_PVP,P3_PVP)-IF($A115&lt;P3_DESDE,P3A_CPROD,P3_CPROD))-IF(ISNUMBER(L115),L115,E115*P1_LOG+F115*P2_LOG+G115*P3_LOG)</f>
        <v>0</v>
      </c>
      <c r="X115" s="33" t="n">
        <f aca="false">W115-(E115*P1_IVAN+F115*P2_IVAN+G115*IF($A115&lt;P3_DESDE,P3A_IVAN,P3_IVAN))-(H115+I115+J115)*(COSTE_DEV-IVA_DEV)-AM115-AO115</f>
        <v>0</v>
      </c>
      <c r="Y115" s="33" t="n">
        <f aca="false">AH115-AI115-AJ115-AK115-AL115-AM115-AO115</f>
        <v>0</v>
      </c>
      <c r="AA115" s="58" t="n">
        <f aca="false">MAX(0,B115-E115-H115)</f>
        <v>0</v>
      </c>
      <c r="AB115" s="58" t="n">
        <f aca="false">MAX(0,C115-F115-I115)</f>
        <v>0</v>
      </c>
      <c r="AC115" s="58" t="n">
        <f aca="false">MAX(0,D115-G115-J115)</f>
        <v>0</v>
      </c>
      <c r="AD115" s="59" t="n">
        <f aca="false">E115+AA115*AQ115</f>
        <v>0</v>
      </c>
      <c r="AE115" s="59" t="n">
        <f aca="false">F115+AB115*AQ115</f>
        <v>0</v>
      </c>
      <c r="AF115" s="59" t="n">
        <f aca="false">G115+AC115*AQ115</f>
        <v>0</v>
      </c>
      <c r="AG115" s="59" t="n">
        <f aca="false">H115+I115+J115+(AA115+AB115+AC115)*(1-AQ115)</f>
        <v>0</v>
      </c>
      <c r="AH115" s="60" t="n">
        <f aca="false">AD115*P1_PVP+AE115*P2_PVP+AF115*IF($A115&lt;P3_DESDE,P3A_PVP,P3_PVP)</f>
        <v>0</v>
      </c>
      <c r="AI115" s="60" t="n">
        <f aca="false">AD115*P1_CPROD+AE115*P2_CPROD+AF115*IF($A115&lt;P3_DESDE,P3A_CPROD,P3_CPROD)</f>
        <v>0</v>
      </c>
      <c r="AJ115" s="60" t="n">
        <f aca="false">IF(ISNUMBER(L115),L115,E115*P1_LOG+F115*P2_LOG+G115*P3_LOG)+IF(ISNUMBER(M115),M115,AA115*P1_LOG+AB115*P2_LOG+AC115*P3_LOG)*AQ115</f>
        <v>0</v>
      </c>
      <c r="AK115" s="60" t="n">
        <f aca="false">AG115*COSTE_DEV</f>
        <v>0</v>
      </c>
      <c r="AL115" s="60" t="n">
        <f aca="false">AD115*P1_IVAN+AE115*P2_IVAN+AF115*IF($A115&lt;P3_DESDE,P3A_IVAN,P3_IVAN)-AG115*IVA_DEV</f>
        <v>0</v>
      </c>
      <c r="AM115" s="60" t="n">
        <f aca="false">N115*(1+RECARGO_ADS)</f>
        <v>0</v>
      </c>
      <c r="AN115" s="58" t="n">
        <f aca="false">IF(ISNUMBER(L115),E115+F115+G115+AA115+AB115+AC115,0)</f>
        <v>0</v>
      </c>
      <c r="AO115" s="60" t="n">
        <f aca="false">P115*COMISION</f>
        <v>0</v>
      </c>
      <c r="AP115" s="58" t="n">
        <f aca="false">MIN(N(K115),Q115)</f>
        <v>0</v>
      </c>
      <c r="AQ115" s="61" t="n">
        <f aca="false">IF(Q115&gt;0,((Q115-AP115)*AT115+AP115*TASA_INC)/Q115,AT115)</f>
        <v>0.659887072235414</v>
      </c>
      <c r="AR115" s="58" t="n">
        <f aca="false">IF($A115&lt;FECHA_EXPORT,NETWORKDAYS($A115+1,FECHA_EXPORT,FESTIVOS),0)</f>
        <v>0</v>
      </c>
      <c r="AS115" s="61" t="n">
        <f aca="false">IF(AR115&gt;=5,1,INDEX(CDF_INC,1,AR115+1))</f>
        <v>0.14</v>
      </c>
      <c r="AT115" s="61" t="n">
        <f aca="false">TASA_USADA+(TASA_INC-TASA_USADA)*Q_INC*(1-AS115)/(1-Q_INC*AS115)</f>
        <v>0.659887072235414</v>
      </c>
    </row>
    <row r="116" customFormat="false" ht="15" hidden="false" customHeight="false" outlineLevel="0" collapsed="false">
      <c r="A116" s="53" t="n">
        <v>46410</v>
      </c>
      <c r="B116" s="54"/>
      <c r="C116" s="54"/>
      <c r="D116" s="54"/>
      <c r="E116" s="54"/>
      <c r="F116" s="54"/>
      <c r="G116" s="54"/>
      <c r="H116" s="54"/>
      <c r="I116" s="54"/>
      <c r="J116" s="54"/>
      <c r="K116" s="54"/>
      <c r="L116" s="55"/>
      <c r="M116" s="55"/>
      <c r="N116" s="55"/>
      <c r="O116" s="56"/>
      <c r="P116" s="31" t="n">
        <f aca="false">B116+C116+D116</f>
        <v>0</v>
      </c>
      <c r="Q116" s="31" t="n">
        <f aca="false">AA116+AB116+AC116</f>
        <v>0</v>
      </c>
      <c r="R116" s="32" t="n">
        <f aca="false">B116*P1_PVP+C116*P2_PVP+D116*IF($A116&lt;P3_DESDE,P3A_PVP,P3_PVP)</f>
        <v>0</v>
      </c>
      <c r="S116" s="32" t="str">
        <f aca="false">IF(P116&gt;0,R116/P116,"")</f>
        <v/>
      </c>
      <c r="T116" s="32" t="str">
        <f aca="false">IF(P116&gt;0,N116/P116,"")</f>
        <v/>
      </c>
      <c r="U116" s="57" t="str">
        <f aca="false">IF(N116&gt;0,R116/N116,"")</f>
        <v/>
      </c>
      <c r="V116" s="34" t="str">
        <f aca="false">IF(E116+F116+G116+H116+I116+J116&gt;0,(E116+F116+G116)/(E116+F116+G116+H116+I116+J116),"")</f>
        <v/>
      </c>
      <c r="W116" s="33" t="n">
        <f aca="false">E116*(P1_PVP-P1_CPROD)+F116*(P2_PVP-P2_CPROD)+G116*(IF($A116&lt;P3_DESDE,P3A_PVP,P3_PVP)-IF($A116&lt;P3_DESDE,P3A_CPROD,P3_CPROD))-IF(ISNUMBER(L116),L116,E116*P1_LOG+F116*P2_LOG+G116*P3_LOG)</f>
        <v>0</v>
      </c>
      <c r="X116" s="33" t="n">
        <f aca="false">W116-(E116*P1_IVAN+F116*P2_IVAN+G116*IF($A116&lt;P3_DESDE,P3A_IVAN,P3_IVAN))-(H116+I116+J116)*(COSTE_DEV-IVA_DEV)-AM116-AO116</f>
        <v>0</v>
      </c>
      <c r="Y116" s="33" t="n">
        <f aca="false">AH116-AI116-AJ116-AK116-AL116-AM116-AO116</f>
        <v>0</v>
      </c>
      <c r="AA116" s="58" t="n">
        <f aca="false">MAX(0,B116-E116-H116)</f>
        <v>0</v>
      </c>
      <c r="AB116" s="58" t="n">
        <f aca="false">MAX(0,C116-F116-I116)</f>
        <v>0</v>
      </c>
      <c r="AC116" s="58" t="n">
        <f aca="false">MAX(0,D116-G116-J116)</f>
        <v>0</v>
      </c>
      <c r="AD116" s="59" t="n">
        <f aca="false">E116+AA116*AQ116</f>
        <v>0</v>
      </c>
      <c r="AE116" s="59" t="n">
        <f aca="false">F116+AB116*AQ116</f>
        <v>0</v>
      </c>
      <c r="AF116" s="59" t="n">
        <f aca="false">G116+AC116*AQ116</f>
        <v>0</v>
      </c>
      <c r="AG116" s="59" t="n">
        <f aca="false">H116+I116+J116+(AA116+AB116+AC116)*(1-AQ116)</f>
        <v>0</v>
      </c>
      <c r="AH116" s="60" t="n">
        <f aca="false">AD116*P1_PVP+AE116*P2_PVP+AF116*IF($A116&lt;P3_DESDE,P3A_PVP,P3_PVP)</f>
        <v>0</v>
      </c>
      <c r="AI116" s="60" t="n">
        <f aca="false">AD116*P1_CPROD+AE116*P2_CPROD+AF116*IF($A116&lt;P3_DESDE,P3A_CPROD,P3_CPROD)</f>
        <v>0</v>
      </c>
      <c r="AJ116" s="60" t="n">
        <f aca="false">IF(ISNUMBER(L116),L116,E116*P1_LOG+F116*P2_LOG+G116*P3_LOG)+IF(ISNUMBER(M116),M116,AA116*P1_LOG+AB116*P2_LOG+AC116*P3_LOG)*AQ116</f>
        <v>0</v>
      </c>
      <c r="AK116" s="60" t="n">
        <f aca="false">AG116*COSTE_DEV</f>
        <v>0</v>
      </c>
      <c r="AL116" s="60" t="n">
        <f aca="false">AD116*P1_IVAN+AE116*P2_IVAN+AF116*IF($A116&lt;P3_DESDE,P3A_IVAN,P3_IVAN)-AG116*IVA_DEV</f>
        <v>0</v>
      </c>
      <c r="AM116" s="60" t="n">
        <f aca="false">N116*(1+RECARGO_ADS)</f>
        <v>0</v>
      </c>
      <c r="AN116" s="58" t="n">
        <f aca="false">IF(ISNUMBER(L116),E116+F116+G116+AA116+AB116+AC116,0)</f>
        <v>0</v>
      </c>
      <c r="AO116" s="60" t="n">
        <f aca="false">P116*COMISION</f>
        <v>0</v>
      </c>
      <c r="AP116" s="58" t="n">
        <f aca="false">MIN(N(K116),Q116)</f>
        <v>0</v>
      </c>
      <c r="AQ116" s="61" t="n">
        <f aca="false">IF(Q116&gt;0,((Q116-AP116)*AT116+AP116*TASA_INC)/Q116,AT116)</f>
        <v>0.659887072235414</v>
      </c>
      <c r="AR116" s="58" t="n">
        <f aca="false">IF($A116&lt;FECHA_EXPORT,NETWORKDAYS($A116+1,FECHA_EXPORT,FESTIVOS),0)</f>
        <v>0</v>
      </c>
      <c r="AS116" s="61" t="n">
        <f aca="false">IF(AR116&gt;=5,1,INDEX(CDF_INC,1,AR116+1))</f>
        <v>0.14</v>
      </c>
      <c r="AT116" s="61" t="n">
        <f aca="false">TASA_USADA+(TASA_INC-TASA_USADA)*Q_INC*(1-AS116)/(1-Q_INC*AS116)</f>
        <v>0.659887072235414</v>
      </c>
    </row>
    <row r="117" customFormat="false" ht="15" hidden="false" customHeight="false" outlineLevel="0" collapsed="false">
      <c r="A117" s="53" t="n">
        <v>46411</v>
      </c>
      <c r="B117" s="54"/>
      <c r="C117" s="54"/>
      <c r="D117" s="54"/>
      <c r="E117" s="54"/>
      <c r="F117" s="54"/>
      <c r="G117" s="54"/>
      <c r="H117" s="54"/>
      <c r="I117" s="54"/>
      <c r="J117" s="54"/>
      <c r="K117" s="54"/>
      <c r="L117" s="55"/>
      <c r="M117" s="55"/>
      <c r="N117" s="55"/>
      <c r="O117" s="56"/>
      <c r="P117" s="31" t="n">
        <f aca="false">B117+C117+D117</f>
        <v>0</v>
      </c>
      <c r="Q117" s="31" t="n">
        <f aca="false">AA117+AB117+AC117</f>
        <v>0</v>
      </c>
      <c r="R117" s="32" t="n">
        <f aca="false">B117*P1_PVP+C117*P2_PVP+D117*IF($A117&lt;P3_DESDE,P3A_PVP,P3_PVP)</f>
        <v>0</v>
      </c>
      <c r="S117" s="32" t="str">
        <f aca="false">IF(P117&gt;0,R117/P117,"")</f>
        <v/>
      </c>
      <c r="T117" s="32" t="str">
        <f aca="false">IF(P117&gt;0,N117/P117,"")</f>
        <v/>
      </c>
      <c r="U117" s="57" t="str">
        <f aca="false">IF(N117&gt;0,R117/N117,"")</f>
        <v/>
      </c>
      <c r="V117" s="34" t="str">
        <f aca="false">IF(E117+F117+G117+H117+I117+J117&gt;0,(E117+F117+G117)/(E117+F117+G117+H117+I117+J117),"")</f>
        <v/>
      </c>
      <c r="W117" s="33" t="n">
        <f aca="false">E117*(P1_PVP-P1_CPROD)+F117*(P2_PVP-P2_CPROD)+G117*(IF($A117&lt;P3_DESDE,P3A_PVP,P3_PVP)-IF($A117&lt;P3_DESDE,P3A_CPROD,P3_CPROD))-IF(ISNUMBER(L117),L117,E117*P1_LOG+F117*P2_LOG+G117*P3_LOG)</f>
        <v>0</v>
      </c>
      <c r="X117" s="33" t="n">
        <f aca="false">W117-(E117*P1_IVAN+F117*P2_IVAN+G117*IF($A117&lt;P3_DESDE,P3A_IVAN,P3_IVAN))-(H117+I117+J117)*(COSTE_DEV-IVA_DEV)-AM117-AO117</f>
        <v>0</v>
      </c>
      <c r="Y117" s="33" t="n">
        <f aca="false">AH117-AI117-AJ117-AK117-AL117-AM117-AO117</f>
        <v>0</v>
      </c>
      <c r="AA117" s="58" t="n">
        <f aca="false">MAX(0,B117-E117-H117)</f>
        <v>0</v>
      </c>
      <c r="AB117" s="58" t="n">
        <f aca="false">MAX(0,C117-F117-I117)</f>
        <v>0</v>
      </c>
      <c r="AC117" s="58" t="n">
        <f aca="false">MAX(0,D117-G117-J117)</f>
        <v>0</v>
      </c>
      <c r="AD117" s="59" t="n">
        <f aca="false">E117+AA117*AQ117</f>
        <v>0</v>
      </c>
      <c r="AE117" s="59" t="n">
        <f aca="false">F117+AB117*AQ117</f>
        <v>0</v>
      </c>
      <c r="AF117" s="59" t="n">
        <f aca="false">G117+AC117*AQ117</f>
        <v>0</v>
      </c>
      <c r="AG117" s="59" t="n">
        <f aca="false">H117+I117+J117+(AA117+AB117+AC117)*(1-AQ117)</f>
        <v>0</v>
      </c>
      <c r="AH117" s="60" t="n">
        <f aca="false">AD117*P1_PVP+AE117*P2_PVP+AF117*IF($A117&lt;P3_DESDE,P3A_PVP,P3_PVP)</f>
        <v>0</v>
      </c>
      <c r="AI117" s="60" t="n">
        <f aca="false">AD117*P1_CPROD+AE117*P2_CPROD+AF117*IF($A117&lt;P3_DESDE,P3A_CPROD,P3_CPROD)</f>
        <v>0</v>
      </c>
      <c r="AJ117" s="60" t="n">
        <f aca="false">IF(ISNUMBER(L117),L117,E117*P1_LOG+F117*P2_LOG+G117*P3_LOG)+IF(ISNUMBER(M117),M117,AA117*P1_LOG+AB117*P2_LOG+AC117*P3_LOG)*AQ117</f>
        <v>0</v>
      </c>
      <c r="AK117" s="60" t="n">
        <f aca="false">AG117*COSTE_DEV</f>
        <v>0</v>
      </c>
      <c r="AL117" s="60" t="n">
        <f aca="false">AD117*P1_IVAN+AE117*P2_IVAN+AF117*IF($A117&lt;P3_DESDE,P3A_IVAN,P3_IVAN)-AG117*IVA_DEV</f>
        <v>0</v>
      </c>
      <c r="AM117" s="60" t="n">
        <f aca="false">N117*(1+RECARGO_ADS)</f>
        <v>0</v>
      </c>
      <c r="AN117" s="58" t="n">
        <f aca="false">IF(ISNUMBER(L117),E117+F117+G117+AA117+AB117+AC117,0)</f>
        <v>0</v>
      </c>
      <c r="AO117" s="60" t="n">
        <f aca="false">P117*COMISION</f>
        <v>0</v>
      </c>
      <c r="AP117" s="58" t="n">
        <f aca="false">MIN(N(K117),Q117)</f>
        <v>0</v>
      </c>
      <c r="AQ117" s="61" t="n">
        <f aca="false">IF(Q117&gt;0,((Q117-AP117)*AT117+AP117*TASA_INC)/Q117,AT117)</f>
        <v>0.659887072235414</v>
      </c>
      <c r="AR117" s="58" t="n">
        <f aca="false">IF($A117&lt;FECHA_EXPORT,NETWORKDAYS($A117+1,FECHA_EXPORT,FESTIVOS),0)</f>
        <v>0</v>
      </c>
      <c r="AS117" s="61" t="n">
        <f aca="false">IF(AR117&gt;=5,1,INDEX(CDF_INC,1,AR117+1))</f>
        <v>0.14</v>
      </c>
      <c r="AT117" s="61" t="n">
        <f aca="false">TASA_USADA+(TASA_INC-TASA_USADA)*Q_INC*(1-AS117)/(1-Q_INC*AS117)</f>
        <v>0.659887072235414</v>
      </c>
    </row>
    <row r="118" customFormat="false" ht="15" hidden="false" customHeight="false" outlineLevel="0" collapsed="false">
      <c r="A118" s="53" t="n">
        <v>46412</v>
      </c>
      <c r="B118" s="54"/>
      <c r="C118" s="54"/>
      <c r="D118" s="54"/>
      <c r="E118" s="54"/>
      <c r="F118" s="54"/>
      <c r="G118" s="54"/>
      <c r="H118" s="54"/>
      <c r="I118" s="54"/>
      <c r="J118" s="54"/>
      <c r="K118" s="54"/>
      <c r="L118" s="55"/>
      <c r="M118" s="55"/>
      <c r="N118" s="55"/>
      <c r="O118" s="56"/>
      <c r="P118" s="31" t="n">
        <f aca="false">B118+C118+D118</f>
        <v>0</v>
      </c>
      <c r="Q118" s="31" t="n">
        <f aca="false">AA118+AB118+AC118</f>
        <v>0</v>
      </c>
      <c r="R118" s="32" t="n">
        <f aca="false">B118*P1_PVP+C118*P2_PVP+D118*IF($A118&lt;P3_DESDE,P3A_PVP,P3_PVP)</f>
        <v>0</v>
      </c>
      <c r="S118" s="32" t="str">
        <f aca="false">IF(P118&gt;0,R118/P118,"")</f>
        <v/>
      </c>
      <c r="T118" s="32" t="str">
        <f aca="false">IF(P118&gt;0,N118/P118,"")</f>
        <v/>
      </c>
      <c r="U118" s="57" t="str">
        <f aca="false">IF(N118&gt;0,R118/N118,"")</f>
        <v/>
      </c>
      <c r="V118" s="34" t="str">
        <f aca="false">IF(E118+F118+G118+H118+I118+J118&gt;0,(E118+F118+G118)/(E118+F118+G118+H118+I118+J118),"")</f>
        <v/>
      </c>
      <c r="W118" s="33" t="n">
        <f aca="false">E118*(P1_PVP-P1_CPROD)+F118*(P2_PVP-P2_CPROD)+G118*(IF($A118&lt;P3_DESDE,P3A_PVP,P3_PVP)-IF($A118&lt;P3_DESDE,P3A_CPROD,P3_CPROD))-IF(ISNUMBER(L118),L118,E118*P1_LOG+F118*P2_LOG+G118*P3_LOG)</f>
        <v>0</v>
      </c>
      <c r="X118" s="33" t="n">
        <f aca="false">W118-(E118*P1_IVAN+F118*P2_IVAN+G118*IF($A118&lt;P3_DESDE,P3A_IVAN,P3_IVAN))-(H118+I118+J118)*(COSTE_DEV-IVA_DEV)-AM118-AO118</f>
        <v>0</v>
      </c>
      <c r="Y118" s="33" t="n">
        <f aca="false">AH118-AI118-AJ118-AK118-AL118-AM118-AO118</f>
        <v>0</v>
      </c>
      <c r="AA118" s="58" t="n">
        <f aca="false">MAX(0,B118-E118-H118)</f>
        <v>0</v>
      </c>
      <c r="AB118" s="58" t="n">
        <f aca="false">MAX(0,C118-F118-I118)</f>
        <v>0</v>
      </c>
      <c r="AC118" s="58" t="n">
        <f aca="false">MAX(0,D118-G118-J118)</f>
        <v>0</v>
      </c>
      <c r="AD118" s="59" t="n">
        <f aca="false">E118+AA118*AQ118</f>
        <v>0</v>
      </c>
      <c r="AE118" s="59" t="n">
        <f aca="false">F118+AB118*AQ118</f>
        <v>0</v>
      </c>
      <c r="AF118" s="59" t="n">
        <f aca="false">G118+AC118*AQ118</f>
        <v>0</v>
      </c>
      <c r="AG118" s="59" t="n">
        <f aca="false">H118+I118+J118+(AA118+AB118+AC118)*(1-AQ118)</f>
        <v>0</v>
      </c>
      <c r="AH118" s="60" t="n">
        <f aca="false">AD118*P1_PVP+AE118*P2_PVP+AF118*IF($A118&lt;P3_DESDE,P3A_PVP,P3_PVP)</f>
        <v>0</v>
      </c>
      <c r="AI118" s="60" t="n">
        <f aca="false">AD118*P1_CPROD+AE118*P2_CPROD+AF118*IF($A118&lt;P3_DESDE,P3A_CPROD,P3_CPROD)</f>
        <v>0</v>
      </c>
      <c r="AJ118" s="60" t="n">
        <f aca="false">IF(ISNUMBER(L118),L118,E118*P1_LOG+F118*P2_LOG+G118*P3_LOG)+IF(ISNUMBER(M118),M118,AA118*P1_LOG+AB118*P2_LOG+AC118*P3_LOG)*AQ118</f>
        <v>0</v>
      </c>
      <c r="AK118" s="60" t="n">
        <f aca="false">AG118*COSTE_DEV</f>
        <v>0</v>
      </c>
      <c r="AL118" s="60" t="n">
        <f aca="false">AD118*P1_IVAN+AE118*P2_IVAN+AF118*IF($A118&lt;P3_DESDE,P3A_IVAN,P3_IVAN)-AG118*IVA_DEV</f>
        <v>0</v>
      </c>
      <c r="AM118" s="60" t="n">
        <f aca="false">N118*(1+RECARGO_ADS)</f>
        <v>0</v>
      </c>
      <c r="AN118" s="58" t="n">
        <f aca="false">IF(ISNUMBER(L118),E118+F118+G118+AA118+AB118+AC118,0)</f>
        <v>0</v>
      </c>
      <c r="AO118" s="60" t="n">
        <f aca="false">P118*COMISION</f>
        <v>0</v>
      </c>
      <c r="AP118" s="58" t="n">
        <f aca="false">MIN(N(K118),Q118)</f>
        <v>0</v>
      </c>
      <c r="AQ118" s="61" t="n">
        <f aca="false">IF(Q118&gt;0,((Q118-AP118)*AT118+AP118*TASA_INC)/Q118,AT118)</f>
        <v>0.659887072235414</v>
      </c>
      <c r="AR118" s="58" t="n">
        <f aca="false">IF($A118&lt;FECHA_EXPORT,NETWORKDAYS($A118+1,FECHA_EXPORT,FESTIVOS),0)</f>
        <v>0</v>
      </c>
      <c r="AS118" s="61" t="n">
        <f aca="false">IF(AR118&gt;=5,1,INDEX(CDF_INC,1,AR118+1))</f>
        <v>0.14</v>
      </c>
      <c r="AT118" s="61" t="n">
        <f aca="false">TASA_USADA+(TASA_INC-TASA_USADA)*Q_INC*(1-AS118)/(1-Q_INC*AS118)</f>
        <v>0.659887072235414</v>
      </c>
    </row>
    <row r="119" customFormat="false" ht="15" hidden="false" customHeight="false" outlineLevel="0" collapsed="false">
      <c r="A119" s="53" t="n">
        <v>46413</v>
      </c>
      <c r="B119" s="54"/>
      <c r="C119" s="54"/>
      <c r="D119" s="54"/>
      <c r="E119" s="54"/>
      <c r="F119" s="54"/>
      <c r="G119" s="54"/>
      <c r="H119" s="54"/>
      <c r="I119" s="54"/>
      <c r="J119" s="54"/>
      <c r="K119" s="54"/>
      <c r="L119" s="55"/>
      <c r="M119" s="55"/>
      <c r="N119" s="55"/>
      <c r="O119" s="56"/>
      <c r="P119" s="31" t="n">
        <f aca="false">B119+C119+D119</f>
        <v>0</v>
      </c>
      <c r="Q119" s="31" t="n">
        <f aca="false">AA119+AB119+AC119</f>
        <v>0</v>
      </c>
      <c r="R119" s="32" t="n">
        <f aca="false">B119*P1_PVP+C119*P2_PVP+D119*IF($A119&lt;P3_DESDE,P3A_PVP,P3_PVP)</f>
        <v>0</v>
      </c>
      <c r="S119" s="32" t="str">
        <f aca="false">IF(P119&gt;0,R119/P119,"")</f>
        <v/>
      </c>
      <c r="T119" s="32" t="str">
        <f aca="false">IF(P119&gt;0,N119/P119,"")</f>
        <v/>
      </c>
      <c r="U119" s="57" t="str">
        <f aca="false">IF(N119&gt;0,R119/N119,"")</f>
        <v/>
      </c>
      <c r="V119" s="34" t="str">
        <f aca="false">IF(E119+F119+G119+H119+I119+J119&gt;0,(E119+F119+G119)/(E119+F119+G119+H119+I119+J119),"")</f>
        <v/>
      </c>
      <c r="W119" s="33" t="n">
        <f aca="false">E119*(P1_PVP-P1_CPROD)+F119*(P2_PVP-P2_CPROD)+G119*(IF($A119&lt;P3_DESDE,P3A_PVP,P3_PVP)-IF($A119&lt;P3_DESDE,P3A_CPROD,P3_CPROD))-IF(ISNUMBER(L119),L119,E119*P1_LOG+F119*P2_LOG+G119*P3_LOG)</f>
        <v>0</v>
      </c>
      <c r="X119" s="33" t="n">
        <f aca="false">W119-(E119*P1_IVAN+F119*P2_IVAN+G119*IF($A119&lt;P3_DESDE,P3A_IVAN,P3_IVAN))-(H119+I119+J119)*(COSTE_DEV-IVA_DEV)-AM119-AO119</f>
        <v>0</v>
      </c>
      <c r="Y119" s="33" t="n">
        <f aca="false">AH119-AI119-AJ119-AK119-AL119-AM119-AO119</f>
        <v>0</v>
      </c>
      <c r="AA119" s="58" t="n">
        <f aca="false">MAX(0,B119-E119-H119)</f>
        <v>0</v>
      </c>
      <c r="AB119" s="58" t="n">
        <f aca="false">MAX(0,C119-F119-I119)</f>
        <v>0</v>
      </c>
      <c r="AC119" s="58" t="n">
        <f aca="false">MAX(0,D119-G119-J119)</f>
        <v>0</v>
      </c>
      <c r="AD119" s="59" t="n">
        <f aca="false">E119+AA119*AQ119</f>
        <v>0</v>
      </c>
      <c r="AE119" s="59" t="n">
        <f aca="false">F119+AB119*AQ119</f>
        <v>0</v>
      </c>
      <c r="AF119" s="59" t="n">
        <f aca="false">G119+AC119*AQ119</f>
        <v>0</v>
      </c>
      <c r="AG119" s="59" t="n">
        <f aca="false">H119+I119+J119+(AA119+AB119+AC119)*(1-AQ119)</f>
        <v>0</v>
      </c>
      <c r="AH119" s="60" t="n">
        <f aca="false">AD119*P1_PVP+AE119*P2_PVP+AF119*IF($A119&lt;P3_DESDE,P3A_PVP,P3_PVP)</f>
        <v>0</v>
      </c>
      <c r="AI119" s="60" t="n">
        <f aca="false">AD119*P1_CPROD+AE119*P2_CPROD+AF119*IF($A119&lt;P3_DESDE,P3A_CPROD,P3_CPROD)</f>
        <v>0</v>
      </c>
      <c r="AJ119" s="60" t="n">
        <f aca="false">IF(ISNUMBER(L119),L119,E119*P1_LOG+F119*P2_LOG+G119*P3_LOG)+IF(ISNUMBER(M119),M119,AA119*P1_LOG+AB119*P2_LOG+AC119*P3_LOG)*AQ119</f>
        <v>0</v>
      </c>
      <c r="AK119" s="60" t="n">
        <f aca="false">AG119*COSTE_DEV</f>
        <v>0</v>
      </c>
      <c r="AL119" s="60" t="n">
        <f aca="false">AD119*P1_IVAN+AE119*P2_IVAN+AF119*IF($A119&lt;P3_DESDE,P3A_IVAN,P3_IVAN)-AG119*IVA_DEV</f>
        <v>0</v>
      </c>
      <c r="AM119" s="60" t="n">
        <f aca="false">N119*(1+RECARGO_ADS)</f>
        <v>0</v>
      </c>
      <c r="AN119" s="58" t="n">
        <f aca="false">IF(ISNUMBER(L119),E119+F119+G119+AA119+AB119+AC119,0)</f>
        <v>0</v>
      </c>
      <c r="AO119" s="60" t="n">
        <f aca="false">P119*COMISION</f>
        <v>0</v>
      </c>
      <c r="AP119" s="58" t="n">
        <f aca="false">MIN(N(K119),Q119)</f>
        <v>0</v>
      </c>
      <c r="AQ119" s="61" t="n">
        <f aca="false">IF(Q119&gt;0,((Q119-AP119)*AT119+AP119*TASA_INC)/Q119,AT119)</f>
        <v>0.659887072235414</v>
      </c>
      <c r="AR119" s="58" t="n">
        <f aca="false">IF($A119&lt;FECHA_EXPORT,NETWORKDAYS($A119+1,FECHA_EXPORT,FESTIVOS),0)</f>
        <v>0</v>
      </c>
      <c r="AS119" s="61" t="n">
        <f aca="false">IF(AR119&gt;=5,1,INDEX(CDF_INC,1,AR119+1))</f>
        <v>0.14</v>
      </c>
      <c r="AT119" s="61" t="n">
        <f aca="false">TASA_USADA+(TASA_INC-TASA_USADA)*Q_INC*(1-AS119)/(1-Q_INC*AS119)</f>
        <v>0.659887072235414</v>
      </c>
    </row>
    <row r="120" customFormat="false" ht="15" hidden="false" customHeight="false" outlineLevel="0" collapsed="false">
      <c r="A120" s="53" t="n">
        <v>46414</v>
      </c>
      <c r="B120" s="54"/>
      <c r="C120" s="54"/>
      <c r="D120" s="54"/>
      <c r="E120" s="54"/>
      <c r="F120" s="54"/>
      <c r="G120" s="54"/>
      <c r="H120" s="54"/>
      <c r="I120" s="54"/>
      <c r="J120" s="54"/>
      <c r="K120" s="54"/>
      <c r="L120" s="55"/>
      <c r="M120" s="55"/>
      <c r="N120" s="55"/>
      <c r="O120" s="56"/>
      <c r="P120" s="31" t="n">
        <f aca="false">B120+C120+D120</f>
        <v>0</v>
      </c>
      <c r="Q120" s="31" t="n">
        <f aca="false">AA120+AB120+AC120</f>
        <v>0</v>
      </c>
      <c r="R120" s="32" t="n">
        <f aca="false">B120*P1_PVP+C120*P2_PVP+D120*IF($A120&lt;P3_DESDE,P3A_PVP,P3_PVP)</f>
        <v>0</v>
      </c>
      <c r="S120" s="32" t="str">
        <f aca="false">IF(P120&gt;0,R120/P120,"")</f>
        <v/>
      </c>
      <c r="T120" s="32" t="str">
        <f aca="false">IF(P120&gt;0,N120/P120,"")</f>
        <v/>
      </c>
      <c r="U120" s="57" t="str">
        <f aca="false">IF(N120&gt;0,R120/N120,"")</f>
        <v/>
      </c>
      <c r="V120" s="34" t="str">
        <f aca="false">IF(E120+F120+G120+H120+I120+J120&gt;0,(E120+F120+G120)/(E120+F120+G120+H120+I120+J120),"")</f>
        <v/>
      </c>
      <c r="W120" s="33" t="n">
        <f aca="false">E120*(P1_PVP-P1_CPROD)+F120*(P2_PVP-P2_CPROD)+G120*(IF($A120&lt;P3_DESDE,P3A_PVP,P3_PVP)-IF($A120&lt;P3_DESDE,P3A_CPROD,P3_CPROD))-IF(ISNUMBER(L120),L120,E120*P1_LOG+F120*P2_LOG+G120*P3_LOG)</f>
        <v>0</v>
      </c>
      <c r="X120" s="33" t="n">
        <f aca="false">W120-(E120*P1_IVAN+F120*P2_IVAN+G120*IF($A120&lt;P3_DESDE,P3A_IVAN,P3_IVAN))-(H120+I120+J120)*(COSTE_DEV-IVA_DEV)-AM120-AO120</f>
        <v>0</v>
      </c>
      <c r="Y120" s="33" t="n">
        <f aca="false">AH120-AI120-AJ120-AK120-AL120-AM120-AO120</f>
        <v>0</v>
      </c>
      <c r="AA120" s="58" t="n">
        <f aca="false">MAX(0,B120-E120-H120)</f>
        <v>0</v>
      </c>
      <c r="AB120" s="58" t="n">
        <f aca="false">MAX(0,C120-F120-I120)</f>
        <v>0</v>
      </c>
      <c r="AC120" s="58" t="n">
        <f aca="false">MAX(0,D120-G120-J120)</f>
        <v>0</v>
      </c>
      <c r="AD120" s="59" t="n">
        <f aca="false">E120+AA120*AQ120</f>
        <v>0</v>
      </c>
      <c r="AE120" s="59" t="n">
        <f aca="false">F120+AB120*AQ120</f>
        <v>0</v>
      </c>
      <c r="AF120" s="59" t="n">
        <f aca="false">G120+AC120*AQ120</f>
        <v>0</v>
      </c>
      <c r="AG120" s="59" t="n">
        <f aca="false">H120+I120+J120+(AA120+AB120+AC120)*(1-AQ120)</f>
        <v>0</v>
      </c>
      <c r="AH120" s="60" t="n">
        <f aca="false">AD120*P1_PVP+AE120*P2_PVP+AF120*IF($A120&lt;P3_DESDE,P3A_PVP,P3_PVP)</f>
        <v>0</v>
      </c>
      <c r="AI120" s="60" t="n">
        <f aca="false">AD120*P1_CPROD+AE120*P2_CPROD+AF120*IF($A120&lt;P3_DESDE,P3A_CPROD,P3_CPROD)</f>
        <v>0</v>
      </c>
      <c r="AJ120" s="60" t="n">
        <f aca="false">IF(ISNUMBER(L120),L120,E120*P1_LOG+F120*P2_LOG+G120*P3_LOG)+IF(ISNUMBER(M120),M120,AA120*P1_LOG+AB120*P2_LOG+AC120*P3_LOG)*AQ120</f>
        <v>0</v>
      </c>
      <c r="AK120" s="60" t="n">
        <f aca="false">AG120*COSTE_DEV</f>
        <v>0</v>
      </c>
      <c r="AL120" s="60" t="n">
        <f aca="false">AD120*P1_IVAN+AE120*P2_IVAN+AF120*IF($A120&lt;P3_DESDE,P3A_IVAN,P3_IVAN)-AG120*IVA_DEV</f>
        <v>0</v>
      </c>
      <c r="AM120" s="60" t="n">
        <f aca="false">N120*(1+RECARGO_ADS)</f>
        <v>0</v>
      </c>
      <c r="AN120" s="58" t="n">
        <f aca="false">IF(ISNUMBER(L120),E120+F120+G120+AA120+AB120+AC120,0)</f>
        <v>0</v>
      </c>
      <c r="AO120" s="60" t="n">
        <f aca="false">P120*COMISION</f>
        <v>0</v>
      </c>
      <c r="AP120" s="58" t="n">
        <f aca="false">MIN(N(K120),Q120)</f>
        <v>0</v>
      </c>
      <c r="AQ120" s="61" t="n">
        <f aca="false">IF(Q120&gt;0,((Q120-AP120)*AT120+AP120*TASA_INC)/Q120,AT120)</f>
        <v>0.659887072235414</v>
      </c>
      <c r="AR120" s="58" t="n">
        <f aca="false">IF($A120&lt;FECHA_EXPORT,NETWORKDAYS($A120+1,FECHA_EXPORT,FESTIVOS),0)</f>
        <v>0</v>
      </c>
      <c r="AS120" s="61" t="n">
        <f aca="false">IF(AR120&gt;=5,1,INDEX(CDF_INC,1,AR120+1))</f>
        <v>0.14</v>
      </c>
      <c r="AT120" s="61" t="n">
        <f aca="false">TASA_USADA+(TASA_INC-TASA_USADA)*Q_INC*(1-AS120)/(1-Q_INC*AS120)</f>
        <v>0.659887072235414</v>
      </c>
    </row>
    <row r="121" customFormat="false" ht="15" hidden="false" customHeight="false" outlineLevel="0" collapsed="false">
      <c r="A121" s="53" t="n">
        <v>46415</v>
      </c>
      <c r="B121" s="54"/>
      <c r="C121" s="54"/>
      <c r="D121" s="54"/>
      <c r="E121" s="54"/>
      <c r="F121" s="54"/>
      <c r="G121" s="54"/>
      <c r="H121" s="54"/>
      <c r="I121" s="54"/>
      <c r="J121" s="54"/>
      <c r="K121" s="54"/>
      <c r="L121" s="55"/>
      <c r="M121" s="55"/>
      <c r="N121" s="55"/>
      <c r="O121" s="56"/>
      <c r="P121" s="31" t="n">
        <f aca="false">B121+C121+D121</f>
        <v>0</v>
      </c>
      <c r="Q121" s="31" t="n">
        <f aca="false">AA121+AB121+AC121</f>
        <v>0</v>
      </c>
      <c r="R121" s="32" t="n">
        <f aca="false">B121*P1_PVP+C121*P2_PVP+D121*IF($A121&lt;P3_DESDE,P3A_PVP,P3_PVP)</f>
        <v>0</v>
      </c>
      <c r="S121" s="32" t="str">
        <f aca="false">IF(P121&gt;0,R121/P121,"")</f>
        <v/>
      </c>
      <c r="T121" s="32" t="str">
        <f aca="false">IF(P121&gt;0,N121/P121,"")</f>
        <v/>
      </c>
      <c r="U121" s="57" t="str">
        <f aca="false">IF(N121&gt;0,R121/N121,"")</f>
        <v/>
      </c>
      <c r="V121" s="34" t="str">
        <f aca="false">IF(E121+F121+G121+H121+I121+J121&gt;0,(E121+F121+G121)/(E121+F121+G121+H121+I121+J121),"")</f>
        <v/>
      </c>
      <c r="W121" s="33" t="n">
        <f aca="false">E121*(P1_PVP-P1_CPROD)+F121*(P2_PVP-P2_CPROD)+G121*(IF($A121&lt;P3_DESDE,P3A_PVP,P3_PVP)-IF($A121&lt;P3_DESDE,P3A_CPROD,P3_CPROD))-IF(ISNUMBER(L121),L121,E121*P1_LOG+F121*P2_LOG+G121*P3_LOG)</f>
        <v>0</v>
      </c>
      <c r="X121" s="33" t="n">
        <f aca="false">W121-(E121*P1_IVAN+F121*P2_IVAN+G121*IF($A121&lt;P3_DESDE,P3A_IVAN,P3_IVAN))-(H121+I121+J121)*(COSTE_DEV-IVA_DEV)-AM121-AO121</f>
        <v>0</v>
      </c>
      <c r="Y121" s="33" t="n">
        <f aca="false">AH121-AI121-AJ121-AK121-AL121-AM121-AO121</f>
        <v>0</v>
      </c>
      <c r="AA121" s="58" t="n">
        <f aca="false">MAX(0,B121-E121-H121)</f>
        <v>0</v>
      </c>
      <c r="AB121" s="58" t="n">
        <f aca="false">MAX(0,C121-F121-I121)</f>
        <v>0</v>
      </c>
      <c r="AC121" s="58" t="n">
        <f aca="false">MAX(0,D121-G121-J121)</f>
        <v>0</v>
      </c>
      <c r="AD121" s="59" t="n">
        <f aca="false">E121+AA121*AQ121</f>
        <v>0</v>
      </c>
      <c r="AE121" s="59" t="n">
        <f aca="false">F121+AB121*AQ121</f>
        <v>0</v>
      </c>
      <c r="AF121" s="59" t="n">
        <f aca="false">G121+AC121*AQ121</f>
        <v>0</v>
      </c>
      <c r="AG121" s="59" t="n">
        <f aca="false">H121+I121+J121+(AA121+AB121+AC121)*(1-AQ121)</f>
        <v>0</v>
      </c>
      <c r="AH121" s="60" t="n">
        <f aca="false">AD121*P1_PVP+AE121*P2_PVP+AF121*IF($A121&lt;P3_DESDE,P3A_PVP,P3_PVP)</f>
        <v>0</v>
      </c>
      <c r="AI121" s="60" t="n">
        <f aca="false">AD121*P1_CPROD+AE121*P2_CPROD+AF121*IF($A121&lt;P3_DESDE,P3A_CPROD,P3_CPROD)</f>
        <v>0</v>
      </c>
      <c r="AJ121" s="60" t="n">
        <f aca="false">IF(ISNUMBER(L121),L121,E121*P1_LOG+F121*P2_LOG+G121*P3_LOG)+IF(ISNUMBER(M121),M121,AA121*P1_LOG+AB121*P2_LOG+AC121*P3_LOG)*AQ121</f>
        <v>0</v>
      </c>
      <c r="AK121" s="60" t="n">
        <f aca="false">AG121*COSTE_DEV</f>
        <v>0</v>
      </c>
      <c r="AL121" s="60" t="n">
        <f aca="false">AD121*P1_IVAN+AE121*P2_IVAN+AF121*IF($A121&lt;P3_DESDE,P3A_IVAN,P3_IVAN)-AG121*IVA_DEV</f>
        <v>0</v>
      </c>
      <c r="AM121" s="60" t="n">
        <f aca="false">N121*(1+RECARGO_ADS)</f>
        <v>0</v>
      </c>
      <c r="AN121" s="58" t="n">
        <f aca="false">IF(ISNUMBER(L121),E121+F121+G121+AA121+AB121+AC121,0)</f>
        <v>0</v>
      </c>
      <c r="AO121" s="60" t="n">
        <f aca="false">P121*COMISION</f>
        <v>0</v>
      </c>
      <c r="AP121" s="58" t="n">
        <f aca="false">MIN(N(K121),Q121)</f>
        <v>0</v>
      </c>
      <c r="AQ121" s="61" t="n">
        <f aca="false">IF(Q121&gt;0,((Q121-AP121)*AT121+AP121*TASA_INC)/Q121,AT121)</f>
        <v>0.659887072235414</v>
      </c>
      <c r="AR121" s="58" t="n">
        <f aca="false">IF($A121&lt;FECHA_EXPORT,NETWORKDAYS($A121+1,FECHA_EXPORT,FESTIVOS),0)</f>
        <v>0</v>
      </c>
      <c r="AS121" s="61" t="n">
        <f aca="false">IF(AR121&gt;=5,1,INDEX(CDF_INC,1,AR121+1))</f>
        <v>0.14</v>
      </c>
      <c r="AT121" s="61" t="n">
        <f aca="false">TASA_USADA+(TASA_INC-TASA_USADA)*Q_INC*(1-AS121)/(1-Q_INC*AS121)</f>
        <v>0.659887072235414</v>
      </c>
    </row>
    <row r="122" customFormat="false" ht="15" hidden="false" customHeight="false" outlineLevel="0" collapsed="false">
      <c r="A122" s="53" t="n">
        <v>46416</v>
      </c>
      <c r="B122" s="54"/>
      <c r="C122" s="54"/>
      <c r="D122" s="54"/>
      <c r="E122" s="54"/>
      <c r="F122" s="54"/>
      <c r="G122" s="54"/>
      <c r="H122" s="54"/>
      <c r="I122" s="54"/>
      <c r="J122" s="54"/>
      <c r="K122" s="54"/>
      <c r="L122" s="55"/>
      <c r="M122" s="55"/>
      <c r="N122" s="55"/>
      <c r="O122" s="56"/>
      <c r="P122" s="31" t="n">
        <f aca="false">B122+C122+D122</f>
        <v>0</v>
      </c>
      <c r="Q122" s="31" t="n">
        <f aca="false">AA122+AB122+AC122</f>
        <v>0</v>
      </c>
      <c r="R122" s="32" t="n">
        <f aca="false">B122*P1_PVP+C122*P2_PVP+D122*IF($A122&lt;P3_DESDE,P3A_PVP,P3_PVP)</f>
        <v>0</v>
      </c>
      <c r="S122" s="32" t="str">
        <f aca="false">IF(P122&gt;0,R122/P122,"")</f>
        <v/>
      </c>
      <c r="T122" s="32" t="str">
        <f aca="false">IF(P122&gt;0,N122/P122,"")</f>
        <v/>
      </c>
      <c r="U122" s="57" t="str">
        <f aca="false">IF(N122&gt;0,R122/N122,"")</f>
        <v/>
      </c>
      <c r="V122" s="34" t="str">
        <f aca="false">IF(E122+F122+G122+H122+I122+J122&gt;0,(E122+F122+G122)/(E122+F122+G122+H122+I122+J122),"")</f>
        <v/>
      </c>
      <c r="W122" s="33" t="n">
        <f aca="false">E122*(P1_PVP-P1_CPROD)+F122*(P2_PVP-P2_CPROD)+G122*(IF($A122&lt;P3_DESDE,P3A_PVP,P3_PVP)-IF($A122&lt;P3_DESDE,P3A_CPROD,P3_CPROD))-IF(ISNUMBER(L122),L122,E122*P1_LOG+F122*P2_LOG+G122*P3_LOG)</f>
        <v>0</v>
      </c>
      <c r="X122" s="33" t="n">
        <f aca="false">W122-(E122*P1_IVAN+F122*P2_IVAN+G122*IF($A122&lt;P3_DESDE,P3A_IVAN,P3_IVAN))-(H122+I122+J122)*(COSTE_DEV-IVA_DEV)-AM122-AO122</f>
        <v>0</v>
      </c>
      <c r="Y122" s="33" t="n">
        <f aca="false">AH122-AI122-AJ122-AK122-AL122-AM122-AO122</f>
        <v>0</v>
      </c>
      <c r="AA122" s="58" t="n">
        <f aca="false">MAX(0,B122-E122-H122)</f>
        <v>0</v>
      </c>
      <c r="AB122" s="58" t="n">
        <f aca="false">MAX(0,C122-F122-I122)</f>
        <v>0</v>
      </c>
      <c r="AC122" s="58" t="n">
        <f aca="false">MAX(0,D122-G122-J122)</f>
        <v>0</v>
      </c>
      <c r="AD122" s="59" t="n">
        <f aca="false">E122+AA122*AQ122</f>
        <v>0</v>
      </c>
      <c r="AE122" s="59" t="n">
        <f aca="false">F122+AB122*AQ122</f>
        <v>0</v>
      </c>
      <c r="AF122" s="59" t="n">
        <f aca="false">G122+AC122*AQ122</f>
        <v>0</v>
      </c>
      <c r="AG122" s="59" t="n">
        <f aca="false">H122+I122+J122+(AA122+AB122+AC122)*(1-AQ122)</f>
        <v>0</v>
      </c>
      <c r="AH122" s="60" t="n">
        <f aca="false">AD122*P1_PVP+AE122*P2_PVP+AF122*IF($A122&lt;P3_DESDE,P3A_PVP,P3_PVP)</f>
        <v>0</v>
      </c>
      <c r="AI122" s="60" t="n">
        <f aca="false">AD122*P1_CPROD+AE122*P2_CPROD+AF122*IF($A122&lt;P3_DESDE,P3A_CPROD,P3_CPROD)</f>
        <v>0</v>
      </c>
      <c r="AJ122" s="60" t="n">
        <f aca="false">IF(ISNUMBER(L122),L122,E122*P1_LOG+F122*P2_LOG+G122*P3_LOG)+IF(ISNUMBER(M122),M122,AA122*P1_LOG+AB122*P2_LOG+AC122*P3_LOG)*AQ122</f>
        <v>0</v>
      </c>
      <c r="AK122" s="60" t="n">
        <f aca="false">AG122*COSTE_DEV</f>
        <v>0</v>
      </c>
      <c r="AL122" s="60" t="n">
        <f aca="false">AD122*P1_IVAN+AE122*P2_IVAN+AF122*IF($A122&lt;P3_DESDE,P3A_IVAN,P3_IVAN)-AG122*IVA_DEV</f>
        <v>0</v>
      </c>
      <c r="AM122" s="60" t="n">
        <f aca="false">N122*(1+RECARGO_ADS)</f>
        <v>0</v>
      </c>
      <c r="AN122" s="58" t="n">
        <f aca="false">IF(ISNUMBER(L122),E122+F122+G122+AA122+AB122+AC122,0)</f>
        <v>0</v>
      </c>
      <c r="AO122" s="60" t="n">
        <f aca="false">P122*COMISION</f>
        <v>0</v>
      </c>
      <c r="AP122" s="58" t="n">
        <f aca="false">MIN(N(K122),Q122)</f>
        <v>0</v>
      </c>
      <c r="AQ122" s="61" t="n">
        <f aca="false">IF(Q122&gt;0,((Q122-AP122)*AT122+AP122*TASA_INC)/Q122,AT122)</f>
        <v>0.659887072235414</v>
      </c>
      <c r="AR122" s="58" t="n">
        <f aca="false">IF($A122&lt;FECHA_EXPORT,NETWORKDAYS($A122+1,FECHA_EXPORT,FESTIVOS),0)</f>
        <v>0</v>
      </c>
      <c r="AS122" s="61" t="n">
        <f aca="false">IF(AR122&gt;=5,1,INDEX(CDF_INC,1,AR122+1))</f>
        <v>0.14</v>
      </c>
      <c r="AT122" s="61" t="n">
        <f aca="false">TASA_USADA+(TASA_INC-TASA_USADA)*Q_INC*(1-AS122)/(1-Q_INC*AS122)</f>
        <v>0.659887072235414</v>
      </c>
    </row>
    <row r="123" customFormat="false" ht="15" hidden="false" customHeight="false" outlineLevel="0" collapsed="false">
      <c r="A123" s="53" t="n">
        <v>46417</v>
      </c>
      <c r="B123" s="54"/>
      <c r="C123" s="54"/>
      <c r="D123" s="54"/>
      <c r="E123" s="54"/>
      <c r="F123" s="54"/>
      <c r="G123" s="54"/>
      <c r="H123" s="54"/>
      <c r="I123" s="54"/>
      <c r="J123" s="54"/>
      <c r="K123" s="54"/>
      <c r="L123" s="55"/>
      <c r="M123" s="55"/>
      <c r="N123" s="55"/>
      <c r="O123" s="56"/>
      <c r="P123" s="31" t="n">
        <f aca="false">B123+C123+D123</f>
        <v>0</v>
      </c>
      <c r="Q123" s="31" t="n">
        <f aca="false">AA123+AB123+AC123</f>
        <v>0</v>
      </c>
      <c r="R123" s="32" t="n">
        <f aca="false">B123*P1_PVP+C123*P2_PVP+D123*IF($A123&lt;P3_DESDE,P3A_PVP,P3_PVP)</f>
        <v>0</v>
      </c>
      <c r="S123" s="32" t="str">
        <f aca="false">IF(P123&gt;0,R123/P123,"")</f>
        <v/>
      </c>
      <c r="T123" s="32" t="str">
        <f aca="false">IF(P123&gt;0,N123/P123,"")</f>
        <v/>
      </c>
      <c r="U123" s="57" t="str">
        <f aca="false">IF(N123&gt;0,R123/N123,"")</f>
        <v/>
      </c>
      <c r="V123" s="34" t="str">
        <f aca="false">IF(E123+F123+G123+H123+I123+J123&gt;0,(E123+F123+G123)/(E123+F123+G123+H123+I123+J123),"")</f>
        <v/>
      </c>
      <c r="W123" s="33" t="n">
        <f aca="false">E123*(P1_PVP-P1_CPROD)+F123*(P2_PVP-P2_CPROD)+G123*(IF($A123&lt;P3_DESDE,P3A_PVP,P3_PVP)-IF($A123&lt;P3_DESDE,P3A_CPROD,P3_CPROD))-IF(ISNUMBER(L123),L123,E123*P1_LOG+F123*P2_LOG+G123*P3_LOG)</f>
        <v>0</v>
      </c>
      <c r="X123" s="33" t="n">
        <f aca="false">W123-(E123*P1_IVAN+F123*P2_IVAN+G123*IF($A123&lt;P3_DESDE,P3A_IVAN,P3_IVAN))-(H123+I123+J123)*(COSTE_DEV-IVA_DEV)-AM123-AO123</f>
        <v>0</v>
      </c>
      <c r="Y123" s="33" t="n">
        <f aca="false">AH123-AI123-AJ123-AK123-AL123-AM123-AO123</f>
        <v>0</v>
      </c>
      <c r="AA123" s="58" t="n">
        <f aca="false">MAX(0,B123-E123-H123)</f>
        <v>0</v>
      </c>
      <c r="AB123" s="58" t="n">
        <f aca="false">MAX(0,C123-F123-I123)</f>
        <v>0</v>
      </c>
      <c r="AC123" s="58" t="n">
        <f aca="false">MAX(0,D123-G123-J123)</f>
        <v>0</v>
      </c>
      <c r="AD123" s="59" t="n">
        <f aca="false">E123+AA123*AQ123</f>
        <v>0</v>
      </c>
      <c r="AE123" s="59" t="n">
        <f aca="false">F123+AB123*AQ123</f>
        <v>0</v>
      </c>
      <c r="AF123" s="59" t="n">
        <f aca="false">G123+AC123*AQ123</f>
        <v>0</v>
      </c>
      <c r="AG123" s="59" t="n">
        <f aca="false">H123+I123+J123+(AA123+AB123+AC123)*(1-AQ123)</f>
        <v>0</v>
      </c>
      <c r="AH123" s="60" t="n">
        <f aca="false">AD123*P1_PVP+AE123*P2_PVP+AF123*IF($A123&lt;P3_DESDE,P3A_PVP,P3_PVP)</f>
        <v>0</v>
      </c>
      <c r="AI123" s="60" t="n">
        <f aca="false">AD123*P1_CPROD+AE123*P2_CPROD+AF123*IF($A123&lt;P3_DESDE,P3A_CPROD,P3_CPROD)</f>
        <v>0</v>
      </c>
      <c r="AJ123" s="60" t="n">
        <f aca="false">IF(ISNUMBER(L123),L123,E123*P1_LOG+F123*P2_LOG+G123*P3_LOG)+IF(ISNUMBER(M123),M123,AA123*P1_LOG+AB123*P2_LOG+AC123*P3_LOG)*AQ123</f>
        <v>0</v>
      </c>
      <c r="AK123" s="60" t="n">
        <f aca="false">AG123*COSTE_DEV</f>
        <v>0</v>
      </c>
      <c r="AL123" s="60" t="n">
        <f aca="false">AD123*P1_IVAN+AE123*P2_IVAN+AF123*IF($A123&lt;P3_DESDE,P3A_IVAN,P3_IVAN)-AG123*IVA_DEV</f>
        <v>0</v>
      </c>
      <c r="AM123" s="60" t="n">
        <f aca="false">N123*(1+RECARGO_ADS)</f>
        <v>0</v>
      </c>
      <c r="AN123" s="58" t="n">
        <f aca="false">IF(ISNUMBER(L123),E123+F123+G123+AA123+AB123+AC123,0)</f>
        <v>0</v>
      </c>
      <c r="AO123" s="60" t="n">
        <f aca="false">P123*COMISION</f>
        <v>0</v>
      </c>
      <c r="AP123" s="58" t="n">
        <f aca="false">MIN(N(K123),Q123)</f>
        <v>0</v>
      </c>
      <c r="AQ123" s="61" t="n">
        <f aca="false">IF(Q123&gt;0,((Q123-AP123)*AT123+AP123*TASA_INC)/Q123,AT123)</f>
        <v>0.659887072235414</v>
      </c>
      <c r="AR123" s="58" t="n">
        <f aca="false">IF($A123&lt;FECHA_EXPORT,NETWORKDAYS($A123+1,FECHA_EXPORT,FESTIVOS),0)</f>
        <v>0</v>
      </c>
      <c r="AS123" s="61" t="n">
        <f aca="false">IF(AR123&gt;=5,1,INDEX(CDF_INC,1,AR123+1))</f>
        <v>0.14</v>
      </c>
      <c r="AT123" s="61" t="n">
        <f aca="false">TASA_USADA+(TASA_INC-TASA_USADA)*Q_INC*(1-AS123)/(1-Q_INC*AS123)</f>
        <v>0.659887072235414</v>
      </c>
    </row>
    <row r="124" customFormat="false" ht="15" hidden="false" customHeight="false" outlineLevel="0" collapsed="false">
      <c r="A124" s="53" t="n">
        <v>46418</v>
      </c>
      <c r="B124" s="54"/>
      <c r="C124" s="54"/>
      <c r="D124" s="54"/>
      <c r="E124" s="54"/>
      <c r="F124" s="54"/>
      <c r="G124" s="54"/>
      <c r="H124" s="54"/>
      <c r="I124" s="54"/>
      <c r="J124" s="54"/>
      <c r="K124" s="54"/>
      <c r="L124" s="55"/>
      <c r="M124" s="55"/>
      <c r="N124" s="55"/>
      <c r="O124" s="56"/>
      <c r="P124" s="31" t="n">
        <f aca="false">B124+C124+D124</f>
        <v>0</v>
      </c>
      <c r="Q124" s="31" t="n">
        <f aca="false">AA124+AB124+AC124</f>
        <v>0</v>
      </c>
      <c r="R124" s="32" t="n">
        <f aca="false">B124*P1_PVP+C124*P2_PVP+D124*IF($A124&lt;P3_DESDE,P3A_PVP,P3_PVP)</f>
        <v>0</v>
      </c>
      <c r="S124" s="32" t="str">
        <f aca="false">IF(P124&gt;0,R124/P124,"")</f>
        <v/>
      </c>
      <c r="T124" s="32" t="str">
        <f aca="false">IF(P124&gt;0,N124/P124,"")</f>
        <v/>
      </c>
      <c r="U124" s="57" t="str">
        <f aca="false">IF(N124&gt;0,R124/N124,"")</f>
        <v/>
      </c>
      <c r="V124" s="34" t="str">
        <f aca="false">IF(E124+F124+G124+H124+I124+J124&gt;0,(E124+F124+G124)/(E124+F124+G124+H124+I124+J124),"")</f>
        <v/>
      </c>
      <c r="W124" s="33" t="n">
        <f aca="false">E124*(P1_PVP-P1_CPROD)+F124*(P2_PVP-P2_CPROD)+G124*(IF($A124&lt;P3_DESDE,P3A_PVP,P3_PVP)-IF($A124&lt;P3_DESDE,P3A_CPROD,P3_CPROD))-IF(ISNUMBER(L124),L124,E124*P1_LOG+F124*P2_LOG+G124*P3_LOG)</f>
        <v>0</v>
      </c>
      <c r="X124" s="33" t="n">
        <f aca="false">W124-(E124*P1_IVAN+F124*P2_IVAN+G124*IF($A124&lt;P3_DESDE,P3A_IVAN,P3_IVAN))-(H124+I124+J124)*(COSTE_DEV-IVA_DEV)-AM124-AO124</f>
        <v>0</v>
      </c>
      <c r="Y124" s="33" t="n">
        <f aca="false">AH124-AI124-AJ124-AK124-AL124-AM124-AO124</f>
        <v>0</v>
      </c>
      <c r="AA124" s="58" t="n">
        <f aca="false">MAX(0,B124-E124-H124)</f>
        <v>0</v>
      </c>
      <c r="AB124" s="58" t="n">
        <f aca="false">MAX(0,C124-F124-I124)</f>
        <v>0</v>
      </c>
      <c r="AC124" s="58" t="n">
        <f aca="false">MAX(0,D124-G124-J124)</f>
        <v>0</v>
      </c>
      <c r="AD124" s="59" t="n">
        <f aca="false">E124+AA124*AQ124</f>
        <v>0</v>
      </c>
      <c r="AE124" s="59" t="n">
        <f aca="false">F124+AB124*AQ124</f>
        <v>0</v>
      </c>
      <c r="AF124" s="59" t="n">
        <f aca="false">G124+AC124*AQ124</f>
        <v>0</v>
      </c>
      <c r="AG124" s="59" t="n">
        <f aca="false">H124+I124+J124+(AA124+AB124+AC124)*(1-AQ124)</f>
        <v>0</v>
      </c>
      <c r="AH124" s="60" t="n">
        <f aca="false">AD124*P1_PVP+AE124*P2_PVP+AF124*IF($A124&lt;P3_DESDE,P3A_PVP,P3_PVP)</f>
        <v>0</v>
      </c>
      <c r="AI124" s="60" t="n">
        <f aca="false">AD124*P1_CPROD+AE124*P2_CPROD+AF124*IF($A124&lt;P3_DESDE,P3A_CPROD,P3_CPROD)</f>
        <v>0</v>
      </c>
      <c r="AJ124" s="60" t="n">
        <f aca="false">IF(ISNUMBER(L124),L124,E124*P1_LOG+F124*P2_LOG+G124*P3_LOG)+IF(ISNUMBER(M124),M124,AA124*P1_LOG+AB124*P2_LOG+AC124*P3_LOG)*AQ124</f>
        <v>0</v>
      </c>
      <c r="AK124" s="60" t="n">
        <f aca="false">AG124*COSTE_DEV</f>
        <v>0</v>
      </c>
      <c r="AL124" s="60" t="n">
        <f aca="false">AD124*P1_IVAN+AE124*P2_IVAN+AF124*IF($A124&lt;P3_DESDE,P3A_IVAN,P3_IVAN)-AG124*IVA_DEV</f>
        <v>0</v>
      </c>
      <c r="AM124" s="60" t="n">
        <f aca="false">N124*(1+RECARGO_ADS)</f>
        <v>0</v>
      </c>
      <c r="AN124" s="58" t="n">
        <f aca="false">IF(ISNUMBER(L124),E124+F124+G124+AA124+AB124+AC124,0)</f>
        <v>0</v>
      </c>
      <c r="AO124" s="60" t="n">
        <f aca="false">P124*COMISION</f>
        <v>0</v>
      </c>
      <c r="AP124" s="58" t="n">
        <f aca="false">MIN(N(K124),Q124)</f>
        <v>0</v>
      </c>
      <c r="AQ124" s="61" t="n">
        <f aca="false">IF(Q124&gt;0,((Q124-AP124)*AT124+AP124*TASA_INC)/Q124,AT124)</f>
        <v>0.659887072235414</v>
      </c>
      <c r="AR124" s="58" t="n">
        <f aca="false">IF($A124&lt;FECHA_EXPORT,NETWORKDAYS($A124+1,FECHA_EXPORT,FESTIVOS),0)</f>
        <v>0</v>
      </c>
      <c r="AS124" s="61" t="n">
        <f aca="false">IF(AR124&gt;=5,1,INDEX(CDF_INC,1,AR124+1))</f>
        <v>0.14</v>
      </c>
      <c r="AT124" s="61" t="n">
        <f aca="false">TASA_USADA+(TASA_INC-TASA_USADA)*Q_INC*(1-AS124)/(1-Q_INC*AS124)</f>
        <v>0.659887072235414</v>
      </c>
    </row>
    <row r="125" customFormat="false" ht="15" hidden="false" customHeight="false" outlineLevel="0" collapsed="false">
      <c r="A125" s="53" t="n">
        <v>46419</v>
      </c>
      <c r="B125" s="54"/>
      <c r="C125" s="54"/>
      <c r="D125" s="54"/>
      <c r="E125" s="54"/>
      <c r="F125" s="54"/>
      <c r="G125" s="54"/>
      <c r="H125" s="54"/>
      <c r="I125" s="54"/>
      <c r="J125" s="54"/>
      <c r="K125" s="54"/>
      <c r="L125" s="55"/>
      <c r="M125" s="55"/>
      <c r="N125" s="55"/>
      <c r="O125" s="56"/>
      <c r="P125" s="31" t="n">
        <f aca="false">B125+C125+D125</f>
        <v>0</v>
      </c>
      <c r="Q125" s="31" t="n">
        <f aca="false">AA125+AB125+AC125</f>
        <v>0</v>
      </c>
      <c r="R125" s="32" t="n">
        <f aca="false">B125*P1_PVP+C125*P2_PVP+D125*IF($A125&lt;P3_DESDE,P3A_PVP,P3_PVP)</f>
        <v>0</v>
      </c>
      <c r="S125" s="32" t="str">
        <f aca="false">IF(P125&gt;0,R125/P125,"")</f>
        <v/>
      </c>
      <c r="T125" s="32" t="str">
        <f aca="false">IF(P125&gt;0,N125/P125,"")</f>
        <v/>
      </c>
      <c r="U125" s="57" t="str">
        <f aca="false">IF(N125&gt;0,R125/N125,"")</f>
        <v/>
      </c>
      <c r="V125" s="34" t="str">
        <f aca="false">IF(E125+F125+G125+H125+I125+J125&gt;0,(E125+F125+G125)/(E125+F125+G125+H125+I125+J125),"")</f>
        <v/>
      </c>
      <c r="W125" s="33" t="n">
        <f aca="false">E125*(P1_PVP-P1_CPROD)+F125*(P2_PVP-P2_CPROD)+G125*(IF($A125&lt;P3_DESDE,P3A_PVP,P3_PVP)-IF($A125&lt;P3_DESDE,P3A_CPROD,P3_CPROD))-IF(ISNUMBER(L125),L125,E125*P1_LOG+F125*P2_LOG+G125*P3_LOG)</f>
        <v>0</v>
      </c>
      <c r="X125" s="33" t="n">
        <f aca="false">W125-(E125*P1_IVAN+F125*P2_IVAN+G125*IF($A125&lt;P3_DESDE,P3A_IVAN,P3_IVAN))-(H125+I125+J125)*(COSTE_DEV-IVA_DEV)-AM125-AO125</f>
        <v>0</v>
      </c>
      <c r="Y125" s="33" t="n">
        <f aca="false">AH125-AI125-AJ125-AK125-AL125-AM125-AO125</f>
        <v>0</v>
      </c>
      <c r="AA125" s="58" t="n">
        <f aca="false">MAX(0,B125-E125-H125)</f>
        <v>0</v>
      </c>
      <c r="AB125" s="58" t="n">
        <f aca="false">MAX(0,C125-F125-I125)</f>
        <v>0</v>
      </c>
      <c r="AC125" s="58" t="n">
        <f aca="false">MAX(0,D125-G125-J125)</f>
        <v>0</v>
      </c>
      <c r="AD125" s="59" t="n">
        <f aca="false">E125+AA125*AQ125</f>
        <v>0</v>
      </c>
      <c r="AE125" s="59" t="n">
        <f aca="false">F125+AB125*AQ125</f>
        <v>0</v>
      </c>
      <c r="AF125" s="59" t="n">
        <f aca="false">G125+AC125*AQ125</f>
        <v>0</v>
      </c>
      <c r="AG125" s="59" t="n">
        <f aca="false">H125+I125+J125+(AA125+AB125+AC125)*(1-AQ125)</f>
        <v>0</v>
      </c>
      <c r="AH125" s="60" t="n">
        <f aca="false">AD125*P1_PVP+AE125*P2_PVP+AF125*IF($A125&lt;P3_DESDE,P3A_PVP,P3_PVP)</f>
        <v>0</v>
      </c>
      <c r="AI125" s="60" t="n">
        <f aca="false">AD125*P1_CPROD+AE125*P2_CPROD+AF125*IF($A125&lt;P3_DESDE,P3A_CPROD,P3_CPROD)</f>
        <v>0</v>
      </c>
      <c r="AJ125" s="60" t="n">
        <f aca="false">IF(ISNUMBER(L125),L125,E125*P1_LOG+F125*P2_LOG+G125*P3_LOG)+IF(ISNUMBER(M125),M125,AA125*P1_LOG+AB125*P2_LOG+AC125*P3_LOG)*AQ125</f>
        <v>0</v>
      </c>
      <c r="AK125" s="60" t="n">
        <f aca="false">AG125*COSTE_DEV</f>
        <v>0</v>
      </c>
      <c r="AL125" s="60" t="n">
        <f aca="false">AD125*P1_IVAN+AE125*P2_IVAN+AF125*IF($A125&lt;P3_DESDE,P3A_IVAN,P3_IVAN)-AG125*IVA_DEV</f>
        <v>0</v>
      </c>
      <c r="AM125" s="60" t="n">
        <f aca="false">N125*(1+RECARGO_ADS)</f>
        <v>0</v>
      </c>
      <c r="AN125" s="58" t="n">
        <f aca="false">IF(ISNUMBER(L125),E125+F125+G125+AA125+AB125+AC125,0)</f>
        <v>0</v>
      </c>
      <c r="AO125" s="60" t="n">
        <f aca="false">P125*COMISION</f>
        <v>0</v>
      </c>
      <c r="AP125" s="58" t="n">
        <f aca="false">MIN(N(K125),Q125)</f>
        <v>0</v>
      </c>
      <c r="AQ125" s="61" t="n">
        <f aca="false">IF(Q125&gt;0,((Q125-AP125)*AT125+AP125*TASA_INC)/Q125,AT125)</f>
        <v>0.659887072235414</v>
      </c>
      <c r="AR125" s="58" t="n">
        <f aca="false">IF($A125&lt;FECHA_EXPORT,NETWORKDAYS($A125+1,FECHA_EXPORT,FESTIVOS),0)</f>
        <v>0</v>
      </c>
      <c r="AS125" s="61" t="n">
        <f aca="false">IF(AR125&gt;=5,1,INDEX(CDF_INC,1,AR125+1))</f>
        <v>0.14</v>
      </c>
      <c r="AT125" s="61" t="n">
        <f aca="false">TASA_USADA+(TASA_INC-TASA_USADA)*Q_INC*(1-AS125)/(1-Q_INC*AS125)</f>
        <v>0.659887072235414</v>
      </c>
    </row>
    <row r="126" customFormat="false" ht="15" hidden="false" customHeight="false" outlineLevel="0" collapsed="false">
      <c r="A126" s="53" t="n">
        <v>46420</v>
      </c>
      <c r="B126" s="54"/>
      <c r="C126" s="54"/>
      <c r="D126" s="54"/>
      <c r="E126" s="54"/>
      <c r="F126" s="54"/>
      <c r="G126" s="54"/>
      <c r="H126" s="54"/>
      <c r="I126" s="54"/>
      <c r="J126" s="54"/>
      <c r="K126" s="54"/>
      <c r="L126" s="55"/>
      <c r="M126" s="55"/>
      <c r="N126" s="55"/>
      <c r="O126" s="56"/>
      <c r="P126" s="31" t="n">
        <f aca="false">B126+C126+D126</f>
        <v>0</v>
      </c>
      <c r="Q126" s="31" t="n">
        <f aca="false">AA126+AB126+AC126</f>
        <v>0</v>
      </c>
      <c r="R126" s="32" t="n">
        <f aca="false">B126*P1_PVP+C126*P2_PVP+D126*IF($A126&lt;P3_DESDE,P3A_PVP,P3_PVP)</f>
        <v>0</v>
      </c>
      <c r="S126" s="32" t="str">
        <f aca="false">IF(P126&gt;0,R126/P126,"")</f>
        <v/>
      </c>
      <c r="T126" s="32" t="str">
        <f aca="false">IF(P126&gt;0,N126/P126,"")</f>
        <v/>
      </c>
      <c r="U126" s="57" t="str">
        <f aca="false">IF(N126&gt;0,R126/N126,"")</f>
        <v/>
      </c>
      <c r="V126" s="34" t="str">
        <f aca="false">IF(E126+F126+G126+H126+I126+J126&gt;0,(E126+F126+G126)/(E126+F126+G126+H126+I126+J126),"")</f>
        <v/>
      </c>
      <c r="W126" s="33" t="n">
        <f aca="false">E126*(P1_PVP-P1_CPROD)+F126*(P2_PVP-P2_CPROD)+G126*(IF($A126&lt;P3_DESDE,P3A_PVP,P3_PVP)-IF($A126&lt;P3_DESDE,P3A_CPROD,P3_CPROD))-IF(ISNUMBER(L126),L126,E126*P1_LOG+F126*P2_LOG+G126*P3_LOG)</f>
        <v>0</v>
      </c>
      <c r="X126" s="33" t="n">
        <f aca="false">W126-(E126*P1_IVAN+F126*P2_IVAN+G126*IF($A126&lt;P3_DESDE,P3A_IVAN,P3_IVAN))-(H126+I126+J126)*(COSTE_DEV-IVA_DEV)-AM126-AO126</f>
        <v>0</v>
      </c>
      <c r="Y126" s="33" t="n">
        <f aca="false">AH126-AI126-AJ126-AK126-AL126-AM126-AO126</f>
        <v>0</v>
      </c>
      <c r="AA126" s="58" t="n">
        <f aca="false">MAX(0,B126-E126-H126)</f>
        <v>0</v>
      </c>
      <c r="AB126" s="58" t="n">
        <f aca="false">MAX(0,C126-F126-I126)</f>
        <v>0</v>
      </c>
      <c r="AC126" s="58" t="n">
        <f aca="false">MAX(0,D126-G126-J126)</f>
        <v>0</v>
      </c>
      <c r="AD126" s="59" t="n">
        <f aca="false">E126+AA126*AQ126</f>
        <v>0</v>
      </c>
      <c r="AE126" s="59" t="n">
        <f aca="false">F126+AB126*AQ126</f>
        <v>0</v>
      </c>
      <c r="AF126" s="59" t="n">
        <f aca="false">G126+AC126*AQ126</f>
        <v>0</v>
      </c>
      <c r="AG126" s="59" t="n">
        <f aca="false">H126+I126+J126+(AA126+AB126+AC126)*(1-AQ126)</f>
        <v>0</v>
      </c>
      <c r="AH126" s="60" t="n">
        <f aca="false">AD126*P1_PVP+AE126*P2_PVP+AF126*IF($A126&lt;P3_DESDE,P3A_PVP,P3_PVP)</f>
        <v>0</v>
      </c>
      <c r="AI126" s="60" t="n">
        <f aca="false">AD126*P1_CPROD+AE126*P2_CPROD+AF126*IF($A126&lt;P3_DESDE,P3A_CPROD,P3_CPROD)</f>
        <v>0</v>
      </c>
      <c r="AJ126" s="60" t="n">
        <f aca="false">IF(ISNUMBER(L126),L126,E126*P1_LOG+F126*P2_LOG+G126*P3_LOG)+IF(ISNUMBER(M126),M126,AA126*P1_LOG+AB126*P2_LOG+AC126*P3_LOG)*AQ126</f>
        <v>0</v>
      </c>
      <c r="AK126" s="60" t="n">
        <f aca="false">AG126*COSTE_DEV</f>
        <v>0</v>
      </c>
      <c r="AL126" s="60" t="n">
        <f aca="false">AD126*P1_IVAN+AE126*P2_IVAN+AF126*IF($A126&lt;P3_DESDE,P3A_IVAN,P3_IVAN)-AG126*IVA_DEV</f>
        <v>0</v>
      </c>
      <c r="AM126" s="60" t="n">
        <f aca="false">N126*(1+RECARGO_ADS)</f>
        <v>0</v>
      </c>
      <c r="AN126" s="58" t="n">
        <f aca="false">IF(ISNUMBER(L126),E126+F126+G126+AA126+AB126+AC126,0)</f>
        <v>0</v>
      </c>
      <c r="AO126" s="60" t="n">
        <f aca="false">P126*COMISION</f>
        <v>0</v>
      </c>
      <c r="AP126" s="58" t="n">
        <f aca="false">MIN(N(K126),Q126)</f>
        <v>0</v>
      </c>
      <c r="AQ126" s="61" t="n">
        <f aca="false">IF(Q126&gt;0,((Q126-AP126)*AT126+AP126*TASA_INC)/Q126,AT126)</f>
        <v>0.659887072235414</v>
      </c>
      <c r="AR126" s="58" t="n">
        <f aca="false">IF($A126&lt;FECHA_EXPORT,NETWORKDAYS($A126+1,FECHA_EXPORT,FESTIVOS),0)</f>
        <v>0</v>
      </c>
      <c r="AS126" s="61" t="n">
        <f aca="false">IF(AR126&gt;=5,1,INDEX(CDF_INC,1,AR126+1))</f>
        <v>0.14</v>
      </c>
      <c r="AT126" s="61" t="n">
        <f aca="false">TASA_USADA+(TASA_INC-TASA_USADA)*Q_INC*(1-AS126)/(1-Q_INC*AS126)</f>
        <v>0.659887072235414</v>
      </c>
    </row>
    <row r="127" customFormat="false" ht="15" hidden="false" customHeight="false" outlineLevel="0" collapsed="false">
      <c r="A127" s="53" t="n">
        <v>46421</v>
      </c>
      <c r="B127" s="54"/>
      <c r="C127" s="54"/>
      <c r="D127" s="54"/>
      <c r="E127" s="54"/>
      <c r="F127" s="54"/>
      <c r="G127" s="54"/>
      <c r="H127" s="54"/>
      <c r="I127" s="54"/>
      <c r="J127" s="54"/>
      <c r="K127" s="54"/>
      <c r="L127" s="55"/>
      <c r="M127" s="55"/>
      <c r="N127" s="55"/>
      <c r="O127" s="56"/>
      <c r="P127" s="31" t="n">
        <f aca="false">B127+C127+D127</f>
        <v>0</v>
      </c>
      <c r="Q127" s="31" t="n">
        <f aca="false">AA127+AB127+AC127</f>
        <v>0</v>
      </c>
      <c r="R127" s="32" t="n">
        <f aca="false">B127*P1_PVP+C127*P2_PVP+D127*IF($A127&lt;P3_DESDE,P3A_PVP,P3_PVP)</f>
        <v>0</v>
      </c>
      <c r="S127" s="32" t="str">
        <f aca="false">IF(P127&gt;0,R127/P127,"")</f>
        <v/>
      </c>
      <c r="T127" s="32" t="str">
        <f aca="false">IF(P127&gt;0,N127/P127,"")</f>
        <v/>
      </c>
      <c r="U127" s="57" t="str">
        <f aca="false">IF(N127&gt;0,R127/N127,"")</f>
        <v/>
      </c>
      <c r="V127" s="34" t="str">
        <f aca="false">IF(E127+F127+G127+H127+I127+J127&gt;0,(E127+F127+G127)/(E127+F127+G127+H127+I127+J127),"")</f>
        <v/>
      </c>
      <c r="W127" s="33" t="n">
        <f aca="false">E127*(P1_PVP-P1_CPROD)+F127*(P2_PVP-P2_CPROD)+G127*(IF($A127&lt;P3_DESDE,P3A_PVP,P3_PVP)-IF($A127&lt;P3_DESDE,P3A_CPROD,P3_CPROD))-IF(ISNUMBER(L127),L127,E127*P1_LOG+F127*P2_LOG+G127*P3_LOG)</f>
        <v>0</v>
      </c>
      <c r="X127" s="33" t="n">
        <f aca="false">W127-(E127*P1_IVAN+F127*P2_IVAN+G127*IF($A127&lt;P3_DESDE,P3A_IVAN,P3_IVAN))-(H127+I127+J127)*(COSTE_DEV-IVA_DEV)-AM127-AO127</f>
        <v>0</v>
      </c>
      <c r="Y127" s="33" t="n">
        <f aca="false">AH127-AI127-AJ127-AK127-AL127-AM127-AO127</f>
        <v>0</v>
      </c>
      <c r="AA127" s="58" t="n">
        <f aca="false">MAX(0,B127-E127-H127)</f>
        <v>0</v>
      </c>
      <c r="AB127" s="58" t="n">
        <f aca="false">MAX(0,C127-F127-I127)</f>
        <v>0</v>
      </c>
      <c r="AC127" s="58" t="n">
        <f aca="false">MAX(0,D127-G127-J127)</f>
        <v>0</v>
      </c>
      <c r="AD127" s="59" t="n">
        <f aca="false">E127+AA127*AQ127</f>
        <v>0</v>
      </c>
      <c r="AE127" s="59" t="n">
        <f aca="false">F127+AB127*AQ127</f>
        <v>0</v>
      </c>
      <c r="AF127" s="59" t="n">
        <f aca="false">G127+AC127*AQ127</f>
        <v>0</v>
      </c>
      <c r="AG127" s="59" t="n">
        <f aca="false">H127+I127+J127+(AA127+AB127+AC127)*(1-AQ127)</f>
        <v>0</v>
      </c>
      <c r="AH127" s="60" t="n">
        <f aca="false">AD127*P1_PVP+AE127*P2_PVP+AF127*IF($A127&lt;P3_DESDE,P3A_PVP,P3_PVP)</f>
        <v>0</v>
      </c>
      <c r="AI127" s="60" t="n">
        <f aca="false">AD127*P1_CPROD+AE127*P2_CPROD+AF127*IF($A127&lt;P3_DESDE,P3A_CPROD,P3_CPROD)</f>
        <v>0</v>
      </c>
      <c r="AJ127" s="60" t="n">
        <f aca="false">IF(ISNUMBER(L127),L127,E127*P1_LOG+F127*P2_LOG+G127*P3_LOG)+IF(ISNUMBER(M127),M127,AA127*P1_LOG+AB127*P2_LOG+AC127*P3_LOG)*AQ127</f>
        <v>0</v>
      </c>
      <c r="AK127" s="60" t="n">
        <f aca="false">AG127*COSTE_DEV</f>
        <v>0</v>
      </c>
      <c r="AL127" s="60" t="n">
        <f aca="false">AD127*P1_IVAN+AE127*P2_IVAN+AF127*IF($A127&lt;P3_DESDE,P3A_IVAN,P3_IVAN)-AG127*IVA_DEV</f>
        <v>0</v>
      </c>
      <c r="AM127" s="60" t="n">
        <f aca="false">N127*(1+RECARGO_ADS)</f>
        <v>0</v>
      </c>
      <c r="AN127" s="58" t="n">
        <f aca="false">IF(ISNUMBER(L127),E127+F127+G127+AA127+AB127+AC127,0)</f>
        <v>0</v>
      </c>
      <c r="AO127" s="60" t="n">
        <f aca="false">P127*COMISION</f>
        <v>0</v>
      </c>
      <c r="AP127" s="58" t="n">
        <f aca="false">MIN(N(K127),Q127)</f>
        <v>0</v>
      </c>
      <c r="AQ127" s="61" t="n">
        <f aca="false">IF(Q127&gt;0,((Q127-AP127)*AT127+AP127*TASA_INC)/Q127,AT127)</f>
        <v>0.659887072235414</v>
      </c>
      <c r="AR127" s="58" t="n">
        <f aca="false">IF($A127&lt;FECHA_EXPORT,NETWORKDAYS($A127+1,FECHA_EXPORT,FESTIVOS),0)</f>
        <v>0</v>
      </c>
      <c r="AS127" s="61" t="n">
        <f aca="false">IF(AR127&gt;=5,1,INDEX(CDF_INC,1,AR127+1))</f>
        <v>0.14</v>
      </c>
      <c r="AT127" s="61" t="n">
        <f aca="false">TASA_USADA+(TASA_INC-TASA_USADA)*Q_INC*(1-AS127)/(1-Q_INC*AS127)</f>
        <v>0.659887072235414</v>
      </c>
    </row>
    <row r="128" customFormat="false" ht="15" hidden="false" customHeight="false" outlineLevel="0" collapsed="false">
      <c r="A128" s="53" t="n">
        <v>46422</v>
      </c>
      <c r="B128" s="54"/>
      <c r="C128" s="54"/>
      <c r="D128" s="54"/>
      <c r="E128" s="54"/>
      <c r="F128" s="54"/>
      <c r="G128" s="54"/>
      <c r="H128" s="54"/>
      <c r="I128" s="54"/>
      <c r="J128" s="54"/>
      <c r="K128" s="54"/>
      <c r="L128" s="55"/>
      <c r="M128" s="55"/>
      <c r="N128" s="55"/>
      <c r="O128" s="56"/>
      <c r="P128" s="31" t="n">
        <f aca="false">B128+C128+D128</f>
        <v>0</v>
      </c>
      <c r="Q128" s="31" t="n">
        <f aca="false">AA128+AB128+AC128</f>
        <v>0</v>
      </c>
      <c r="R128" s="32" t="n">
        <f aca="false">B128*P1_PVP+C128*P2_PVP+D128*IF($A128&lt;P3_DESDE,P3A_PVP,P3_PVP)</f>
        <v>0</v>
      </c>
      <c r="S128" s="32" t="str">
        <f aca="false">IF(P128&gt;0,R128/P128,"")</f>
        <v/>
      </c>
      <c r="T128" s="32" t="str">
        <f aca="false">IF(P128&gt;0,N128/P128,"")</f>
        <v/>
      </c>
      <c r="U128" s="57" t="str">
        <f aca="false">IF(N128&gt;0,R128/N128,"")</f>
        <v/>
      </c>
      <c r="V128" s="34" t="str">
        <f aca="false">IF(E128+F128+G128+H128+I128+J128&gt;0,(E128+F128+G128)/(E128+F128+G128+H128+I128+J128),"")</f>
        <v/>
      </c>
      <c r="W128" s="33" t="n">
        <f aca="false">E128*(P1_PVP-P1_CPROD)+F128*(P2_PVP-P2_CPROD)+G128*(IF($A128&lt;P3_DESDE,P3A_PVP,P3_PVP)-IF($A128&lt;P3_DESDE,P3A_CPROD,P3_CPROD))-IF(ISNUMBER(L128),L128,E128*P1_LOG+F128*P2_LOG+G128*P3_LOG)</f>
        <v>0</v>
      </c>
      <c r="X128" s="33" t="n">
        <f aca="false">W128-(E128*P1_IVAN+F128*P2_IVAN+G128*IF($A128&lt;P3_DESDE,P3A_IVAN,P3_IVAN))-(H128+I128+J128)*(COSTE_DEV-IVA_DEV)-AM128-AO128</f>
        <v>0</v>
      </c>
      <c r="Y128" s="33" t="n">
        <f aca="false">AH128-AI128-AJ128-AK128-AL128-AM128-AO128</f>
        <v>0</v>
      </c>
      <c r="AA128" s="58" t="n">
        <f aca="false">MAX(0,B128-E128-H128)</f>
        <v>0</v>
      </c>
      <c r="AB128" s="58" t="n">
        <f aca="false">MAX(0,C128-F128-I128)</f>
        <v>0</v>
      </c>
      <c r="AC128" s="58" t="n">
        <f aca="false">MAX(0,D128-G128-J128)</f>
        <v>0</v>
      </c>
      <c r="AD128" s="59" t="n">
        <f aca="false">E128+AA128*AQ128</f>
        <v>0</v>
      </c>
      <c r="AE128" s="59" t="n">
        <f aca="false">F128+AB128*AQ128</f>
        <v>0</v>
      </c>
      <c r="AF128" s="59" t="n">
        <f aca="false">G128+AC128*AQ128</f>
        <v>0</v>
      </c>
      <c r="AG128" s="59" t="n">
        <f aca="false">H128+I128+J128+(AA128+AB128+AC128)*(1-AQ128)</f>
        <v>0</v>
      </c>
      <c r="AH128" s="60" t="n">
        <f aca="false">AD128*P1_PVP+AE128*P2_PVP+AF128*IF($A128&lt;P3_DESDE,P3A_PVP,P3_PVP)</f>
        <v>0</v>
      </c>
      <c r="AI128" s="60" t="n">
        <f aca="false">AD128*P1_CPROD+AE128*P2_CPROD+AF128*IF($A128&lt;P3_DESDE,P3A_CPROD,P3_CPROD)</f>
        <v>0</v>
      </c>
      <c r="AJ128" s="60" t="n">
        <f aca="false">IF(ISNUMBER(L128),L128,E128*P1_LOG+F128*P2_LOG+G128*P3_LOG)+IF(ISNUMBER(M128),M128,AA128*P1_LOG+AB128*P2_LOG+AC128*P3_LOG)*AQ128</f>
        <v>0</v>
      </c>
      <c r="AK128" s="60" t="n">
        <f aca="false">AG128*COSTE_DEV</f>
        <v>0</v>
      </c>
      <c r="AL128" s="60" t="n">
        <f aca="false">AD128*P1_IVAN+AE128*P2_IVAN+AF128*IF($A128&lt;P3_DESDE,P3A_IVAN,P3_IVAN)-AG128*IVA_DEV</f>
        <v>0</v>
      </c>
      <c r="AM128" s="60" t="n">
        <f aca="false">N128*(1+RECARGO_ADS)</f>
        <v>0</v>
      </c>
      <c r="AN128" s="58" t="n">
        <f aca="false">IF(ISNUMBER(L128),E128+F128+G128+AA128+AB128+AC128,0)</f>
        <v>0</v>
      </c>
      <c r="AO128" s="60" t="n">
        <f aca="false">P128*COMISION</f>
        <v>0</v>
      </c>
      <c r="AP128" s="58" t="n">
        <f aca="false">MIN(N(K128),Q128)</f>
        <v>0</v>
      </c>
      <c r="AQ128" s="61" t="n">
        <f aca="false">IF(Q128&gt;0,((Q128-AP128)*AT128+AP128*TASA_INC)/Q128,AT128)</f>
        <v>0.659887072235414</v>
      </c>
      <c r="AR128" s="58" t="n">
        <f aca="false">IF($A128&lt;FECHA_EXPORT,NETWORKDAYS($A128+1,FECHA_EXPORT,FESTIVOS),0)</f>
        <v>0</v>
      </c>
      <c r="AS128" s="61" t="n">
        <f aca="false">IF(AR128&gt;=5,1,INDEX(CDF_INC,1,AR128+1))</f>
        <v>0.14</v>
      </c>
      <c r="AT128" s="61" t="n">
        <f aca="false">TASA_USADA+(TASA_INC-TASA_USADA)*Q_INC*(1-AS128)/(1-Q_INC*AS128)</f>
        <v>0.659887072235414</v>
      </c>
    </row>
    <row r="129" customFormat="false" ht="15" hidden="false" customHeight="false" outlineLevel="0" collapsed="false">
      <c r="A129" s="53" t="n">
        <v>46423</v>
      </c>
      <c r="B129" s="54"/>
      <c r="C129" s="54"/>
      <c r="D129" s="54"/>
      <c r="E129" s="54"/>
      <c r="F129" s="54"/>
      <c r="G129" s="54"/>
      <c r="H129" s="54"/>
      <c r="I129" s="54"/>
      <c r="J129" s="54"/>
      <c r="K129" s="54"/>
      <c r="L129" s="55"/>
      <c r="M129" s="55"/>
      <c r="N129" s="55"/>
      <c r="O129" s="56"/>
      <c r="P129" s="31" t="n">
        <f aca="false">B129+C129+D129</f>
        <v>0</v>
      </c>
      <c r="Q129" s="31" t="n">
        <f aca="false">AA129+AB129+AC129</f>
        <v>0</v>
      </c>
      <c r="R129" s="32" t="n">
        <f aca="false">B129*P1_PVP+C129*P2_PVP+D129*IF($A129&lt;P3_DESDE,P3A_PVP,P3_PVP)</f>
        <v>0</v>
      </c>
      <c r="S129" s="32" t="str">
        <f aca="false">IF(P129&gt;0,R129/P129,"")</f>
        <v/>
      </c>
      <c r="T129" s="32" t="str">
        <f aca="false">IF(P129&gt;0,N129/P129,"")</f>
        <v/>
      </c>
      <c r="U129" s="57" t="str">
        <f aca="false">IF(N129&gt;0,R129/N129,"")</f>
        <v/>
      </c>
      <c r="V129" s="34" t="str">
        <f aca="false">IF(E129+F129+G129+H129+I129+J129&gt;0,(E129+F129+G129)/(E129+F129+G129+H129+I129+J129),"")</f>
        <v/>
      </c>
      <c r="W129" s="33" t="n">
        <f aca="false">E129*(P1_PVP-P1_CPROD)+F129*(P2_PVP-P2_CPROD)+G129*(IF($A129&lt;P3_DESDE,P3A_PVP,P3_PVP)-IF($A129&lt;P3_DESDE,P3A_CPROD,P3_CPROD))-IF(ISNUMBER(L129),L129,E129*P1_LOG+F129*P2_LOG+G129*P3_LOG)</f>
        <v>0</v>
      </c>
      <c r="X129" s="33" t="n">
        <f aca="false">W129-(E129*P1_IVAN+F129*P2_IVAN+G129*IF($A129&lt;P3_DESDE,P3A_IVAN,P3_IVAN))-(H129+I129+J129)*(COSTE_DEV-IVA_DEV)-AM129-AO129</f>
        <v>0</v>
      </c>
      <c r="Y129" s="33" t="n">
        <f aca="false">AH129-AI129-AJ129-AK129-AL129-AM129-AO129</f>
        <v>0</v>
      </c>
      <c r="AA129" s="58" t="n">
        <f aca="false">MAX(0,B129-E129-H129)</f>
        <v>0</v>
      </c>
      <c r="AB129" s="58" t="n">
        <f aca="false">MAX(0,C129-F129-I129)</f>
        <v>0</v>
      </c>
      <c r="AC129" s="58" t="n">
        <f aca="false">MAX(0,D129-G129-J129)</f>
        <v>0</v>
      </c>
      <c r="AD129" s="59" t="n">
        <f aca="false">E129+AA129*AQ129</f>
        <v>0</v>
      </c>
      <c r="AE129" s="59" t="n">
        <f aca="false">F129+AB129*AQ129</f>
        <v>0</v>
      </c>
      <c r="AF129" s="59" t="n">
        <f aca="false">G129+AC129*AQ129</f>
        <v>0</v>
      </c>
      <c r="AG129" s="59" t="n">
        <f aca="false">H129+I129+J129+(AA129+AB129+AC129)*(1-AQ129)</f>
        <v>0</v>
      </c>
      <c r="AH129" s="60" t="n">
        <f aca="false">AD129*P1_PVP+AE129*P2_PVP+AF129*IF($A129&lt;P3_DESDE,P3A_PVP,P3_PVP)</f>
        <v>0</v>
      </c>
      <c r="AI129" s="60" t="n">
        <f aca="false">AD129*P1_CPROD+AE129*P2_CPROD+AF129*IF($A129&lt;P3_DESDE,P3A_CPROD,P3_CPROD)</f>
        <v>0</v>
      </c>
      <c r="AJ129" s="60" t="n">
        <f aca="false">IF(ISNUMBER(L129),L129,E129*P1_LOG+F129*P2_LOG+G129*P3_LOG)+IF(ISNUMBER(M129),M129,AA129*P1_LOG+AB129*P2_LOG+AC129*P3_LOG)*AQ129</f>
        <v>0</v>
      </c>
      <c r="AK129" s="60" t="n">
        <f aca="false">AG129*COSTE_DEV</f>
        <v>0</v>
      </c>
      <c r="AL129" s="60" t="n">
        <f aca="false">AD129*P1_IVAN+AE129*P2_IVAN+AF129*IF($A129&lt;P3_DESDE,P3A_IVAN,P3_IVAN)-AG129*IVA_DEV</f>
        <v>0</v>
      </c>
      <c r="AM129" s="60" t="n">
        <f aca="false">N129*(1+RECARGO_ADS)</f>
        <v>0</v>
      </c>
      <c r="AN129" s="58" t="n">
        <f aca="false">IF(ISNUMBER(L129),E129+F129+G129+AA129+AB129+AC129,0)</f>
        <v>0</v>
      </c>
      <c r="AO129" s="60" t="n">
        <f aca="false">P129*COMISION</f>
        <v>0</v>
      </c>
      <c r="AP129" s="58" t="n">
        <f aca="false">MIN(N(K129),Q129)</f>
        <v>0</v>
      </c>
      <c r="AQ129" s="61" t="n">
        <f aca="false">IF(Q129&gt;0,((Q129-AP129)*AT129+AP129*TASA_INC)/Q129,AT129)</f>
        <v>0.659887072235414</v>
      </c>
      <c r="AR129" s="58" t="n">
        <f aca="false">IF($A129&lt;FECHA_EXPORT,NETWORKDAYS($A129+1,FECHA_EXPORT,FESTIVOS),0)</f>
        <v>0</v>
      </c>
      <c r="AS129" s="61" t="n">
        <f aca="false">IF(AR129&gt;=5,1,INDEX(CDF_INC,1,AR129+1))</f>
        <v>0.14</v>
      </c>
      <c r="AT129" s="61" t="n">
        <f aca="false">TASA_USADA+(TASA_INC-TASA_USADA)*Q_INC*(1-AS129)/(1-Q_INC*AS129)</f>
        <v>0.659887072235414</v>
      </c>
    </row>
    <row r="130" customFormat="false" ht="15" hidden="false" customHeight="false" outlineLevel="0" collapsed="false">
      <c r="A130" s="53" t="n">
        <v>46424</v>
      </c>
      <c r="B130" s="54"/>
      <c r="C130" s="54"/>
      <c r="D130" s="54"/>
      <c r="E130" s="54"/>
      <c r="F130" s="54"/>
      <c r="G130" s="54"/>
      <c r="H130" s="54"/>
      <c r="I130" s="54"/>
      <c r="J130" s="54"/>
      <c r="K130" s="54"/>
      <c r="L130" s="55"/>
      <c r="M130" s="55"/>
      <c r="N130" s="55"/>
      <c r="O130" s="56"/>
      <c r="P130" s="31" t="n">
        <f aca="false">B130+C130+D130</f>
        <v>0</v>
      </c>
      <c r="Q130" s="31" t="n">
        <f aca="false">AA130+AB130+AC130</f>
        <v>0</v>
      </c>
      <c r="R130" s="32" t="n">
        <f aca="false">B130*P1_PVP+C130*P2_PVP+D130*IF($A130&lt;P3_DESDE,P3A_PVP,P3_PVP)</f>
        <v>0</v>
      </c>
      <c r="S130" s="32" t="str">
        <f aca="false">IF(P130&gt;0,R130/P130,"")</f>
        <v/>
      </c>
      <c r="T130" s="32" t="str">
        <f aca="false">IF(P130&gt;0,N130/P130,"")</f>
        <v/>
      </c>
      <c r="U130" s="57" t="str">
        <f aca="false">IF(N130&gt;0,R130/N130,"")</f>
        <v/>
      </c>
      <c r="V130" s="34" t="str">
        <f aca="false">IF(E130+F130+G130+H130+I130+J130&gt;0,(E130+F130+G130)/(E130+F130+G130+H130+I130+J130),"")</f>
        <v/>
      </c>
      <c r="W130" s="33" t="n">
        <f aca="false">E130*(P1_PVP-P1_CPROD)+F130*(P2_PVP-P2_CPROD)+G130*(IF($A130&lt;P3_DESDE,P3A_PVP,P3_PVP)-IF($A130&lt;P3_DESDE,P3A_CPROD,P3_CPROD))-IF(ISNUMBER(L130),L130,E130*P1_LOG+F130*P2_LOG+G130*P3_LOG)</f>
        <v>0</v>
      </c>
      <c r="X130" s="33" t="n">
        <f aca="false">W130-(E130*P1_IVAN+F130*P2_IVAN+G130*IF($A130&lt;P3_DESDE,P3A_IVAN,P3_IVAN))-(H130+I130+J130)*(COSTE_DEV-IVA_DEV)-AM130-AO130</f>
        <v>0</v>
      </c>
      <c r="Y130" s="33" t="n">
        <f aca="false">AH130-AI130-AJ130-AK130-AL130-AM130-AO130</f>
        <v>0</v>
      </c>
      <c r="AA130" s="58" t="n">
        <f aca="false">MAX(0,B130-E130-H130)</f>
        <v>0</v>
      </c>
      <c r="AB130" s="58" t="n">
        <f aca="false">MAX(0,C130-F130-I130)</f>
        <v>0</v>
      </c>
      <c r="AC130" s="58" t="n">
        <f aca="false">MAX(0,D130-G130-J130)</f>
        <v>0</v>
      </c>
      <c r="AD130" s="59" t="n">
        <f aca="false">E130+AA130*AQ130</f>
        <v>0</v>
      </c>
      <c r="AE130" s="59" t="n">
        <f aca="false">F130+AB130*AQ130</f>
        <v>0</v>
      </c>
      <c r="AF130" s="59" t="n">
        <f aca="false">G130+AC130*AQ130</f>
        <v>0</v>
      </c>
      <c r="AG130" s="59" t="n">
        <f aca="false">H130+I130+J130+(AA130+AB130+AC130)*(1-AQ130)</f>
        <v>0</v>
      </c>
      <c r="AH130" s="60" t="n">
        <f aca="false">AD130*P1_PVP+AE130*P2_PVP+AF130*IF($A130&lt;P3_DESDE,P3A_PVP,P3_PVP)</f>
        <v>0</v>
      </c>
      <c r="AI130" s="60" t="n">
        <f aca="false">AD130*P1_CPROD+AE130*P2_CPROD+AF130*IF($A130&lt;P3_DESDE,P3A_CPROD,P3_CPROD)</f>
        <v>0</v>
      </c>
      <c r="AJ130" s="60" t="n">
        <f aca="false">IF(ISNUMBER(L130),L130,E130*P1_LOG+F130*P2_LOG+G130*P3_LOG)+IF(ISNUMBER(M130),M130,AA130*P1_LOG+AB130*P2_LOG+AC130*P3_LOG)*AQ130</f>
        <v>0</v>
      </c>
      <c r="AK130" s="60" t="n">
        <f aca="false">AG130*COSTE_DEV</f>
        <v>0</v>
      </c>
      <c r="AL130" s="60" t="n">
        <f aca="false">AD130*P1_IVAN+AE130*P2_IVAN+AF130*IF($A130&lt;P3_DESDE,P3A_IVAN,P3_IVAN)-AG130*IVA_DEV</f>
        <v>0</v>
      </c>
      <c r="AM130" s="60" t="n">
        <f aca="false">N130*(1+RECARGO_ADS)</f>
        <v>0</v>
      </c>
      <c r="AN130" s="58" t="n">
        <f aca="false">IF(ISNUMBER(L130),E130+F130+G130+AA130+AB130+AC130,0)</f>
        <v>0</v>
      </c>
      <c r="AO130" s="60" t="n">
        <f aca="false">P130*COMISION</f>
        <v>0</v>
      </c>
      <c r="AP130" s="58" t="n">
        <f aca="false">MIN(N(K130),Q130)</f>
        <v>0</v>
      </c>
      <c r="AQ130" s="61" t="n">
        <f aca="false">IF(Q130&gt;0,((Q130-AP130)*AT130+AP130*TASA_INC)/Q130,AT130)</f>
        <v>0.659887072235414</v>
      </c>
      <c r="AR130" s="58" t="n">
        <f aca="false">IF($A130&lt;FECHA_EXPORT,NETWORKDAYS($A130+1,FECHA_EXPORT,FESTIVOS),0)</f>
        <v>0</v>
      </c>
      <c r="AS130" s="61" t="n">
        <f aca="false">IF(AR130&gt;=5,1,INDEX(CDF_INC,1,AR130+1))</f>
        <v>0.14</v>
      </c>
      <c r="AT130" s="61" t="n">
        <f aca="false">TASA_USADA+(TASA_INC-TASA_USADA)*Q_INC*(1-AS130)/(1-Q_INC*AS130)</f>
        <v>0.659887072235414</v>
      </c>
    </row>
    <row r="131" customFormat="false" ht="15" hidden="false" customHeight="false" outlineLevel="0" collapsed="false">
      <c r="A131" s="53" t="n">
        <v>46425</v>
      </c>
      <c r="B131" s="54"/>
      <c r="C131" s="54"/>
      <c r="D131" s="54"/>
      <c r="E131" s="54"/>
      <c r="F131" s="54"/>
      <c r="G131" s="54"/>
      <c r="H131" s="54"/>
      <c r="I131" s="54"/>
      <c r="J131" s="54"/>
      <c r="K131" s="54"/>
      <c r="L131" s="55"/>
      <c r="M131" s="55"/>
      <c r="N131" s="55"/>
      <c r="O131" s="56"/>
      <c r="P131" s="31" t="n">
        <f aca="false">B131+C131+D131</f>
        <v>0</v>
      </c>
      <c r="Q131" s="31" t="n">
        <f aca="false">AA131+AB131+AC131</f>
        <v>0</v>
      </c>
      <c r="R131" s="32" t="n">
        <f aca="false">B131*P1_PVP+C131*P2_PVP+D131*IF($A131&lt;P3_DESDE,P3A_PVP,P3_PVP)</f>
        <v>0</v>
      </c>
      <c r="S131" s="32" t="str">
        <f aca="false">IF(P131&gt;0,R131/P131,"")</f>
        <v/>
      </c>
      <c r="T131" s="32" t="str">
        <f aca="false">IF(P131&gt;0,N131/P131,"")</f>
        <v/>
      </c>
      <c r="U131" s="57" t="str">
        <f aca="false">IF(N131&gt;0,R131/N131,"")</f>
        <v/>
      </c>
      <c r="V131" s="34" t="str">
        <f aca="false">IF(E131+F131+G131+H131+I131+J131&gt;0,(E131+F131+G131)/(E131+F131+G131+H131+I131+J131),"")</f>
        <v/>
      </c>
      <c r="W131" s="33" t="n">
        <f aca="false">E131*(P1_PVP-P1_CPROD)+F131*(P2_PVP-P2_CPROD)+G131*(IF($A131&lt;P3_DESDE,P3A_PVP,P3_PVP)-IF($A131&lt;P3_DESDE,P3A_CPROD,P3_CPROD))-IF(ISNUMBER(L131),L131,E131*P1_LOG+F131*P2_LOG+G131*P3_LOG)</f>
        <v>0</v>
      </c>
      <c r="X131" s="33" t="n">
        <f aca="false">W131-(E131*P1_IVAN+F131*P2_IVAN+G131*IF($A131&lt;P3_DESDE,P3A_IVAN,P3_IVAN))-(H131+I131+J131)*(COSTE_DEV-IVA_DEV)-AM131-AO131</f>
        <v>0</v>
      </c>
      <c r="Y131" s="33" t="n">
        <f aca="false">AH131-AI131-AJ131-AK131-AL131-AM131-AO131</f>
        <v>0</v>
      </c>
      <c r="AA131" s="58" t="n">
        <f aca="false">MAX(0,B131-E131-H131)</f>
        <v>0</v>
      </c>
      <c r="AB131" s="58" t="n">
        <f aca="false">MAX(0,C131-F131-I131)</f>
        <v>0</v>
      </c>
      <c r="AC131" s="58" t="n">
        <f aca="false">MAX(0,D131-G131-J131)</f>
        <v>0</v>
      </c>
      <c r="AD131" s="59" t="n">
        <f aca="false">E131+AA131*AQ131</f>
        <v>0</v>
      </c>
      <c r="AE131" s="59" t="n">
        <f aca="false">F131+AB131*AQ131</f>
        <v>0</v>
      </c>
      <c r="AF131" s="59" t="n">
        <f aca="false">G131+AC131*AQ131</f>
        <v>0</v>
      </c>
      <c r="AG131" s="59" t="n">
        <f aca="false">H131+I131+J131+(AA131+AB131+AC131)*(1-AQ131)</f>
        <v>0</v>
      </c>
      <c r="AH131" s="60" t="n">
        <f aca="false">AD131*P1_PVP+AE131*P2_PVP+AF131*IF($A131&lt;P3_DESDE,P3A_PVP,P3_PVP)</f>
        <v>0</v>
      </c>
      <c r="AI131" s="60" t="n">
        <f aca="false">AD131*P1_CPROD+AE131*P2_CPROD+AF131*IF($A131&lt;P3_DESDE,P3A_CPROD,P3_CPROD)</f>
        <v>0</v>
      </c>
      <c r="AJ131" s="60" t="n">
        <f aca="false">IF(ISNUMBER(L131),L131,E131*P1_LOG+F131*P2_LOG+G131*P3_LOG)+IF(ISNUMBER(M131),M131,AA131*P1_LOG+AB131*P2_LOG+AC131*P3_LOG)*AQ131</f>
        <v>0</v>
      </c>
      <c r="AK131" s="60" t="n">
        <f aca="false">AG131*COSTE_DEV</f>
        <v>0</v>
      </c>
      <c r="AL131" s="60" t="n">
        <f aca="false">AD131*P1_IVAN+AE131*P2_IVAN+AF131*IF($A131&lt;P3_DESDE,P3A_IVAN,P3_IVAN)-AG131*IVA_DEV</f>
        <v>0</v>
      </c>
      <c r="AM131" s="60" t="n">
        <f aca="false">N131*(1+RECARGO_ADS)</f>
        <v>0</v>
      </c>
      <c r="AN131" s="58" t="n">
        <f aca="false">IF(ISNUMBER(L131),E131+F131+G131+AA131+AB131+AC131,0)</f>
        <v>0</v>
      </c>
      <c r="AO131" s="60" t="n">
        <f aca="false">P131*COMISION</f>
        <v>0</v>
      </c>
      <c r="AP131" s="58" t="n">
        <f aca="false">MIN(N(K131),Q131)</f>
        <v>0</v>
      </c>
      <c r="AQ131" s="61" t="n">
        <f aca="false">IF(Q131&gt;0,((Q131-AP131)*AT131+AP131*TASA_INC)/Q131,AT131)</f>
        <v>0.659887072235414</v>
      </c>
      <c r="AR131" s="58" t="n">
        <f aca="false">IF($A131&lt;FECHA_EXPORT,NETWORKDAYS($A131+1,FECHA_EXPORT,FESTIVOS),0)</f>
        <v>0</v>
      </c>
      <c r="AS131" s="61" t="n">
        <f aca="false">IF(AR131&gt;=5,1,INDEX(CDF_INC,1,AR131+1))</f>
        <v>0.14</v>
      </c>
      <c r="AT131" s="61" t="n">
        <f aca="false">TASA_USADA+(TASA_INC-TASA_USADA)*Q_INC*(1-AS131)/(1-Q_INC*AS131)</f>
        <v>0.659887072235414</v>
      </c>
    </row>
    <row r="132" customFormat="false" ht="15" hidden="false" customHeight="false" outlineLevel="0" collapsed="false">
      <c r="A132" s="53" t="n">
        <v>46426</v>
      </c>
      <c r="B132" s="54"/>
      <c r="C132" s="54"/>
      <c r="D132" s="54"/>
      <c r="E132" s="54"/>
      <c r="F132" s="54"/>
      <c r="G132" s="54"/>
      <c r="H132" s="54"/>
      <c r="I132" s="54"/>
      <c r="J132" s="54"/>
      <c r="K132" s="54"/>
      <c r="L132" s="55"/>
      <c r="M132" s="55"/>
      <c r="N132" s="55"/>
      <c r="O132" s="56"/>
      <c r="P132" s="31" t="n">
        <f aca="false">B132+C132+D132</f>
        <v>0</v>
      </c>
      <c r="Q132" s="31" t="n">
        <f aca="false">AA132+AB132+AC132</f>
        <v>0</v>
      </c>
      <c r="R132" s="32" t="n">
        <f aca="false">B132*P1_PVP+C132*P2_PVP+D132*IF($A132&lt;P3_DESDE,P3A_PVP,P3_PVP)</f>
        <v>0</v>
      </c>
      <c r="S132" s="32" t="str">
        <f aca="false">IF(P132&gt;0,R132/P132,"")</f>
        <v/>
      </c>
      <c r="T132" s="32" t="str">
        <f aca="false">IF(P132&gt;0,N132/P132,"")</f>
        <v/>
      </c>
      <c r="U132" s="57" t="str">
        <f aca="false">IF(N132&gt;0,R132/N132,"")</f>
        <v/>
      </c>
      <c r="V132" s="34" t="str">
        <f aca="false">IF(E132+F132+G132+H132+I132+J132&gt;0,(E132+F132+G132)/(E132+F132+G132+H132+I132+J132),"")</f>
        <v/>
      </c>
      <c r="W132" s="33" t="n">
        <f aca="false">E132*(P1_PVP-P1_CPROD)+F132*(P2_PVP-P2_CPROD)+G132*(IF($A132&lt;P3_DESDE,P3A_PVP,P3_PVP)-IF($A132&lt;P3_DESDE,P3A_CPROD,P3_CPROD))-IF(ISNUMBER(L132),L132,E132*P1_LOG+F132*P2_LOG+G132*P3_LOG)</f>
        <v>0</v>
      </c>
      <c r="X132" s="33" t="n">
        <f aca="false">W132-(E132*P1_IVAN+F132*P2_IVAN+G132*IF($A132&lt;P3_DESDE,P3A_IVAN,P3_IVAN))-(H132+I132+J132)*(COSTE_DEV-IVA_DEV)-AM132-AO132</f>
        <v>0</v>
      </c>
      <c r="Y132" s="33" t="n">
        <f aca="false">AH132-AI132-AJ132-AK132-AL132-AM132-AO132</f>
        <v>0</v>
      </c>
      <c r="AA132" s="58" t="n">
        <f aca="false">MAX(0,B132-E132-H132)</f>
        <v>0</v>
      </c>
      <c r="AB132" s="58" t="n">
        <f aca="false">MAX(0,C132-F132-I132)</f>
        <v>0</v>
      </c>
      <c r="AC132" s="58" t="n">
        <f aca="false">MAX(0,D132-G132-J132)</f>
        <v>0</v>
      </c>
      <c r="AD132" s="59" t="n">
        <f aca="false">E132+AA132*AQ132</f>
        <v>0</v>
      </c>
      <c r="AE132" s="59" t="n">
        <f aca="false">F132+AB132*AQ132</f>
        <v>0</v>
      </c>
      <c r="AF132" s="59" t="n">
        <f aca="false">G132+AC132*AQ132</f>
        <v>0</v>
      </c>
      <c r="AG132" s="59" t="n">
        <f aca="false">H132+I132+J132+(AA132+AB132+AC132)*(1-AQ132)</f>
        <v>0</v>
      </c>
      <c r="AH132" s="60" t="n">
        <f aca="false">AD132*P1_PVP+AE132*P2_PVP+AF132*IF($A132&lt;P3_DESDE,P3A_PVP,P3_PVP)</f>
        <v>0</v>
      </c>
      <c r="AI132" s="60" t="n">
        <f aca="false">AD132*P1_CPROD+AE132*P2_CPROD+AF132*IF($A132&lt;P3_DESDE,P3A_CPROD,P3_CPROD)</f>
        <v>0</v>
      </c>
      <c r="AJ132" s="60" t="n">
        <f aca="false">IF(ISNUMBER(L132),L132,E132*P1_LOG+F132*P2_LOG+G132*P3_LOG)+IF(ISNUMBER(M132),M132,AA132*P1_LOG+AB132*P2_LOG+AC132*P3_LOG)*AQ132</f>
        <v>0</v>
      </c>
      <c r="AK132" s="60" t="n">
        <f aca="false">AG132*COSTE_DEV</f>
        <v>0</v>
      </c>
      <c r="AL132" s="60" t="n">
        <f aca="false">AD132*P1_IVAN+AE132*P2_IVAN+AF132*IF($A132&lt;P3_DESDE,P3A_IVAN,P3_IVAN)-AG132*IVA_DEV</f>
        <v>0</v>
      </c>
      <c r="AM132" s="60" t="n">
        <f aca="false">N132*(1+RECARGO_ADS)</f>
        <v>0</v>
      </c>
      <c r="AN132" s="58" t="n">
        <f aca="false">IF(ISNUMBER(L132),E132+F132+G132+AA132+AB132+AC132,0)</f>
        <v>0</v>
      </c>
      <c r="AO132" s="60" t="n">
        <f aca="false">P132*COMISION</f>
        <v>0</v>
      </c>
      <c r="AP132" s="58" t="n">
        <f aca="false">MIN(N(K132),Q132)</f>
        <v>0</v>
      </c>
      <c r="AQ132" s="61" t="n">
        <f aca="false">IF(Q132&gt;0,((Q132-AP132)*AT132+AP132*TASA_INC)/Q132,AT132)</f>
        <v>0.659887072235414</v>
      </c>
      <c r="AR132" s="58" t="n">
        <f aca="false">IF($A132&lt;FECHA_EXPORT,NETWORKDAYS($A132+1,FECHA_EXPORT,FESTIVOS),0)</f>
        <v>0</v>
      </c>
      <c r="AS132" s="61" t="n">
        <f aca="false">IF(AR132&gt;=5,1,INDEX(CDF_INC,1,AR132+1))</f>
        <v>0.14</v>
      </c>
      <c r="AT132" s="61" t="n">
        <f aca="false">TASA_USADA+(TASA_INC-TASA_USADA)*Q_INC*(1-AS132)/(1-Q_INC*AS132)</f>
        <v>0.659887072235414</v>
      </c>
    </row>
    <row r="133" customFormat="false" ht="15" hidden="false" customHeight="false" outlineLevel="0" collapsed="false">
      <c r="A133" s="53" t="n">
        <v>46427</v>
      </c>
      <c r="B133" s="54"/>
      <c r="C133" s="54"/>
      <c r="D133" s="54"/>
      <c r="E133" s="54"/>
      <c r="F133" s="54"/>
      <c r="G133" s="54"/>
      <c r="H133" s="54"/>
      <c r="I133" s="54"/>
      <c r="J133" s="54"/>
      <c r="K133" s="54"/>
      <c r="L133" s="55"/>
      <c r="M133" s="55"/>
      <c r="N133" s="55"/>
      <c r="O133" s="56"/>
      <c r="P133" s="31" t="n">
        <f aca="false">B133+C133+D133</f>
        <v>0</v>
      </c>
      <c r="Q133" s="31" t="n">
        <f aca="false">AA133+AB133+AC133</f>
        <v>0</v>
      </c>
      <c r="R133" s="32" t="n">
        <f aca="false">B133*P1_PVP+C133*P2_PVP+D133*IF($A133&lt;P3_DESDE,P3A_PVP,P3_PVP)</f>
        <v>0</v>
      </c>
      <c r="S133" s="32" t="str">
        <f aca="false">IF(P133&gt;0,R133/P133,"")</f>
        <v/>
      </c>
      <c r="T133" s="32" t="str">
        <f aca="false">IF(P133&gt;0,N133/P133,"")</f>
        <v/>
      </c>
      <c r="U133" s="57" t="str">
        <f aca="false">IF(N133&gt;0,R133/N133,"")</f>
        <v/>
      </c>
      <c r="V133" s="34" t="str">
        <f aca="false">IF(E133+F133+G133+H133+I133+J133&gt;0,(E133+F133+G133)/(E133+F133+G133+H133+I133+J133),"")</f>
        <v/>
      </c>
      <c r="W133" s="33" t="n">
        <f aca="false">E133*(P1_PVP-P1_CPROD)+F133*(P2_PVP-P2_CPROD)+G133*(IF($A133&lt;P3_DESDE,P3A_PVP,P3_PVP)-IF($A133&lt;P3_DESDE,P3A_CPROD,P3_CPROD))-IF(ISNUMBER(L133),L133,E133*P1_LOG+F133*P2_LOG+G133*P3_LOG)</f>
        <v>0</v>
      </c>
      <c r="X133" s="33" t="n">
        <f aca="false">W133-(E133*P1_IVAN+F133*P2_IVAN+G133*IF($A133&lt;P3_DESDE,P3A_IVAN,P3_IVAN))-(H133+I133+J133)*(COSTE_DEV-IVA_DEV)-AM133-AO133</f>
        <v>0</v>
      </c>
      <c r="Y133" s="33" t="n">
        <f aca="false">AH133-AI133-AJ133-AK133-AL133-AM133-AO133</f>
        <v>0</v>
      </c>
      <c r="AA133" s="58" t="n">
        <f aca="false">MAX(0,B133-E133-H133)</f>
        <v>0</v>
      </c>
      <c r="AB133" s="58" t="n">
        <f aca="false">MAX(0,C133-F133-I133)</f>
        <v>0</v>
      </c>
      <c r="AC133" s="58" t="n">
        <f aca="false">MAX(0,D133-G133-J133)</f>
        <v>0</v>
      </c>
      <c r="AD133" s="59" t="n">
        <f aca="false">E133+AA133*AQ133</f>
        <v>0</v>
      </c>
      <c r="AE133" s="59" t="n">
        <f aca="false">F133+AB133*AQ133</f>
        <v>0</v>
      </c>
      <c r="AF133" s="59" t="n">
        <f aca="false">G133+AC133*AQ133</f>
        <v>0</v>
      </c>
      <c r="AG133" s="59" t="n">
        <f aca="false">H133+I133+J133+(AA133+AB133+AC133)*(1-AQ133)</f>
        <v>0</v>
      </c>
      <c r="AH133" s="60" t="n">
        <f aca="false">AD133*P1_PVP+AE133*P2_PVP+AF133*IF($A133&lt;P3_DESDE,P3A_PVP,P3_PVP)</f>
        <v>0</v>
      </c>
      <c r="AI133" s="60" t="n">
        <f aca="false">AD133*P1_CPROD+AE133*P2_CPROD+AF133*IF($A133&lt;P3_DESDE,P3A_CPROD,P3_CPROD)</f>
        <v>0</v>
      </c>
      <c r="AJ133" s="60" t="n">
        <f aca="false">IF(ISNUMBER(L133),L133,E133*P1_LOG+F133*P2_LOG+G133*P3_LOG)+IF(ISNUMBER(M133),M133,AA133*P1_LOG+AB133*P2_LOG+AC133*P3_LOG)*AQ133</f>
        <v>0</v>
      </c>
      <c r="AK133" s="60" t="n">
        <f aca="false">AG133*COSTE_DEV</f>
        <v>0</v>
      </c>
      <c r="AL133" s="60" t="n">
        <f aca="false">AD133*P1_IVAN+AE133*P2_IVAN+AF133*IF($A133&lt;P3_DESDE,P3A_IVAN,P3_IVAN)-AG133*IVA_DEV</f>
        <v>0</v>
      </c>
      <c r="AM133" s="60" t="n">
        <f aca="false">N133*(1+RECARGO_ADS)</f>
        <v>0</v>
      </c>
      <c r="AN133" s="58" t="n">
        <f aca="false">IF(ISNUMBER(L133),E133+F133+G133+AA133+AB133+AC133,0)</f>
        <v>0</v>
      </c>
      <c r="AO133" s="60" t="n">
        <f aca="false">P133*COMISION</f>
        <v>0</v>
      </c>
      <c r="AP133" s="58" t="n">
        <f aca="false">MIN(N(K133),Q133)</f>
        <v>0</v>
      </c>
      <c r="AQ133" s="61" t="n">
        <f aca="false">IF(Q133&gt;0,((Q133-AP133)*AT133+AP133*TASA_INC)/Q133,AT133)</f>
        <v>0.659887072235414</v>
      </c>
      <c r="AR133" s="58" t="n">
        <f aca="false">IF($A133&lt;FECHA_EXPORT,NETWORKDAYS($A133+1,FECHA_EXPORT,FESTIVOS),0)</f>
        <v>0</v>
      </c>
      <c r="AS133" s="61" t="n">
        <f aca="false">IF(AR133&gt;=5,1,INDEX(CDF_INC,1,AR133+1))</f>
        <v>0.14</v>
      </c>
      <c r="AT133" s="61" t="n">
        <f aca="false">TASA_USADA+(TASA_INC-TASA_USADA)*Q_INC*(1-AS133)/(1-Q_INC*AS133)</f>
        <v>0.659887072235414</v>
      </c>
    </row>
    <row r="134" customFormat="false" ht="15" hidden="false" customHeight="false" outlineLevel="0" collapsed="false">
      <c r="A134" s="53" t="n">
        <v>46428</v>
      </c>
      <c r="B134" s="54"/>
      <c r="C134" s="54"/>
      <c r="D134" s="54"/>
      <c r="E134" s="54"/>
      <c r="F134" s="54"/>
      <c r="G134" s="54"/>
      <c r="H134" s="54"/>
      <c r="I134" s="54"/>
      <c r="J134" s="54"/>
      <c r="K134" s="54"/>
      <c r="L134" s="55"/>
      <c r="M134" s="55"/>
      <c r="N134" s="55"/>
      <c r="O134" s="56"/>
      <c r="P134" s="31" t="n">
        <f aca="false">B134+C134+D134</f>
        <v>0</v>
      </c>
      <c r="Q134" s="31" t="n">
        <f aca="false">AA134+AB134+AC134</f>
        <v>0</v>
      </c>
      <c r="R134" s="32" t="n">
        <f aca="false">B134*P1_PVP+C134*P2_PVP+D134*IF($A134&lt;P3_DESDE,P3A_PVP,P3_PVP)</f>
        <v>0</v>
      </c>
      <c r="S134" s="32" t="str">
        <f aca="false">IF(P134&gt;0,R134/P134,"")</f>
        <v/>
      </c>
      <c r="T134" s="32" t="str">
        <f aca="false">IF(P134&gt;0,N134/P134,"")</f>
        <v/>
      </c>
      <c r="U134" s="57" t="str">
        <f aca="false">IF(N134&gt;0,R134/N134,"")</f>
        <v/>
      </c>
      <c r="V134" s="34" t="str">
        <f aca="false">IF(E134+F134+G134+H134+I134+J134&gt;0,(E134+F134+G134)/(E134+F134+G134+H134+I134+J134),"")</f>
        <v/>
      </c>
      <c r="W134" s="33" t="n">
        <f aca="false">E134*(P1_PVP-P1_CPROD)+F134*(P2_PVP-P2_CPROD)+G134*(IF($A134&lt;P3_DESDE,P3A_PVP,P3_PVP)-IF($A134&lt;P3_DESDE,P3A_CPROD,P3_CPROD))-IF(ISNUMBER(L134),L134,E134*P1_LOG+F134*P2_LOG+G134*P3_LOG)</f>
        <v>0</v>
      </c>
      <c r="X134" s="33" t="n">
        <f aca="false">W134-(E134*P1_IVAN+F134*P2_IVAN+G134*IF($A134&lt;P3_DESDE,P3A_IVAN,P3_IVAN))-(H134+I134+J134)*(COSTE_DEV-IVA_DEV)-AM134-AO134</f>
        <v>0</v>
      </c>
      <c r="Y134" s="33" t="n">
        <f aca="false">AH134-AI134-AJ134-AK134-AL134-AM134-AO134</f>
        <v>0</v>
      </c>
      <c r="AA134" s="58" t="n">
        <f aca="false">MAX(0,B134-E134-H134)</f>
        <v>0</v>
      </c>
      <c r="AB134" s="58" t="n">
        <f aca="false">MAX(0,C134-F134-I134)</f>
        <v>0</v>
      </c>
      <c r="AC134" s="58" t="n">
        <f aca="false">MAX(0,D134-G134-J134)</f>
        <v>0</v>
      </c>
      <c r="AD134" s="59" t="n">
        <f aca="false">E134+AA134*AQ134</f>
        <v>0</v>
      </c>
      <c r="AE134" s="59" t="n">
        <f aca="false">F134+AB134*AQ134</f>
        <v>0</v>
      </c>
      <c r="AF134" s="59" t="n">
        <f aca="false">G134+AC134*AQ134</f>
        <v>0</v>
      </c>
      <c r="AG134" s="59" t="n">
        <f aca="false">H134+I134+J134+(AA134+AB134+AC134)*(1-AQ134)</f>
        <v>0</v>
      </c>
      <c r="AH134" s="60" t="n">
        <f aca="false">AD134*P1_PVP+AE134*P2_PVP+AF134*IF($A134&lt;P3_DESDE,P3A_PVP,P3_PVP)</f>
        <v>0</v>
      </c>
      <c r="AI134" s="60" t="n">
        <f aca="false">AD134*P1_CPROD+AE134*P2_CPROD+AF134*IF($A134&lt;P3_DESDE,P3A_CPROD,P3_CPROD)</f>
        <v>0</v>
      </c>
      <c r="AJ134" s="60" t="n">
        <f aca="false">IF(ISNUMBER(L134),L134,E134*P1_LOG+F134*P2_LOG+G134*P3_LOG)+IF(ISNUMBER(M134),M134,AA134*P1_LOG+AB134*P2_LOG+AC134*P3_LOG)*AQ134</f>
        <v>0</v>
      </c>
      <c r="AK134" s="60" t="n">
        <f aca="false">AG134*COSTE_DEV</f>
        <v>0</v>
      </c>
      <c r="AL134" s="60" t="n">
        <f aca="false">AD134*P1_IVAN+AE134*P2_IVAN+AF134*IF($A134&lt;P3_DESDE,P3A_IVAN,P3_IVAN)-AG134*IVA_DEV</f>
        <v>0</v>
      </c>
      <c r="AM134" s="60" t="n">
        <f aca="false">N134*(1+RECARGO_ADS)</f>
        <v>0</v>
      </c>
      <c r="AN134" s="58" t="n">
        <f aca="false">IF(ISNUMBER(L134),E134+F134+G134+AA134+AB134+AC134,0)</f>
        <v>0</v>
      </c>
      <c r="AO134" s="60" t="n">
        <f aca="false">P134*COMISION</f>
        <v>0</v>
      </c>
      <c r="AP134" s="58" t="n">
        <f aca="false">MIN(N(K134),Q134)</f>
        <v>0</v>
      </c>
      <c r="AQ134" s="61" t="n">
        <f aca="false">IF(Q134&gt;0,((Q134-AP134)*AT134+AP134*TASA_INC)/Q134,AT134)</f>
        <v>0.659887072235414</v>
      </c>
      <c r="AR134" s="58" t="n">
        <f aca="false">IF($A134&lt;FECHA_EXPORT,NETWORKDAYS($A134+1,FECHA_EXPORT,FESTIVOS),0)</f>
        <v>0</v>
      </c>
      <c r="AS134" s="61" t="n">
        <f aca="false">IF(AR134&gt;=5,1,INDEX(CDF_INC,1,AR134+1))</f>
        <v>0.14</v>
      </c>
      <c r="AT134" s="61" t="n">
        <f aca="false">TASA_USADA+(TASA_INC-TASA_USADA)*Q_INC*(1-AS134)/(1-Q_INC*AS134)</f>
        <v>0.659887072235414</v>
      </c>
    </row>
    <row r="135" customFormat="false" ht="15" hidden="false" customHeight="false" outlineLevel="0" collapsed="false">
      <c r="A135" s="53" t="n">
        <v>46429</v>
      </c>
      <c r="B135" s="54"/>
      <c r="C135" s="54"/>
      <c r="D135" s="54"/>
      <c r="E135" s="54"/>
      <c r="F135" s="54"/>
      <c r="G135" s="54"/>
      <c r="H135" s="54"/>
      <c r="I135" s="54"/>
      <c r="J135" s="54"/>
      <c r="K135" s="54"/>
      <c r="L135" s="55"/>
      <c r="M135" s="55"/>
      <c r="N135" s="55"/>
      <c r="O135" s="56"/>
      <c r="P135" s="31" t="n">
        <f aca="false">B135+C135+D135</f>
        <v>0</v>
      </c>
      <c r="Q135" s="31" t="n">
        <f aca="false">AA135+AB135+AC135</f>
        <v>0</v>
      </c>
      <c r="R135" s="32" t="n">
        <f aca="false">B135*P1_PVP+C135*P2_PVP+D135*IF($A135&lt;P3_DESDE,P3A_PVP,P3_PVP)</f>
        <v>0</v>
      </c>
      <c r="S135" s="32" t="str">
        <f aca="false">IF(P135&gt;0,R135/P135,"")</f>
        <v/>
      </c>
      <c r="T135" s="32" t="str">
        <f aca="false">IF(P135&gt;0,N135/P135,"")</f>
        <v/>
      </c>
      <c r="U135" s="57" t="str">
        <f aca="false">IF(N135&gt;0,R135/N135,"")</f>
        <v/>
      </c>
      <c r="V135" s="34" t="str">
        <f aca="false">IF(E135+F135+G135+H135+I135+J135&gt;0,(E135+F135+G135)/(E135+F135+G135+H135+I135+J135),"")</f>
        <v/>
      </c>
      <c r="W135" s="33" t="n">
        <f aca="false">E135*(P1_PVP-P1_CPROD)+F135*(P2_PVP-P2_CPROD)+G135*(IF($A135&lt;P3_DESDE,P3A_PVP,P3_PVP)-IF($A135&lt;P3_DESDE,P3A_CPROD,P3_CPROD))-IF(ISNUMBER(L135),L135,E135*P1_LOG+F135*P2_LOG+G135*P3_LOG)</f>
        <v>0</v>
      </c>
      <c r="X135" s="33" t="n">
        <f aca="false">W135-(E135*P1_IVAN+F135*P2_IVAN+G135*IF($A135&lt;P3_DESDE,P3A_IVAN,P3_IVAN))-(H135+I135+J135)*(COSTE_DEV-IVA_DEV)-AM135-AO135</f>
        <v>0</v>
      </c>
      <c r="Y135" s="33" t="n">
        <f aca="false">AH135-AI135-AJ135-AK135-AL135-AM135-AO135</f>
        <v>0</v>
      </c>
      <c r="AA135" s="58" t="n">
        <f aca="false">MAX(0,B135-E135-H135)</f>
        <v>0</v>
      </c>
      <c r="AB135" s="58" t="n">
        <f aca="false">MAX(0,C135-F135-I135)</f>
        <v>0</v>
      </c>
      <c r="AC135" s="58" t="n">
        <f aca="false">MAX(0,D135-G135-J135)</f>
        <v>0</v>
      </c>
      <c r="AD135" s="59" t="n">
        <f aca="false">E135+AA135*AQ135</f>
        <v>0</v>
      </c>
      <c r="AE135" s="59" t="n">
        <f aca="false">F135+AB135*AQ135</f>
        <v>0</v>
      </c>
      <c r="AF135" s="59" t="n">
        <f aca="false">G135+AC135*AQ135</f>
        <v>0</v>
      </c>
      <c r="AG135" s="59" t="n">
        <f aca="false">H135+I135+J135+(AA135+AB135+AC135)*(1-AQ135)</f>
        <v>0</v>
      </c>
      <c r="AH135" s="60" t="n">
        <f aca="false">AD135*P1_PVP+AE135*P2_PVP+AF135*IF($A135&lt;P3_DESDE,P3A_PVP,P3_PVP)</f>
        <v>0</v>
      </c>
      <c r="AI135" s="60" t="n">
        <f aca="false">AD135*P1_CPROD+AE135*P2_CPROD+AF135*IF($A135&lt;P3_DESDE,P3A_CPROD,P3_CPROD)</f>
        <v>0</v>
      </c>
      <c r="AJ135" s="60" t="n">
        <f aca="false">IF(ISNUMBER(L135),L135,E135*P1_LOG+F135*P2_LOG+G135*P3_LOG)+IF(ISNUMBER(M135),M135,AA135*P1_LOG+AB135*P2_LOG+AC135*P3_LOG)*AQ135</f>
        <v>0</v>
      </c>
      <c r="AK135" s="60" t="n">
        <f aca="false">AG135*COSTE_DEV</f>
        <v>0</v>
      </c>
      <c r="AL135" s="60" t="n">
        <f aca="false">AD135*P1_IVAN+AE135*P2_IVAN+AF135*IF($A135&lt;P3_DESDE,P3A_IVAN,P3_IVAN)-AG135*IVA_DEV</f>
        <v>0</v>
      </c>
      <c r="AM135" s="60" t="n">
        <f aca="false">N135*(1+RECARGO_ADS)</f>
        <v>0</v>
      </c>
      <c r="AN135" s="58" t="n">
        <f aca="false">IF(ISNUMBER(L135),E135+F135+G135+AA135+AB135+AC135,0)</f>
        <v>0</v>
      </c>
      <c r="AO135" s="60" t="n">
        <f aca="false">P135*COMISION</f>
        <v>0</v>
      </c>
      <c r="AP135" s="58" t="n">
        <f aca="false">MIN(N(K135),Q135)</f>
        <v>0</v>
      </c>
      <c r="AQ135" s="61" t="n">
        <f aca="false">IF(Q135&gt;0,((Q135-AP135)*AT135+AP135*TASA_INC)/Q135,AT135)</f>
        <v>0.659887072235414</v>
      </c>
      <c r="AR135" s="58" t="n">
        <f aca="false">IF($A135&lt;FECHA_EXPORT,NETWORKDAYS($A135+1,FECHA_EXPORT,FESTIVOS),0)</f>
        <v>0</v>
      </c>
      <c r="AS135" s="61" t="n">
        <f aca="false">IF(AR135&gt;=5,1,INDEX(CDF_INC,1,AR135+1))</f>
        <v>0.14</v>
      </c>
      <c r="AT135" s="61" t="n">
        <f aca="false">TASA_USADA+(TASA_INC-TASA_USADA)*Q_INC*(1-AS135)/(1-Q_INC*AS135)</f>
        <v>0.659887072235414</v>
      </c>
    </row>
    <row r="136" customFormat="false" ht="15" hidden="false" customHeight="false" outlineLevel="0" collapsed="false">
      <c r="A136" s="53" t="n">
        <v>46430</v>
      </c>
      <c r="B136" s="54"/>
      <c r="C136" s="54"/>
      <c r="D136" s="54"/>
      <c r="E136" s="54"/>
      <c r="F136" s="54"/>
      <c r="G136" s="54"/>
      <c r="H136" s="54"/>
      <c r="I136" s="54"/>
      <c r="J136" s="54"/>
      <c r="K136" s="54"/>
      <c r="L136" s="55"/>
      <c r="M136" s="55"/>
      <c r="N136" s="55"/>
      <c r="O136" s="56"/>
      <c r="P136" s="31" t="n">
        <f aca="false">B136+C136+D136</f>
        <v>0</v>
      </c>
      <c r="Q136" s="31" t="n">
        <f aca="false">AA136+AB136+AC136</f>
        <v>0</v>
      </c>
      <c r="R136" s="32" t="n">
        <f aca="false">B136*P1_PVP+C136*P2_PVP+D136*IF($A136&lt;P3_DESDE,P3A_PVP,P3_PVP)</f>
        <v>0</v>
      </c>
      <c r="S136" s="32" t="str">
        <f aca="false">IF(P136&gt;0,R136/P136,"")</f>
        <v/>
      </c>
      <c r="T136" s="32" t="str">
        <f aca="false">IF(P136&gt;0,N136/P136,"")</f>
        <v/>
      </c>
      <c r="U136" s="57" t="str">
        <f aca="false">IF(N136&gt;0,R136/N136,"")</f>
        <v/>
      </c>
      <c r="V136" s="34" t="str">
        <f aca="false">IF(E136+F136+G136+H136+I136+J136&gt;0,(E136+F136+G136)/(E136+F136+G136+H136+I136+J136),"")</f>
        <v/>
      </c>
      <c r="W136" s="33" t="n">
        <f aca="false">E136*(P1_PVP-P1_CPROD)+F136*(P2_PVP-P2_CPROD)+G136*(IF($A136&lt;P3_DESDE,P3A_PVP,P3_PVP)-IF($A136&lt;P3_DESDE,P3A_CPROD,P3_CPROD))-IF(ISNUMBER(L136),L136,E136*P1_LOG+F136*P2_LOG+G136*P3_LOG)</f>
        <v>0</v>
      </c>
      <c r="X136" s="33" t="n">
        <f aca="false">W136-(E136*P1_IVAN+F136*P2_IVAN+G136*IF($A136&lt;P3_DESDE,P3A_IVAN,P3_IVAN))-(H136+I136+J136)*(COSTE_DEV-IVA_DEV)-AM136-AO136</f>
        <v>0</v>
      </c>
      <c r="Y136" s="33" t="n">
        <f aca="false">AH136-AI136-AJ136-AK136-AL136-AM136-AO136</f>
        <v>0</v>
      </c>
      <c r="AA136" s="58" t="n">
        <f aca="false">MAX(0,B136-E136-H136)</f>
        <v>0</v>
      </c>
      <c r="AB136" s="58" t="n">
        <f aca="false">MAX(0,C136-F136-I136)</f>
        <v>0</v>
      </c>
      <c r="AC136" s="58" t="n">
        <f aca="false">MAX(0,D136-G136-J136)</f>
        <v>0</v>
      </c>
      <c r="AD136" s="59" t="n">
        <f aca="false">E136+AA136*AQ136</f>
        <v>0</v>
      </c>
      <c r="AE136" s="59" t="n">
        <f aca="false">F136+AB136*AQ136</f>
        <v>0</v>
      </c>
      <c r="AF136" s="59" t="n">
        <f aca="false">G136+AC136*AQ136</f>
        <v>0</v>
      </c>
      <c r="AG136" s="59" t="n">
        <f aca="false">H136+I136+J136+(AA136+AB136+AC136)*(1-AQ136)</f>
        <v>0</v>
      </c>
      <c r="AH136" s="60" t="n">
        <f aca="false">AD136*P1_PVP+AE136*P2_PVP+AF136*IF($A136&lt;P3_DESDE,P3A_PVP,P3_PVP)</f>
        <v>0</v>
      </c>
      <c r="AI136" s="60" t="n">
        <f aca="false">AD136*P1_CPROD+AE136*P2_CPROD+AF136*IF($A136&lt;P3_DESDE,P3A_CPROD,P3_CPROD)</f>
        <v>0</v>
      </c>
      <c r="AJ136" s="60" t="n">
        <f aca="false">IF(ISNUMBER(L136),L136,E136*P1_LOG+F136*P2_LOG+G136*P3_LOG)+IF(ISNUMBER(M136),M136,AA136*P1_LOG+AB136*P2_LOG+AC136*P3_LOG)*AQ136</f>
        <v>0</v>
      </c>
      <c r="AK136" s="60" t="n">
        <f aca="false">AG136*COSTE_DEV</f>
        <v>0</v>
      </c>
      <c r="AL136" s="60" t="n">
        <f aca="false">AD136*P1_IVAN+AE136*P2_IVAN+AF136*IF($A136&lt;P3_DESDE,P3A_IVAN,P3_IVAN)-AG136*IVA_DEV</f>
        <v>0</v>
      </c>
      <c r="AM136" s="60" t="n">
        <f aca="false">N136*(1+RECARGO_ADS)</f>
        <v>0</v>
      </c>
      <c r="AN136" s="58" t="n">
        <f aca="false">IF(ISNUMBER(L136),E136+F136+G136+AA136+AB136+AC136,0)</f>
        <v>0</v>
      </c>
      <c r="AO136" s="60" t="n">
        <f aca="false">P136*COMISION</f>
        <v>0</v>
      </c>
      <c r="AP136" s="58" t="n">
        <f aca="false">MIN(N(K136),Q136)</f>
        <v>0</v>
      </c>
      <c r="AQ136" s="61" t="n">
        <f aca="false">IF(Q136&gt;0,((Q136-AP136)*AT136+AP136*TASA_INC)/Q136,AT136)</f>
        <v>0.659887072235414</v>
      </c>
      <c r="AR136" s="58" t="n">
        <f aca="false">IF($A136&lt;FECHA_EXPORT,NETWORKDAYS($A136+1,FECHA_EXPORT,FESTIVOS),0)</f>
        <v>0</v>
      </c>
      <c r="AS136" s="61" t="n">
        <f aca="false">IF(AR136&gt;=5,1,INDEX(CDF_INC,1,AR136+1))</f>
        <v>0.14</v>
      </c>
      <c r="AT136" s="61" t="n">
        <f aca="false">TASA_USADA+(TASA_INC-TASA_USADA)*Q_INC*(1-AS136)/(1-Q_INC*AS136)</f>
        <v>0.659887072235414</v>
      </c>
    </row>
    <row r="137" customFormat="false" ht="15" hidden="false" customHeight="false" outlineLevel="0" collapsed="false">
      <c r="A137" s="53" t="n">
        <v>46431</v>
      </c>
      <c r="B137" s="54"/>
      <c r="C137" s="54"/>
      <c r="D137" s="54"/>
      <c r="E137" s="54"/>
      <c r="F137" s="54"/>
      <c r="G137" s="54"/>
      <c r="H137" s="54"/>
      <c r="I137" s="54"/>
      <c r="J137" s="54"/>
      <c r="K137" s="54"/>
      <c r="L137" s="55"/>
      <c r="M137" s="55"/>
      <c r="N137" s="55"/>
      <c r="O137" s="56"/>
      <c r="P137" s="31" t="n">
        <f aca="false">B137+C137+D137</f>
        <v>0</v>
      </c>
      <c r="Q137" s="31" t="n">
        <f aca="false">AA137+AB137+AC137</f>
        <v>0</v>
      </c>
      <c r="R137" s="32" t="n">
        <f aca="false">B137*P1_PVP+C137*P2_PVP+D137*IF($A137&lt;P3_DESDE,P3A_PVP,P3_PVP)</f>
        <v>0</v>
      </c>
      <c r="S137" s="32" t="str">
        <f aca="false">IF(P137&gt;0,R137/P137,"")</f>
        <v/>
      </c>
      <c r="T137" s="32" t="str">
        <f aca="false">IF(P137&gt;0,N137/P137,"")</f>
        <v/>
      </c>
      <c r="U137" s="57" t="str">
        <f aca="false">IF(N137&gt;0,R137/N137,"")</f>
        <v/>
      </c>
      <c r="V137" s="34" t="str">
        <f aca="false">IF(E137+F137+G137+H137+I137+J137&gt;0,(E137+F137+G137)/(E137+F137+G137+H137+I137+J137),"")</f>
        <v/>
      </c>
      <c r="W137" s="33" t="n">
        <f aca="false">E137*(P1_PVP-P1_CPROD)+F137*(P2_PVP-P2_CPROD)+G137*(IF($A137&lt;P3_DESDE,P3A_PVP,P3_PVP)-IF($A137&lt;P3_DESDE,P3A_CPROD,P3_CPROD))-IF(ISNUMBER(L137),L137,E137*P1_LOG+F137*P2_LOG+G137*P3_LOG)</f>
        <v>0</v>
      </c>
      <c r="X137" s="33" t="n">
        <f aca="false">W137-(E137*P1_IVAN+F137*P2_IVAN+G137*IF($A137&lt;P3_DESDE,P3A_IVAN,P3_IVAN))-(H137+I137+J137)*(COSTE_DEV-IVA_DEV)-AM137-AO137</f>
        <v>0</v>
      </c>
      <c r="Y137" s="33" t="n">
        <f aca="false">AH137-AI137-AJ137-AK137-AL137-AM137-AO137</f>
        <v>0</v>
      </c>
      <c r="AA137" s="58" t="n">
        <f aca="false">MAX(0,B137-E137-H137)</f>
        <v>0</v>
      </c>
      <c r="AB137" s="58" t="n">
        <f aca="false">MAX(0,C137-F137-I137)</f>
        <v>0</v>
      </c>
      <c r="AC137" s="58" t="n">
        <f aca="false">MAX(0,D137-G137-J137)</f>
        <v>0</v>
      </c>
      <c r="AD137" s="59" t="n">
        <f aca="false">E137+AA137*AQ137</f>
        <v>0</v>
      </c>
      <c r="AE137" s="59" t="n">
        <f aca="false">F137+AB137*AQ137</f>
        <v>0</v>
      </c>
      <c r="AF137" s="59" t="n">
        <f aca="false">G137+AC137*AQ137</f>
        <v>0</v>
      </c>
      <c r="AG137" s="59" t="n">
        <f aca="false">H137+I137+J137+(AA137+AB137+AC137)*(1-AQ137)</f>
        <v>0</v>
      </c>
      <c r="AH137" s="60" t="n">
        <f aca="false">AD137*P1_PVP+AE137*P2_PVP+AF137*IF($A137&lt;P3_DESDE,P3A_PVP,P3_PVP)</f>
        <v>0</v>
      </c>
      <c r="AI137" s="60" t="n">
        <f aca="false">AD137*P1_CPROD+AE137*P2_CPROD+AF137*IF($A137&lt;P3_DESDE,P3A_CPROD,P3_CPROD)</f>
        <v>0</v>
      </c>
      <c r="AJ137" s="60" t="n">
        <f aca="false">IF(ISNUMBER(L137),L137,E137*P1_LOG+F137*P2_LOG+G137*P3_LOG)+IF(ISNUMBER(M137),M137,AA137*P1_LOG+AB137*P2_LOG+AC137*P3_LOG)*AQ137</f>
        <v>0</v>
      </c>
      <c r="AK137" s="60" t="n">
        <f aca="false">AG137*COSTE_DEV</f>
        <v>0</v>
      </c>
      <c r="AL137" s="60" t="n">
        <f aca="false">AD137*P1_IVAN+AE137*P2_IVAN+AF137*IF($A137&lt;P3_DESDE,P3A_IVAN,P3_IVAN)-AG137*IVA_DEV</f>
        <v>0</v>
      </c>
      <c r="AM137" s="60" t="n">
        <f aca="false">N137*(1+RECARGO_ADS)</f>
        <v>0</v>
      </c>
      <c r="AN137" s="58" t="n">
        <f aca="false">IF(ISNUMBER(L137),E137+F137+G137+AA137+AB137+AC137,0)</f>
        <v>0</v>
      </c>
      <c r="AO137" s="60" t="n">
        <f aca="false">P137*COMISION</f>
        <v>0</v>
      </c>
      <c r="AP137" s="58" t="n">
        <f aca="false">MIN(N(K137),Q137)</f>
        <v>0</v>
      </c>
      <c r="AQ137" s="61" t="n">
        <f aca="false">IF(Q137&gt;0,((Q137-AP137)*AT137+AP137*TASA_INC)/Q137,AT137)</f>
        <v>0.659887072235414</v>
      </c>
      <c r="AR137" s="58" t="n">
        <f aca="false">IF($A137&lt;FECHA_EXPORT,NETWORKDAYS($A137+1,FECHA_EXPORT,FESTIVOS),0)</f>
        <v>0</v>
      </c>
      <c r="AS137" s="61" t="n">
        <f aca="false">IF(AR137&gt;=5,1,INDEX(CDF_INC,1,AR137+1))</f>
        <v>0.14</v>
      </c>
      <c r="AT137" s="61" t="n">
        <f aca="false">TASA_USADA+(TASA_INC-TASA_USADA)*Q_INC*(1-AS137)/(1-Q_INC*AS137)</f>
        <v>0.659887072235414</v>
      </c>
    </row>
    <row r="138" customFormat="false" ht="15" hidden="false" customHeight="false" outlineLevel="0" collapsed="false">
      <c r="A138" s="53" t="n">
        <v>46432</v>
      </c>
      <c r="B138" s="54"/>
      <c r="C138" s="54"/>
      <c r="D138" s="54"/>
      <c r="E138" s="54"/>
      <c r="F138" s="54"/>
      <c r="G138" s="54"/>
      <c r="H138" s="54"/>
      <c r="I138" s="54"/>
      <c r="J138" s="54"/>
      <c r="K138" s="54"/>
      <c r="L138" s="55"/>
      <c r="M138" s="55"/>
      <c r="N138" s="55"/>
      <c r="O138" s="56"/>
      <c r="P138" s="31" t="n">
        <f aca="false">B138+C138+D138</f>
        <v>0</v>
      </c>
      <c r="Q138" s="31" t="n">
        <f aca="false">AA138+AB138+AC138</f>
        <v>0</v>
      </c>
      <c r="R138" s="32" t="n">
        <f aca="false">B138*P1_PVP+C138*P2_PVP+D138*IF($A138&lt;P3_DESDE,P3A_PVP,P3_PVP)</f>
        <v>0</v>
      </c>
      <c r="S138" s="32" t="str">
        <f aca="false">IF(P138&gt;0,R138/P138,"")</f>
        <v/>
      </c>
      <c r="T138" s="32" t="str">
        <f aca="false">IF(P138&gt;0,N138/P138,"")</f>
        <v/>
      </c>
      <c r="U138" s="57" t="str">
        <f aca="false">IF(N138&gt;0,R138/N138,"")</f>
        <v/>
      </c>
      <c r="V138" s="34" t="str">
        <f aca="false">IF(E138+F138+G138+H138+I138+J138&gt;0,(E138+F138+G138)/(E138+F138+G138+H138+I138+J138),"")</f>
        <v/>
      </c>
      <c r="W138" s="33" t="n">
        <f aca="false">E138*(P1_PVP-P1_CPROD)+F138*(P2_PVP-P2_CPROD)+G138*(IF($A138&lt;P3_DESDE,P3A_PVP,P3_PVP)-IF($A138&lt;P3_DESDE,P3A_CPROD,P3_CPROD))-IF(ISNUMBER(L138),L138,E138*P1_LOG+F138*P2_LOG+G138*P3_LOG)</f>
        <v>0</v>
      </c>
      <c r="X138" s="33" t="n">
        <f aca="false">W138-(E138*P1_IVAN+F138*P2_IVAN+G138*IF($A138&lt;P3_DESDE,P3A_IVAN,P3_IVAN))-(H138+I138+J138)*(COSTE_DEV-IVA_DEV)-AM138-AO138</f>
        <v>0</v>
      </c>
      <c r="Y138" s="33" t="n">
        <f aca="false">AH138-AI138-AJ138-AK138-AL138-AM138-AO138</f>
        <v>0</v>
      </c>
      <c r="AA138" s="58" t="n">
        <f aca="false">MAX(0,B138-E138-H138)</f>
        <v>0</v>
      </c>
      <c r="AB138" s="58" t="n">
        <f aca="false">MAX(0,C138-F138-I138)</f>
        <v>0</v>
      </c>
      <c r="AC138" s="58" t="n">
        <f aca="false">MAX(0,D138-G138-J138)</f>
        <v>0</v>
      </c>
      <c r="AD138" s="59" t="n">
        <f aca="false">E138+AA138*AQ138</f>
        <v>0</v>
      </c>
      <c r="AE138" s="59" t="n">
        <f aca="false">F138+AB138*AQ138</f>
        <v>0</v>
      </c>
      <c r="AF138" s="59" t="n">
        <f aca="false">G138+AC138*AQ138</f>
        <v>0</v>
      </c>
      <c r="AG138" s="59" t="n">
        <f aca="false">H138+I138+J138+(AA138+AB138+AC138)*(1-AQ138)</f>
        <v>0</v>
      </c>
      <c r="AH138" s="60" t="n">
        <f aca="false">AD138*P1_PVP+AE138*P2_PVP+AF138*IF($A138&lt;P3_DESDE,P3A_PVP,P3_PVP)</f>
        <v>0</v>
      </c>
      <c r="AI138" s="60" t="n">
        <f aca="false">AD138*P1_CPROD+AE138*P2_CPROD+AF138*IF($A138&lt;P3_DESDE,P3A_CPROD,P3_CPROD)</f>
        <v>0</v>
      </c>
      <c r="AJ138" s="60" t="n">
        <f aca="false">IF(ISNUMBER(L138),L138,E138*P1_LOG+F138*P2_LOG+G138*P3_LOG)+IF(ISNUMBER(M138),M138,AA138*P1_LOG+AB138*P2_LOG+AC138*P3_LOG)*AQ138</f>
        <v>0</v>
      </c>
      <c r="AK138" s="60" t="n">
        <f aca="false">AG138*COSTE_DEV</f>
        <v>0</v>
      </c>
      <c r="AL138" s="60" t="n">
        <f aca="false">AD138*P1_IVAN+AE138*P2_IVAN+AF138*IF($A138&lt;P3_DESDE,P3A_IVAN,P3_IVAN)-AG138*IVA_DEV</f>
        <v>0</v>
      </c>
      <c r="AM138" s="60" t="n">
        <f aca="false">N138*(1+RECARGO_ADS)</f>
        <v>0</v>
      </c>
      <c r="AN138" s="58" t="n">
        <f aca="false">IF(ISNUMBER(L138),E138+F138+G138+AA138+AB138+AC138,0)</f>
        <v>0</v>
      </c>
      <c r="AO138" s="60" t="n">
        <f aca="false">P138*COMISION</f>
        <v>0</v>
      </c>
      <c r="AP138" s="58" t="n">
        <f aca="false">MIN(N(K138),Q138)</f>
        <v>0</v>
      </c>
      <c r="AQ138" s="61" t="n">
        <f aca="false">IF(Q138&gt;0,((Q138-AP138)*AT138+AP138*TASA_INC)/Q138,AT138)</f>
        <v>0.659887072235414</v>
      </c>
      <c r="AR138" s="58" t="n">
        <f aca="false">IF($A138&lt;FECHA_EXPORT,NETWORKDAYS($A138+1,FECHA_EXPORT,FESTIVOS),0)</f>
        <v>0</v>
      </c>
      <c r="AS138" s="61" t="n">
        <f aca="false">IF(AR138&gt;=5,1,INDEX(CDF_INC,1,AR138+1))</f>
        <v>0.14</v>
      </c>
      <c r="AT138" s="61" t="n">
        <f aca="false">TASA_USADA+(TASA_INC-TASA_USADA)*Q_INC*(1-AS138)/(1-Q_INC*AS138)</f>
        <v>0.659887072235414</v>
      </c>
    </row>
    <row r="139" customFormat="false" ht="15" hidden="false" customHeight="false" outlineLevel="0" collapsed="false">
      <c r="A139" s="53" t="n">
        <v>46433</v>
      </c>
      <c r="B139" s="54"/>
      <c r="C139" s="54"/>
      <c r="D139" s="54"/>
      <c r="E139" s="54"/>
      <c r="F139" s="54"/>
      <c r="G139" s="54"/>
      <c r="H139" s="54"/>
      <c r="I139" s="54"/>
      <c r="J139" s="54"/>
      <c r="K139" s="54"/>
      <c r="L139" s="55"/>
      <c r="M139" s="55"/>
      <c r="N139" s="55"/>
      <c r="O139" s="56"/>
      <c r="P139" s="31" t="n">
        <f aca="false">B139+C139+D139</f>
        <v>0</v>
      </c>
      <c r="Q139" s="31" t="n">
        <f aca="false">AA139+AB139+AC139</f>
        <v>0</v>
      </c>
      <c r="R139" s="32" t="n">
        <f aca="false">B139*P1_PVP+C139*P2_PVP+D139*IF($A139&lt;P3_DESDE,P3A_PVP,P3_PVP)</f>
        <v>0</v>
      </c>
      <c r="S139" s="32" t="str">
        <f aca="false">IF(P139&gt;0,R139/P139,"")</f>
        <v/>
      </c>
      <c r="T139" s="32" t="str">
        <f aca="false">IF(P139&gt;0,N139/P139,"")</f>
        <v/>
      </c>
      <c r="U139" s="57" t="str">
        <f aca="false">IF(N139&gt;0,R139/N139,"")</f>
        <v/>
      </c>
      <c r="V139" s="34" t="str">
        <f aca="false">IF(E139+F139+G139+H139+I139+J139&gt;0,(E139+F139+G139)/(E139+F139+G139+H139+I139+J139),"")</f>
        <v/>
      </c>
      <c r="W139" s="33" t="n">
        <f aca="false">E139*(P1_PVP-P1_CPROD)+F139*(P2_PVP-P2_CPROD)+G139*(IF($A139&lt;P3_DESDE,P3A_PVP,P3_PVP)-IF($A139&lt;P3_DESDE,P3A_CPROD,P3_CPROD))-IF(ISNUMBER(L139),L139,E139*P1_LOG+F139*P2_LOG+G139*P3_LOG)</f>
        <v>0</v>
      </c>
      <c r="X139" s="33" t="n">
        <f aca="false">W139-(E139*P1_IVAN+F139*P2_IVAN+G139*IF($A139&lt;P3_DESDE,P3A_IVAN,P3_IVAN))-(H139+I139+J139)*(COSTE_DEV-IVA_DEV)-AM139-AO139</f>
        <v>0</v>
      </c>
      <c r="Y139" s="33" t="n">
        <f aca="false">AH139-AI139-AJ139-AK139-AL139-AM139-AO139</f>
        <v>0</v>
      </c>
      <c r="AA139" s="58" t="n">
        <f aca="false">MAX(0,B139-E139-H139)</f>
        <v>0</v>
      </c>
      <c r="AB139" s="58" t="n">
        <f aca="false">MAX(0,C139-F139-I139)</f>
        <v>0</v>
      </c>
      <c r="AC139" s="58" t="n">
        <f aca="false">MAX(0,D139-G139-J139)</f>
        <v>0</v>
      </c>
      <c r="AD139" s="59" t="n">
        <f aca="false">E139+AA139*AQ139</f>
        <v>0</v>
      </c>
      <c r="AE139" s="59" t="n">
        <f aca="false">F139+AB139*AQ139</f>
        <v>0</v>
      </c>
      <c r="AF139" s="59" t="n">
        <f aca="false">G139+AC139*AQ139</f>
        <v>0</v>
      </c>
      <c r="AG139" s="59" t="n">
        <f aca="false">H139+I139+J139+(AA139+AB139+AC139)*(1-AQ139)</f>
        <v>0</v>
      </c>
      <c r="AH139" s="60" t="n">
        <f aca="false">AD139*P1_PVP+AE139*P2_PVP+AF139*IF($A139&lt;P3_DESDE,P3A_PVP,P3_PVP)</f>
        <v>0</v>
      </c>
      <c r="AI139" s="60" t="n">
        <f aca="false">AD139*P1_CPROD+AE139*P2_CPROD+AF139*IF($A139&lt;P3_DESDE,P3A_CPROD,P3_CPROD)</f>
        <v>0</v>
      </c>
      <c r="AJ139" s="60" t="n">
        <f aca="false">IF(ISNUMBER(L139),L139,E139*P1_LOG+F139*P2_LOG+G139*P3_LOG)+IF(ISNUMBER(M139),M139,AA139*P1_LOG+AB139*P2_LOG+AC139*P3_LOG)*AQ139</f>
        <v>0</v>
      </c>
      <c r="AK139" s="60" t="n">
        <f aca="false">AG139*COSTE_DEV</f>
        <v>0</v>
      </c>
      <c r="AL139" s="60" t="n">
        <f aca="false">AD139*P1_IVAN+AE139*P2_IVAN+AF139*IF($A139&lt;P3_DESDE,P3A_IVAN,P3_IVAN)-AG139*IVA_DEV</f>
        <v>0</v>
      </c>
      <c r="AM139" s="60" t="n">
        <f aca="false">N139*(1+RECARGO_ADS)</f>
        <v>0</v>
      </c>
      <c r="AN139" s="58" t="n">
        <f aca="false">IF(ISNUMBER(L139),E139+F139+G139+AA139+AB139+AC139,0)</f>
        <v>0</v>
      </c>
      <c r="AO139" s="60" t="n">
        <f aca="false">P139*COMISION</f>
        <v>0</v>
      </c>
      <c r="AP139" s="58" t="n">
        <f aca="false">MIN(N(K139),Q139)</f>
        <v>0</v>
      </c>
      <c r="AQ139" s="61" t="n">
        <f aca="false">IF(Q139&gt;0,((Q139-AP139)*AT139+AP139*TASA_INC)/Q139,AT139)</f>
        <v>0.659887072235414</v>
      </c>
      <c r="AR139" s="58" t="n">
        <f aca="false">IF($A139&lt;FECHA_EXPORT,NETWORKDAYS($A139+1,FECHA_EXPORT,FESTIVOS),0)</f>
        <v>0</v>
      </c>
      <c r="AS139" s="61" t="n">
        <f aca="false">IF(AR139&gt;=5,1,INDEX(CDF_INC,1,AR139+1))</f>
        <v>0.14</v>
      </c>
      <c r="AT139" s="61" t="n">
        <f aca="false">TASA_USADA+(TASA_INC-TASA_USADA)*Q_INC*(1-AS139)/(1-Q_INC*AS139)</f>
        <v>0.659887072235414</v>
      </c>
    </row>
    <row r="140" customFormat="false" ht="15" hidden="false" customHeight="false" outlineLevel="0" collapsed="false">
      <c r="A140" s="53" t="n">
        <v>46434</v>
      </c>
      <c r="B140" s="54"/>
      <c r="C140" s="54"/>
      <c r="D140" s="54"/>
      <c r="E140" s="54"/>
      <c r="F140" s="54"/>
      <c r="G140" s="54"/>
      <c r="H140" s="54"/>
      <c r="I140" s="54"/>
      <c r="J140" s="54"/>
      <c r="K140" s="54"/>
      <c r="L140" s="55"/>
      <c r="M140" s="55"/>
      <c r="N140" s="55"/>
      <c r="O140" s="56"/>
      <c r="P140" s="31" t="n">
        <f aca="false">B140+C140+D140</f>
        <v>0</v>
      </c>
      <c r="Q140" s="31" t="n">
        <f aca="false">AA140+AB140+AC140</f>
        <v>0</v>
      </c>
      <c r="R140" s="32" t="n">
        <f aca="false">B140*P1_PVP+C140*P2_PVP+D140*IF($A140&lt;P3_DESDE,P3A_PVP,P3_PVP)</f>
        <v>0</v>
      </c>
      <c r="S140" s="32" t="str">
        <f aca="false">IF(P140&gt;0,R140/P140,"")</f>
        <v/>
      </c>
      <c r="T140" s="32" t="str">
        <f aca="false">IF(P140&gt;0,N140/P140,"")</f>
        <v/>
      </c>
      <c r="U140" s="57" t="str">
        <f aca="false">IF(N140&gt;0,R140/N140,"")</f>
        <v/>
      </c>
      <c r="V140" s="34" t="str">
        <f aca="false">IF(E140+F140+G140+H140+I140+J140&gt;0,(E140+F140+G140)/(E140+F140+G140+H140+I140+J140),"")</f>
        <v/>
      </c>
      <c r="W140" s="33" t="n">
        <f aca="false">E140*(P1_PVP-P1_CPROD)+F140*(P2_PVP-P2_CPROD)+G140*(IF($A140&lt;P3_DESDE,P3A_PVP,P3_PVP)-IF($A140&lt;P3_DESDE,P3A_CPROD,P3_CPROD))-IF(ISNUMBER(L140),L140,E140*P1_LOG+F140*P2_LOG+G140*P3_LOG)</f>
        <v>0</v>
      </c>
      <c r="X140" s="33" t="n">
        <f aca="false">W140-(E140*P1_IVAN+F140*P2_IVAN+G140*IF($A140&lt;P3_DESDE,P3A_IVAN,P3_IVAN))-(H140+I140+J140)*(COSTE_DEV-IVA_DEV)-AM140-AO140</f>
        <v>0</v>
      </c>
      <c r="Y140" s="33" t="n">
        <f aca="false">AH140-AI140-AJ140-AK140-AL140-AM140-AO140</f>
        <v>0</v>
      </c>
      <c r="AA140" s="58" t="n">
        <f aca="false">MAX(0,B140-E140-H140)</f>
        <v>0</v>
      </c>
      <c r="AB140" s="58" t="n">
        <f aca="false">MAX(0,C140-F140-I140)</f>
        <v>0</v>
      </c>
      <c r="AC140" s="58" t="n">
        <f aca="false">MAX(0,D140-G140-J140)</f>
        <v>0</v>
      </c>
      <c r="AD140" s="59" t="n">
        <f aca="false">E140+AA140*AQ140</f>
        <v>0</v>
      </c>
      <c r="AE140" s="59" t="n">
        <f aca="false">F140+AB140*AQ140</f>
        <v>0</v>
      </c>
      <c r="AF140" s="59" t="n">
        <f aca="false">G140+AC140*AQ140</f>
        <v>0</v>
      </c>
      <c r="AG140" s="59" t="n">
        <f aca="false">H140+I140+J140+(AA140+AB140+AC140)*(1-AQ140)</f>
        <v>0</v>
      </c>
      <c r="AH140" s="60" t="n">
        <f aca="false">AD140*P1_PVP+AE140*P2_PVP+AF140*IF($A140&lt;P3_DESDE,P3A_PVP,P3_PVP)</f>
        <v>0</v>
      </c>
      <c r="AI140" s="60" t="n">
        <f aca="false">AD140*P1_CPROD+AE140*P2_CPROD+AF140*IF($A140&lt;P3_DESDE,P3A_CPROD,P3_CPROD)</f>
        <v>0</v>
      </c>
      <c r="AJ140" s="60" t="n">
        <f aca="false">IF(ISNUMBER(L140),L140,E140*P1_LOG+F140*P2_LOG+G140*P3_LOG)+IF(ISNUMBER(M140),M140,AA140*P1_LOG+AB140*P2_LOG+AC140*P3_LOG)*AQ140</f>
        <v>0</v>
      </c>
      <c r="AK140" s="60" t="n">
        <f aca="false">AG140*COSTE_DEV</f>
        <v>0</v>
      </c>
      <c r="AL140" s="60" t="n">
        <f aca="false">AD140*P1_IVAN+AE140*P2_IVAN+AF140*IF($A140&lt;P3_DESDE,P3A_IVAN,P3_IVAN)-AG140*IVA_DEV</f>
        <v>0</v>
      </c>
      <c r="AM140" s="60" t="n">
        <f aca="false">N140*(1+RECARGO_ADS)</f>
        <v>0</v>
      </c>
      <c r="AN140" s="58" t="n">
        <f aca="false">IF(ISNUMBER(L140),E140+F140+G140+AA140+AB140+AC140,0)</f>
        <v>0</v>
      </c>
      <c r="AO140" s="60" t="n">
        <f aca="false">P140*COMISION</f>
        <v>0</v>
      </c>
      <c r="AP140" s="58" t="n">
        <f aca="false">MIN(N(K140),Q140)</f>
        <v>0</v>
      </c>
      <c r="AQ140" s="61" t="n">
        <f aca="false">IF(Q140&gt;0,((Q140-AP140)*AT140+AP140*TASA_INC)/Q140,AT140)</f>
        <v>0.659887072235414</v>
      </c>
      <c r="AR140" s="58" t="n">
        <f aca="false">IF($A140&lt;FECHA_EXPORT,NETWORKDAYS($A140+1,FECHA_EXPORT,FESTIVOS),0)</f>
        <v>0</v>
      </c>
      <c r="AS140" s="61" t="n">
        <f aca="false">IF(AR140&gt;=5,1,INDEX(CDF_INC,1,AR140+1))</f>
        <v>0.14</v>
      </c>
      <c r="AT140" s="61" t="n">
        <f aca="false">TASA_USADA+(TASA_INC-TASA_USADA)*Q_INC*(1-AS140)/(1-Q_INC*AS140)</f>
        <v>0.659887072235414</v>
      </c>
    </row>
    <row r="141" customFormat="false" ht="15" hidden="false" customHeight="false" outlineLevel="0" collapsed="false">
      <c r="A141" s="53" t="n">
        <v>46435</v>
      </c>
      <c r="B141" s="54"/>
      <c r="C141" s="54"/>
      <c r="D141" s="54"/>
      <c r="E141" s="54"/>
      <c r="F141" s="54"/>
      <c r="G141" s="54"/>
      <c r="H141" s="54"/>
      <c r="I141" s="54"/>
      <c r="J141" s="54"/>
      <c r="K141" s="54"/>
      <c r="L141" s="55"/>
      <c r="M141" s="55"/>
      <c r="N141" s="55"/>
      <c r="O141" s="56"/>
      <c r="P141" s="31" t="n">
        <f aca="false">B141+C141+D141</f>
        <v>0</v>
      </c>
      <c r="Q141" s="31" t="n">
        <f aca="false">AA141+AB141+AC141</f>
        <v>0</v>
      </c>
      <c r="R141" s="32" t="n">
        <f aca="false">B141*P1_PVP+C141*P2_PVP+D141*IF($A141&lt;P3_DESDE,P3A_PVP,P3_PVP)</f>
        <v>0</v>
      </c>
      <c r="S141" s="32" t="str">
        <f aca="false">IF(P141&gt;0,R141/P141,"")</f>
        <v/>
      </c>
      <c r="T141" s="32" t="str">
        <f aca="false">IF(P141&gt;0,N141/P141,"")</f>
        <v/>
      </c>
      <c r="U141" s="57" t="str">
        <f aca="false">IF(N141&gt;0,R141/N141,"")</f>
        <v/>
      </c>
      <c r="V141" s="34" t="str">
        <f aca="false">IF(E141+F141+G141+H141+I141+J141&gt;0,(E141+F141+G141)/(E141+F141+G141+H141+I141+J141),"")</f>
        <v/>
      </c>
      <c r="W141" s="33" t="n">
        <f aca="false">E141*(P1_PVP-P1_CPROD)+F141*(P2_PVP-P2_CPROD)+G141*(IF($A141&lt;P3_DESDE,P3A_PVP,P3_PVP)-IF($A141&lt;P3_DESDE,P3A_CPROD,P3_CPROD))-IF(ISNUMBER(L141),L141,E141*P1_LOG+F141*P2_LOG+G141*P3_LOG)</f>
        <v>0</v>
      </c>
      <c r="X141" s="33" t="n">
        <f aca="false">W141-(E141*P1_IVAN+F141*P2_IVAN+G141*IF($A141&lt;P3_DESDE,P3A_IVAN,P3_IVAN))-(H141+I141+J141)*(COSTE_DEV-IVA_DEV)-AM141-AO141</f>
        <v>0</v>
      </c>
      <c r="Y141" s="33" t="n">
        <f aca="false">AH141-AI141-AJ141-AK141-AL141-AM141-AO141</f>
        <v>0</v>
      </c>
      <c r="AA141" s="58" t="n">
        <f aca="false">MAX(0,B141-E141-H141)</f>
        <v>0</v>
      </c>
      <c r="AB141" s="58" t="n">
        <f aca="false">MAX(0,C141-F141-I141)</f>
        <v>0</v>
      </c>
      <c r="AC141" s="58" t="n">
        <f aca="false">MAX(0,D141-G141-J141)</f>
        <v>0</v>
      </c>
      <c r="AD141" s="59" t="n">
        <f aca="false">E141+AA141*AQ141</f>
        <v>0</v>
      </c>
      <c r="AE141" s="59" t="n">
        <f aca="false">F141+AB141*AQ141</f>
        <v>0</v>
      </c>
      <c r="AF141" s="59" t="n">
        <f aca="false">G141+AC141*AQ141</f>
        <v>0</v>
      </c>
      <c r="AG141" s="59" t="n">
        <f aca="false">H141+I141+J141+(AA141+AB141+AC141)*(1-AQ141)</f>
        <v>0</v>
      </c>
      <c r="AH141" s="60" t="n">
        <f aca="false">AD141*P1_PVP+AE141*P2_PVP+AF141*IF($A141&lt;P3_DESDE,P3A_PVP,P3_PVP)</f>
        <v>0</v>
      </c>
      <c r="AI141" s="60" t="n">
        <f aca="false">AD141*P1_CPROD+AE141*P2_CPROD+AF141*IF($A141&lt;P3_DESDE,P3A_CPROD,P3_CPROD)</f>
        <v>0</v>
      </c>
      <c r="AJ141" s="60" t="n">
        <f aca="false">IF(ISNUMBER(L141),L141,E141*P1_LOG+F141*P2_LOG+G141*P3_LOG)+IF(ISNUMBER(M141),M141,AA141*P1_LOG+AB141*P2_LOG+AC141*P3_LOG)*AQ141</f>
        <v>0</v>
      </c>
      <c r="AK141" s="60" t="n">
        <f aca="false">AG141*COSTE_DEV</f>
        <v>0</v>
      </c>
      <c r="AL141" s="60" t="n">
        <f aca="false">AD141*P1_IVAN+AE141*P2_IVAN+AF141*IF($A141&lt;P3_DESDE,P3A_IVAN,P3_IVAN)-AG141*IVA_DEV</f>
        <v>0</v>
      </c>
      <c r="AM141" s="60" t="n">
        <f aca="false">N141*(1+RECARGO_ADS)</f>
        <v>0</v>
      </c>
      <c r="AN141" s="58" t="n">
        <f aca="false">IF(ISNUMBER(L141),E141+F141+G141+AA141+AB141+AC141,0)</f>
        <v>0</v>
      </c>
      <c r="AO141" s="60" t="n">
        <f aca="false">P141*COMISION</f>
        <v>0</v>
      </c>
      <c r="AP141" s="58" t="n">
        <f aca="false">MIN(N(K141),Q141)</f>
        <v>0</v>
      </c>
      <c r="AQ141" s="61" t="n">
        <f aca="false">IF(Q141&gt;0,((Q141-AP141)*AT141+AP141*TASA_INC)/Q141,AT141)</f>
        <v>0.659887072235414</v>
      </c>
      <c r="AR141" s="58" t="n">
        <f aca="false">IF($A141&lt;FECHA_EXPORT,NETWORKDAYS($A141+1,FECHA_EXPORT,FESTIVOS),0)</f>
        <v>0</v>
      </c>
      <c r="AS141" s="61" t="n">
        <f aca="false">IF(AR141&gt;=5,1,INDEX(CDF_INC,1,AR141+1))</f>
        <v>0.14</v>
      </c>
      <c r="AT141" s="61" t="n">
        <f aca="false">TASA_USADA+(TASA_INC-TASA_USADA)*Q_INC*(1-AS141)/(1-Q_INC*AS141)</f>
        <v>0.659887072235414</v>
      </c>
    </row>
    <row r="142" customFormat="false" ht="15" hidden="false" customHeight="false" outlineLevel="0" collapsed="false">
      <c r="A142" s="53" t="n">
        <v>46436</v>
      </c>
      <c r="B142" s="54"/>
      <c r="C142" s="54"/>
      <c r="D142" s="54"/>
      <c r="E142" s="54"/>
      <c r="F142" s="54"/>
      <c r="G142" s="54"/>
      <c r="H142" s="54"/>
      <c r="I142" s="54"/>
      <c r="J142" s="54"/>
      <c r="K142" s="54"/>
      <c r="L142" s="55"/>
      <c r="M142" s="55"/>
      <c r="N142" s="55"/>
      <c r="O142" s="56"/>
      <c r="P142" s="31" t="n">
        <f aca="false">B142+C142+D142</f>
        <v>0</v>
      </c>
      <c r="Q142" s="31" t="n">
        <f aca="false">AA142+AB142+AC142</f>
        <v>0</v>
      </c>
      <c r="R142" s="32" t="n">
        <f aca="false">B142*P1_PVP+C142*P2_PVP+D142*IF($A142&lt;P3_DESDE,P3A_PVP,P3_PVP)</f>
        <v>0</v>
      </c>
      <c r="S142" s="32" t="str">
        <f aca="false">IF(P142&gt;0,R142/P142,"")</f>
        <v/>
      </c>
      <c r="T142" s="32" t="str">
        <f aca="false">IF(P142&gt;0,N142/P142,"")</f>
        <v/>
      </c>
      <c r="U142" s="57" t="str">
        <f aca="false">IF(N142&gt;0,R142/N142,"")</f>
        <v/>
      </c>
      <c r="V142" s="34" t="str">
        <f aca="false">IF(E142+F142+G142+H142+I142+J142&gt;0,(E142+F142+G142)/(E142+F142+G142+H142+I142+J142),"")</f>
        <v/>
      </c>
      <c r="W142" s="33" t="n">
        <f aca="false">E142*(P1_PVP-P1_CPROD)+F142*(P2_PVP-P2_CPROD)+G142*(IF($A142&lt;P3_DESDE,P3A_PVP,P3_PVP)-IF($A142&lt;P3_DESDE,P3A_CPROD,P3_CPROD))-IF(ISNUMBER(L142),L142,E142*P1_LOG+F142*P2_LOG+G142*P3_LOG)</f>
        <v>0</v>
      </c>
      <c r="X142" s="33" t="n">
        <f aca="false">W142-(E142*P1_IVAN+F142*P2_IVAN+G142*IF($A142&lt;P3_DESDE,P3A_IVAN,P3_IVAN))-(H142+I142+J142)*(COSTE_DEV-IVA_DEV)-AM142-AO142</f>
        <v>0</v>
      </c>
      <c r="Y142" s="33" t="n">
        <f aca="false">AH142-AI142-AJ142-AK142-AL142-AM142-AO142</f>
        <v>0</v>
      </c>
      <c r="AA142" s="58" t="n">
        <f aca="false">MAX(0,B142-E142-H142)</f>
        <v>0</v>
      </c>
      <c r="AB142" s="58" t="n">
        <f aca="false">MAX(0,C142-F142-I142)</f>
        <v>0</v>
      </c>
      <c r="AC142" s="58" t="n">
        <f aca="false">MAX(0,D142-G142-J142)</f>
        <v>0</v>
      </c>
      <c r="AD142" s="59" t="n">
        <f aca="false">E142+AA142*AQ142</f>
        <v>0</v>
      </c>
      <c r="AE142" s="59" t="n">
        <f aca="false">F142+AB142*AQ142</f>
        <v>0</v>
      </c>
      <c r="AF142" s="59" t="n">
        <f aca="false">G142+AC142*AQ142</f>
        <v>0</v>
      </c>
      <c r="AG142" s="59" t="n">
        <f aca="false">H142+I142+J142+(AA142+AB142+AC142)*(1-AQ142)</f>
        <v>0</v>
      </c>
      <c r="AH142" s="60" t="n">
        <f aca="false">AD142*P1_PVP+AE142*P2_PVP+AF142*IF($A142&lt;P3_DESDE,P3A_PVP,P3_PVP)</f>
        <v>0</v>
      </c>
      <c r="AI142" s="60" t="n">
        <f aca="false">AD142*P1_CPROD+AE142*P2_CPROD+AF142*IF($A142&lt;P3_DESDE,P3A_CPROD,P3_CPROD)</f>
        <v>0</v>
      </c>
      <c r="AJ142" s="60" t="n">
        <f aca="false">IF(ISNUMBER(L142),L142,E142*P1_LOG+F142*P2_LOG+G142*P3_LOG)+IF(ISNUMBER(M142),M142,AA142*P1_LOG+AB142*P2_LOG+AC142*P3_LOG)*AQ142</f>
        <v>0</v>
      </c>
      <c r="AK142" s="60" t="n">
        <f aca="false">AG142*COSTE_DEV</f>
        <v>0</v>
      </c>
      <c r="AL142" s="60" t="n">
        <f aca="false">AD142*P1_IVAN+AE142*P2_IVAN+AF142*IF($A142&lt;P3_DESDE,P3A_IVAN,P3_IVAN)-AG142*IVA_DEV</f>
        <v>0</v>
      </c>
      <c r="AM142" s="60" t="n">
        <f aca="false">N142*(1+RECARGO_ADS)</f>
        <v>0</v>
      </c>
      <c r="AN142" s="58" t="n">
        <f aca="false">IF(ISNUMBER(L142),E142+F142+G142+AA142+AB142+AC142,0)</f>
        <v>0</v>
      </c>
      <c r="AO142" s="60" t="n">
        <f aca="false">P142*COMISION</f>
        <v>0</v>
      </c>
      <c r="AP142" s="58" t="n">
        <f aca="false">MIN(N(K142),Q142)</f>
        <v>0</v>
      </c>
      <c r="AQ142" s="61" t="n">
        <f aca="false">IF(Q142&gt;0,((Q142-AP142)*AT142+AP142*TASA_INC)/Q142,AT142)</f>
        <v>0.659887072235414</v>
      </c>
      <c r="AR142" s="58" t="n">
        <f aca="false">IF($A142&lt;FECHA_EXPORT,NETWORKDAYS($A142+1,FECHA_EXPORT,FESTIVOS),0)</f>
        <v>0</v>
      </c>
      <c r="AS142" s="61" t="n">
        <f aca="false">IF(AR142&gt;=5,1,INDEX(CDF_INC,1,AR142+1))</f>
        <v>0.14</v>
      </c>
      <c r="AT142" s="61" t="n">
        <f aca="false">TASA_USADA+(TASA_INC-TASA_USADA)*Q_INC*(1-AS142)/(1-Q_INC*AS142)</f>
        <v>0.659887072235414</v>
      </c>
    </row>
    <row r="143" customFormat="false" ht="15" hidden="false" customHeight="false" outlineLevel="0" collapsed="false">
      <c r="A143" s="53" t="n">
        <v>46437</v>
      </c>
      <c r="B143" s="54"/>
      <c r="C143" s="54"/>
      <c r="D143" s="54"/>
      <c r="E143" s="54"/>
      <c r="F143" s="54"/>
      <c r="G143" s="54"/>
      <c r="H143" s="54"/>
      <c r="I143" s="54"/>
      <c r="J143" s="54"/>
      <c r="K143" s="54"/>
      <c r="L143" s="55"/>
      <c r="M143" s="55"/>
      <c r="N143" s="55"/>
      <c r="O143" s="56"/>
      <c r="P143" s="31" t="n">
        <f aca="false">B143+C143+D143</f>
        <v>0</v>
      </c>
      <c r="Q143" s="31" t="n">
        <f aca="false">AA143+AB143+AC143</f>
        <v>0</v>
      </c>
      <c r="R143" s="32" t="n">
        <f aca="false">B143*P1_PVP+C143*P2_PVP+D143*IF($A143&lt;P3_DESDE,P3A_PVP,P3_PVP)</f>
        <v>0</v>
      </c>
      <c r="S143" s="32" t="str">
        <f aca="false">IF(P143&gt;0,R143/P143,"")</f>
        <v/>
      </c>
      <c r="T143" s="32" t="str">
        <f aca="false">IF(P143&gt;0,N143/P143,"")</f>
        <v/>
      </c>
      <c r="U143" s="57" t="str">
        <f aca="false">IF(N143&gt;0,R143/N143,"")</f>
        <v/>
      </c>
      <c r="V143" s="34" t="str">
        <f aca="false">IF(E143+F143+G143+H143+I143+J143&gt;0,(E143+F143+G143)/(E143+F143+G143+H143+I143+J143),"")</f>
        <v/>
      </c>
      <c r="W143" s="33" t="n">
        <f aca="false">E143*(P1_PVP-P1_CPROD)+F143*(P2_PVP-P2_CPROD)+G143*(IF($A143&lt;P3_DESDE,P3A_PVP,P3_PVP)-IF($A143&lt;P3_DESDE,P3A_CPROD,P3_CPROD))-IF(ISNUMBER(L143),L143,E143*P1_LOG+F143*P2_LOG+G143*P3_LOG)</f>
        <v>0</v>
      </c>
      <c r="X143" s="33" t="n">
        <f aca="false">W143-(E143*P1_IVAN+F143*P2_IVAN+G143*IF($A143&lt;P3_DESDE,P3A_IVAN,P3_IVAN))-(H143+I143+J143)*(COSTE_DEV-IVA_DEV)-AM143-AO143</f>
        <v>0</v>
      </c>
      <c r="Y143" s="33" t="n">
        <f aca="false">AH143-AI143-AJ143-AK143-AL143-AM143-AO143</f>
        <v>0</v>
      </c>
      <c r="AA143" s="58" t="n">
        <f aca="false">MAX(0,B143-E143-H143)</f>
        <v>0</v>
      </c>
      <c r="AB143" s="58" t="n">
        <f aca="false">MAX(0,C143-F143-I143)</f>
        <v>0</v>
      </c>
      <c r="AC143" s="58" t="n">
        <f aca="false">MAX(0,D143-G143-J143)</f>
        <v>0</v>
      </c>
      <c r="AD143" s="59" t="n">
        <f aca="false">E143+AA143*AQ143</f>
        <v>0</v>
      </c>
      <c r="AE143" s="59" t="n">
        <f aca="false">F143+AB143*AQ143</f>
        <v>0</v>
      </c>
      <c r="AF143" s="59" t="n">
        <f aca="false">G143+AC143*AQ143</f>
        <v>0</v>
      </c>
      <c r="AG143" s="59" t="n">
        <f aca="false">H143+I143+J143+(AA143+AB143+AC143)*(1-AQ143)</f>
        <v>0</v>
      </c>
      <c r="AH143" s="60" t="n">
        <f aca="false">AD143*P1_PVP+AE143*P2_PVP+AF143*IF($A143&lt;P3_DESDE,P3A_PVP,P3_PVP)</f>
        <v>0</v>
      </c>
      <c r="AI143" s="60" t="n">
        <f aca="false">AD143*P1_CPROD+AE143*P2_CPROD+AF143*IF($A143&lt;P3_DESDE,P3A_CPROD,P3_CPROD)</f>
        <v>0</v>
      </c>
      <c r="AJ143" s="60" t="n">
        <f aca="false">IF(ISNUMBER(L143),L143,E143*P1_LOG+F143*P2_LOG+G143*P3_LOG)+IF(ISNUMBER(M143),M143,AA143*P1_LOG+AB143*P2_LOG+AC143*P3_LOG)*AQ143</f>
        <v>0</v>
      </c>
      <c r="AK143" s="60" t="n">
        <f aca="false">AG143*COSTE_DEV</f>
        <v>0</v>
      </c>
      <c r="AL143" s="60" t="n">
        <f aca="false">AD143*P1_IVAN+AE143*P2_IVAN+AF143*IF($A143&lt;P3_DESDE,P3A_IVAN,P3_IVAN)-AG143*IVA_DEV</f>
        <v>0</v>
      </c>
      <c r="AM143" s="60" t="n">
        <f aca="false">N143*(1+RECARGO_ADS)</f>
        <v>0</v>
      </c>
      <c r="AN143" s="58" t="n">
        <f aca="false">IF(ISNUMBER(L143),E143+F143+G143+AA143+AB143+AC143,0)</f>
        <v>0</v>
      </c>
      <c r="AO143" s="60" t="n">
        <f aca="false">P143*COMISION</f>
        <v>0</v>
      </c>
      <c r="AP143" s="58" t="n">
        <f aca="false">MIN(N(K143),Q143)</f>
        <v>0</v>
      </c>
      <c r="AQ143" s="61" t="n">
        <f aca="false">IF(Q143&gt;0,((Q143-AP143)*AT143+AP143*TASA_INC)/Q143,AT143)</f>
        <v>0.659887072235414</v>
      </c>
      <c r="AR143" s="58" t="n">
        <f aca="false">IF($A143&lt;FECHA_EXPORT,NETWORKDAYS($A143+1,FECHA_EXPORT,FESTIVOS),0)</f>
        <v>0</v>
      </c>
      <c r="AS143" s="61" t="n">
        <f aca="false">IF(AR143&gt;=5,1,INDEX(CDF_INC,1,AR143+1))</f>
        <v>0.14</v>
      </c>
      <c r="AT143" s="61" t="n">
        <f aca="false">TASA_USADA+(TASA_INC-TASA_USADA)*Q_INC*(1-AS143)/(1-Q_INC*AS143)</f>
        <v>0.659887072235414</v>
      </c>
    </row>
    <row r="144" customFormat="false" ht="15" hidden="false" customHeight="false" outlineLevel="0" collapsed="false">
      <c r="A144" s="53" t="n">
        <v>46438</v>
      </c>
      <c r="B144" s="54"/>
      <c r="C144" s="54"/>
      <c r="D144" s="54"/>
      <c r="E144" s="54"/>
      <c r="F144" s="54"/>
      <c r="G144" s="54"/>
      <c r="H144" s="54"/>
      <c r="I144" s="54"/>
      <c r="J144" s="54"/>
      <c r="K144" s="54"/>
      <c r="L144" s="55"/>
      <c r="M144" s="55"/>
      <c r="N144" s="55"/>
      <c r="O144" s="56"/>
      <c r="P144" s="31" t="n">
        <f aca="false">B144+C144+D144</f>
        <v>0</v>
      </c>
      <c r="Q144" s="31" t="n">
        <f aca="false">AA144+AB144+AC144</f>
        <v>0</v>
      </c>
      <c r="R144" s="32" t="n">
        <f aca="false">B144*P1_PVP+C144*P2_PVP+D144*IF($A144&lt;P3_DESDE,P3A_PVP,P3_PVP)</f>
        <v>0</v>
      </c>
      <c r="S144" s="32" t="str">
        <f aca="false">IF(P144&gt;0,R144/P144,"")</f>
        <v/>
      </c>
      <c r="T144" s="32" t="str">
        <f aca="false">IF(P144&gt;0,N144/P144,"")</f>
        <v/>
      </c>
      <c r="U144" s="57" t="str">
        <f aca="false">IF(N144&gt;0,R144/N144,"")</f>
        <v/>
      </c>
      <c r="V144" s="34" t="str">
        <f aca="false">IF(E144+F144+G144+H144+I144+J144&gt;0,(E144+F144+G144)/(E144+F144+G144+H144+I144+J144),"")</f>
        <v/>
      </c>
      <c r="W144" s="33" t="n">
        <f aca="false">E144*(P1_PVP-P1_CPROD)+F144*(P2_PVP-P2_CPROD)+G144*(IF($A144&lt;P3_DESDE,P3A_PVP,P3_PVP)-IF($A144&lt;P3_DESDE,P3A_CPROD,P3_CPROD))-IF(ISNUMBER(L144),L144,E144*P1_LOG+F144*P2_LOG+G144*P3_LOG)</f>
        <v>0</v>
      </c>
      <c r="X144" s="33" t="n">
        <f aca="false">W144-(E144*P1_IVAN+F144*P2_IVAN+G144*IF($A144&lt;P3_DESDE,P3A_IVAN,P3_IVAN))-(H144+I144+J144)*(COSTE_DEV-IVA_DEV)-AM144-AO144</f>
        <v>0</v>
      </c>
      <c r="Y144" s="33" t="n">
        <f aca="false">AH144-AI144-AJ144-AK144-AL144-AM144-AO144</f>
        <v>0</v>
      </c>
      <c r="AA144" s="58" t="n">
        <f aca="false">MAX(0,B144-E144-H144)</f>
        <v>0</v>
      </c>
      <c r="AB144" s="58" t="n">
        <f aca="false">MAX(0,C144-F144-I144)</f>
        <v>0</v>
      </c>
      <c r="AC144" s="58" t="n">
        <f aca="false">MAX(0,D144-G144-J144)</f>
        <v>0</v>
      </c>
      <c r="AD144" s="59" t="n">
        <f aca="false">E144+AA144*AQ144</f>
        <v>0</v>
      </c>
      <c r="AE144" s="59" t="n">
        <f aca="false">F144+AB144*AQ144</f>
        <v>0</v>
      </c>
      <c r="AF144" s="59" t="n">
        <f aca="false">G144+AC144*AQ144</f>
        <v>0</v>
      </c>
      <c r="AG144" s="59" t="n">
        <f aca="false">H144+I144+J144+(AA144+AB144+AC144)*(1-AQ144)</f>
        <v>0</v>
      </c>
      <c r="AH144" s="60" t="n">
        <f aca="false">AD144*P1_PVP+AE144*P2_PVP+AF144*IF($A144&lt;P3_DESDE,P3A_PVP,P3_PVP)</f>
        <v>0</v>
      </c>
      <c r="AI144" s="60" t="n">
        <f aca="false">AD144*P1_CPROD+AE144*P2_CPROD+AF144*IF($A144&lt;P3_DESDE,P3A_CPROD,P3_CPROD)</f>
        <v>0</v>
      </c>
      <c r="AJ144" s="60" t="n">
        <f aca="false">IF(ISNUMBER(L144),L144,E144*P1_LOG+F144*P2_LOG+G144*P3_LOG)+IF(ISNUMBER(M144),M144,AA144*P1_LOG+AB144*P2_LOG+AC144*P3_LOG)*AQ144</f>
        <v>0</v>
      </c>
      <c r="AK144" s="60" t="n">
        <f aca="false">AG144*COSTE_DEV</f>
        <v>0</v>
      </c>
      <c r="AL144" s="60" t="n">
        <f aca="false">AD144*P1_IVAN+AE144*P2_IVAN+AF144*IF($A144&lt;P3_DESDE,P3A_IVAN,P3_IVAN)-AG144*IVA_DEV</f>
        <v>0</v>
      </c>
      <c r="AM144" s="60" t="n">
        <f aca="false">N144*(1+RECARGO_ADS)</f>
        <v>0</v>
      </c>
      <c r="AN144" s="58" t="n">
        <f aca="false">IF(ISNUMBER(L144),E144+F144+G144+AA144+AB144+AC144,0)</f>
        <v>0</v>
      </c>
      <c r="AO144" s="60" t="n">
        <f aca="false">P144*COMISION</f>
        <v>0</v>
      </c>
      <c r="AP144" s="58" t="n">
        <f aca="false">MIN(N(K144),Q144)</f>
        <v>0</v>
      </c>
      <c r="AQ144" s="61" t="n">
        <f aca="false">IF(Q144&gt;0,((Q144-AP144)*AT144+AP144*TASA_INC)/Q144,AT144)</f>
        <v>0.659887072235414</v>
      </c>
      <c r="AR144" s="58" t="n">
        <f aca="false">IF($A144&lt;FECHA_EXPORT,NETWORKDAYS($A144+1,FECHA_EXPORT,FESTIVOS),0)</f>
        <v>0</v>
      </c>
      <c r="AS144" s="61" t="n">
        <f aca="false">IF(AR144&gt;=5,1,INDEX(CDF_INC,1,AR144+1))</f>
        <v>0.14</v>
      </c>
      <c r="AT144" s="61" t="n">
        <f aca="false">TASA_USADA+(TASA_INC-TASA_USADA)*Q_INC*(1-AS144)/(1-Q_INC*AS144)</f>
        <v>0.659887072235414</v>
      </c>
    </row>
    <row r="145" customFormat="false" ht="15" hidden="false" customHeight="false" outlineLevel="0" collapsed="false">
      <c r="A145" s="53" t="n">
        <v>46439</v>
      </c>
      <c r="B145" s="54"/>
      <c r="C145" s="54"/>
      <c r="D145" s="54"/>
      <c r="E145" s="54"/>
      <c r="F145" s="54"/>
      <c r="G145" s="54"/>
      <c r="H145" s="54"/>
      <c r="I145" s="54"/>
      <c r="J145" s="54"/>
      <c r="K145" s="54"/>
      <c r="L145" s="55"/>
      <c r="M145" s="55"/>
      <c r="N145" s="55"/>
      <c r="O145" s="56"/>
      <c r="P145" s="31" t="n">
        <f aca="false">B145+C145+D145</f>
        <v>0</v>
      </c>
      <c r="Q145" s="31" t="n">
        <f aca="false">AA145+AB145+AC145</f>
        <v>0</v>
      </c>
      <c r="R145" s="32" t="n">
        <f aca="false">B145*P1_PVP+C145*P2_PVP+D145*IF($A145&lt;P3_DESDE,P3A_PVP,P3_PVP)</f>
        <v>0</v>
      </c>
      <c r="S145" s="32" t="str">
        <f aca="false">IF(P145&gt;0,R145/P145,"")</f>
        <v/>
      </c>
      <c r="T145" s="32" t="str">
        <f aca="false">IF(P145&gt;0,N145/P145,"")</f>
        <v/>
      </c>
      <c r="U145" s="57" t="str">
        <f aca="false">IF(N145&gt;0,R145/N145,"")</f>
        <v/>
      </c>
      <c r="V145" s="34" t="str">
        <f aca="false">IF(E145+F145+G145+H145+I145+J145&gt;0,(E145+F145+G145)/(E145+F145+G145+H145+I145+J145),"")</f>
        <v/>
      </c>
      <c r="W145" s="33" t="n">
        <f aca="false">E145*(P1_PVP-P1_CPROD)+F145*(P2_PVP-P2_CPROD)+G145*(IF($A145&lt;P3_DESDE,P3A_PVP,P3_PVP)-IF($A145&lt;P3_DESDE,P3A_CPROD,P3_CPROD))-IF(ISNUMBER(L145),L145,E145*P1_LOG+F145*P2_LOG+G145*P3_LOG)</f>
        <v>0</v>
      </c>
      <c r="X145" s="33" t="n">
        <f aca="false">W145-(E145*P1_IVAN+F145*P2_IVAN+G145*IF($A145&lt;P3_DESDE,P3A_IVAN,P3_IVAN))-(H145+I145+J145)*(COSTE_DEV-IVA_DEV)-AM145-AO145</f>
        <v>0</v>
      </c>
      <c r="Y145" s="33" t="n">
        <f aca="false">AH145-AI145-AJ145-AK145-AL145-AM145-AO145</f>
        <v>0</v>
      </c>
      <c r="AA145" s="58" t="n">
        <f aca="false">MAX(0,B145-E145-H145)</f>
        <v>0</v>
      </c>
      <c r="AB145" s="58" t="n">
        <f aca="false">MAX(0,C145-F145-I145)</f>
        <v>0</v>
      </c>
      <c r="AC145" s="58" t="n">
        <f aca="false">MAX(0,D145-G145-J145)</f>
        <v>0</v>
      </c>
      <c r="AD145" s="59" t="n">
        <f aca="false">E145+AA145*AQ145</f>
        <v>0</v>
      </c>
      <c r="AE145" s="59" t="n">
        <f aca="false">F145+AB145*AQ145</f>
        <v>0</v>
      </c>
      <c r="AF145" s="59" t="n">
        <f aca="false">G145+AC145*AQ145</f>
        <v>0</v>
      </c>
      <c r="AG145" s="59" t="n">
        <f aca="false">H145+I145+J145+(AA145+AB145+AC145)*(1-AQ145)</f>
        <v>0</v>
      </c>
      <c r="AH145" s="60" t="n">
        <f aca="false">AD145*P1_PVP+AE145*P2_PVP+AF145*IF($A145&lt;P3_DESDE,P3A_PVP,P3_PVP)</f>
        <v>0</v>
      </c>
      <c r="AI145" s="60" t="n">
        <f aca="false">AD145*P1_CPROD+AE145*P2_CPROD+AF145*IF($A145&lt;P3_DESDE,P3A_CPROD,P3_CPROD)</f>
        <v>0</v>
      </c>
      <c r="AJ145" s="60" t="n">
        <f aca="false">IF(ISNUMBER(L145),L145,E145*P1_LOG+F145*P2_LOG+G145*P3_LOG)+IF(ISNUMBER(M145),M145,AA145*P1_LOG+AB145*P2_LOG+AC145*P3_LOG)*AQ145</f>
        <v>0</v>
      </c>
      <c r="AK145" s="60" t="n">
        <f aca="false">AG145*COSTE_DEV</f>
        <v>0</v>
      </c>
      <c r="AL145" s="60" t="n">
        <f aca="false">AD145*P1_IVAN+AE145*P2_IVAN+AF145*IF($A145&lt;P3_DESDE,P3A_IVAN,P3_IVAN)-AG145*IVA_DEV</f>
        <v>0</v>
      </c>
      <c r="AM145" s="60" t="n">
        <f aca="false">N145*(1+RECARGO_ADS)</f>
        <v>0</v>
      </c>
      <c r="AN145" s="58" t="n">
        <f aca="false">IF(ISNUMBER(L145),E145+F145+G145+AA145+AB145+AC145,0)</f>
        <v>0</v>
      </c>
      <c r="AO145" s="60" t="n">
        <f aca="false">P145*COMISION</f>
        <v>0</v>
      </c>
      <c r="AP145" s="58" t="n">
        <f aca="false">MIN(N(K145),Q145)</f>
        <v>0</v>
      </c>
      <c r="AQ145" s="61" t="n">
        <f aca="false">IF(Q145&gt;0,((Q145-AP145)*AT145+AP145*TASA_INC)/Q145,AT145)</f>
        <v>0.659887072235414</v>
      </c>
      <c r="AR145" s="58" t="n">
        <f aca="false">IF($A145&lt;FECHA_EXPORT,NETWORKDAYS($A145+1,FECHA_EXPORT,FESTIVOS),0)</f>
        <v>0</v>
      </c>
      <c r="AS145" s="61" t="n">
        <f aca="false">IF(AR145&gt;=5,1,INDEX(CDF_INC,1,AR145+1))</f>
        <v>0.14</v>
      </c>
      <c r="AT145" s="61" t="n">
        <f aca="false">TASA_USADA+(TASA_INC-TASA_USADA)*Q_INC*(1-AS145)/(1-Q_INC*AS145)</f>
        <v>0.659887072235414</v>
      </c>
    </row>
    <row r="146" customFormat="false" ht="15" hidden="false" customHeight="false" outlineLevel="0" collapsed="false">
      <c r="A146" s="53" t="n">
        <v>46440</v>
      </c>
      <c r="B146" s="54"/>
      <c r="C146" s="54"/>
      <c r="D146" s="54"/>
      <c r="E146" s="54"/>
      <c r="F146" s="54"/>
      <c r="G146" s="54"/>
      <c r="H146" s="54"/>
      <c r="I146" s="54"/>
      <c r="J146" s="54"/>
      <c r="K146" s="54"/>
      <c r="L146" s="55"/>
      <c r="M146" s="55"/>
      <c r="N146" s="55"/>
      <c r="O146" s="56"/>
      <c r="P146" s="31" t="n">
        <f aca="false">B146+C146+D146</f>
        <v>0</v>
      </c>
      <c r="Q146" s="31" t="n">
        <f aca="false">AA146+AB146+AC146</f>
        <v>0</v>
      </c>
      <c r="R146" s="32" t="n">
        <f aca="false">B146*P1_PVP+C146*P2_PVP+D146*IF($A146&lt;P3_DESDE,P3A_PVP,P3_PVP)</f>
        <v>0</v>
      </c>
      <c r="S146" s="32" t="str">
        <f aca="false">IF(P146&gt;0,R146/P146,"")</f>
        <v/>
      </c>
      <c r="T146" s="32" t="str">
        <f aca="false">IF(P146&gt;0,N146/P146,"")</f>
        <v/>
      </c>
      <c r="U146" s="57" t="str">
        <f aca="false">IF(N146&gt;0,R146/N146,"")</f>
        <v/>
      </c>
      <c r="V146" s="34" t="str">
        <f aca="false">IF(E146+F146+G146+H146+I146+J146&gt;0,(E146+F146+G146)/(E146+F146+G146+H146+I146+J146),"")</f>
        <v/>
      </c>
      <c r="W146" s="33" t="n">
        <f aca="false">E146*(P1_PVP-P1_CPROD)+F146*(P2_PVP-P2_CPROD)+G146*(IF($A146&lt;P3_DESDE,P3A_PVP,P3_PVP)-IF($A146&lt;P3_DESDE,P3A_CPROD,P3_CPROD))-IF(ISNUMBER(L146),L146,E146*P1_LOG+F146*P2_LOG+G146*P3_LOG)</f>
        <v>0</v>
      </c>
      <c r="X146" s="33" t="n">
        <f aca="false">W146-(E146*P1_IVAN+F146*P2_IVAN+G146*IF($A146&lt;P3_DESDE,P3A_IVAN,P3_IVAN))-(H146+I146+J146)*(COSTE_DEV-IVA_DEV)-AM146-AO146</f>
        <v>0</v>
      </c>
      <c r="Y146" s="33" t="n">
        <f aca="false">AH146-AI146-AJ146-AK146-AL146-AM146-AO146</f>
        <v>0</v>
      </c>
      <c r="AA146" s="58" t="n">
        <f aca="false">MAX(0,B146-E146-H146)</f>
        <v>0</v>
      </c>
      <c r="AB146" s="58" t="n">
        <f aca="false">MAX(0,C146-F146-I146)</f>
        <v>0</v>
      </c>
      <c r="AC146" s="58" t="n">
        <f aca="false">MAX(0,D146-G146-J146)</f>
        <v>0</v>
      </c>
      <c r="AD146" s="59" t="n">
        <f aca="false">E146+AA146*AQ146</f>
        <v>0</v>
      </c>
      <c r="AE146" s="59" t="n">
        <f aca="false">F146+AB146*AQ146</f>
        <v>0</v>
      </c>
      <c r="AF146" s="59" t="n">
        <f aca="false">G146+AC146*AQ146</f>
        <v>0</v>
      </c>
      <c r="AG146" s="59" t="n">
        <f aca="false">H146+I146+J146+(AA146+AB146+AC146)*(1-AQ146)</f>
        <v>0</v>
      </c>
      <c r="AH146" s="60" t="n">
        <f aca="false">AD146*P1_PVP+AE146*P2_PVP+AF146*IF($A146&lt;P3_DESDE,P3A_PVP,P3_PVP)</f>
        <v>0</v>
      </c>
      <c r="AI146" s="60" t="n">
        <f aca="false">AD146*P1_CPROD+AE146*P2_CPROD+AF146*IF($A146&lt;P3_DESDE,P3A_CPROD,P3_CPROD)</f>
        <v>0</v>
      </c>
      <c r="AJ146" s="60" t="n">
        <f aca="false">IF(ISNUMBER(L146),L146,E146*P1_LOG+F146*P2_LOG+G146*P3_LOG)+IF(ISNUMBER(M146),M146,AA146*P1_LOG+AB146*P2_LOG+AC146*P3_LOG)*AQ146</f>
        <v>0</v>
      </c>
      <c r="AK146" s="60" t="n">
        <f aca="false">AG146*COSTE_DEV</f>
        <v>0</v>
      </c>
      <c r="AL146" s="60" t="n">
        <f aca="false">AD146*P1_IVAN+AE146*P2_IVAN+AF146*IF($A146&lt;P3_DESDE,P3A_IVAN,P3_IVAN)-AG146*IVA_DEV</f>
        <v>0</v>
      </c>
      <c r="AM146" s="60" t="n">
        <f aca="false">N146*(1+RECARGO_ADS)</f>
        <v>0</v>
      </c>
      <c r="AN146" s="58" t="n">
        <f aca="false">IF(ISNUMBER(L146),E146+F146+G146+AA146+AB146+AC146,0)</f>
        <v>0</v>
      </c>
      <c r="AO146" s="60" t="n">
        <f aca="false">P146*COMISION</f>
        <v>0</v>
      </c>
      <c r="AP146" s="58" t="n">
        <f aca="false">MIN(N(K146),Q146)</f>
        <v>0</v>
      </c>
      <c r="AQ146" s="61" t="n">
        <f aca="false">IF(Q146&gt;0,((Q146-AP146)*AT146+AP146*TASA_INC)/Q146,AT146)</f>
        <v>0.659887072235414</v>
      </c>
      <c r="AR146" s="58" t="n">
        <f aca="false">IF($A146&lt;FECHA_EXPORT,NETWORKDAYS($A146+1,FECHA_EXPORT,FESTIVOS),0)</f>
        <v>0</v>
      </c>
      <c r="AS146" s="61" t="n">
        <f aca="false">IF(AR146&gt;=5,1,INDEX(CDF_INC,1,AR146+1))</f>
        <v>0.14</v>
      </c>
      <c r="AT146" s="61" t="n">
        <f aca="false">TASA_USADA+(TASA_INC-TASA_USADA)*Q_INC*(1-AS146)/(1-Q_INC*AS146)</f>
        <v>0.659887072235414</v>
      </c>
    </row>
    <row r="147" customFormat="false" ht="15" hidden="false" customHeight="false" outlineLevel="0" collapsed="false">
      <c r="A147" s="53" t="n">
        <v>46441</v>
      </c>
      <c r="B147" s="54"/>
      <c r="C147" s="54"/>
      <c r="D147" s="54"/>
      <c r="E147" s="54"/>
      <c r="F147" s="54"/>
      <c r="G147" s="54"/>
      <c r="H147" s="54"/>
      <c r="I147" s="54"/>
      <c r="J147" s="54"/>
      <c r="K147" s="54"/>
      <c r="L147" s="55"/>
      <c r="M147" s="55"/>
      <c r="N147" s="55"/>
      <c r="O147" s="56"/>
      <c r="P147" s="31" t="n">
        <f aca="false">B147+C147+D147</f>
        <v>0</v>
      </c>
      <c r="Q147" s="31" t="n">
        <f aca="false">AA147+AB147+AC147</f>
        <v>0</v>
      </c>
      <c r="R147" s="32" t="n">
        <f aca="false">B147*P1_PVP+C147*P2_PVP+D147*IF($A147&lt;P3_DESDE,P3A_PVP,P3_PVP)</f>
        <v>0</v>
      </c>
      <c r="S147" s="32" t="str">
        <f aca="false">IF(P147&gt;0,R147/P147,"")</f>
        <v/>
      </c>
      <c r="T147" s="32" t="str">
        <f aca="false">IF(P147&gt;0,N147/P147,"")</f>
        <v/>
      </c>
      <c r="U147" s="57" t="str">
        <f aca="false">IF(N147&gt;0,R147/N147,"")</f>
        <v/>
      </c>
      <c r="V147" s="34" t="str">
        <f aca="false">IF(E147+F147+G147+H147+I147+J147&gt;0,(E147+F147+G147)/(E147+F147+G147+H147+I147+J147),"")</f>
        <v/>
      </c>
      <c r="W147" s="33" t="n">
        <f aca="false">E147*(P1_PVP-P1_CPROD)+F147*(P2_PVP-P2_CPROD)+G147*(IF($A147&lt;P3_DESDE,P3A_PVP,P3_PVP)-IF($A147&lt;P3_DESDE,P3A_CPROD,P3_CPROD))-IF(ISNUMBER(L147),L147,E147*P1_LOG+F147*P2_LOG+G147*P3_LOG)</f>
        <v>0</v>
      </c>
      <c r="X147" s="33" t="n">
        <f aca="false">W147-(E147*P1_IVAN+F147*P2_IVAN+G147*IF($A147&lt;P3_DESDE,P3A_IVAN,P3_IVAN))-(H147+I147+J147)*(COSTE_DEV-IVA_DEV)-AM147-AO147</f>
        <v>0</v>
      </c>
      <c r="Y147" s="33" t="n">
        <f aca="false">AH147-AI147-AJ147-AK147-AL147-AM147-AO147</f>
        <v>0</v>
      </c>
      <c r="AA147" s="58" t="n">
        <f aca="false">MAX(0,B147-E147-H147)</f>
        <v>0</v>
      </c>
      <c r="AB147" s="58" t="n">
        <f aca="false">MAX(0,C147-F147-I147)</f>
        <v>0</v>
      </c>
      <c r="AC147" s="58" t="n">
        <f aca="false">MAX(0,D147-G147-J147)</f>
        <v>0</v>
      </c>
      <c r="AD147" s="59" t="n">
        <f aca="false">E147+AA147*AQ147</f>
        <v>0</v>
      </c>
      <c r="AE147" s="59" t="n">
        <f aca="false">F147+AB147*AQ147</f>
        <v>0</v>
      </c>
      <c r="AF147" s="59" t="n">
        <f aca="false">G147+AC147*AQ147</f>
        <v>0</v>
      </c>
      <c r="AG147" s="59" t="n">
        <f aca="false">H147+I147+J147+(AA147+AB147+AC147)*(1-AQ147)</f>
        <v>0</v>
      </c>
      <c r="AH147" s="60" t="n">
        <f aca="false">AD147*P1_PVP+AE147*P2_PVP+AF147*IF($A147&lt;P3_DESDE,P3A_PVP,P3_PVP)</f>
        <v>0</v>
      </c>
      <c r="AI147" s="60" t="n">
        <f aca="false">AD147*P1_CPROD+AE147*P2_CPROD+AF147*IF($A147&lt;P3_DESDE,P3A_CPROD,P3_CPROD)</f>
        <v>0</v>
      </c>
      <c r="AJ147" s="60" t="n">
        <f aca="false">IF(ISNUMBER(L147),L147,E147*P1_LOG+F147*P2_LOG+G147*P3_LOG)+IF(ISNUMBER(M147),M147,AA147*P1_LOG+AB147*P2_LOG+AC147*P3_LOG)*AQ147</f>
        <v>0</v>
      </c>
      <c r="AK147" s="60" t="n">
        <f aca="false">AG147*COSTE_DEV</f>
        <v>0</v>
      </c>
      <c r="AL147" s="60" t="n">
        <f aca="false">AD147*P1_IVAN+AE147*P2_IVAN+AF147*IF($A147&lt;P3_DESDE,P3A_IVAN,P3_IVAN)-AG147*IVA_DEV</f>
        <v>0</v>
      </c>
      <c r="AM147" s="60" t="n">
        <f aca="false">N147*(1+RECARGO_ADS)</f>
        <v>0</v>
      </c>
      <c r="AN147" s="58" t="n">
        <f aca="false">IF(ISNUMBER(L147),E147+F147+G147+AA147+AB147+AC147,0)</f>
        <v>0</v>
      </c>
      <c r="AO147" s="60" t="n">
        <f aca="false">P147*COMISION</f>
        <v>0</v>
      </c>
      <c r="AP147" s="58" t="n">
        <f aca="false">MIN(N(K147),Q147)</f>
        <v>0</v>
      </c>
      <c r="AQ147" s="61" t="n">
        <f aca="false">IF(Q147&gt;0,((Q147-AP147)*AT147+AP147*TASA_INC)/Q147,AT147)</f>
        <v>0.659887072235414</v>
      </c>
      <c r="AR147" s="58" t="n">
        <f aca="false">IF($A147&lt;FECHA_EXPORT,NETWORKDAYS($A147+1,FECHA_EXPORT,FESTIVOS),0)</f>
        <v>0</v>
      </c>
      <c r="AS147" s="61" t="n">
        <f aca="false">IF(AR147&gt;=5,1,INDEX(CDF_INC,1,AR147+1))</f>
        <v>0.14</v>
      </c>
      <c r="AT147" s="61" t="n">
        <f aca="false">TASA_USADA+(TASA_INC-TASA_USADA)*Q_INC*(1-AS147)/(1-Q_INC*AS147)</f>
        <v>0.659887072235414</v>
      </c>
    </row>
    <row r="148" customFormat="false" ht="15" hidden="false" customHeight="false" outlineLevel="0" collapsed="false">
      <c r="A148" s="53" t="n">
        <v>46442</v>
      </c>
      <c r="B148" s="54"/>
      <c r="C148" s="54"/>
      <c r="D148" s="54"/>
      <c r="E148" s="54"/>
      <c r="F148" s="54"/>
      <c r="G148" s="54"/>
      <c r="H148" s="54"/>
      <c r="I148" s="54"/>
      <c r="J148" s="54"/>
      <c r="K148" s="54"/>
      <c r="L148" s="55"/>
      <c r="M148" s="55"/>
      <c r="N148" s="55"/>
      <c r="O148" s="56"/>
      <c r="P148" s="31" t="n">
        <f aca="false">B148+C148+D148</f>
        <v>0</v>
      </c>
      <c r="Q148" s="31" t="n">
        <f aca="false">AA148+AB148+AC148</f>
        <v>0</v>
      </c>
      <c r="R148" s="32" t="n">
        <f aca="false">B148*P1_PVP+C148*P2_PVP+D148*IF($A148&lt;P3_DESDE,P3A_PVP,P3_PVP)</f>
        <v>0</v>
      </c>
      <c r="S148" s="32" t="str">
        <f aca="false">IF(P148&gt;0,R148/P148,"")</f>
        <v/>
      </c>
      <c r="T148" s="32" t="str">
        <f aca="false">IF(P148&gt;0,N148/P148,"")</f>
        <v/>
      </c>
      <c r="U148" s="57" t="str">
        <f aca="false">IF(N148&gt;0,R148/N148,"")</f>
        <v/>
      </c>
      <c r="V148" s="34" t="str">
        <f aca="false">IF(E148+F148+G148+H148+I148+J148&gt;0,(E148+F148+G148)/(E148+F148+G148+H148+I148+J148),"")</f>
        <v/>
      </c>
      <c r="W148" s="33" t="n">
        <f aca="false">E148*(P1_PVP-P1_CPROD)+F148*(P2_PVP-P2_CPROD)+G148*(IF($A148&lt;P3_DESDE,P3A_PVP,P3_PVP)-IF($A148&lt;P3_DESDE,P3A_CPROD,P3_CPROD))-IF(ISNUMBER(L148),L148,E148*P1_LOG+F148*P2_LOG+G148*P3_LOG)</f>
        <v>0</v>
      </c>
      <c r="X148" s="33" t="n">
        <f aca="false">W148-(E148*P1_IVAN+F148*P2_IVAN+G148*IF($A148&lt;P3_DESDE,P3A_IVAN,P3_IVAN))-(H148+I148+J148)*(COSTE_DEV-IVA_DEV)-AM148-AO148</f>
        <v>0</v>
      </c>
      <c r="Y148" s="33" t="n">
        <f aca="false">AH148-AI148-AJ148-AK148-AL148-AM148-AO148</f>
        <v>0</v>
      </c>
      <c r="AA148" s="58" t="n">
        <f aca="false">MAX(0,B148-E148-H148)</f>
        <v>0</v>
      </c>
      <c r="AB148" s="58" t="n">
        <f aca="false">MAX(0,C148-F148-I148)</f>
        <v>0</v>
      </c>
      <c r="AC148" s="58" t="n">
        <f aca="false">MAX(0,D148-G148-J148)</f>
        <v>0</v>
      </c>
      <c r="AD148" s="59" t="n">
        <f aca="false">E148+AA148*AQ148</f>
        <v>0</v>
      </c>
      <c r="AE148" s="59" t="n">
        <f aca="false">F148+AB148*AQ148</f>
        <v>0</v>
      </c>
      <c r="AF148" s="59" t="n">
        <f aca="false">G148+AC148*AQ148</f>
        <v>0</v>
      </c>
      <c r="AG148" s="59" t="n">
        <f aca="false">H148+I148+J148+(AA148+AB148+AC148)*(1-AQ148)</f>
        <v>0</v>
      </c>
      <c r="AH148" s="60" t="n">
        <f aca="false">AD148*P1_PVP+AE148*P2_PVP+AF148*IF($A148&lt;P3_DESDE,P3A_PVP,P3_PVP)</f>
        <v>0</v>
      </c>
      <c r="AI148" s="60" t="n">
        <f aca="false">AD148*P1_CPROD+AE148*P2_CPROD+AF148*IF($A148&lt;P3_DESDE,P3A_CPROD,P3_CPROD)</f>
        <v>0</v>
      </c>
      <c r="AJ148" s="60" t="n">
        <f aca="false">IF(ISNUMBER(L148),L148,E148*P1_LOG+F148*P2_LOG+G148*P3_LOG)+IF(ISNUMBER(M148),M148,AA148*P1_LOG+AB148*P2_LOG+AC148*P3_LOG)*AQ148</f>
        <v>0</v>
      </c>
      <c r="AK148" s="60" t="n">
        <f aca="false">AG148*COSTE_DEV</f>
        <v>0</v>
      </c>
      <c r="AL148" s="60" t="n">
        <f aca="false">AD148*P1_IVAN+AE148*P2_IVAN+AF148*IF($A148&lt;P3_DESDE,P3A_IVAN,P3_IVAN)-AG148*IVA_DEV</f>
        <v>0</v>
      </c>
      <c r="AM148" s="60" t="n">
        <f aca="false">N148*(1+RECARGO_ADS)</f>
        <v>0</v>
      </c>
      <c r="AN148" s="58" t="n">
        <f aca="false">IF(ISNUMBER(L148),E148+F148+G148+AA148+AB148+AC148,0)</f>
        <v>0</v>
      </c>
      <c r="AO148" s="60" t="n">
        <f aca="false">P148*COMISION</f>
        <v>0</v>
      </c>
      <c r="AP148" s="58" t="n">
        <f aca="false">MIN(N(K148),Q148)</f>
        <v>0</v>
      </c>
      <c r="AQ148" s="61" t="n">
        <f aca="false">IF(Q148&gt;0,((Q148-AP148)*AT148+AP148*TASA_INC)/Q148,AT148)</f>
        <v>0.659887072235414</v>
      </c>
      <c r="AR148" s="58" t="n">
        <f aca="false">IF($A148&lt;FECHA_EXPORT,NETWORKDAYS($A148+1,FECHA_EXPORT,FESTIVOS),0)</f>
        <v>0</v>
      </c>
      <c r="AS148" s="61" t="n">
        <f aca="false">IF(AR148&gt;=5,1,INDEX(CDF_INC,1,AR148+1))</f>
        <v>0.14</v>
      </c>
      <c r="AT148" s="61" t="n">
        <f aca="false">TASA_USADA+(TASA_INC-TASA_USADA)*Q_INC*(1-AS148)/(1-Q_INC*AS148)</f>
        <v>0.659887072235414</v>
      </c>
    </row>
    <row r="149" customFormat="false" ht="15" hidden="false" customHeight="false" outlineLevel="0" collapsed="false">
      <c r="A149" s="53" t="n">
        <v>46443</v>
      </c>
      <c r="B149" s="54"/>
      <c r="C149" s="54"/>
      <c r="D149" s="54"/>
      <c r="E149" s="54"/>
      <c r="F149" s="54"/>
      <c r="G149" s="54"/>
      <c r="H149" s="54"/>
      <c r="I149" s="54"/>
      <c r="J149" s="54"/>
      <c r="K149" s="54"/>
      <c r="L149" s="55"/>
      <c r="M149" s="55"/>
      <c r="N149" s="55"/>
      <c r="O149" s="56"/>
      <c r="P149" s="31" t="n">
        <f aca="false">B149+C149+D149</f>
        <v>0</v>
      </c>
      <c r="Q149" s="31" t="n">
        <f aca="false">AA149+AB149+AC149</f>
        <v>0</v>
      </c>
      <c r="R149" s="32" t="n">
        <f aca="false">B149*P1_PVP+C149*P2_PVP+D149*IF($A149&lt;P3_DESDE,P3A_PVP,P3_PVP)</f>
        <v>0</v>
      </c>
      <c r="S149" s="32" t="str">
        <f aca="false">IF(P149&gt;0,R149/P149,"")</f>
        <v/>
      </c>
      <c r="T149" s="32" t="str">
        <f aca="false">IF(P149&gt;0,N149/P149,"")</f>
        <v/>
      </c>
      <c r="U149" s="57" t="str">
        <f aca="false">IF(N149&gt;0,R149/N149,"")</f>
        <v/>
      </c>
      <c r="V149" s="34" t="str">
        <f aca="false">IF(E149+F149+G149+H149+I149+J149&gt;0,(E149+F149+G149)/(E149+F149+G149+H149+I149+J149),"")</f>
        <v/>
      </c>
      <c r="W149" s="33" t="n">
        <f aca="false">E149*(P1_PVP-P1_CPROD)+F149*(P2_PVP-P2_CPROD)+G149*(IF($A149&lt;P3_DESDE,P3A_PVP,P3_PVP)-IF($A149&lt;P3_DESDE,P3A_CPROD,P3_CPROD))-IF(ISNUMBER(L149),L149,E149*P1_LOG+F149*P2_LOG+G149*P3_LOG)</f>
        <v>0</v>
      </c>
      <c r="X149" s="33" t="n">
        <f aca="false">W149-(E149*P1_IVAN+F149*P2_IVAN+G149*IF($A149&lt;P3_DESDE,P3A_IVAN,P3_IVAN))-(H149+I149+J149)*(COSTE_DEV-IVA_DEV)-AM149-AO149</f>
        <v>0</v>
      </c>
      <c r="Y149" s="33" t="n">
        <f aca="false">AH149-AI149-AJ149-AK149-AL149-AM149-AO149</f>
        <v>0</v>
      </c>
      <c r="AA149" s="58" t="n">
        <f aca="false">MAX(0,B149-E149-H149)</f>
        <v>0</v>
      </c>
      <c r="AB149" s="58" t="n">
        <f aca="false">MAX(0,C149-F149-I149)</f>
        <v>0</v>
      </c>
      <c r="AC149" s="58" t="n">
        <f aca="false">MAX(0,D149-G149-J149)</f>
        <v>0</v>
      </c>
      <c r="AD149" s="59" t="n">
        <f aca="false">E149+AA149*AQ149</f>
        <v>0</v>
      </c>
      <c r="AE149" s="59" t="n">
        <f aca="false">F149+AB149*AQ149</f>
        <v>0</v>
      </c>
      <c r="AF149" s="59" t="n">
        <f aca="false">G149+AC149*AQ149</f>
        <v>0</v>
      </c>
      <c r="AG149" s="59" t="n">
        <f aca="false">H149+I149+J149+(AA149+AB149+AC149)*(1-AQ149)</f>
        <v>0</v>
      </c>
      <c r="AH149" s="60" t="n">
        <f aca="false">AD149*P1_PVP+AE149*P2_PVP+AF149*IF($A149&lt;P3_DESDE,P3A_PVP,P3_PVP)</f>
        <v>0</v>
      </c>
      <c r="AI149" s="60" t="n">
        <f aca="false">AD149*P1_CPROD+AE149*P2_CPROD+AF149*IF($A149&lt;P3_DESDE,P3A_CPROD,P3_CPROD)</f>
        <v>0</v>
      </c>
      <c r="AJ149" s="60" t="n">
        <f aca="false">IF(ISNUMBER(L149),L149,E149*P1_LOG+F149*P2_LOG+G149*P3_LOG)+IF(ISNUMBER(M149),M149,AA149*P1_LOG+AB149*P2_LOG+AC149*P3_LOG)*AQ149</f>
        <v>0</v>
      </c>
      <c r="AK149" s="60" t="n">
        <f aca="false">AG149*COSTE_DEV</f>
        <v>0</v>
      </c>
      <c r="AL149" s="60" t="n">
        <f aca="false">AD149*P1_IVAN+AE149*P2_IVAN+AF149*IF($A149&lt;P3_DESDE,P3A_IVAN,P3_IVAN)-AG149*IVA_DEV</f>
        <v>0</v>
      </c>
      <c r="AM149" s="60" t="n">
        <f aca="false">N149*(1+RECARGO_ADS)</f>
        <v>0</v>
      </c>
      <c r="AN149" s="58" t="n">
        <f aca="false">IF(ISNUMBER(L149),E149+F149+G149+AA149+AB149+AC149,0)</f>
        <v>0</v>
      </c>
      <c r="AO149" s="60" t="n">
        <f aca="false">P149*COMISION</f>
        <v>0</v>
      </c>
      <c r="AP149" s="58" t="n">
        <f aca="false">MIN(N(K149),Q149)</f>
        <v>0</v>
      </c>
      <c r="AQ149" s="61" t="n">
        <f aca="false">IF(Q149&gt;0,((Q149-AP149)*AT149+AP149*TASA_INC)/Q149,AT149)</f>
        <v>0.659887072235414</v>
      </c>
      <c r="AR149" s="58" t="n">
        <f aca="false">IF($A149&lt;FECHA_EXPORT,NETWORKDAYS($A149+1,FECHA_EXPORT,FESTIVOS),0)</f>
        <v>0</v>
      </c>
      <c r="AS149" s="61" t="n">
        <f aca="false">IF(AR149&gt;=5,1,INDEX(CDF_INC,1,AR149+1))</f>
        <v>0.14</v>
      </c>
      <c r="AT149" s="61" t="n">
        <f aca="false">TASA_USADA+(TASA_INC-TASA_USADA)*Q_INC*(1-AS149)/(1-Q_INC*AS149)</f>
        <v>0.659887072235414</v>
      </c>
    </row>
    <row r="150" customFormat="false" ht="15" hidden="false" customHeight="false" outlineLevel="0" collapsed="false">
      <c r="A150" s="53" t="n">
        <v>46444</v>
      </c>
      <c r="B150" s="54"/>
      <c r="C150" s="54"/>
      <c r="D150" s="54"/>
      <c r="E150" s="54"/>
      <c r="F150" s="54"/>
      <c r="G150" s="54"/>
      <c r="H150" s="54"/>
      <c r="I150" s="54"/>
      <c r="J150" s="54"/>
      <c r="K150" s="54"/>
      <c r="L150" s="55"/>
      <c r="M150" s="55"/>
      <c r="N150" s="55"/>
      <c r="O150" s="56"/>
      <c r="P150" s="31" t="n">
        <f aca="false">B150+C150+D150</f>
        <v>0</v>
      </c>
      <c r="Q150" s="31" t="n">
        <f aca="false">AA150+AB150+AC150</f>
        <v>0</v>
      </c>
      <c r="R150" s="32" t="n">
        <f aca="false">B150*P1_PVP+C150*P2_PVP+D150*IF($A150&lt;P3_DESDE,P3A_PVP,P3_PVP)</f>
        <v>0</v>
      </c>
      <c r="S150" s="32" t="str">
        <f aca="false">IF(P150&gt;0,R150/P150,"")</f>
        <v/>
      </c>
      <c r="T150" s="32" t="str">
        <f aca="false">IF(P150&gt;0,N150/P150,"")</f>
        <v/>
      </c>
      <c r="U150" s="57" t="str">
        <f aca="false">IF(N150&gt;0,R150/N150,"")</f>
        <v/>
      </c>
      <c r="V150" s="34" t="str">
        <f aca="false">IF(E150+F150+G150+H150+I150+J150&gt;0,(E150+F150+G150)/(E150+F150+G150+H150+I150+J150),"")</f>
        <v/>
      </c>
      <c r="W150" s="33" t="n">
        <f aca="false">E150*(P1_PVP-P1_CPROD)+F150*(P2_PVP-P2_CPROD)+G150*(IF($A150&lt;P3_DESDE,P3A_PVP,P3_PVP)-IF($A150&lt;P3_DESDE,P3A_CPROD,P3_CPROD))-IF(ISNUMBER(L150),L150,E150*P1_LOG+F150*P2_LOG+G150*P3_LOG)</f>
        <v>0</v>
      </c>
      <c r="X150" s="33" t="n">
        <f aca="false">W150-(E150*P1_IVAN+F150*P2_IVAN+G150*IF($A150&lt;P3_DESDE,P3A_IVAN,P3_IVAN))-(H150+I150+J150)*(COSTE_DEV-IVA_DEV)-AM150-AO150</f>
        <v>0</v>
      </c>
      <c r="Y150" s="33" t="n">
        <f aca="false">AH150-AI150-AJ150-AK150-AL150-AM150-AO150</f>
        <v>0</v>
      </c>
      <c r="AA150" s="58" t="n">
        <f aca="false">MAX(0,B150-E150-H150)</f>
        <v>0</v>
      </c>
      <c r="AB150" s="58" t="n">
        <f aca="false">MAX(0,C150-F150-I150)</f>
        <v>0</v>
      </c>
      <c r="AC150" s="58" t="n">
        <f aca="false">MAX(0,D150-G150-J150)</f>
        <v>0</v>
      </c>
      <c r="AD150" s="59" t="n">
        <f aca="false">E150+AA150*AQ150</f>
        <v>0</v>
      </c>
      <c r="AE150" s="59" t="n">
        <f aca="false">F150+AB150*AQ150</f>
        <v>0</v>
      </c>
      <c r="AF150" s="59" t="n">
        <f aca="false">G150+AC150*AQ150</f>
        <v>0</v>
      </c>
      <c r="AG150" s="59" t="n">
        <f aca="false">H150+I150+J150+(AA150+AB150+AC150)*(1-AQ150)</f>
        <v>0</v>
      </c>
      <c r="AH150" s="60" t="n">
        <f aca="false">AD150*P1_PVP+AE150*P2_PVP+AF150*IF($A150&lt;P3_DESDE,P3A_PVP,P3_PVP)</f>
        <v>0</v>
      </c>
      <c r="AI150" s="60" t="n">
        <f aca="false">AD150*P1_CPROD+AE150*P2_CPROD+AF150*IF($A150&lt;P3_DESDE,P3A_CPROD,P3_CPROD)</f>
        <v>0</v>
      </c>
      <c r="AJ150" s="60" t="n">
        <f aca="false">IF(ISNUMBER(L150),L150,E150*P1_LOG+F150*P2_LOG+G150*P3_LOG)+IF(ISNUMBER(M150),M150,AA150*P1_LOG+AB150*P2_LOG+AC150*P3_LOG)*AQ150</f>
        <v>0</v>
      </c>
      <c r="AK150" s="60" t="n">
        <f aca="false">AG150*COSTE_DEV</f>
        <v>0</v>
      </c>
      <c r="AL150" s="60" t="n">
        <f aca="false">AD150*P1_IVAN+AE150*P2_IVAN+AF150*IF($A150&lt;P3_DESDE,P3A_IVAN,P3_IVAN)-AG150*IVA_DEV</f>
        <v>0</v>
      </c>
      <c r="AM150" s="60" t="n">
        <f aca="false">N150*(1+RECARGO_ADS)</f>
        <v>0</v>
      </c>
      <c r="AN150" s="58" t="n">
        <f aca="false">IF(ISNUMBER(L150),E150+F150+G150+AA150+AB150+AC150,0)</f>
        <v>0</v>
      </c>
      <c r="AO150" s="60" t="n">
        <f aca="false">P150*COMISION</f>
        <v>0</v>
      </c>
      <c r="AP150" s="58" t="n">
        <f aca="false">MIN(N(K150),Q150)</f>
        <v>0</v>
      </c>
      <c r="AQ150" s="61" t="n">
        <f aca="false">IF(Q150&gt;0,((Q150-AP150)*AT150+AP150*TASA_INC)/Q150,AT150)</f>
        <v>0.659887072235414</v>
      </c>
      <c r="AR150" s="58" t="n">
        <f aca="false">IF($A150&lt;FECHA_EXPORT,NETWORKDAYS($A150+1,FECHA_EXPORT,FESTIVOS),0)</f>
        <v>0</v>
      </c>
      <c r="AS150" s="61" t="n">
        <f aca="false">IF(AR150&gt;=5,1,INDEX(CDF_INC,1,AR150+1))</f>
        <v>0.14</v>
      </c>
      <c r="AT150" s="61" t="n">
        <f aca="false">TASA_USADA+(TASA_INC-TASA_USADA)*Q_INC*(1-AS150)/(1-Q_INC*AS150)</f>
        <v>0.659887072235414</v>
      </c>
    </row>
    <row r="151" customFormat="false" ht="15" hidden="false" customHeight="false" outlineLevel="0" collapsed="false">
      <c r="A151" s="53" t="n">
        <v>46445</v>
      </c>
      <c r="B151" s="54"/>
      <c r="C151" s="54"/>
      <c r="D151" s="54"/>
      <c r="E151" s="54"/>
      <c r="F151" s="54"/>
      <c r="G151" s="54"/>
      <c r="H151" s="54"/>
      <c r="I151" s="54"/>
      <c r="J151" s="54"/>
      <c r="K151" s="54"/>
      <c r="L151" s="55"/>
      <c r="M151" s="55"/>
      <c r="N151" s="55"/>
      <c r="O151" s="56"/>
      <c r="P151" s="31" t="n">
        <f aca="false">B151+C151+D151</f>
        <v>0</v>
      </c>
      <c r="Q151" s="31" t="n">
        <f aca="false">AA151+AB151+AC151</f>
        <v>0</v>
      </c>
      <c r="R151" s="32" t="n">
        <f aca="false">B151*P1_PVP+C151*P2_PVP+D151*IF($A151&lt;P3_DESDE,P3A_PVP,P3_PVP)</f>
        <v>0</v>
      </c>
      <c r="S151" s="32" t="str">
        <f aca="false">IF(P151&gt;0,R151/P151,"")</f>
        <v/>
      </c>
      <c r="T151" s="32" t="str">
        <f aca="false">IF(P151&gt;0,N151/P151,"")</f>
        <v/>
      </c>
      <c r="U151" s="57" t="str">
        <f aca="false">IF(N151&gt;0,R151/N151,"")</f>
        <v/>
      </c>
      <c r="V151" s="34" t="str">
        <f aca="false">IF(E151+F151+G151+H151+I151+J151&gt;0,(E151+F151+G151)/(E151+F151+G151+H151+I151+J151),"")</f>
        <v/>
      </c>
      <c r="W151" s="33" t="n">
        <f aca="false">E151*(P1_PVP-P1_CPROD)+F151*(P2_PVP-P2_CPROD)+G151*(IF($A151&lt;P3_DESDE,P3A_PVP,P3_PVP)-IF($A151&lt;P3_DESDE,P3A_CPROD,P3_CPROD))-IF(ISNUMBER(L151),L151,E151*P1_LOG+F151*P2_LOG+G151*P3_LOG)</f>
        <v>0</v>
      </c>
      <c r="X151" s="33" t="n">
        <f aca="false">W151-(E151*P1_IVAN+F151*P2_IVAN+G151*IF($A151&lt;P3_DESDE,P3A_IVAN,P3_IVAN))-(H151+I151+J151)*(COSTE_DEV-IVA_DEV)-AM151-AO151</f>
        <v>0</v>
      </c>
      <c r="Y151" s="33" t="n">
        <f aca="false">AH151-AI151-AJ151-AK151-AL151-AM151-AO151</f>
        <v>0</v>
      </c>
      <c r="AA151" s="58" t="n">
        <f aca="false">MAX(0,B151-E151-H151)</f>
        <v>0</v>
      </c>
      <c r="AB151" s="58" t="n">
        <f aca="false">MAX(0,C151-F151-I151)</f>
        <v>0</v>
      </c>
      <c r="AC151" s="58" t="n">
        <f aca="false">MAX(0,D151-G151-J151)</f>
        <v>0</v>
      </c>
      <c r="AD151" s="59" t="n">
        <f aca="false">E151+AA151*AQ151</f>
        <v>0</v>
      </c>
      <c r="AE151" s="59" t="n">
        <f aca="false">F151+AB151*AQ151</f>
        <v>0</v>
      </c>
      <c r="AF151" s="59" t="n">
        <f aca="false">G151+AC151*AQ151</f>
        <v>0</v>
      </c>
      <c r="AG151" s="59" t="n">
        <f aca="false">H151+I151+J151+(AA151+AB151+AC151)*(1-AQ151)</f>
        <v>0</v>
      </c>
      <c r="AH151" s="60" t="n">
        <f aca="false">AD151*P1_PVP+AE151*P2_PVP+AF151*IF($A151&lt;P3_DESDE,P3A_PVP,P3_PVP)</f>
        <v>0</v>
      </c>
      <c r="AI151" s="60" t="n">
        <f aca="false">AD151*P1_CPROD+AE151*P2_CPROD+AF151*IF($A151&lt;P3_DESDE,P3A_CPROD,P3_CPROD)</f>
        <v>0</v>
      </c>
      <c r="AJ151" s="60" t="n">
        <f aca="false">IF(ISNUMBER(L151),L151,E151*P1_LOG+F151*P2_LOG+G151*P3_LOG)+IF(ISNUMBER(M151),M151,AA151*P1_LOG+AB151*P2_LOG+AC151*P3_LOG)*AQ151</f>
        <v>0</v>
      </c>
      <c r="AK151" s="60" t="n">
        <f aca="false">AG151*COSTE_DEV</f>
        <v>0</v>
      </c>
      <c r="AL151" s="60" t="n">
        <f aca="false">AD151*P1_IVAN+AE151*P2_IVAN+AF151*IF($A151&lt;P3_DESDE,P3A_IVAN,P3_IVAN)-AG151*IVA_DEV</f>
        <v>0</v>
      </c>
      <c r="AM151" s="60" t="n">
        <f aca="false">N151*(1+RECARGO_ADS)</f>
        <v>0</v>
      </c>
      <c r="AN151" s="58" t="n">
        <f aca="false">IF(ISNUMBER(L151),E151+F151+G151+AA151+AB151+AC151,0)</f>
        <v>0</v>
      </c>
      <c r="AO151" s="60" t="n">
        <f aca="false">P151*COMISION</f>
        <v>0</v>
      </c>
      <c r="AP151" s="58" t="n">
        <f aca="false">MIN(N(K151),Q151)</f>
        <v>0</v>
      </c>
      <c r="AQ151" s="61" t="n">
        <f aca="false">IF(Q151&gt;0,((Q151-AP151)*AT151+AP151*TASA_INC)/Q151,AT151)</f>
        <v>0.659887072235414</v>
      </c>
      <c r="AR151" s="58" t="n">
        <f aca="false">IF($A151&lt;FECHA_EXPORT,NETWORKDAYS($A151+1,FECHA_EXPORT,FESTIVOS),0)</f>
        <v>0</v>
      </c>
      <c r="AS151" s="61" t="n">
        <f aca="false">IF(AR151&gt;=5,1,INDEX(CDF_INC,1,AR151+1))</f>
        <v>0.14</v>
      </c>
      <c r="AT151" s="61" t="n">
        <f aca="false">TASA_USADA+(TASA_INC-TASA_USADA)*Q_INC*(1-AS151)/(1-Q_INC*AS151)</f>
        <v>0.659887072235414</v>
      </c>
    </row>
    <row r="152" customFormat="false" ht="15" hidden="false" customHeight="false" outlineLevel="0" collapsed="false">
      <c r="A152" s="53" t="n">
        <v>46446</v>
      </c>
      <c r="B152" s="54"/>
      <c r="C152" s="54"/>
      <c r="D152" s="54"/>
      <c r="E152" s="54"/>
      <c r="F152" s="54"/>
      <c r="G152" s="54"/>
      <c r="H152" s="54"/>
      <c r="I152" s="54"/>
      <c r="J152" s="54"/>
      <c r="K152" s="54"/>
      <c r="L152" s="55"/>
      <c r="M152" s="55"/>
      <c r="N152" s="55"/>
      <c r="O152" s="56"/>
      <c r="P152" s="31" t="n">
        <f aca="false">B152+C152+D152</f>
        <v>0</v>
      </c>
      <c r="Q152" s="31" t="n">
        <f aca="false">AA152+AB152+AC152</f>
        <v>0</v>
      </c>
      <c r="R152" s="32" t="n">
        <f aca="false">B152*P1_PVP+C152*P2_PVP+D152*IF($A152&lt;P3_DESDE,P3A_PVP,P3_PVP)</f>
        <v>0</v>
      </c>
      <c r="S152" s="32" t="str">
        <f aca="false">IF(P152&gt;0,R152/P152,"")</f>
        <v/>
      </c>
      <c r="T152" s="32" t="str">
        <f aca="false">IF(P152&gt;0,N152/P152,"")</f>
        <v/>
      </c>
      <c r="U152" s="57" t="str">
        <f aca="false">IF(N152&gt;0,R152/N152,"")</f>
        <v/>
      </c>
      <c r="V152" s="34" t="str">
        <f aca="false">IF(E152+F152+G152+H152+I152+J152&gt;0,(E152+F152+G152)/(E152+F152+G152+H152+I152+J152),"")</f>
        <v/>
      </c>
      <c r="W152" s="33" t="n">
        <f aca="false">E152*(P1_PVP-P1_CPROD)+F152*(P2_PVP-P2_CPROD)+G152*(IF($A152&lt;P3_DESDE,P3A_PVP,P3_PVP)-IF($A152&lt;P3_DESDE,P3A_CPROD,P3_CPROD))-IF(ISNUMBER(L152),L152,E152*P1_LOG+F152*P2_LOG+G152*P3_LOG)</f>
        <v>0</v>
      </c>
      <c r="X152" s="33" t="n">
        <f aca="false">W152-(E152*P1_IVAN+F152*P2_IVAN+G152*IF($A152&lt;P3_DESDE,P3A_IVAN,P3_IVAN))-(H152+I152+J152)*(COSTE_DEV-IVA_DEV)-AM152-AO152</f>
        <v>0</v>
      </c>
      <c r="Y152" s="33" t="n">
        <f aca="false">AH152-AI152-AJ152-AK152-AL152-AM152-AO152</f>
        <v>0</v>
      </c>
      <c r="AA152" s="58" t="n">
        <f aca="false">MAX(0,B152-E152-H152)</f>
        <v>0</v>
      </c>
      <c r="AB152" s="58" t="n">
        <f aca="false">MAX(0,C152-F152-I152)</f>
        <v>0</v>
      </c>
      <c r="AC152" s="58" t="n">
        <f aca="false">MAX(0,D152-G152-J152)</f>
        <v>0</v>
      </c>
      <c r="AD152" s="59" t="n">
        <f aca="false">E152+AA152*AQ152</f>
        <v>0</v>
      </c>
      <c r="AE152" s="59" t="n">
        <f aca="false">F152+AB152*AQ152</f>
        <v>0</v>
      </c>
      <c r="AF152" s="59" t="n">
        <f aca="false">G152+AC152*AQ152</f>
        <v>0</v>
      </c>
      <c r="AG152" s="59" t="n">
        <f aca="false">H152+I152+J152+(AA152+AB152+AC152)*(1-AQ152)</f>
        <v>0</v>
      </c>
      <c r="AH152" s="60" t="n">
        <f aca="false">AD152*P1_PVP+AE152*P2_PVP+AF152*IF($A152&lt;P3_DESDE,P3A_PVP,P3_PVP)</f>
        <v>0</v>
      </c>
      <c r="AI152" s="60" t="n">
        <f aca="false">AD152*P1_CPROD+AE152*P2_CPROD+AF152*IF($A152&lt;P3_DESDE,P3A_CPROD,P3_CPROD)</f>
        <v>0</v>
      </c>
      <c r="AJ152" s="60" t="n">
        <f aca="false">IF(ISNUMBER(L152),L152,E152*P1_LOG+F152*P2_LOG+G152*P3_LOG)+IF(ISNUMBER(M152),M152,AA152*P1_LOG+AB152*P2_LOG+AC152*P3_LOG)*AQ152</f>
        <v>0</v>
      </c>
      <c r="AK152" s="60" t="n">
        <f aca="false">AG152*COSTE_DEV</f>
        <v>0</v>
      </c>
      <c r="AL152" s="60" t="n">
        <f aca="false">AD152*P1_IVAN+AE152*P2_IVAN+AF152*IF($A152&lt;P3_DESDE,P3A_IVAN,P3_IVAN)-AG152*IVA_DEV</f>
        <v>0</v>
      </c>
      <c r="AM152" s="60" t="n">
        <f aca="false">N152*(1+RECARGO_ADS)</f>
        <v>0</v>
      </c>
      <c r="AN152" s="58" t="n">
        <f aca="false">IF(ISNUMBER(L152),E152+F152+G152+AA152+AB152+AC152,0)</f>
        <v>0</v>
      </c>
      <c r="AO152" s="60" t="n">
        <f aca="false">P152*COMISION</f>
        <v>0</v>
      </c>
      <c r="AP152" s="58" t="n">
        <f aca="false">MIN(N(K152),Q152)</f>
        <v>0</v>
      </c>
      <c r="AQ152" s="61" t="n">
        <f aca="false">IF(Q152&gt;0,((Q152-AP152)*AT152+AP152*TASA_INC)/Q152,AT152)</f>
        <v>0.659887072235414</v>
      </c>
      <c r="AR152" s="58" t="n">
        <f aca="false">IF($A152&lt;FECHA_EXPORT,NETWORKDAYS($A152+1,FECHA_EXPORT,FESTIVOS),0)</f>
        <v>0</v>
      </c>
      <c r="AS152" s="61" t="n">
        <f aca="false">IF(AR152&gt;=5,1,INDEX(CDF_INC,1,AR152+1))</f>
        <v>0.14</v>
      </c>
      <c r="AT152" s="61" t="n">
        <f aca="false">TASA_USADA+(TASA_INC-TASA_USADA)*Q_INC*(1-AS152)/(1-Q_INC*AS152)</f>
        <v>0.659887072235414</v>
      </c>
    </row>
    <row r="153" customFormat="false" ht="15" hidden="false" customHeight="false" outlineLevel="0" collapsed="false">
      <c r="A153" s="53" t="n">
        <v>46447</v>
      </c>
      <c r="B153" s="54"/>
      <c r="C153" s="54"/>
      <c r="D153" s="54"/>
      <c r="E153" s="54"/>
      <c r="F153" s="54"/>
      <c r="G153" s="54"/>
      <c r="H153" s="54"/>
      <c r="I153" s="54"/>
      <c r="J153" s="54"/>
      <c r="K153" s="54"/>
      <c r="L153" s="55"/>
      <c r="M153" s="55"/>
      <c r="N153" s="55"/>
      <c r="O153" s="56"/>
      <c r="P153" s="31" t="n">
        <f aca="false">B153+C153+D153</f>
        <v>0</v>
      </c>
      <c r="Q153" s="31" t="n">
        <f aca="false">AA153+AB153+AC153</f>
        <v>0</v>
      </c>
      <c r="R153" s="32" t="n">
        <f aca="false">B153*P1_PVP+C153*P2_PVP+D153*IF($A153&lt;P3_DESDE,P3A_PVP,P3_PVP)</f>
        <v>0</v>
      </c>
      <c r="S153" s="32" t="str">
        <f aca="false">IF(P153&gt;0,R153/P153,"")</f>
        <v/>
      </c>
      <c r="T153" s="32" t="str">
        <f aca="false">IF(P153&gt;0,N153/P153,"")</f>
        <v/>
      </c>
      <c r="U153" s="57" t="str">
        <f aca="false">IF(N153&gt;0,R153/N153,"")</f>
        <v/>
      </c>
      <c r="V153" s="34" t="str">
        <f aca="false">IF(E153+F153+G153+H153+I153+J153&gt;0,(E153+F153+G153)/(E153+F153+G153+H153+I153+J153),"")</f>
        <v/>
      </c>
      <c r="W153" s="33" t="n">
        <f aca="false">E153*(P1_PVP-P1_CPROD)+F153*(P2_PVP-P2_CPROD)+G153*(IF($A153&lt;P3_DESDE,P3A_PVP,P3_PVP)-IF($A153&lt;P3_DESDE,P3A_CPROD,P3_CPROD))-IF(ISNUMBER(L153),L153,E153*P1_LOG+F153*P2_LOG+G153*P3_LOG)</f>
        <v>0</v>
      </c>
      <c r="X153" s="33" t="n">
        <f aca="false">W153-(E153*P1_IVAN+F153*P2_IVAN+G153*IF($A153&lt;P3_DESDE,P3A_IVAN,P3_IVAN))-(H153+I153+J153)*(COSTE_DEV-IVA_DEV)-AM153-AO153</f>
        <v>0</v>
      </c>
      <c r="Y153" s="33" t="n">
        <f aca="false">AH153-AI153-AJ153-AK153-AL153-AM153-AO153</f>
        <v>0</v>
      </c>
      <c r="AA153" s="58" t="n">
        <f aca="false">MAX(0,B153-E153-H153)</f>
        <v>0</v>
      </c>
      <c r="AB153" s="58" t="n">
        <f aca="false">MAX(0,C153-F153-I153)</f>
        <v>0</v>
      </c>
      <c r="AC153" s="58" t="n">
        <f aca="false">MAX(0,D153-G153-J153)</f>
        <v>0</v>
      </c>
      <c r="AD153" s="59" t="n">
        <f aca="false">E153+AA153*AQ153</f>
        <v>0</v>
      </c>
      <c r="AE153" s="59" t="n">
        <f aca="false">F153+AB153*AQ153</f>
        <v>0</v>
      </c>
      <c r="AF153" s="59" t="n">
        <f aca="false">G153+AC153*AQ153</f>
        <v>0</v>
      </c>
      <c r="AG153" s="59" t="n">
        <f aca="false">H153+I153+J153+(AA153+AB153+AC153)*(1-AQ153)</f>
        <v>0</v>
      </c>
      <c r="AH153" s="60" t="n">
        <f aca="false">AD153*P1_PVP+AE153*P2_PVP+AF153*IF($A153&lt;P3_DESDE,P3A_PVP,P3_PVP)</f>
        <v>0</v>
      </c>
      <c r="AI153" s="60" t="n">
        <f aca="false">AD153*P1_CPROD+AE153*P2_CPROD+AF153*IF($A153&lt;P3_DESDE,P3A_CPROD,P3_CPROD)</f>
        <v>0</v>
      </c>
      <c r="AJ153" s="60" t="n">
        <f aca="false">IF(ISNUMBER(L153),L153,E153*P1_LOG+F153*P2_LOG+G153*P3_LOG)+IF(ISNUMBER(M153),M153,AA153*P1_LOG+AB153*P2_LOG+AC153*P3_LOG)*AQ153</f>
        <v>0</v>
      </c>
      <c r="AK153" s="60" t="n">
        <f aca="false">AG153*COSTE_DEV</f>
        <v>0</v>
      </c>
      <c r="AL153" s="60" t="n">
        <f aca="false">AD153*P1_IVAN+AE153*P2_IVAN+AF153*IF($A153&lt;P3_DESDE,P3A_IVAN,P3_IVAN)-AG153*IVA_DEV</f>
        <v>0</v>
      </c>
      <c r="AM153" s="60" t="n">
        <f aca="false">N153*(1+RECARGO_ADS)</f>
        <v>0</v>
      </c>
      <c r="AN153" s="58" t="n">
        <f aca="false">IF(ISNUMBER(L153),E153+F153+G153+AA153+AB153+AC153,0)</f>
        <v>0</v>
      </c>
      <c r="AO153" s="60" t="n">
        <f aca="false">P153*COMISION</f>
        <v>0</v>
      </c>
      <c r="AP153" s="58" t="n">
        <f aca="false">MIN(N(K153),Q153)</f>
        <v>0</v>
      </c>
      <c r="AQ153" s="61" t="n">
        <f aca="false">IF(Q153&gt;0,((Q153-AP153)*AT153+AP153*TASA_INC)/Q153,AT153)</f>
        <v>0.659887072235414</v>
      </c>
      <c r="AR153" s="58" t="n">
        <f aca="false">IF($A153&lt;FECHA_EXPORT,NETWORKDAYS($A153+1,FECHA_EXPORT,FESTIVOS),0)</f>
        <v>0</v>
      </c>
      <c r="AS153" s="61" t="n">
        <f aca="false">IF(AR153&gt;=5,1,INDEX(CDF_INC,1,AR153+1))</f>
        <v>0.14</v>
      </c>
      <c r="AT153" s="61" t="n">
        <f aca="false">TASA_USADA+(TASA_INC-TASA_USADA)*Q_INC*(1-AS153)/(1-Q_INC*AS153)</f>
        <v>0.659887072235414</v>
      </c>
    </row>
    <row r="154" customFormat="false" ht="15" hidden="false" customHeight="false" outlineLevel="0" collapsed="false">
      <c r="A154" s="53" t="n">
        <v>46448</v>
      </c>
      <c r="B154" s="54"/>
      <c r="C154" s="54"/>
      <c r="D154" s="54"/>
      <c r="E154" s="54"/>
      <c r="F154" s="54"/>
      <c r="G154" s="54"/>
      <c r="H154" s="54"/>
      <c r="I154" s="54"/>
      <c r="J154" s="54"/>
      <c r="K154" s="54"/>
      <c r="L154" s="55"/>
      <c r="M154" s="55"/>
      <c r="N154" s="55"/>
      <c r="O154" s="56"/>
      <c r="P154" s="31" t="n">
        <f aca="false">B154+C154+D154</f>
        <v>0</v>
      </c>
      <c r="Q154" s="31" t="n">
        <f aca="false">AA154+AB154+AC154</f>
        <v>0</v>
      </c>
      <c r="R154" s="32" t="n">
        <f aca="false">B154*P1_PVP+C154*P2_PVP+D154*IF($A154&lt;P3_DESDE,P3A_PVP,P3_PVP)</f>
        <v>0</v>
      </c>
      <c r="S154" s="32" t="str">
        <f aca="false">IF(P154&gt;0,R154/P154,"")</f>
        <v/>
      </c>
      <c r="T154" s="32" t="str">
        <f aca="false">IF(P154&gt;0,N154/P154,"")</f>
        <v/>
      </c>
      <c r="U154" s="57" t="str">
        <f aca="false">IF(N154&gt;0,R154/N154,"")</f>
        <v/>
      </c>
      <c r="V154" s="34" t="str">
        <f aca="false">IF(E154+F154+G154+H154+I154+J154&gt;0,(E154+F154+G154)/(E154+F154+G154+H154+I154+J154),"")</f>
        <v/>
      </c>
      <c r="W154" s="33" t="n">
        <f aca="false">E154*(P1_PVP-P1_CPROD)+F154*(P2_PVP-P2_CPROD)+G154*(IF($A154&lt;P3_DESDE,P3A_PVP,P3_PVP)-IF($A154&lt;P3_DESDE,P3A_CPROD,P3_CPROD))-IF(ISNUMBER(L154),L154,E154*P1_LOG+F154*P2_LOG+G154*P3_LOG)</f>
        <v>0</v>
      </c>
      <c r="X154" s="33" t="n">
        <f aca="false">W154-(E154*P1_IVAN+F154*P2_IVAN+G154*IF($A154&lt;P3_DESDE,P3A_IVAN,P3_IVAN))-(H154+I154+J154)*(COSTE_DEV-IVA_DEV)-AM154-AO154</f>
        <v>0</v>
      </c>
      <c r="Y154" s="33" t="n">
        <f aca="false">AH154-AI154-AJ154-AK154-AL154-AM154-AO154</f>
        <v>0</v>
      </c>
      <c r="AA154" s="58" t="n">
        <f aca="false">MAX(0,B154-E154-H154)</f>
        <v>0</v>
      </c>
      <c r="AB154" s="58" t="n">
        <f aca="false">MAX(0,C154-F154-I154)</f>
        <v>0</v>
      </c>
      <c r="AC154" s="58" t="n">
        <f aca="false">MAX(0,D154-G154-J154)</f>
        <v>0</v>
      </c>
      <c r="AD154" s="59" t="n">
        <f aca="false">E154+AA154*AQ154</f>
        <v>0</v>
      </c>
      <c r="AE154" s="59" t="n">
        <f aca="false">F154+AB154*AQ154</f>
        <v>0</v>
      </c>
      <c r="AF154" s="59" t="n">
        <f aca="false">G154+AC154*AQ154</f>
        <v>0</v>
      </c>
      <c r="AG154" s="59" t="n">
        <f aca="false">H154+I154+J154+(AA154+AB154+AC154)*(1-AQ154)</f>
        <v>0</v>
      </c>
      <c r="AH154" s="60" t="n">
        <f aca="false">AD154*P1_PVP+AE154*P2_PVP+AF154*IF($A154&lt;P3_DESDE,P3A_PVP,P3_PVP)</f>
        <v>0</v>
      </c>
      <c r="AI154" s="60" t="n">
        <f aca="false">AD154*P1_CPROD+AE154*P2_CPROD+AF154*IF($A154&lt;P3_DESDE,P3A_CPROD,P3_CPROD)</f>
        <v>0</v>
      </c>
      <c r="AJ154" s="60" t="n">
        <f aca="false">IF(ISNUMBER(L154),L154,E154*P1_LOG+F154*P2_LOG+G154*P3_LOG)+IF(ISNUMBER(M154),M154,AA154*P1_LOG+AB154*P2_LOG+AC154*P3_LOG)*AQ154</f>
        <v>0</v>
      </c>
      <c r="AK154" s="60" t="n">
        <f aca="false">AG154*COSTE_DEV</f>
        <v>0</v>
      </c>
      <c r="AL154" s="60" t="n">
        <f aca="false">AD154*P1_IVAN+AE154*P2_IVAN+AF154*IF($A154&lt;P3_DESDE,P3A_IVAN,P3_IVAN)-AG154*IVA_DEV</f>
        <v>0</v>
      </c>
      <c r="AM154" s="60" t="n">
        <f aca="false">N154*(1+RECARGO_ADS)</f>
        <v>0</v>
      </c>
      <c r="AN154" s="58" t="n">
        <f aca="false">IF(ISNUMBER(L154),E154+F154+G154+AA154+AB154+AC154,0)</f>
        <v>0</v>
      </c>
      <c r="AO154" s="60" t="n">
        <f aca="false">P154*COMISION</f>
        <v>0</v>
      </c>
      <c r="AP154" s="58" t="n">
        <f aca="false">MIN(N(K154),Q154)</f>
        <v>0</v>
      </c>
      <c r="AQ154" s="61" t="n">
        <f aca="false">IF(Q154&gt;0,((Q154-AP154)*AT154+AP154*TASA_INC)/Q154,AT154)</f>
        <v>0.659887072235414</v>
      </c>
      <c r="AR154" s="58" t="n">
        <f aca="false">IF($A154&lt;FECHA_EXPORT,NETWORKDAYS($A154+1,FECHA_EXPORT,FESTIVOS),0)</f>
        <v>0</v>
      </c>
      <c r="AS154" s="61" t="n">
        <f aca="false">IF(AR154&gt;=5,1,INDEX(CDF_INC,1,AR154+1))</f>
        <v>0.14</v>
      </c>
      <c r="AT154" s="61" t="n">
        <f aca="false">TASA_USADA+(TASA_INC-TASA_USADA)*Q_INC*(1-AS154)/(1-Q_INC*AS154)</f>
        <v>0.659887072235414</v>
      </c>
    </row>
    <row r="155" customFormat="false" ht="15" hidden="false" customHeight="false" outlineLevel="0" collapsed="false">
      <c r="A155" s="53" t="n">
        <v>46449</v>
      </c>
      <c r="B155" s="54"/>
      <c r="C155" s="54"/>
      <c r="D155" s="54"/>
      <c r="E155" s="54"/>
      <c r="F155" s="54"/>
      <c r="G155" s="54"/>
      <c r="H155" s="54"/>
      <c r="I155" s="54"/>
      <c r="J155" s="54"/>
      <c r="K155" s="54"/>
      <c r="L155" s="55"/>
      <c r="M155" s="55"/>
      <c r="N155" s="55"/>
      <c r="O155" s="56"/>
      <c r="P155" s="31" t="n">
        <f aca="false">B155+C155+D155</f>
        <v>0</v>
      </c>
      <c r="Q155" s="31" t="n">
        <f aca="false">AA155+AB155+AC155</f>
        <v>0</v>
      </c>
      <c r="R155" s="32" t="n">
        <f aca="false">B155*P1_PVP+C155*P2_PVP+D155*IF($A155&lt;P3_DESDE,P3A_PVP,P3_PVP)</f>
        <v>0</v>
      </c>
      <c r="S155" s="32" t="str">
        <f aca="false">IF(P155&gt;0,R155/P155,"")</f>
        <v/>
      </c>
      <c r="T155" s="32" t="str">
        <f aca="false">IF(P155&gt;0,N155/P155,"")</f>
        <v/>
      </c>
      <c r="U155" s="57" t="str">
        <f aca="false">IF(N155&gt;0,R155/N155,"")</f>
        <v/>
      </c>
      <c r="V155" s="34" t="str">
        <f aca="false">IF(E155+F155+G155+H155+I155+J155&gt;0,(E155+F155+G155)/(E155+F155+G155+H155+I155+J155),"")</f>
        <v/>
      </c>
      <c r="W155" s="33" t="n">
        <f aca="false">E155*(P1_PVP-P1_CPROD)+F155*(P2_PVP-P2_CPROD)+G155*(IF($A155&lt;P3_DESDE,P3A_PVP,P3_PVP)-IF($A155&lt;P3_DESDE,P3A_CPROD,P3_CPROD))-IF(ISNUMBER(L155),L155,E155*P1_LOG+F155*P2_LOG+G155*P3_LOG)</f>
        <v>0</v>
      </c>
      <c r="X155" s="33" t="n">
        <f aca="false">W155-(E155*P1_IVAN+F155*P2_IVAN+G155*IF($A155&lt;P3_DESDE,P3A_IVAN,P3_IVAN))-(H155+I155+J155)*(COSTE_DEV-IVA_DEV)-AM155-AO155</f>
        <v>0</v>
      </c>
      <c r="Y155" s="33" t="n">
        <f aca="false">AH155-AI155-AJ155-AK155-AL155-AM155-AO155</f>
        <v>0</v>
      </c>
      <c r="AA155" s="58" t="n">
        <f aca="false">MAX(0,B155-E155-H155)</f>
        <v>0</v>
      </c>
      <c r="AB155" s="58" t="n">
        <f aca="false">MAX(0,C155-F155-I155)</f>
        <v>0</v>
      </c>
      <c r="AC155" s="58" t="n">
        <f aca="false">MAX(0,D155-G155-J155)</f>
        <v>0</v>
      </c>
      <c r="AD155" s="59" t="n">
        <f aca="false">E155+AA155*AQ155</f>
        <v>0</v>
      </c>
      <c r="AE155" s="59" t="n">
        <f aca="false">F155+AB155*AQ155</f>
        <v>0</v>
      </c>
      <c r="AF155" s="59" t="n">
        <f aca="false">G155+AC155*AQ155</f>
        <v>0</v>
      </c>
      <c r="AG155" s="59" t="n">
        <f aca="false">H155+I155+J155+(AA155+AB155+AC155)*(1-AQ155)</f>
        <v>0</v>
      </c>
      <c r="AH155" s="60" t="n">
        <f aca="false">AD155*P1_PVP+AE155*P2_PVP+AF155*IF($A155&lt;P3_DESDE,P3A_PVP,P3_PVP)</f>
        <v>0</v>
      </c>
      <c r="AI155" s="60" t="n">
        <f aca="false">AD155*P1_CPROD+AE155*P2_CPROD+AF155*IF($A155&lt;P3_DESDE,P3A_CPROD,P3_CPROD)</f>
        <v>0</v>
      </c>
      <c r="AJ155" s="60" t="n">
        <f aca="false">IF(ISNUMBER(L155),L155,E155*P1_LOG+F155*P2_LOG+G155*P3_LOG)+IF(ISNUMBER(M155),M155,AA155*P1_LOG+AB155*P2_LOG+AC155*P3_LOG)*AQ155</f>
        <v>0</v>
      </c>
      <c r="AK155" s="60" t="n">
        <f aca="false">AG155*COSTE_DEV</f>
        <v>0</v>
      </c>
      <c r="AL155" s="60" t="n">
        <f aca="false">AD155*P1_IVAN+AE155*P2_IVAN+AF155*IF($A155&lt;P3_DESDE,P3A_IVAN,P3_IVAN)-AG155*IVA_DEV</f>
        <v>0</v>
      </c>
      <c r="AM155" s="60" t="n">
        <f aca="false">N155*(1+RECARGO_ADS)</f>
        <v>0</v>
      </c>
      <c r="AN155" s="58" t="n">
        <f aca="false">IF(ISNUMBER(L155),E155+F155+G155+AA155+AB155+AC155,0)</f>
        <v>0</v>
      </c>
      <c r="AO155" s="60" t="n">
        <f aca="false">P155*COMISION</f>
        <v>0</v>
      </c>
      <c r="AP155" s="58" t="n">
        <f aca="false">MIN(N(K155),Q155)</f>
        <v>0</v>
      </c>
      <c r="AQ155" s="61" t="n">
        <f aca="false">IF(Q155&gt;0,((Q155-AP155)*AT155+AP155*TASA_INC)/Q155,AT155)</f>
        <v>0.659887072235414</v>
      </c>
      <c r="AR155" s="58" t="n">
        <f aca="false">IF($A155&lt;FECHA_EXPORT,NETWORKDAYS($A155+1,FECHA_EXPORT,FESTIVOS),0)</f>
        <v>0</v>
      </c>
      <c r="AS155" s="61" t="n">
        <f aca="false">IF(AR155&gt;=5,1,INDEX(CDF_INC,1,AR155+1))</f>
        <v>0.14</v>
      </c>
      <c r="AT155" s="61" t="n">
        <f aca="false">TASA_USADA+(TASA_INC-TASA_USADA)*Q_INC*(1-AS155)/(1-Q_INC*AS155)</f>
        <v>0.659887072235414</v>
      </c>
    </row>
    <row r="156" customFormat="false" ht="15" hidden="false" customHeight="false" outlineLevel="0" collapsed="false">
      <c r="A156" s="53" t="n">
        <v>46450</v>
      </c>
      <c r="B156" s="54"/>
      <c r="C156" s="54"/>
      <c r="D156" s="54"/>
      <c r="E156" s="54"/>
      <c r="F156" s="54"/>
      <c r="G156" s="54"/>
      <c r="H156" s="54"/>
      <c r="I156" s="54"/>
      <c r="J156" s="54"/>
      <c r="K156" s="54"/>
      <c r="L156" s="55"/>
      <c r="M156" s="55"/>
      <c r="N156" s="55"/>
      <c r="O156" s="56"/>
      <c r="P156" s="31" t="n">
        <f aca="false">B156+C156+D156</f>
        <v>0</v>
      </c>
      <c r="Q156" s="31" t="n">
        <f aca="false">AA156+AB156+AC156</f>
        <v>0</v>
      </c>
      <c r="R156" s="32" t="n">
        <f aca="false">B156*P1_PVP+C156*P2_PVP+D156*IF($A156&lt;P3_DESDE,P3A_PVP,P3_PVP)</f>
        <v>0</v>
      </c>
      <c r="S156" s="32" t="str">
        <f aca="false">IF(P156&gt;0,R156/P156,"")</f>
        <v/>
      </c>
      <c r="T156" s="32" t="str">
        <f aca="false">IF(P156&gt;0,N156/P156,"")</f>
        <v/>
      </c>
      <c r="U156" s="57" t="str">
        <f aca="false">IF(N156&gt;0,R156/N156,"")</f>
        <v/>
      </c>
      <c r="V156" s="34" t="str">
        <f aca="false">IF(E156+F156+G156+H156+I156+J156&gt;0,(E156+F156+G156)/(E156+F156+G156+H156+I156+J156),"")</f>
        <v/>
      </c>
      <c r="W156" s="33" t="n">
        <f aca="false">E156*(P1_PVP-P1_CPROD)+F156*(P2_PVP-P2_CPROD)+G156*(IF($A156&lt;P3_DESDE,P3A_PVP,P3_PVP)-IF($A156&lt;P3_DESDE,P3A_CPROD,P3_CPROD))-IF(ISNUMBER(L156),L156,E156*P1_LOG+F156*P2_LOG+G156*P3_LOG)</f>
        <v>0</v>
      </c>
      <c r="X156" s="33" t="n">
        <f aca="false">W156-(E156*P1_IVAN+F156*P2_IVAN+G156*IF($A156&lt;P3_DESDE,P3A_IVAN,P3_IVAN))-(H156+I156+J156)*(COSTE_DEV-IVA_DEV)-AM156-AO156</f>
        <v>0</v>
      </c>
      <c r="Y156" s="33" t="n">
        <f aca="false">AH156-AI156-AJ156-AK156-AL156-AM156-AO156</f>
        <v>0</v>
      </c>
      <c r="AA156" s="58" t="n">
        <f aca="false">MAX(0,B156-E156-H156)</f>
        <v>0</v>
      </c>
      <c r="AB156" s="58" t="n">
        <f aca="false">MAX(0,C156-F156-I156)</f>
        <v>0</v>
      </c>
      <c r="AC156" s="58" t="n">
        <f aca="false">MAX(0,D156-G156-J156)</f>
        <v>0</v>
      </c>
      <c r="AD156" s="59" t="n">
        <f aca="false">E156+AA156*AQ156</f>
        <v>0</v>
      </c>
      <c r="AE156" s="59" t="n">
        <f aca="false">F156+AB156*AQ156</f>
        <v>0</v>
      </c>
      <c r="AF156" s="59" t="n">
        <f aca="false">G156+AC156*AQ156</f>
        <v>0</v>
      </c>
      <c r="AG156" s="59" t="n">
        <f aca="false">H156+I156+J156+(AA156+AB156+AC156)*(1-AQ156)</f>
        <v>0</v>
      </c>
      <c r="AH156" s="60" t="n">
        <f aca="false">AD156*P1_PVP+AE156*P2_PVP+AF156*IF($A156&lt;P3_DESDE,P3A_PVP,P3_PVP)</f>
        <v>0</v>
      </c>
      <c r="AI156" s="60" t="n">
        <f aca="false">AD156*P1_CPROD+AE156*P2_CPROD+AF156*IF($A156&lt;P3_DESDE,P3A_CPROD,P3_CPROD)</f>
        <v>0</v>
      </c>
      <c r="AJ156" s="60" t="n">
        <f aca="false">IF(ISNUMBER(L156),L156,E156*P1_LOG+F156*P2_LOG+G156*P3_LOG)+IF(ISNUMBER(M156),M156,AA156*P1_LOG+AB156*P2_LOG+AC156*P3_LOG)*AQ156</f>
        <v>0</v>
      </c>
      <c r="AK156" s="60" t="n">
        <f aca="false">AG156*COSTE_DEV</f>
        <v>0</v>
      </c>
      <c r="AL156" s="60" t="n">
        <f aca="false">AD156*P1_IVAN+AE156*P2_IVAN+AF156*IF($A156&lt;P3_DESDE,P3A_IVAN,P3_IVAN)-AG156*IVA_DEV</f>
        <v>0</v>
      </c>
      <c r="AM156" s="60" t="n">
        <f aca="false">N156*(1+RECARGO_ADS)</f>
        <v>0</v>
      </c>
      <c r="AN156" s="58" t="n">
        <f aca="false">IF(ISNUMBER(L156),E156+F156+G156+AA156+AB156+AC156,0)</f>
        <v>0</v>
      </c>
      <c r="AO156" s="60" t="n">
        <f aca="false">P156*COMISION</f>
        <v>0</v>
      </c>
      <c r="AP156" s="58" t="n">
        <f aca="false">MIN(N(K156),Q156)</f>
        <v>0</v>
      </c>
      <c r="AQ156" s="61" t="n">
        <f aca="false">IF(Q156&gt;0,((Q156-AP156)*AT156+AP156*TASA_INC)/Q156,AT156)</f>
        <v>0.659887072235414</v>
      </c>
      <c r="AR156" s="58" t="n">
        <f aca="false">IF($A156&lt;FECHA_EXPORT,NETWORKDAYS($A156+1,FECHA_EXPORT,FESTIVOS),0)</f>
        <v>0</v>
      </c>
      <c r="AS156" s="61" t="n">
        <f aca="false">IF(AR156&gt;=5,1,INDEX(CDF_INC,1,AR156+1))</f>
        <v>0.14</v>
      </c>
      <c r="AT156" s="61" t="n">
        <f aca="false">TASA_USADA+(TASA_INC-TASA_USADA)*Q_INC*(1-AS156)/(1-Q_INC*AS156)</f>
        <v>0.659887072235414</v>
      </c>
    </row>
    <row r="157" customFormat="false" ht="15" hidden="false" customHeight="false" outlineLevel="0" collapsed="false">
      <c r="A157" s="53" t="n">
        <v>46451</v>
      </c>
      <c r="B157" s="54"/>
      <c r="C157" s="54"/>
      <c r="D157" s="54"/>
      <c r="E157" s="54"/>
      <c r="F157" s="54"/>
      <c r="G157" s="54"/>
      <c r="H157" s="54"/>
      <c r="I157" s="54"/>
      <c r="J157" s="54"/>
      <c r="K157" s="54"/>
      <c r="L157" s="55"/>
      <c r="M157" s="55"/>
      <c r="N157" s="55"/>
      <c r="O157" s="56"/>
      <c r="P157" s="31" t="n">
        <f aca="false">B157+C157+D157</f>
        <v>0</v>
      </c>
      <c r="Q157" s="31" t="n">
        <f aca="false">AA157+AB157+AC157</f>
        <v>0</v>
      </c>
      <c r="R157" s="32" t="n">
        <f aca="false">B157*P1_PVP+C157*P2_PVP+D157*IF($A157&lt;P3_DESDE,P3A_PVP,P3_PVP)</f>
        <v>0</v>
      </c>
      <c r="S157" s="32" t="str">
        <f aca="false">IF(P157&gt;0,R157/P157,"")</f>
        <v/>
      </c>
      <c r="T157" s="32" t="str">
        <f aca="false">IF(P157&gt;0,N157/P157,"")</f>
        <v/>
      </c>
      <c r="U157" s="57" t="str">
        <f aca="false">IF(N157&gt;0,R157/N157,"")</f>
        <v/>
      </c>
      <c r="V157" s="34" t="str">
        <f aca="false">IF(E157+F157+G157+H157+I157+J157&gt;0,(E157+F157+G157)/(E157+F157+G157+H157+I157+J157),"")</f>
        <v/>
      </c>
      <c r="W157" s="33" t="n">
        <f aca="false">E157*(P1_PVP-P1_CPROD)+F157*(P2_PVP-P2_CPROD)+G157*(IF($A157&lt;P3_DESDE,P3A_PVP,P3_PVP)-IF($A157&lt;P3_DESDE,P3A_CPROD,P3_CPROD))-IF(ISNUMBER(L157),L157,E157*P1_LOG+F157*P2_LOG+G157*P3_LOG)</f>
        <v>0</v>
      </c>
      <c r="X157" s="33" t="n">
        <f aca="false">W157-(E157*P1_IVAN+F157*P2_IVAN+G157*IF($A157&lt;P3_DESDE,P3A_IVAN,P3_IVAN))-(H157+I157+J157)*(COSTE_DEV-IVA_DEV)-AM157-AO157</f>
        <v>0</v>
      </c>
      <c r="Y157" s="33" t="n">
        <f aca="false">AH157-AI157-AJ157-AK157-AL157-AM157-AO157</f>
        <v>0</v>
      </c>
      <c r="AA157" s="58" t="n">
        <f aca="false">MAX(0,B157-E157-H157)</f>
        <v>0</v>
      </c>
      <c r="AB157" s="58" t="n">
        <f aca="false">MAX(0,C157-F157-I157)</f>
        <v>0</v>
      </c>
      <c r="AC157" s="58" t="n">
        <f aca="false">MAX(0,D157-G157-J157)</f>
        <v>0</v>
      </c>
      <c r="AD157" s="59" t="n">
        <f aca="false">E157+AA157*AQ157</f>
        <v>0</v>
      </c>
      <c r="AE157" s="59" t="n">
        <f aca="false">F157+AB157*AQ157</f>
        <v>0</v>
      </c>
      <c r="AF157" s="59" t="n">
        <f aca="false">G157+AC157*AQ157</f>
        <v>0</v>
      </c>
      <c r="AG157" s="59" t="n">
        <f aca="false">H157+I157+J157+(AA157+AB157+AC157)*(1-AQ157)</f>
        <v>0</v>
      </c>
      <c r="AH157" s="60" t="n">
        <f aca="false">AD157*P1_PVP+AE157*P2_PVP+AF157*IF($A157&lt;P3_DESDE,P3A_PVP,P3_PVP)</f>
        <v>0</v>
      </c>
      <c r="AI157" s="60" t="n">
        <f aca="false">AD157*P1_CPROD+AE157*P2_CPROD+AF157*IF($A157&lt;P3_DESDE,P3A_CPROD,P3_CPROD)</f>
        <v>0</v>
      </c>
      <c r="AJ157" s="60" t="n">
        <f aca="false">IF(ISNUMBER(L157),L157,E157*P1_LOG+F157*P2_LOG+G157*P3_LOG)+IF(ISNUMBER(M157),M157,AA157*P1_LOG+AB157*P2_LOG+AC157*P3_LOG)*AQ157</f>
        <v>0</v>
      </c>
      <c r="AK157" s="60" t="n">
        <f aca="false">AG157*COSTE_DEV</f>
        <v>0</v>
      </c>
      <c r="AL157" s="60" t="n">
        <f aca="false">AD157*P1_IVAN+AE157*P2_IVAN+AF157*IF($A157&lt;P3_DESDE,P3A_IVAN,P3_IVAN)-AG157*IVA_DEV</f>
        <v>0</v>
      </c>
      <c r="AM157" s="60" t="n">
        <f aca="false">N157*(1+RECARGO_ADS)</f>
        <v>0</v>
      </c>
      <c r="AN157" s="58" t="n">
        <f aca="false">IF(ISNUMBER(L157),E157+F157+G157+AA157+AB157+AC157,0)</f>
        <v>0</v>
      </c>
      <c r="AO157" s="60" t="n">
        <f aca="false">P157*COMISION</f>
        <v>0</v>
      </c>
      <c r="AP157" s="58" t="n">
        <f aca="false">MIN(N(K157),Q157)</f>
        <v>0</v>
      </c>
      <c r="AQ157" s="61" t="n">
        <f aca="false">IF(Q157&gt;0,((Q157-AP157)*AT157+AP157*TASA_INC)/Q157,AT157)</f>
        <v>0.659887072235414</v>
      </c>
      <c r="AR157" s="58" t="n">
        <f aca="false">IF($A157&lt;FECHA_EXPORT,NETWORKDAYS($A157+1,FECHA_EXPORT,FESTIVOS),0)</f>
        <v>0</v>
      </c>
      <c r="AS157" s="61" t="n">
        <f aca="false">IF(AR157&gt;=5,1,INDEX(CDF_INC,1,AR157+1))</f>
        <v>0.14</v>
      </c>
      <c r="AT157" s="61" t="n">
        <f aca="false">TASA_USADA+(TASA_INC-TASA_USADA)*Q_INC*(1-AS157)/(1-Q_INC*AS157)</f>
        <v>0.659887072235414</v>
      </c>
    </row>
    <row r="158" customFormat="false" ht="15" hidden="false" customHeight="false" outlineLevel="0" collapsed="false">
      <c r="A158" s="53" t="n">
        <v>46452</v>
      </c>
      <c r="B158" s="54"/>
      <c r="C158" s="54"/>
      <c r="D158" s="54"/>
      <c r="E158" s="54"/>
      <c r="F158" s="54"/>
      <c r="G158" s="54"/>
      <c r="H158" s="54"/>
      <c r="I158" s="54"/>
      <c r="J158" s="54"/>
      <c r="K158" s="54"/>
      <c r="L158" s="55"/>
      <c r="M158" s="55"/>
      <c r="N158" s="55"/>
      <c r="O158" s="56"/>
      <c r="P158" s="31" t="n">
        <f aca="false">B158+C158+D158</f>
        <v>0</v>
      </c>
      <c r="Q158" s="31" t="n">
        <f aca="false">AA158+AB158+AC158</f>
        <v>0</v>
      </c>
      <c r="R158" s="32" t="n">
        <f aca="false">B158*P1_PVP+C158*P2_PVP+D158*IF($A158&lt;P3_DESDE,P3A_PVP,P3_PVP)</f>
        <v>0</v>
      </c>
      <c r="S158" s="32" t="str">
        <f aca="false">IF(P158&gt;0,R158/P158,"")</f>
        <v/>
      </c>
      <c r="T158" s="32" t="str">
        <f aca="false">IF(P158&gt;0,N158/P158,"")</f>
        <v/>
      </c>
      <c r="U158" s="57" t="str">
        <f aca="false">IF(N158&gt;0,R158/N158,"")</f>
        <v/>
      </c>
      <c r="V158" s="34" t="str">
        <f aca="false">IF(E158+F158+G158+H158+I158+J158&gt;0,(E158+F158+G158)/(E158+F158+G158+H158+I158+J158),"")</f>
        <v/>
      </c>
      <c r="W158" s="33" t="n">
        <f aca="false">E158*(P1_PVP-P1_CPROD)+F158*(P2_PVP-P2_CPROD)+G158*(IF($A158&lt;P3_DESDE,P3A_PVP,P3_PVP)-IF($A158&lt;P3_DESDE,P3A_CPROD,P3_CPROD))-IF(ISNUMBER(L158),L158,E158*P1_LOG+F158*P2_LOG+G158*P3_LOG)</f>
        <v>0</v>
      </c>
      <c r="X158" s="33" t="n">
        <f aca="false">W158-(E158*P1_IVAN+F158*P2_IVAN+G158*IF($A158&lt;P3_DESDE,P3A_IVAN,P3_IVAN))-(H158+I158+J158)*(COSTE_DEV-IVA_DEV)-AM158-AO158</f>
        <v>0</v>
      </c>
      <c r="Y158" s="33" t="n">
        <f aca="false">AH158-AI158-AJ158-AK158-AL158-AM158-AO158</f>
        <v>0</v>
      </c>
      <c r="AA158" s="58" t="n">
        <f aca="false">MAX(0,B158-E158-H158)</f>
        <v>0</v>
      </c>
      <c r="AB158" s="58" t="n">
        <f aca="false">MAX(0,C158-F158-I158)</f>
        <v>0</v>
      </c>
      <c r="AC158" s="58" t="n">
        <f aca="false">MAX(0,D158-G158-J158)</f>
        <v>0</v>
      </c>
      <c r="AD158" s="59" t="n">
        <f aca="false">E158+AA158*AQ158</f>
        <v>0</v>
      </c>
      <c r="AE158" s="59" t="n">
        <f aca="false">F158+AB158*AQ158</f>
        <v>0</v>
      </c>
      <c r="AF158" s="59" t="n">
        <f aca="false">G158+AC158*AQ158</f>
        <v>0</v>
      </c>
      <c r="AG158" s="59" t="n">
        <f aca="false">H158+I158+J158+(AA158+AB158+AC158)*(1-AQ158)</f>
        <v>0</v>
      </c>
      <c r="AH158" s="60" t="n">
        <f aca="false">AD158*P1_PVP+AE158*P2_PVP+AF158*IF($A158&lt;P3_DESDE,P3A_PVP,P3_PVP)</f>
        <v>0</v>
      </c>
      <c r="AI158" s="60" t="n">
        <f aca="false">AD158*P1_CPROD+AE158*P2_CPROD+AF158*IF($A158&lt;P3_DESDE,P3A_CPROD,P3_CPROD)</f>
        <v>0</v>
      </c>
      <c r="AJ158" s="60" t="n">
        <f aca="false">IF(ISNUMBER(L158),L158,E158*P1_LOG+F158*P2_LOG+G158*P3_LOG)+IF(ISNUMBER(M158),M158,AA158*P1_LOG+AB158*P2_LOG+AC158*P3_LOG)*AQ158</f>
        <v>0</v>
      </c>
      <c r="AK158" s="60" t="n">
        <f aca="false">AG158*COSTE_DEV</f>
        <v>0</v>
      </c>
      <c r="AL158" s="60" t="n">
        <f aca="false">AD158*P1_IVAN+AE158*P2_IVAN+AF158*IF($A158&lt;P3_DESDE,P3A_IVAN,P3_IVAN)-AG158*IVA_DEV</f>
        <v>0</v>
      </c>
      <c r="AM158" s="60" t="n">
        <f aca="false">N158*(1+RECARGO_ADS)</f>
        <v>0</v>
      </c>
      <c r="AN158" s="58" t="n">
        <f aca="false">IF(ISNUMBER(L158),E158+F158+G158+AA158+AB158+AC158,0)</f>
        <v>0</v>
      </c>
      <c r="AO158" s="60" t="n">
        <f aca="false">P158*COMISION</f>
        <v>0</v>
      </c>
      <c r="AP158" s="58" t="n">
        <f aca="false">MIN(N(K158),Q158)</f>
        <v>0</v>
      </c>
      <c r="AQ158" s="61" t="n">
        <f aca="false">IF(Q158&gt;0,((Q158-AP158)*AT158+AP158*TASA_INC)/Q158,AT158)</f>
        <v>0.659887072235414</v>
      </c>
      <c r="AR158" s="58" t="n">
        <f aca="false">IF($A158&lt;FECHA_EXPORT,NETWORKDAYS($A158+1,FECHA_EXPORT,FESTIVOS),0)</f>
        <v>0</v>
      </c>
      <c r="AS158" s="61" t="n">
        <f aca="false">IF(AR158&gt;=5,1,INDEX(CDF_INC,1,AR158+1))</f>
        <v>0.14</v>
      </c>
      <c r="AT158" s="61" t="n">
        <f aca="false">TASA_USADA+(TASA_INC-TASA_USADA)*Q_INC*(1-AS158)/(1-Q_INC*AS158)</f>
        <v>0.659887072235414</v>
      </c>
    </row>
    <row r="159" customFormat="false" ht="15" hidden="false" customHeight="false" outlineLevel="0" collapsed="false">
      <c r="A159" s="53" t="n">
        <v>46453</v>
      </c>
      <c r="B159" s="54"/>
      <c r="C159" s="54"/>
      <c r="D159" s="54"/>
      <c r="E159" s="54"/>
      <c r="F159" s="54"/>
      <c r="G159" s="54"/>
      <c r="H159" s="54"/>
      <c r="I159" s="54"/>
      <c r="J159" s="54"/>
      <c r="K159" s="54"/>
      <c r="L159" s="55"/>
      <c r="M159" s="55"/>
      <c r="N159" s="55"/>
      <c r="O159" s="56"/>
      <c r="P159" s="31" t="n">
        <f aca="false">B159+C159+D159</f>
        <v>0</v>
      </c>
      <c r="Q159" s="31" t="n">
        <f aca="false">AA159+AB159+AC159</f>
        <v>0</v>
      </c>
      <c r="R159" s="32" t="n">
        <f aca="false">B159*P1_PVP+C159*P2_PVP+D159*IF($A159&lt;P3_DESDE,P3A_PVP,P3_PVP)</f>
        <v>0</v>
      </c>
      <c r="S159" s="32" t="str">
        <f aca="false">IF(P159&gt;0,R159/P159,"")</f>
        <v/>
      </c>
      <c r="T159" s="32" t="str">
        <f aca="false">IF(P159&gt;0,N159/P159,"")</f>
        <v/>
      </c>
      <c r="U159" s="57" t="str">
        <f aca="false">IF(N159&gt;0,R159/N159,"")</f>
        <v/>
      </c>
      <c r="V159" s="34" t="str">
        <f aca="false">IF(E159+F159+G159+H159+I159+J159&gt;0,(E159+F159+G159)/(E159+F159+G159+H159+I159+J159),"")</f>
        <v/>
      </c>
      <c r="W159" s="33" t="n">
        <f aca="false">E159*(P1_PVP-P1_CPROD)+F159*(P2_PVP-P2_CPROD)+G159*(IF($A159&lt;P3_DESDE,P3A_PVP,P3_PVP)-IF($A159&lt;P3_DESDE,P3A_CPROD,P3_CPROD))-IF(ISNUMBER(L159),L159,E159*P1_LOG+F159*P2_LOG+G159*P3_LOG)</f>
        <v>0</v>
      </c>
      <c r="X159" s="33" t="n">
        <f aca="false">W159-(E159*P1_IVAN+F159*P2_IVAN+G159*IF($A159&lt;P3_DESDE,P3A_IVAN,P3_IVAN))-(H159+I159+J159)*(COSTE_DEV-IVA_DEV)-AM159-AO159</f>
        <v>0</v>
      </c>
      <c r="Y159" s="33" t="n">
        <f aca="false">AH159-AI159-AJ159-AK159-AL159-AM159-AO159</f>
        <v>0</v>
      </c>
      <c r="AA159" s="58" t="n">
        <f aca="false">MAX(0,B159-E159-H159)</f>
        <v>0</v>
      </c>
      <c r="AB159" s="58" t="n">
        <f aca="false">MAX(0,C159-F159-I159)</f>
        <v>0</v>
      </c>
      <c r="AC159" s="58" t="n">
        <f aca="false">MAX(0,D159-G159-J159)</f>
        <v>0</v>
      </c>
      <c r="AD159" s="59" t="n">
        <f aca="false">E159+AA159*AQ159</f>
        <v>0</v>
      </c>
      <c r="AE159" s="59" t="n">
        <f aca="false">F159+AB159*AQ159</f>
        <v>0</v>
      </c>
      <c r="AF159" s="59" t="n">
        <f aca="false">G159+AC159*AQ159</f>
        <v>0</v>
      </c>
      <c r="AG159" s="59" t="n">
        <f aca="false">H159+I159+J159+(AA159+AB159+AC159)*(1-AQ159)</f>
        <v>0</v>
      </c>
      <c r="AH159" s="60" t="n">
        <f aca="false">AD159*P1_PVP+AE159*P2_PVP+AF159*IF($A159&lt;P3_DESDE,P3A_PVP,P3_PVP)</f>
        <v>0</v>
      </c>
      <c r="AI159" s="60" t="n">
        <f aca="false">AD159*P1_CPROD+AE159*P2_CPROD+AF159*IF($A159&lt;P3_DESDE,P3A_CPROD,P3_CPROD)</f>
        <v>0</v>
      </c>
      <c r="AJ159" s="60" t="n">
        <f aca="false">IF(ISNUMBER(L159),L159,E159*P1_LOG+F159*P2_LOG+G159*P3_LOG)+IF(ISNUMBER(M159),M159,AA159*P1_LOG+AB159*P2_LOG+AC159*P3_LOG)*AQ159</f>
        <v>0</v>
      </c>
      <c r="AK159" s="60" t="n">
        <f aca="false">AG159*COSTE_DEV</f>
        <v>0</v>
      </c>
      <c r="AL159" s="60" t="n">
        <f aca="false">AD159*P1_IVAN+AE159*P2_IVAN+AF159*IF($A159&lt;P3_DESDE,P3A_IVAN,P3_IVAN)-AG159*IVA_DEV</f>
        <v>0</v>
      </c>
      <c r="AM159" s="60" t="n">
        <f aca="false">N159*(1+RECARGO_ADS)</f>
        <v>0</v>
      </c>
      <c r="AN159" s="58" t="n">
        <f aca="false">IF(ISNUMBER(L159),E159+F159+G159+AA159+AB159+AC159,0)</f>
        <v>0</v>
      </c>
      <c r="AO159" s="60" t="n">
        <f aca="false">P159*COMISION</f>
        <v>0</v>
      </c>
      <c r="AP159" s="58" t="n">
        <f aca="false">MIN(N(K159),Q159)</f>
        <v>0</v>
      </c>
      <c r="AQ159" s="61" t="n">
        <f aca="false">IF(Q159&gt;0,((Q159-AP159)*AT159+AP159*TASA_INC)/Q159,AT159)</f>
        <v>0.659887072235414</v>
      </c>
      <c r="AR159" s="58" t="n">
        <f aca="false">IF($A159&lt;FECHA_EXPORT,NETWORKDAYS($A159+1,FECHA_EXPORT,FESTIVOS),0)</f>
        <v>0</v>
      </c>
      <c r="AS159" s="61" t="n">
        <f aca="false">IF(AR159&gt;=5,1,INDEX(CDF_INC,1,AR159+1))</f>
        <v>0.14</v>
      </c>
      <c r="AT159" s="61" t="n">
        <f aca="false">TASA_USADA+(TASA_INC-TASA_USADA)*Q_INC*(1-AS159)/(1-Q_INC*AS159)</f>
        <v>0.659887072235414</v>
      </c>
    </row>
    <row r="160" customFormat="false" ht="15" hidden="false" customHeight="false" outlineLevel="0" collapsed="false">
      <c r="A160" s="53" t="n">
        <v>46454</v>
      </c>
      <c r="B160" s="54"/>
      <c r="C160" s="54"/>
      <c r="D160" s="54"/>
      <c r="E160" s="54"/>
      <c r="F160" s="54"/>
      <c r="G160" s="54"/>
      <c r="H160" s="54"/>
      <c r="I160" s="54"/>
      <c r="J160" s="54"/>
      <c r="K160" s="54"/>
      <c r="L160" s="55"/>
      <c r="M160" s="55"/>
      <c r="N160" s="55"/>
      <c r="O160" s="56"/>
      <c r="P160" s="31" t="n">
        <f aca="false">B160+C160+D160</f>
        <v>0</v>
      </c>
      <c r="Q160" s="31" t="n">
        <f aca="false">AA160+AB160+AC160</f>
        <v>0</v>
      </c>
      <c r="R160" s="32" t="n">
        <f aca="false">B160*P1_PVP+C160*P2_PVP+D160*IF($A160&lt;P3_DESDE,P3A_PVP,P3_PVP)</f>
        <v>0</v>
      </c>
      <c r="S160" s="32" t="str">
        <f aca="false">IF(P160&gt;0,R160/P160,"")</f>
        <v/>
      </c>
      <c r="T160" s="32" t="str">
        <f aca="false">IF(P160&gt;0,N160/P160,"")</f>
        <v/>
      </c>
      <c r="U160" s="57" t="str">
        <f aca="false">IF(N160&gt;0,R160/N160,"")</f>
        <v/>
      </c>
      <c r="V160" s="34" t="str">
        <f aca="false">IF(E160+F160+G160+H160+I160+J160&gt;0,(E160+F160+G160)/(E160+F160+G160+H160+I160+J160),"")</f>
        <v/>
      </c>
      <c r="W160" s="33" t="n">
        <f aca="false">E160*(P1_PVP-P1_CPROD)+F160*(P2_PVP-P2_CPROD)+G160*(IF($A160&lt;P3_DESDE,P3A_PVP,P3_PVP)-IF($A160&lt;P3_DESDE,P3A_CPROD,P3_CPROD))-IF(ISNUMBER(L160),L160,E160*P1_LOG+F160*P2_LOG+G160*P3_LOG)</f>
        <v>0</v>
      </c>
      <c r="X160" s="33" t="n">
        <f aca="false">W160-(E160*P1_IVAN+F160*P2_IVAN+G160*IF($A160&lt;P3_DESDE,P3A_IVAN,P3_IVAN))-(H160+I160+J160)*(COSTE_DEV-IVA_DEV)-AM160-AO160</f>
        <v>0</v>
      </c>
      <c r="Y160" s="33" t="n">
        <f aca="false">AH160-AI160-AJ160-AK160-AL160-AM160-AO160</f>
        <v>0</v>
      </c>
      <c r="AA160" s="58" t="n">
        <f aca="false">MAX(0,B160-E160-H160)</f>
        <v>0</v>
      </c>
      <c r="AB160" s="58" t="n">
        <f aca="false">MAX(0,C160-F160-I160)</f>
        <v>0</v>
      </c>
      <c r="AC160" s="58" t="n">
        <f aca="false">MAX(0,D160-G160-J160)</f>
        <v>0</v>
      </c>
      <c r="AD160" s="59" t="n">
        <f aca="false">E160+AA160*AQ160</f>
        <v>0</v>
      </c>
      <c r="AE160" s="59" t="n">
        <f aca="false">F160+AB160*AQ160</f>
        <v>0</v>
      </c>
      <c r="AF160" s="59" t="n">
        <f aca="false">G160+AC160*AQ160</f>
        <v>0</v>
      </c>
      <c r="AG160" s="59" t="n">
        <f aca="false">H160+I160+J160+(AA160+AB160+AC160)*(1-AQ160)</f>
        <v>0</v>
      </c>
      <c r="AH160" s="60" t="n">
        <f aca="false">AD160*P1_PVP+AE160*P2_PVP+AF160*IF($A160&lt;P3_DESDE,P3A_PVP,P3_PVP)</f>
        <v>0</v>
      </c>
      <c r="AI160" s="60" t="n">
        <f aca="false">AD160*P1_CPROD+AE160*P2_CPROD+AF160*IF($A160&lt;P3_DESDE,P3A_CPROD,P3_CPROD)</f>
        <v>0</v>
      </c>
      <c r="AJ160" s="60" t="n">
        <f aca="false">IF(ISNUMBER(L160),L160,E160*P1_LOG+F160*P2_LOG+G160*P3_LOG)+IF(ISNUMBER(M160),M160,AA160*P1_LOG+AB160*P2_LOG+AC160*P3_LOG)*AQ160</f>
        <v>0</v>
      </c>
      <c r="AK160" s="60" t="n">
        <f aca="false">AG160*COSTE_DEV</f>
        <v>0</v>
      </c>
      <c r="AL160" s="60" t="n">
        <f aca="false">AD160*P1_IVAN+AE160*P2_IVAN+AF160*IF($A160&lt;P3_DESDE,P3A_IVAN,P3_IVAN)-AG160*IVA_DEV</f>
        <v>0</v>
      </c>
      <c r="AM160" s="60" t="n">
        <f aca="false">N160*(1+RECARGO_ADS)</f>
        <v>0</v>
      </c>
      <c r="AN160" s="58" t="n">
        <f aca="false">IF(ISNUMBER(L160),E160+F160+G160+AA160+AB160+AC160,0)</f>
        <v>0</v>
      </c>
      <c r="AO160" s="60" t="n">
        <f aca="false">P160*COMISION</f>
        <v>0</v>
      </c>
      <c r="AP160" s="58" t="n">
        <f aca="false">MIN(N(K160),Q160)</f>
        <v>0</v>
      </c>
      <c r="AQ160" s="61" t="n">
        <f aca="false">IF(Q160&gt;0,((Q160-AP160)*AT160+AP160*TASA_INC)/Q160,AT160)</f>
        <v>0.659887072235414</v>
      </c>
      <c r="AR160" s="58" t="n">
        <f aca="false">IF($A160&lt;FECHA_EXPORT,NETWORKDAYS($A160+1,FECHA_EXPORT,FESTIVOS),0)</f>
        <v>0</v>
      </c>
      <c r="AS160" s="61" t="n">
        <f aca="false">IF(AR160&gt;=5,1,INDEX(CDF_INC,1,AR160+1))</f>
        <v>0.14</v>
      </c>
      <c r="AT160" s="61" t="n">
        <f aca="false">TASA_USADA+(TASA_INC-TASA_USADA)*Q_INC*(1-AS160)/(1-Q_INC*AS160)</f>
        <v>0.659887072235414</v>
      </c>
    </row>
    <row r="161" customFormat="false" ht="15" hidden="false" customHeight="false" outlineLevel="0" collapsed="false">
      <c r="A161" s="53" t="n">
        <v>46455</v>
      </c>
      <c r="B161" s="54"/>
      <c r="C161" s="54"/>
      <c r="D161" s="54"/>
      <c r="E161" s="54"/>
      <c r="F161" s="54"/>
      <c r="G161" s="54"/>
      <c r="H161" s="54"/>
      <c r="I161" s="54"/>
      <c r="J161" s="54"/>
      <c r="K161" s="54"/>
      <c r="L161" s="55"/>
      <c r="M161" s="55"/>
      <c r="N161" s="55"/>
      <c r="O161" s="56"/>
      <c r="P161" s="31" t="n">
        <f aca="false">B161+C161+D161</f>
        <v>0</v>
      </c>
      <c r="Q161" s="31" t="n">
        <f aca="false">AA161+AB161+AC161</f>
        <v>0</v>
      </c>
      <c r="R161" s="32" t="n">
        <f aca="false">B161*P1_PVP+C161*P2_PVP+D161*IF($A161&lt;P3_DESDE,P3A_PVP,P3_PVP)</f>
        <v>0</v>
      </c>
      <c r="S161" s="32" t="str">
        <f aca="false">IF(P161&gt;0,R161/P161,"")</f>
        <v/>
      </c>
      <c r="T161" s="32" t="str">
        <f aca="false">IF(P161&gt;0,N161/P161,"")</f>
        <v/>
      </c>
      <c r="U161" s="57" t="str">
        <f aca="false">IF(N161&gt;0,R161/N161,"")</f>
        <v/>
      </c>
      <c r="V161" s="34" t="str">
        <f aca="false">IF(E161+F161+G161+H161+I161+J161&gt;0,(E161+F161+G161)/(E161+F161+G161+H161+I161+J161),"")</f>
        <v/>
      </c>
      <c r="W161" s="33" t="n">
        <f aca="false">E161*(P1_PVP-P1_CPROD)+F161*(P2_PVP-P2_CPROD)+G161*(IF($A161&lt;P3_DESDE,P3A_PVP,P3_PVP)-IF($A161&lt;P3_DESDE,P3A_CPROD,P3_CPROD))-IF(ISNUMBER(L161),L161,E161*P1_LOG+F161*P2_LOG+G161*P3_LOG)</f>
        <v>0</v>
      </c>
      <c r="X161" s="33" t="n">
        <f aca="false">W161-(E161*P1_IVAN+F161*P2_IVAN+G161*IF($A161&lt;P3_DESDE,P3A_IVAN,P3_IVAN))-(H161+I161+J161)*(COSTE_DEV-IVA_DEV)-AM161-AO161</f>
        <v>0</v>
      </c>
      <c r="Y161" s="33" t="n">
        <f aca="false">AH161-AI161-AJ161-AK161-AL161-AM161-AO161</f>
        <v>0</v>
      </c>
      <c r="AA161" s="58" t="n">
        <f aca="false">MAX(0,B161-E161-H161)</f>
        <v>0</v>
      </c>
      <c r="AB161" s="58" t="n">
        <f aca="false">MAX(0,C161-F161-I161)</f>
        <v>0</v>
      </c>
      <c r="AC161" s="58" t="n">
        <f aca="false">MAX(0,D161-G161-J161)</f>
        <v>0</v>
      </c>
      <c r="AD161" s="59" t="n">
        <f aca="false">E161+AA161*AQ161</f>
        <v>0</v>
      </c>
      <c r="AE161" s="59" t="n">
        <f aca="false">F161+AB161*AQ161</f>
        <v>0</v>
      </c>
      <c r="AF161" s="59" t="n">
        <f aca="false">G161+AC161*AQ161</f>
        <v>0</v>
      </c>
      <c r="AG161" s="59" t="n">
        <f aca="false">H161+I161+J161+(AA161+AB161+AC161)*(1-AQ161)</f>
        <v>0</v>
      </c>
      <c r="AH161" s="60" t="n">
        <f aca="false">AD161*P1_PVP+AE161*P2_PVP+AF161*IF($A161&lt;P3_DESDE,P3A_PVP,P3_PVP)</f>
        <v>0</v>
      </c>
      <c r="AI161" s="60" t="n">
        <f aca="false">AD161*P1_CPROD+AE161*P2_CPROD+AF161*IF($A161&lt;P3_DESDE,P3A_CPROD,P3_CPROD)</f>
        <v>0</v>
      </c>
      <c r="AJ161" s="60" t="n">
        <f aca="false">IF(ISNUMBER(L161),L161,E161*P1_LOG+F161*P2_LOG+G161*P3_LOG)+IF(ISNUMBER(M161),M161,AA161*P1_LOG+AB161*P2_LOG+AC161*P3_LOG)*AQ161</f>
        <v>0</v>
      </c>
      <c r="AK161" s="60" t="n">
        <f aca="false">AG161*COSTE_DEV</f>
        <v>0</v>
      </c>
      <c r="AL161" s="60" t="n">
        <f aca="false">AD161*P1_IVAN+AE161*P2_IVAN+AF161*IF($A161&lt;P3_DESDE,P3A_IVAN,P3_IVAN)-AG161*IVA_DEV</f>
        <v>0</v>
      </c>
      <c r="AM161" s="60" t="n">
        <f aca="false">N161*(1+RECARGO_ADS)</f>
        <v>0</v>
      </c>
      <c r="AN161" s="58" t="n">
        <f aca="false">IF(ISNUMBER(L161),E161+F161+G161+AA161+AB161+AC161,0)</f>
        <v>0</v>
      </c>
      <c r="AO161" s="60" t="n">
        <f aca="false">P161*COMISION</f>
        <v>0</v>
      </c>
      <c r="AP161" s="58" t="n">
        <f aca="false">MIN(N(K161),Q161)</f>
        <v>0</v>
      </c>
      <c r="AQ161" s="61" t="n">
        <f aca="false">IF(Q161&gt;0,((Q161-AP161)*AT161+AP161*TASA_INC)/Q161,AT161)</f>
        <v>0.659887072235414</v>
      </c>
      <c r="AR161" s="58" t="n">
        <f aca="false">IF($A161&lt;FECHA_EXPORT,NETWORKDAYS($A161+1,FECHA_EXPORT,FESTIVOS),0)</f>
        <v>0</v>
      </c>
      <c r="AS161" s="61" t="n">
        <f aca="false">IF(AR161&gt;=5,1,INDEX(CDF_INC,1,AR161+1))</f>
        <v>0.14</v>
      </c>
      <c r="AT161" s="61" t="n">
        <f aca="false">TASA_USADA+(TASA_INC-TASA_USADA)*Q_INC*(1-AS161)/(1-Q_INC*AS161)</f>
        <v>0.659887072235414</v>
      </c>
    </row>
    <row r="162" customFormat="false" ht="15" hidden="false" customHeight="false" outlineLevel="0" collapsed="false">
      <c r="A162" s="53" t="n">
        <v>46456</v>
      </c>
      <c r="B162" s="54"/>
      <c r="C162" s="54"/>
      <c r="D162" s="54"/>
      <c r="E162" s="54"/>
      <c r="F162" s="54"/>
      <c r="G162" s="54"/>
      <c r="H162" s="54"/>
      <c r="I162" s="54"/>
      <c r="J162" s="54"/>
      <c r="K162" s="54"/>
      <c r="L162" s="55"/>
      <c r="M162" s="55"/>
      <c r="N162" s="55"/>
      <c r="O162" s="56"/>
      <c r="P162" s="31" t="n">
        <f aca="false">B162+C162+D162</f>
        <v>0</v>
      </c>
      <c r="Q162" s="31" t="n">
        <f aca="false">AA162+AB162+AC162</f>
        <v>0</v>
      </c>
      <c r="R162" s="32" t="n">
        <f aca="false">B162*P1_PVP+C162*P2_PVP+D162*IF($A162&lt;P3_DESDE,P3A_PVP,P3_PVP)</f>
        <v>0</v>
      </c>
      <c r="S162" s="32" t="str">
        <f aca="false">IF(P162&gt;0,R162/P162,"")</f>
        <v/>
      </c>
      <c r="T162" s="32" t="str">
        <f aca="false">IF(P162&gt;0,N162/P162,"")</f>
        <v/>
      </c>
      <c r="U162" s="57" t="str">
        <f aca="false">IF(N162&gt;0,R162/N162,"")</f>
        <v/>
      </c>
      <c r="V162" s="34" t="str">
        <f aca="false">IF(E162+F162+G162+H162+I162+J162&gt;0,(E162+F162+G162)/(E162+F162+G162+H162+I162+J162),"")</f>
        <v/>
      </c>
      <c r="W162" s="33" t="n">
        <f aca="false">E162*(P1_PVP-P1_CPROD)+F162*(P2_PVP-P2_CPROD)+G162*(IF($A162&lt;P3_DESDE,P3A_PVP,P3_PVP)-IF($A162&lt;P3_DESDE,P3A_CPROD,P3_CPROD))-IF(ISNUMBER(L162),L162,E162*P1_LOG+F162*P2_LOG+G162*P3_LOG)</f>
        <v>0</v>
      </c>
      <c r="X162" s="33" t="n">
        <f aca="false">W162-(E162*P1_IVAN+F162*P2_IVAN+G162*IF($A162&lt;P3_DESDE,P3A_IVAN,P3_IVAN))-(H162+I162+J162)*(COSTE_DEV-IVA_DEV)-AM162-AO162</f>
        <v>0</v>
      </c>
      <c r="Y162" s="33" t="n">
        <f aca="false">AH162-AI162-AJ162-AK162-AL162-AM162-AO162</f>
        <v>0</v>
      </c>
      <c r="AA162" s="58" t="n">
        <f aca="false">MAX(0,B162-E162-H162)</f>
        <v>0</v>
      </c>
      <c r="AB162" s="58" t="n">
        <f aca="false">MAX(0,C162-F162-I162)</f>
        <v>0</v>
      </c>
      <c r="AC162" s="58" t="n">
        <f aca="false">MAX(0,D162-G162-J162)</f>
        <v>0</v>
      </c>
      <c r="AD162" s="59" t="n">
        <f aca="false">E162+AA162*AQ162</f>
        <v>0</v>
      </c>
      <c r="AE162" s="59" t="n">
        <f aca="false">F162+AB162*AQ162</f>
        <v>0</v>
      </c>
      <c r="AF162" s="59" t="n">
        <f aca="false">G162+AC162*AQ162</f>
        <v>0</v>
      </c>
      <c r="AG162" s="59" t="n">
        <f aca="false">H162+I162+J162+(AA162+AB162+AC162)*(1-AQ162)</f>
        <v>0</v>
      </c>
      <c r="AH162" s="60" t="n">
        <f aca="false">AD162*P1_PVP+AE162*P2_PVP+AF162*IF($A162&lt;P3_DESDE,P3A_PVP,P3_PVP)</f>
        <v>0</v>
      </c>
      <c r="AI162" s="60" t="n">
        <f aca="false">AD162*P1_CPROD+AE162*P2_CPROD+AF162*IF($A162&lt;P3_DESDE,P3A_CPROD,P3_CPROD)</f>
        <v>0</v>
      </c>
      <c r="AJ162" s="60" t="n">
        <f aca="false">IF(ISNUMBER(L162),L162,E162*P1_LOG+F162*P2_LOG+G162*P3_LOG)+IF(ISNUMBER(M162),M162,AA162*P1_LOG+AB162*P2_LOG+AC162*P3_LOG)*AQ162</f>
        <v>0</v>
      </c>
      <c r="AK162" s="60" t="n">
        <f aca="false">AG162*COSTE_DEV</f>
        <v>0</v>
      </c>
      <c r="AL162" s="60" t="n">
        <f aca="false">AD162*P1_IVAN+AE162*P2_IVAN+AF162*IF($A162&lt;P3_DESDE,P3A_IVAN,P3_IVAN)-AG162*IVA_DEV</f>
        <v>0</v>
      </c>
      <c r="AM162" s="60" t="n">
        <f aca="false">N162*(1+RECARGO_ADS)</f>
        <v>0</v>
      </c>
      <c r="AN162" s="58" t="n">
        <f aca="false">IF(ISNUMBER(L162),E162+F162+G162+AA162+AB162+AC162,0)</f>
        <v>0</v>
      </c>
      <c r="AO162" s="60" t="n">
        <f aca="false">P162*COMISION</f>
        <v>0</v>
      </c>
      <c r="AP162" s="58" t="n">
        <f aca="false">MIN(N(K162),Q162)</f>
        <v>0</v>
      </c>
      <c r="AQ162" s="61" t="n">
        <f aca="false">IF(Q162&gt;0,((Q162-AP162)*AT162+AP162*TASA_INC)/Q162,AT162)</f>
        <v>0.659887072235414</v>
      </c>
      <c r="AR162" s="58" t="n">
        <f aca="false">IF($A162&lt;FECHA_EXPORT,NETWORKDAYS($A162+1,FECHA_EXPORT,FESTIVOS),0)</f>
        <v>0</v>
      </c>
      <c r="AS162" s="61" t="n">
        <f aca="false">IF(AR162&gt;=5,1,INDEX(CDF_INC,1,AR162+1))</f>
        <v>0.14</v>
      </c>
      <c r="AT162" s="61" t="n">
        <f aca="false">TASA_USADA+(TASA_INC-TASA_USADA)*Q_INC*(1-AS162)/(1-Q_INC*AS162)</f>
        <v>0.659887072235414</v>
      </c>
    </row>
    <row r="163" customFormat="false" ht="15" hidden="false" customHeight="false" outlineLevel="0" collapsed="false">
      <c r="A163" s="53" t="n">
        <v>46457</v>
      </c>
      <c r="B163" s="54"/>
      <c r="C163" s="54"/>
      <c r="D163" s="54"/>
      <c r="E163" s="54"/>
      <c r="F163" s="54"/>
      <c r="G163" s="54"/>
      <c r="H163" s="54"/>
      <c r="I163" s="54"/>
      <c r="J163" s="54"/>
      <c r="K163" s="54"/>
      <c r="L163" s="55"/>
      <c r="M163" s="55"/>
      <c r="N163" s="55"/>
      <c r="O163" s="56"/>
      <c r="P163" s="31" t="n">
        <f aca="false">B163+C163+D163</f>
        <v>0</v>
      </c>
      <c r="Q163" s="31" t="n">
        <f aca="false">AA163+AB163+AC163</f>
        <v>0</v>
      </c>
      <c r="R163" s="32" t="n">
        <f aca="false">B163*P1_PVP+C163*P2_PVP+D163*IF($A163&lt;P3_DESDE,P3A_PVP,P3_PVP)</f>
        <v>0</v>
      </c>
      <c r="S163" s="32" t="str">
        <f aca="false">IF(P163&gt;0,R163/P163,"")</f>
        <v/>
      </c>
      <c r="T163" s="32" t="str">
        <f aca="false">IF(P163&gt;0,N163/P163,"")</f>
        <v/>
      </c>
      <c r="U163" s="57" t="str">
        <f aca="false">IF(N163&gt;0,R163/N163,"")</f>
        <v/>
      </c>
      <c r="V163" s="34" t="str">
        <f aca="false">IF(E163+F163+G163+H163+I163+J163&gt;0,(E163+F163+G163)/(E163+F163+G163+H163+I163+J163),"")</f>
        <v/>
      </c>
      <c r="W163" s="33" t="n">
        <f aca="false">E163*(P1_PVP-P1_CPROD)+F163*(P2_PVP-P2_CPROD)+G163*(IF($A163&lt;P3_DESDE,P3A_PVP,P3_PVP)-IF($A163&lt;P3_DESDE,P3A_CPROD,P3_CPROD))-IF(ISNUMBER(L163),L163,E163*P1_LOG+F163*P2_LOG+G163*P3_LOG)</f>
        <v>0</v>
      </c>
      <c r="X163" s="33" t="n">
        <f aca="false">W163-(E163*P1_IVAN+F163*P2_IVAN+G163*IF($A163&lt;P3_DESDE,P3A_IVAN,P3_IVAN))-(H163+I163+J163)*(COSTE_DEV-IVA_DEV)-AM163-AO163</f>
        <v>0</v>
      </c>
      <c r="Y163" s="33" t="n">
        <f aca="false">AH163-AI163-AJ163-AK163-AL163-AM163-AO163</f>
        <v>0</v>
      </c>
      <c r="AA163" s="58" t="n">
        <f aca="false">MAX(0,B163-E163-H163)</f>
        <v>0</v>
      </c>
      <c r="AB163" s="58" t="n">
        <f aca="false">MAX(0,C163-F163-I163)</f>
        <v>0</v>
      </c>
      <c r="AC163" s="58" t="n">
        <f aca="false">MAX(0,D163-G163-J163)</f>
        <v>0</v>
      </c>
      <c r="AD163" s="59" t="n">
        <f aca="false">E163+AA163*AQ163</f>
        <v>0</v>
      </c>
      <c r="AE163" s="59" t="n">
        <f aca="false">F163+AB163*AQ163</f>
        <v>0</v>
      </c>
      <c r="AF163" s="59" t="n">
        <f aca="false">G163+AC163*AQ163</f>
        <v>0</v>
      </c>
      <c r="AG163" s="59" t="n">
        <f aca="false">H163+I163+J163+(AA163+AB163+AC163)*(1-AQ163)</f>
        <v>0</v>
      </c>
      <c r="AH163" s="60" t="n">
        <f aca="false">AD163*P1_PVP+AE163*P2_PVP+AF163*IF($A163&lt;P3_DESDE,P3A_PVP,P3_PVP)</f>
        <v>0</v>
      </c>
      <c r="AI163" s="60" t="n">
        <f aca="false">AD163*P1_CPROD+AE163*P2_CPROD+AF163*IF($A163&lt;P3_DESDE,P3A_CPROD,P3_CPROD)</f>
        <v>0</v>
      </c>
      <c r="AJ163" s="60" t="n">
        <f aca="false">IF(ISNUMBER(L163),L163,E163*P1_LOG+F163*P2_LOG+G163*P3_LOG)+IF(ISNUMBER(M163),M163,AA163*P1_LOG+AB163*P2_LOG+AC163*P3_LOG)*AQ163</f>
        <v>0</v>
      </c>
      <c r="AK163" s="60" t="n">
        <f aca="false">AG163*COSTE_DEV</f>
        <v>0</v>
      </c>
      <c r="AL163" s="60" t="n">
        <f aca="false">AD163*P1_IVAN+AE163*P2_IVAN+AF163*IF($A163&lt;P3_DESDE,P3A_IVAN,P3_IVAN)-AG163*IVA_DEV</f>
        <v>0</v>
      </c>
      <c r="AM163" s="60" t="n">
        <f aca="false">N163*(1+RECARGO_ADS)</f>
        <v>0</v>
      </c>
      <c r="AN163" s="58" t="n">
        <f aca="false">IF(ISNUMBER(L163),E163+F163+G163+AA163+AB163+AC163,0)</f>
        <v>0</v>
      </c>
      <c r="AO163" s="60" t="n">
        <f aca="false">P163*COMISION</f>
        <v>0</v>
      </c>
      <c r="AP163" s="58" t="n">
        <f aca="false">MIN(N(K163),Q163)</f>
        <v>0</v>
      </c>
      <c r="AQ163" s="61" t="n">
        <f aca="false">IF(Q163&gt;0,((Q163-AP163)*AT163+AP163*TASA_INC)/Q163,AT163)</f>
        <v>0.659887072235414</v>
      </c>
      <c r="AR163" s="58" t="n">
        <f aca="false">IF($A163&lt;FECHA_EXPORT,NETWORKDAYS($A163+1,FECHA_EXPORT,FESTIVOS),0)</f>
        <v>0</v>
      </c>
      <c r="AS163" s="61" t="n">
        <f aca="false">IF(AR163&gt;=5,1,INDEX(CDF_INC,1,AR163+1))</f>
        <v>0.14</v>
      </c>
      <c r="AT163" s="61" t="n">
        <f aca="false">TASA_USADA+(TASA_INC-TASA_USADA)*Q_INC*(1-AS163)/(1-Q_INC*AS163)</f>
        <v>0.659887072235414</v>
      </c>
    </row>
    <row r="164" customFormat="false" ht="15" hidden="false" customHeight="false" outlineLevel="0" collapsed="false">
      <c r="A164" s="53" t="n">
        <v>46458</v>
      </c>
      <c r="B164" s="54"/>
      <c r="C164" s="54"/>
      <c r="D164" s="54"/>
      <c r="E164" s="54"/>
      <c r="F164" s="54"/>
      <c r="G164" s="54"/>
      <c r="H164" s="54"/>
      <c r="I164" s="54"/>
      <c r="J164" s="54"/>
      <c r="K164" s="54"/>
      <c r="L164" s="55"/>
      <c r="M164" s="55"/>
      <c r="N164" s="55"/>
      <c r="O164" s="56"/>
      <c r="P164" s="31" t="n">
        <f aca="false">B164+C164+D164</f>
        <v>0</v>
      </c>
      <c r="Q164" s="31" t="n">
        <f aca="false">AA164+AB164+AC164</f>
        <v>0</v>
      </c>
      <c r="R164" s="32" t="n">
        <f aca="false">B164*P1_PVP+C164*P2_PVP+D164*IF($A164&lt;P3_DESDE,P3A_PVP,P3_PVP)</f>
        <v>0</v>
      </c>
      <c r="S164" s="32" t="str">
        <f aca="false">IF(P164&gt;0,R164/P164,"")</f>
        <v/>
      </c>
      <c r="T164" s="32" t="str">
        <f aca="false">IF(P164&gt;0,N164/P164,"")</f>
        <v/>
      </c>
      <c r="U164" s="57" t="str">
        <f aca="false">IF(N164&gt;0,R164/N164,"")</f>
        <v/>
      </c>
      <c r="V164" s="34" t="str">
        <f aca="false">IF(E164+F164+G164+H164+I164+J164&gt;0,(E164+F164+G164)/(E164+F164+G164+H164+I164+J164),"")</f>
        <v/>
      </c>
      <c r="W164" s="33" t="n">
        <f aca="false">E164*(P1_PVP-P1_CPROD)+F164*(P2_PVP-P2_CPROD)+G164*(IF($A164&lt;P3_DESDE,P3A_PVP,P3_PVP)-IF($A164&lt;P3_DESDE,P3A_CPROD,P3_CPROD))-IF(ISNUMBER(L164),L164,E164*P1_LOG+F164*P2_LOG+G164*P3_LOG)</f>
        <v>0</v>
      </c>
      <c r="X164" s="33" t="n">
        <f aca="false">W164-(E164*P1_IVAN+F164*P2_IVAN+G164*IF($A164&lt;P3_DESDE,P3A_IVAN,P3_IVAN))-(H164+I164+J164)*(COSTE_DEV-IVA_DEV)-AM164-AO164</f>
        <v>0</v>
      </c>
      <c r="Y164" s="33" t="n">
        <f aca="false">AH164-AI164-AJ164-AK164-AL164-AM164-AO164</f>
        <v>0</v>
      </c>
      <c r="AA164" s="58" t="n">
        <f aca="false">MAX(0,B164-E164-H164)</f>
        <v>0</v>
      </c>
      <c r="AB164" s="58" t="n">
        <f aca="false">MAX(0,C164-F164-I164)</f>
        <v>0</v>
      </c>
      <c r="AC164" s="58" t="n">
        <f aca="false">MAX(0,D164-G164-J164)</f>
        <v>0</v>
      </c>
      <c r="AD164" s="59" t="n">
        <f aca="false">E164+AA164*AQ164</f>
        <v>0</v>
      </c>
      <c r="AE164" s="59" t="n">
        <f aca="false">F164+AB164*AQ164</f>
        <v>0</v>
      </c>
      <c r="AF164" s="59" t="n">
        <f aca="false">G164+AC164*AQ164</f>
        <v>0</v>
      </c>
      <c r="AG164" s="59" t="n">
        <f aca="false">H164+I164+J164+(AA164+AB164+AC164)*(1-AQ164)</f>
        <v>0</v>
      </c>
      <c r="AH164" s="60" t="n">
        <f aca="false">AD164*P1_PVP+AE164*P2_PVP+AF164*IF($A164&lt;P3_DESDE,P3A_PVP,P3_PVP)</f>
        <v>0</v>
      </c>
      <c r="AI164" s="60" t="n">
        <f aca="false">AD164*P1_CPROD+AE164*P2_CPROD+AF164*IF($A164&lt;P3_DESDE,P3A_CPROD,P3_CPROD)</f>
        <v>0</v>
      </c>
      <c r="AJ164" s="60" t="n">
        <f aca="false">IF(ISNUMBER(L164),L164,E164*P1_LOG+F164*P2_LOG+G164*P3_LOG)+IF(ISNUMBER(M164),M164,AA164*P1_LOG+AB164*P2_LOG+AC164*P3_LOG)*AQ164</f>
        <v>0</v>
      </c>
      <c r="AK164" s="60" t="n">
        <f aca="false">AG164*COSTE_DEV</f>
        <v>0</v>
      </c>
      <c r="AL164" s="60" t="n">
        <f aca="false">AD164*P1_IVAN+AE164*P2_IVAN+AF164*IF($A164&lt;P3_DESDE,P3A_IVAN,P3_IVAN)-AG164*IVA_DEV</f>
        <v>0</v>
      </c>
      <c r="AM164" s="60" t="n">
        <f aca="false">N164*(1+RECARGO_ADS)</f>
        <v>0</v>
      </c>
      <c r="AN164" s="58" t="n">
        <f aca="false">IF(ISNUMBER(L164),E164+F164+G164+AA164+AB164+AC164,0)</f>
        <v>0</v>
      </c>
      <c r="AO164" s="60" t="n">
        <f aca="false">P164*COMISION</f>
        <v>0</v>
      </c>
      <c r="AP164" s="58" t="n">
        <f aca="false">MIN(N(K164),Q164)</f>
        <v>0</v>
      </c>
      <c r="AQ164" s="61" t="n">
        <f aca="false">IF(Q164&gt;0,((Q164-AP164)*AT164+AP164*TASA_INC)/Q164,AT164)</f>
        <v>0.659887072235414</v>
      </c>
      <c r="AR164" s="58" t="n">
        <f aca="false">IF($A164&lt;FECHA_EXPORT,NETWORKDAYS($A164+1,FECHA_EXPORT,FESTIVOS),0)</f>
        <v>0</v>
      </c>
      <c r="AS164" s="61" t="n">
        <f aca="false">IF(AR164&gt;=5,1,INDEX(CDF_INC,1,AR164+1))</f>
        <v>0.14</v>
      </c>
      <c r="AT164" s="61" t="n">
        <f aca="false">TASA_USADA+(TASA_INC-TASA_USADA)*Q_INC*(1-AS164)/(1-Q_INC*AS164)</f>
        <v>0.659887072235414</v>
      </c>
    </row>
    <row r="165" customFormat="false" ht="15" hidden="false" customHeight="false" outlineLevel="0" collapsed="false">
      <c r="A165" s="53" t="n">
        <v>46459</v>
      </c>
      <c r="B165" s="54"/>
      <c r="C165" s="54"/>
      <c r="D165" s="54"/>
      <c r="E165" s="54"/>
      <c r="F165" s="54"/>
      <c r="G165" s="54"/>
      <c r="H165" s="54"/>
      <c r="I165" s="54"/>
      <c r="J165" s="54"/>
      <c r="K165" s="54"/>
      <c r="L165" s="55"/>
      <c r="M165" s="55"/>
      <c r="N165" s="55"/>
      <c r="O165" s="56"/>
      <c r="P165" s="31" t="n">
        <f aca="false">B165+C165+D165</f>
        <v>0</v>
      </c>
      <c r="Q165" s="31" t="n">
        <f aca="false">AA165+AB165+AC165</f>
        <v>0</v>
      </c>
      <c r="R165" s="32" t="n">
        <f aca="false">B165*P1_PVP+C165*P2_PVP+D165*IF($A165&lt;P3_DESDE,P3A_PVP,P3_PVP)</f>
        <v>0</v>
      </c>
      <c r="S165" s="32" t="str">
        <f aca="false">IF(P165&gt;0,R165/P165,"")</f>
        <v/>
      </c>
      <c r="T165" s="32" t="str">
        <f aca="false">IF(P165&gt;0,N165/P165,"")</f>
        <v/>
      </c>
      <c r="U165" s="57" t="str">
        <f aca="false">IF(N165&gt;0,R165/N165,"")</f>
        <v/>
      </c>
      <c r="V165" s="34" t="str">
        <f aca="false">IF(E165+F165+G165+H165+I165+J165&gt;0,(E165+F165+G165)/(E165+F165+G165+H165+I165+J165),"")</f>
        <v/>
      </c>
      <c r="W165" s="33" t="n">
        <f aca="false">E165*(P1_PVP-P1_CPROD)+F165*(P2_PVP-P2_CPROD)+G165*(IF($A165&lt;P3_DESDE,P3A_PVP,P3_PVP)-IF($A165&lt;P3_DESDE,P3A_CPROD,P3_CPROD))-IF(ISNUMBER(L165),L165,E165*P1_LOG+F165*P2_LOG+G165*P3_LOG)</f>
        <v>0</v>
      </c>
      <c r="X165" s="33" t="n">
        <f aca="false">W165-(E165*P1_IVAN+F165*P2_IVAN+G165*IF($A165&lt;P3_DESDE,P3A_IVAN,P3_IVAN))-(H165+I165+J165)*(COSTE_DEV-IVA_DEV)-AM165-AO165</f>
        <v>0</v>
      </c>
      <c r="Y165" s="33" t="n">
        <f aca="false">AH165-AI165-AJ165-AK165-AL165-AM165-AO165</f>
        <v>0</v>
      </c>
      <c r="AA165" s="58" t="n">
        <f aca="false">MAX(0,B165-E165-H165)</f>
        <v>0</v>
      </c>
      <c r="AB165" s="58" t="n">
        <f aca="false">MAX(0,C165-F165-I165)</f>
        <v>0</v>
      </c>
      <c r="AC165" s="58" t="n">
        <f aca="false">MAX(0,D165-G165-J165)</f>
        <v>0</v>
      </c>
      <c r="AD165" s="59" t="n">
        <f aca="false">E165+AA165*AQ165</f>
        <v>0</v>
      </c>
      <c r="AE165" s="59" t="n">
        <f aca="false">F165+AB165*AQ165</f>
        <v>0</v>
      </c>
      <c r="AF165" s="59" t="n">
        <f aca="false">G165+AC165*AQ165</f>
        <v>0</v>
      </c>
      <c r="AG165" s="59" t="n">
        <f aca="false">H165+I165+J165+(AA165+AB165+AC165)*(1-AQ165)</f>
        <v>0</v>
      </c>
      <c r="AH165" s="60" t="n">
        <f aca="false">AD165*P1_PVP+AE165*P2_PVP+AF165*IF($A165&lt;P3_DESDE,P3A_PVP,P3_PVP)</f>
        <v>0</v>
      </c>
      <c r="AI165" s="60" t="n">
        <f aca="false">AD165*P1_CPROD+AE165*P2_CPROD+AF165*IF($A165&lt;P3_DESDE,P3A_CPROD,P3_CPROD)</f>
        <v>0</v>
      </c>
      <c r="AJ165" s="60" t="n">
        <f aca="false">IF(ISNUMBER(L165),L165,E165*P1_LOG+F165*P2_LOG+G165*P3_LOG)+IF(ISNUMBER(M165),M165,AA165*P1_LOG+AB165*P2_LOG+AC165*P3_LOG)*AQ165</f>
        <v>0</v>
      </c>
      <c r="AK165" s="60" t="n">
        <f aca="false">AG165*COSTE_DEV</f>
        <v>0</v>
      </c>
      <c r="AL165" s="60" t="n">
        <f aca="false">AD165*P1_IVAN+AE165*P2_IVAN+AF165*IF($A165&lt;P3_DESDE,P3A_IVAN,P3_IVAN)-AG165*IVA_DEV</f>
        <v>0</v>
      </c>
      <c r="AM165" s="60" t="n">
        <f aca="false">N165*(1+RECARGO_ADS)</f>
        <v>0</v>
      </c>
      <c r="AN165" s="58" t="n">
        <f aca="false">IF(ISNUMBER(L165),E165+F165+G165+AA165+AB165+AC165,0)</f>
        <v>0</v>
      </c>
      <c r="AO165" s="60" t="n">
        <f aca="false">P165*COMISION</f>
        <v>0</v>
      </c>
      <c r="AP165" s="58" t="n">
        <f aca="false">MIN(N(K165),Q165)</f>
        <v>0</v>
      </c>
      <c r="AQ165" s="61" t="n">
        <f aca="false">IF(Q165&gt;0,((Q165-AP165)*AT165+AP165*TASA_INC)/Q165,AT165)</f>
        <v>0.659887072235414</v>
      </c>
      <c r="AR165" s="58" t="n">
        <f aca="false">IF($A165&lt;FECHA_EXPORT,NETWORKDAYS($A165+1,FECHA_EXPORT,FESTIVOS),0)</f>
        <v>0</v>
      </c>
      <c r="AS165" s="61" t="n">
        <f aca="false">IF(AR165&gt;=5,1,INDEX(CDF_INC,1,AR165+1))</f>
        <v>0.14</v>
      </c>
      <c r="AT165" s="61" t="n">
        <f aca="false">TASA_USADA+(TASA_INC-TASA_USADA)*Q_INC*(1-AS165)/(1-Q_INC*AS165)</f>
        <v>0.659887072235414</v>
      </c>
    </row>
    <row r="166" customFormat="false" ht="15" hidden="false" customHeight="false" outlineLevel="0" collapsed="false">
      <c r="A166" s="53" t="n">
        <v>46460</v>
      </c>
      <c r="B166" s="54"/>
      <c r="C166" s="54"/>
      <c r="D166" s="54"/>
      <c r="E166" s="54"/>
      <c r="F166" s="54"/>
      <c r="G166" s="54"/>
      <c r="H166" s="54"/>
      <c r="I166" s="54"/>
      <c r="J166" s="54"/>
      <c r="K166" s="54"/>
      <c r="L166" s="55"/>
      <c r="M166" s="55"/>
      <c r="N166" s="55"/>
      <c r="O166" s="56"/>
      <c r="P166" s="31" t="n">
        <f aca="false">B166+C166+D166</f>
        <v>0</v>
      </c>
      <c r="Q166" s="31" t="n">
        <f aca="false">AA166+AB166+AC166</f>
        <v>0</v>
      </c>
      <c r="R166" s="32" t="n">
        <f aca="false">B166*P1_PVP+C166*P2_PVP+D166*IF($A166&lt;P3_DESDE,P3A_PVP,P3_PVP)</f>
        <v>0</v>
      </c>
      <c r="S166" s="32" t="str">
        <f aca="false">IF(P166&gt;0,R166/P166,"")</f>
        <v/>
      </c>
      <c r="T166" s="32" t="str">
        <f aca="false">IF(P166&gt;0,N166/P166,"")</f>
        <v/>
      </c>
      <c r="U166" s="57" t="str">
        <f aca="false">IF(N166&gt;0,R166/N166,"")</f>
        <v/>
      </c>
      <c r="V166" s="34" t="str">
        <f aca="false">IF(E166+F166+G166+H166+I166+J166&gt;0,(E166+F166+G166)/(E166+F166+G166+H166+I166+J166),"")</f>
        <v/>
      </c>
      <c r="W166" s="33" t="n">
        <f aca="false">E166*(P1_PVP-P1_CPROD)+F166*(P2_PVP-P2_CPROD)+G166*(IF($A166&lt;P3_DESDE,P3A_PVP,P3_PVP)-IF($A166&lt;P3_DESDE,P3A_CPROD,P3_CPROD))-IF(ISNUMBER(L166),L166,E166*P1_LOG+F166*P2_LOG+G166*P3_LOG)</f>
        <v>0</v>
      </c>
      <c r="X166" s="33" t="n">
        <f aca="false">W166-(E166*P1_IVAN+F166*P2_IVAN+G166*IF($A166&lt;P3_DESDE,P3A_IVAN,P3_IVAN))-(H166+I166+J166)*(COSTE_DEV-IVA_DEV)-AM166-AO166</f>
        <v>0</v>
      </c>
      <c r="Y166" s="33" t="n">
        <f aca="false">AH166-AI166-AJ166-AK166-AL166-AM166-AO166</f>
        <v>0</v>
      </c>
      <c r="AA166" s="58" t="n">
        <f aca="false">MAX(0,B166-E166-H166)</f>
        <v>0</v>
      </c>
      <c r="AB166" s="58" t="n">
        <f aca="false">MAX(0,C166-F166-I166)</f>
        <v>0</v>
      </c>
      <c r="AC166" s="58" t="n">
        <f aca="false">MAX(0,D166-G166-J166)</f>
        <v>0</v>
      </c>
      <c r="AD166" s="59" t="n">
        <f aca="false">E166+AA166*AQ166</f>
        <v>0</v>
      </c>
      <c r="AE166" s="59" t="n">
        <f aca="false">F166+AB166*AQ166</f>
        <v>0</v>
      </c>
      <c r="AF166" s="59" t="n">
        <f aca="false">G166+AC166*AQ166</f>
        <v>0</v>
      </c>
      <c r="AG166" s="59" t="n">
        <f aca="false">H166+I166+J166+(AA166+AB166+AC166)*(1-AQ166)</f>
        <v>0</v>
      </c>
      <c r="AH166" s="60" t="n">
        <f aca="false">AD166*P1_PVP+AE166*P2_PVP+AF166*IF($A166&lt;P3_DESDE,P3A_PVP,P3_PVP)</f>
        <v>0</v>
      </c>
      <c r="AI166" s="60" t="n">
        <f aca="false">AD166*P1_CPROD+AE166*P2_CPROD+AF166*IF($A166&lt;P3_DESDE,P3A_CPROD,P3_CPROD)</f>
        <v>0</v>
      </c>
      <c r="AJ166" s="60" t="n">
        <f aca="false">IF(ISNUMBER(L166),L166,E166*P1_LOG+F166*P2_LOG+G166*P3_LOG)+IF(ISNUMBER(M166),M166,AA166*P1_LOG+AB166*P2_LOG+AC166*P3_LOG)*AQ166</f>
        <v>0</v>
      </c>
      <c r="AK166" s="60" t="n">
        <f aca="false">AG166*COSTE_DEV</f>
        <v>0</v>
      </c>
      <c r="AL166" s="60" t="n">
        <f aca="false">AD166*P1_IVAN+AE166*P2_IVAN+AF166*IF($A166&lt;P3_DESDE,P3A_IVAN,P3_IVAN)-AG166*IVA_DEV</f>
        <v>0</v>
      </c>
      <c r="AM166" s="60" t="n">
        <f aca="false">N166*(1+RECARGO_ADS)</f>
        <v>0</v>
      </c>
      <c r="AN166" s="58" t="n">
        <f aca="false">IF(ISNUMBER(L166),E166+F166+G166+AA166+AB166+AC166,0)</f>
        <v>0</v>
      </c>
      <c r="AO166" s="60" t="n">
        <f aca="false">P166*COMISION</f>
        <v>0</v>
      </c>
      <c r="AP166" s="58" t="n">
        <f aca="false">MIN(N(K166),Q166)</f>
        <v>0</v>
      </c>
      <c r="AQ166" s="61" t="n">
        <f aca="false">IF(Q166&gt;0,((Q166-AP166)*AT166+AP166*TASA_INC)/Q166,AT166)</f>
        <v>0.659887072235414</v>
      </c>
      <c r="AR166" s="58" t="n">
        <f aca="false">IF($A166&lt;FECHA_EXPORT,NETWORKDAYS($A166+1,FECHA_EXPORT,FESTIVOS),0)</f>
        <v>0</v>
      </c>
      <c r="AS166" s="61" t="n">
        <f aca="false">IF(AR166&gt;=5,1,INDEX(CDF_INC,1,AR166+1))</f>
        <v>0.14</v>
      </c>
      <c r="AT166" s="61" t="n">
        <f aca="false">TASA_USADA+(TASA_INC-TASA_USADA)*Q_INC*(1-AS166)/(1-Q_INC*AS166)</f>
        <v>0.659887072235414</v>
      </c>
    </row>
    <row r="167" customFormat="false" ht="15" hidden="false" customHeight="false" outlineLevel="0" collapsed="false">
      <c r="A167" s="53" t="n">
        <v>46461</v>
      </c>
      <c r="B167" s="54"/>
      <c r="C167" s="54"/>
      <c r="D167" s="54"/>
      <c r="E167" s="54"/>
      <c r="F167" s="54"/>
      <c r="G167" s="54"/>
      <c r="H167" s="54"/>
      <c r="I167" s="54"/>
      <c r="J167" s="54"/>
      <c r="K167" s="54"/>
      <c r="L167" s="55"/>
      <c r="M167" s="55"/>
      <c r="N167" s="55"/>
      <c r="O167" s="56"/>
      <c r="P167" s="31" t="n">
        <f aca="false">B167+C167+D167</f>
        <v>0</v>
      </c>
      <c r="Q167" s="31" t="n">
        <f aca="false">AA167+AB167+AC167</f>
        <v>0</v>
      </c>
      <c r="R167" s="32" t="n">
        <f aca="false">B167*P1_PVP+C167*P2_PVP+D167*IF($A167&lt;P3_DESDE,P3A_PVP,P3_PVP)</f>
        <v>0</v>
      </c>
      <c r="S167" s="32" t="str">
        <f aca="false">IF(P167&gt;0,R167/P167,"")</f>
        <v/>
      </c>
      <c r="T167" s="32" t="str">
        <f aca="false">IF(P167&gt;0,N167/P167,"")</f>
        <v/>
      </c>
      <c r="U167" s="57" t="str">
        <f aca="false">IF(N167&gt;0,R167/N167,"")</f>
        <v/>
      </c>
      <c r="V167" s="34" t="str">
        <f aca="false">IF(E167+F167+G167+H167+I167+J167&gt;0,(E167+F167+G167)/(E167+F167+G167+H167+I167+J167),"")</f>
        <v/>
      </c>
      <c r="W167" s="33" t="n">
        <f aca="false">E167*(P1_PVP-P1_CPROD)+F167*(P2_PVP-P2_CPROD)+G167*(IF($A167&lt;P3_DESDE,P3A_PVP,P3_PVP)-IF($A167&lt;P3_DESDE,P3A_CPROD,P3_CPROD))-IF(ISNUMBER(L167),L167,E167*P1_LOG+F167*P2_LOG+G167*P3_LOG)</f>
        <v>0</v>
      </c>
      <c r="X167" s="33" t="n">
        <f aca="false">W167-(E167*P1_IVAN+F167*P2_IVAN+G167*IF($A167&lt;P3_DESDE,P3A_IVAN,P3_IVAN))-(H167+I167+J167)*(COSTE_DEV-IVA_DEV)-AM167-AO167</f>
        <v>0</v>
      </c>
      <c r="Y167" s="33" t="n">
        <f aca="false">AH167-AI167-AJ167-AK167-AL167-AM167-AO167</f>
        <v>0</v>
      </c>
      <c r="AA167" s="58" t="n">
        <f aca="false">MAX(0,B167-E167-H167)</f>
        <v>0</v>
      </c>
      <c r="AB167" s="58" t="n">
        <f aca="false">MAX(0,C167-F167-I167)</f>
        <v>0</v>
      </c>
      <c r="AC167" s="58" t="n">
        <f aca="false">MAX(0,D167-G167-J167)</f>
        <v>0</v>
      </c>
      <c r="AD167" s="59" t="n">
        <f aca="false">E167+AA167*AQ167</f>
        <v>0</v>
      </c>
      <c r="AE167" s="59" t="n">
        <f aca="false">F167+AB167*AQ167</f>
        <v>0</v>
      </c>
      <c r="AF167" s="59" t="n">
        <f aca="false">G167+AC167*AQ167</f>
        <v>0</v>
      </c>
      <c r="AG167" s="59" t="n">
        <f aca="false">H167+I167+J167+(AA167+AB167+AC167)*(1-AQ167)</f>
        <v>0</v>
      </c>
      <c r="AH167" s="60" t="n">
        <f aca="false">AD167*P1_PVP+AE167*P2_PVP+AF167*IF($A167&lt;P3_DESDE,P3A_PVP,P3_PVP)</f>
        <v>0</v>
      </c>
      <c r="AI167" s="60" t="n">
        <f aca="false">AD167*P1_CPROD+AE167*P2_CPROD+AF167*IF($A167&lt;P3_DESDE,P3A_CPROD,P3_CPROD)</f>
        <v>0</v>
      </c>
      <c r="AJ167" s="60" t="n">
        <f aca="false">IF(ISNUMBER(L167),L167,E167*P1_LOG+F167*P2_LOG+G167*P3_LOG)+IF(ISNUMBER(M167),M167,AA167*P1_LOG+AB167*P2_LOG+AC167*P3_LOG)*AQ167</f>
        <v>0</v>
      </c>
      <c r="AK167" s="60" t="n">
        <f aca="false">AG167*COSTE_DEV</f>
        <v>0</v>
      </c>
      <c r="AL167" s="60" t="n">
        <f aca="false">AD167*P1_IVAN+AE167*P2_IVAN+AF167*IF($A167&lt;P3_DESDE,P3A_IVAN,P3_IVAN)-AG167*IVA_DEV</f>
        <v>0</v>
      </c>
      <c r="AM167" s="60" t="n">
        <f aca="false">N167*(1+RECARGO_ADS)</f>
        <v>0</v>
      </c>
      <c r="AN167" s="58" t="n">
        <f aca="false">IF(ISNUMBER(L167),E167+F167+G167+AA167+AB167+AC167,0)</f>
        <v>0</v>
      </c>
      <c r="AO167" s="60" t="n">
        <f aca="false">P167*COMISION</f>
        <v>0</v>
      </c>
      <c r="AP167" s="58" t="n">
        <f aca="false">MIN(N(K167),Q167)</f>
        <v>0</v>
      </c>
      <c r="AQ167" s="61" t="n">
        <f aca="false">IF(Q167&gt;0,((Q167-AP167)*AT167+AP167*TASA_INC)/Q167,AT167)</f>
        <v>0.659887072235414</v>
      </c>
      <c r="AR167" s="58" t="n">
        <f aca="false">IF($A167&lt;FECHA_EXPORT,NETWORKDAYS($A167+1,FECHA_EXPORT,FESTIVOS),0)</f>
        <v>0</v>
      </c>
      <c r="AS167" s="61" t="n">
        <f aca="false">IF(AR167&gt;=5,1,INDEX(CDF_INC,1,AR167+1))</f>
        <v>0.14</v>
      </c>
      <c r="AT167" s="61" t="n">
        <f aca="false">TASA_USADA+(TASA_INC-TASA_USADA)*Q_INC*(1-AS167)/(1-Q_INC*AS167)</f>
        <v>0.659887072235414</v>
      </c>
    </row>
    <row r="168" customFormat="false" ht="15" hidden="false" customHeight="false" outlineLevel="0" collapsed="false">
      <c r="A168" s="53" t="n">
        <v>46462</v>
      </c>
      <c r="B168" s="54"/>
      <c r="C168" s="54"/>
      <c r="D168" s="54"/>
      <c r="E168" s="54"/>
      <c r="F168" s="54"/>
      <c r="G168" s="54"/>
      <c r="H168" s="54"/>
      <c r="I168" s="54"/>
      <c r="J168" s="54"/>
      <c r="K168" s="54"/>
      <c r="L168" s="55"/>
      <c r="M168" s="55"/>
      <c r="N168" s="55"/>
      <c r="O168" s="56"/>
      <c r="P168" s="31" t="n">
        <f aca="false">B168+C168+D168</f>
        <v>0</v>
      </c>
      <c r="Q168" s="31" t="n">
        <f aca="false">AA168+AB168+AC168</f>
        <v>0</v>
      </c>
      <c r="R168" s="32" t="n">
        <f aca="false">B168*P1_PVP+C168*P2_PVP+D168*IF($A168&lt;P3_DESDE,P3A_PVP,P3_PVP)</f>
        <v>0</v>
      </c>
      <c r="S168" s="32" t="str">
        <f aca="false">IF(P168&gt;0,R168/P168,"")</f>
        <v/>
      </c>
      <c r="T168" s="32" t="str">
        <f aca="false">IF(P168&gt;0,N168/P168,"")</f>
        <v/>
      </c>
      <c r="U168" s="57" t="str">
        <f aca="false">IF(N168&gt;0,R168/N168,"")</f>
        <v/>
      </c>
      <c r="V168" s="34" t="str">
        <f aca="false">IF(E168+F168+G168+H168+I168+J168&gt;0,(E168+F168+G168)/(E168+F168+G168+H168+I168+J168),"")</f>
        <v/>
      </c>
      <c r="W168" s="33" t="n">
        <f aca="false">E168*(P1_PVP-P1_CPROD)+F168*(P2_PVP-P2_CPROD)+G168*(IF($A168&lt;P3_DESDE,P3A_PVP,P3_PVP)-IF($A168&lt;P3_DESDE,P3A_CPROD,P3_CPROD))-IF(ISNUMBER(L168),L168,E168*P1_LOG+F168*P2_LOG+G168*P3_LOG)</f>
        <v>0</v>
      </c>
      <c r="X168" s="33" t="n">
        <f aca="false">W168-(E168*P1_IVAN+F168*P2_IVAN+G168*IF($A168&lt;P3_DESDE,P3A_IVAN,P3_IVAN))-(H168+I168+J168)*(COSTE_DEV-IVA_DEV)-AM168-AO168</f>
        <v>0</v>
      </c>
      <c r="Y168" s="33" t="n">
        <f aca="false">AH168-AI168-AJ168-AK168-AL168-AM168-AO168</f>
        <v>0</v>
      </c>
      <c r="AA168" s="58" t="n">
        <f aca="false">MAX(0,B168-E168-H168)</f>
        <v>0</v>
      </c>
      <c r="AB168" s="58" t="n">
        <f aca="false">MAX(0,C168-F168-I168)</f>
        <v>0</v>
      </c>
      <c r="AC168" s="58" t="n">
        <f aca="false">MAX(0,D168-G168-J168)</f>
        <v>0</v>
      </c>
      <c r="AD168" s="59" t="n">
        <f aca="false">E168+AA168*AQ168</f>
        <v>0</v>
      </c>
      <c r="AE168" s="59" t="n">
        <f aca="false">F168+AB168*AQ168</f>
        <v>0</v>
      </c>
      <c r="AF168" s="59" t="n">
        <f aca="false">G168+AC168*AQ168</f>
        <v>0</v>
      </c>
      <c r="AG168" s="59" t="n">
        <f aca="false">H168+I168+J168+(AA168+AB168+AC168)*(1-AQ168)</f>
        <v>0</v>
      </c>
      <c r="AH168" s="60" t="n">
        <f aca="false">AD168*P1_PVP+AE168*P2_PVP+AF168*IF($A168&lt;P3_DESDE,P3A_PVP,P3_PVP)</f>
        <v>0</v>
      </c>
      <c r="AI168" s="60" t="n">
        <f aca="false">AD168*P1_CPROD+AE168*P2_CPROD+AF168*IF($A168&lt;P3_DESDE,P3A_CPROD,P3_CPROD)</f>
        <v>0</v>
      </c>
      <c r="AJ168" s="60" t="n">
        <f aca="false">IF(ISNUMBER(L168),L168,E168*P1_LOG+F168*P2_LOG+G168*P3_LOG)+IF(ISNUMBER(M168),M168,AA168*P1_LOG+AB168*P2_LOG+AC168*P3_LOG)*AQ168</f>
        <v>0</v>
      </c>
      <c r="AK168" s="60" t="n">
        <f aca="false">AG168*COSTE_DEV</f>
        <v>0</v>
      </c>
      <c r="AL168" s="60" t="n">
        <f aca="false">AD168*P1_IVAN+AE168*P2_IVAN+AF168*IF($A168&lt;P3_DESDE,P3A_IVAN,P3_IVAN)-AG168*IVA_DEV</f>
        <v>0</v>
      </c>
      <c r="AM168" s="60" t="n">
        <f aca="false">N168*(1+RECARGO_ADS)</f>
        <v>0</v>
      </c>
      <c r="AN168" s="58" t="n">
        <f aca="false">IF(ISNUMBER(L168),E168+F168+G168+AA168+AB168+AC168,0)</f>
        <v>0</v>
      </c>
      <c r="AO168" s="60" t="n">
        <f aca="false">P168*COMISION</f>
        <v>0</v>
      </c>
      <c r="AP168" s="58" t="n">
        <f aca="false">MIN(N(K168),Q168)</f>
        <v>0</v>
      </c>
      <c r="AQ168" s="61" t="n">
        <f aca="false">IF(Q168&gt;0,((Q168-AP168)*AT168+AP168*TASA_INC)/Q168,AT168)</f>
        <v>0.659887072235414</v>
      </c>
      <c r="AR168" s="58" t="n">
        <f aca="false">IF($A168&lt;FECHA_EXPORT,NETWORKDAYS($A168+1,FECHA_EXPORT,FESTIVOS),0)</f>
        <v>0</v>
      </c>
      <c r="AS168" s="61" t="n">
        <f aca="false">IF(AR168&gt;=5,1,INDEX(CDF_INC,1,AR168+1))</f>
        <v>0.14</v>
      </c>
      <c r="AT168" s="61" t="n">
        <f aca="false">TASA_USADA+(TASA_INC-TASA_USADA)*Q_INC*(1-AS168)/(1-Q_INC*AS168)</f>
        <v>0.659887072235414</v>
      </c>
    </row>
    <row r="169" customFormat="false" ht="15" hidden="false" customHeight="false" outlineLevel="0" collapsed="false">
      <c r="A169" s="53" t="n">
        <v>46463</v>
      </c>
      <c r="B169" s="54"/>
      <c r="C169" s="54"/>
      <c r="D169" s="54"/>
      <c r="E169" s="54"/>
      <c r="F169" s="54"/>
      <c r="G169" s="54"/>
      <c r="H169" s="54"/>
      <c r="I169" s="54"/>
      <c r="J169" s="54"/>
      <c r="K169" s="54"/>
      <c r="L169" s="55"/>
      <c r="M169" s="55"/>
      <c r="N169" s="55"/>
      <c r="O169" s="56"/>
      <c r="P169" s="31" t="n">
        <f aca="false">B169+C169+D169</f>
        <v>0</v>
      </c>
      <c r="Q169" s="31" t="n">
        <f aca="false">AA169+AB169+AC169</f>
        <v>0</v>
      </c>
      <c r="R169" s="32" t="n">
        <f aca="false">B169*P1_PVP+C169*P2_PVP+D169*IF($A169&lt;P3_DESDE,P3A_PVP,P3_PVP)</f>
        <v>0</v>
      </c>
      <c r="S169" s="32" t="str">
        <f aca="false">IF(P169&gt;0,R169/P169,"")</f>
        <v/>
      </c>
      <c r="T169" s="32" t="str">
        <f aca="false">IF(P169&gt;0,N169/P169,"")</f>
        <v/>
      </c>
      <c r="U169" s="57" t="str">
        <f aca="false">IF(N169&gt;0,R169/N169,"")</f>
        <v/>
      </c>
      <c r="V169" s="34" t="str">
        <f aca="false">IF(E169+F169+G169+H169+I169+J169&gt;0,(E169+F169+G169)/(E169+F169+G169+H169+I169+J169),"")</f>
        <v/>
      </c>
      <c r="W169" s="33" t="n">
        <f aca="false">E169*(P1_PVP-P1_CPROD)+F169*(P2_PVP-P2_CPROD)+G169*(IF($A169&lt;P3_DESDE,P3A_PVP,P3_PVP)-IF($A169&lt;P3_DESDE,P3A_CPROD,P3_CPROD))-IF(ISNUMBER(L169),L169,E169*P1_LOG+F169*P2_LOG+G169*P3_LOG)</f>
        <v>0</v>
      </c>
      <c r="X169" s="33" t="n">
        <f aca="false">W169-(E169*P1_IVAN+F169*P2_IVAN+G169*IF($A169&lt;P3_DESDE,P3A_IVAN,P3_IVAN))-(H169+I169+J169)*(COSTE_DEV-IVA_DEV)-AM169-AO169</f>
        <v>0</v>
      </c>
      <c r="Y169" s="33" t="n">
        <f aca="false">AH169-AI169-AJ169-AK169-AL169-AM169-AO169</f>
        <v>0</v>
      </c>
      <c r="AA169" s="58" t="n">
        <f aca="false">MAX(0,B169-E169-H169)</f>
        <v>0</v>
      </c>
      <c r="AB169" s="58" t="n">
        <f aca="false">MAX(0,C169-F169-I169)</f>
        <v>0</v>
      </c>
      <c r="AC169" s="58" t="n">
        <f aca="false">MAX(0,D169-G169-J169)</f>
        <v>0</v>
      </c>
      <c r="AD169" s="59" t="n">
        <f aca="false">E169+AA169*AQ169</f>
        <v>0</v>
      </c>
      <c r="AE169" s="59" t="n">
        <f aca="false">F169+AB169*AQ169</f>
        <v>0</v>
      </c>
      <c r="AF169" s="59" t="n">
        <f aca="false">G169+AC169*AQ169</f>
        <v>0</v>
      </c>
      <c r="AG169" s="59" t="n">
        <f aca="false">H169+I169+J169+(AA169+AB169+AC169)*(1-AQ169)</f>
        <v>0</v>
      </c>
      <c r="AH169" s="60" t="n">
        <f aca="false">AD169*P1_PVP+AE169*P2_PVP+AF169*IF($A169&lt;P3_DESDE,P3A_PVP,P3_PVP)</f>
        <v>0</v>
      </c>
      <c r="AI169" s="60" t="n">
        <f aca="false">AD169*P1_CPROD+AE169*P2_CPROD+AF169*IF($A169&lt;P3_DESDE,P3A_CPROD,P3_CPROD)</f>
        <v>0</v>
      </c>
      <c r="AJ169" s="60" t="n">
        <f aca="false">IF(ISNUMBER(L169),L169,E169*P1_LOG+F169*P2_LOG+G169*P3_LOG)+IF(ISNUMBER(M169),M169,AA169*P1_LOG+AB169*P2_LOG+AC169*P3_LOG)*AQ169</f>
        <v>0</v>
      </c>
      <c r="AK169" s="60" t="n">
        <f aca="false">AG169*COSTE_DEV</f>
        <v>0</v>
      </c>
      <c r="AL169" s="60" t="n">
        <f aca="false">AD169*P1_IVAN+AE169*P2_IVAN+AF169*IF($A169&lt;P3_DESDE,P3A_IVAN,P3_IVAN)-AG169*IVA_DEV</f>
        <v>0</v>
      </c>
      <c r="AM169" s="60" t="n">
        <f aca="false">N169*(1+RECARGO_ADS)</f>
        <v>0</v>
      </c>
      <c r="AN169" s="58" t="n">
        <f aca="false">IF(ISNUMBER(L169),E169+F169+G169+AA169+AB169+AC169,0)</f>
        <v>0</v>
      </c>
      <c r="AO169" s="60" t="n">
        <f aca="false">P169*COMISION</f>
        <v>0</v>
      </c>
      <c r="AP169" s="58" t="n">
        <f aca="false">MIN(N(K169),Q169)</f>
        <v>0</v>
      </c>
      <c r="AQ169" s="61" t="n">
        <f aca="false">IF(Q169&gt;0,((Q169-AP169)*AT169+AP169*TASA_INC)/Q169,AT169)</f>
        <v>0.659887072235414</v>
      </c>
      <c r="AR169" s="58" t="n">
        <f aca="false">IF($A169&lt;FECHA_EXPORT,NETWORKDAYS($A169+1,FECHA_EXPORT,FESTIVOS),0)</f>
        <v>0</v>
      </c>
      <c r="AS169" s="61" t="n">
        <f aca="false">IF(AR169&gt;=5,1,INDEX(CDF_INC,1,AR169+1))</f>
        <v>0.14</v>
      </c>
      <c r="AT169" s="61" t="n">
        <f aca="false">TASA_USADA+(TASA_INC-TASA_USADA)*Q_INC*(1-AS169)/(1-Q_INC*AS169)</f>
        <v>0.659887072235414</v>
      </c>
    </row>
    <row r="170" customFormat="false" ht="15" hidden="false" customHeight="false" outlineLevel="0" collapsed="false">
      <c r="A170" s="53" t="n">
        <v>46464</v>
      </c>
      <c r="B170" s="54"/>
      <c r="C170" s="54"/>
      <c r="D170" s="54"/>
      <c r="E170" s="54"/>
      <c r="F170" s="54"/>
      <c r="G170" s="54"/>
      <c r="H170" s="54"/>
      <c r="I170" s="54"/>
      <c r="J170" s="54"/>
      <c r="K170" s="54"/>
      <c r="L170" s="55"/>
      <c r="M170" s="55"/>
      <c r="N170" s="55"/>
      <c r="O170" s="56"/>
      <c r="P170" s="31" t="n">
        <f aca="false">B170+C170+D170</f>
        <v>0</v>
      </c>
      <c r="Q170" s="31" t="n">
        <f aca="false">AA170+AB170+AC170</f>
        <v>0</v>
      </c>
      <c r="R170" s="32" t="n">
        <f aca="false">B170*P1_PVP+C170*P2_PVP+D170*IF($A170&lt;P3_DESDE,P3A_PVP,P3_PVP)</f>
        <v>0</v>
      </c>
      <c r="S170" s="32" t="str">
        <f aca="false">IF(P170&gt;0,R170/P170,"")</f>
        <v/>
      </c>
      <c r="T170" s="32" t="str">
        <f aca="false">IF(P170&gt;0,N170/P170,"")</f>
        <v/>
      </c>
      <c r="U170" s="57" t="str">
        <f aca="false">IF(N170&gt;0,R170/N170,"")</f>
        <v/>
      </c>
      <c r="V170" s="34" t="str">
        <f aca="false">IF(E170+F170+G170+H170+I170+J170&gt;0,(E170+F170+G170)/(E170+F170+G170+H170+I170+J170),"")</f>
        <v/>
      </c>
      <c r="W170" s="33" t="n">
        <f aca="false">E170*(P1_PVP-P1_CPROD)+F170*(P2_PVP-P2_CPROD)+G170*(IF($A170&lt;P3_DESDE,P3A_PVP,P3_PVP)-IF($A170&lt;P3_DESDE,P3A_CPROD,P3_CPROD))-IF(ISNUMBER(L170),L170,E170*P1_LOG+F170*P2_LOG+G170*P3_LOG)</f>
        <v>0</v>
      </c>
      <c r="X170" s="33" t="n">
        <f aca="false">W170-(E170*P1_IVAN+F170*P2_IVAN+G170*IF($A170&lt;P3_DESDE,P3A_IVAN,P3_IVAN))-(H170+I170+J170)*(COSTE_DEV-IVA_DEV)-AM170-AO170</f>
        <v>0</v>
      </c>
      <c r="Y170" s="33" t="n">
        <f aca="false">AH170-AI170-AJ170-AK170-AL170-AM170-AO170</f>
        <v>0</v>
      </c>
      <c r="AA170" s="58" t="n">
        <f aca="false">MAX(0,B170-E170-H170)</f>
        <v>0</v>
      </c>
      <c r="AB170" s="58" t="n">
        <f aca="false">MAX(0,C170-F170-I170)</f>
        <v>0</v>
      </c>
      <c r="AC170" s="58" t="n">
        <f aca="false">MAX(0,D170-G170-J170)</f>
        <v>0</v>
      </c>
      <c r="AD170" s="59" t="n">
        <f aca="false">E170+AA170*AQ170</f>
        <v>0</v>
      </c>
      <c r="AE170" s="59" t="n">
        <f aca="false">F170+AB170*AQ170</f>
        <v>0</v>
      </c>
      <c r="AF170" s="59" t="n">
        <f aca="false">G170+AC170*AQ170</f>
        <v>0</v>
      </c>
      <c r="AG170" s="59" t="n">
        <f aca="false">H170+I170+J170+(AA170+AB170+AC170)*(1-AQ170)</f>
        <v>0</v>
      </c>
      <c r="AH170" s="60" t="n">
        <f aca="false">AD170*P1_PVP+AE170*P2_PVP+AF170*IF($A170&lt;P3_DESDE,P3A_PVP,P3_PVP)</f>
        <v>0</v>
      </c>
      <c r="AI170" s="60" t="n">
        <f aca="false">AD170*P1_CPROD+AE170*P2_CPROD+AF170*IF($A170&lt;P3_DESDE,P3A_CPROD,P3_CPROD)</f>
        <v>0</v>
      </c>
      <c r="AJ170" s="60" t="n">
        <f aca="false">IF(ISNUMBER(L170),L170,E170*P1_LOG+F170*P2_LOG+G170*P3_LOG)+IF(ISNUMBER(M170),M170,AA170*P1_LOG+AB170*P2_LOG+AC170*P3_LOG)*AQ170</f>
        <v>0</v>
      </c>
      <c r="AK170" s="60" t="n">
        <f aca="false">AG170*COSTE_DEV</f>
        <v>0</v>
      </c>
      <c r="AL170" s="60" t="n">
        <f aca="false">AD170*P1_IVAN+AE170*P2_IVAN+AF170*IF($A170&lt;P3_DESDE,P3A_IVAN,P3_IVAN)-AG170*IVA_DEV</f>
        <v>0</v>
      </c>
      <c r="AM170" s="60" t="n">
        <f aca="false">N170*(1+RECARGO_ADS)</f>
        <v>0</v>
      </c>
      <c r="AN170" s="58" t="n">
        <f aca="false">IF(ISNUMBER(L170),E170+F170+G170+AA170+AB170+AC170,0)</f>
        <v>0</v>
      </c>
      <c r="AO170" s="60" t="n">
        <f aca="false">P170*COMISION</f>
        <v>0</v>
      </c>
      <c r="AP170" s="58" t="n">
        <f aca="false">MIN(N(K170),Q170)</f>
        <v>0</v>
      </c>
      <c r="AQ170" s="61" t="n">
        <f aca="false">IF(Q170&gt;0,((Q170-AP170)*AT170+AP170*TASA_INC)/Q170,AT170)</f>
        <v>0.659887072235414</v>
      </c>
      <c r="AR170" s="58" t="n">
        <f aca="false">IF($A170&lt;FECHA_EXPORT,NETWORKDAYS($A170+1,FECHA_EXPORT,FESTIVOS),0)</f>
        <v>0</v>
      </c>
      <c r="AS170" s="61" t="n">
        <f aca="false">IF(AR170&gt;=5,1,INDEX(CDF_INC,1,AR170+1))</f>
        <v>0.14</v>
      </c>
      <c r="AT170" s="61" t="n">
        <f aca="false">TASA_USADA+(TASA_INC-TASA_USADA)*Q_INC*(1-AS170)/(1-Q_INC*AS170)</f>
        <v>0.659887072235414</v>
      </c>
    </row>
    <row r="171" customFormat="false" ht="15" hidden="false" customHeight="false" outlineLevel="0" collapsed="false">
      <c r="A171" s="53" t="n">
        <v>46465</v>
      </c>
      <c r="B171" s="54"/>
      <c r="C171" s="54"/>
      <c r="D171" s="54"/>
      <c r="E171" s="54"/>
      <c r="F171" s="54"/>
      <c r="G171" s="54"/>
      <c r="H171" s="54"/>
      <c r="I171" s="54"/>
      <c r="J171" s="54"/>
      <c r="K171" s="54"/>
      <c r="L171" s="55"/>
      <c r="M171" s="55"/>
      <c r="N171" s="55"/>
      <c r="O171" s="56"/>
      <c r="P171" s="31" t="n">
        <f aca="false">B171+C171+D171</f>
        <v>0</v>
      </c>
      <c r="Q171" s="31" t="n">
        <f aca="false">AA171+AB171+AC171</f>
        <v>0</v>
      </c>
      <c r="R171" s="32" t="n">
        <f aca="false">B171*P1_PVP+C171*P2_PVP+D171*IF($A171&lt;P3_DESDE,P3A_PVP,P3_PVP)</f>
        <v>0</v>
      </c>
      <c r="S171" s="32" t="str">
        <f aca="false">IF(P171&gt;0,R171/P171,"")</f>
        <v/>
      </c>
      <c r="T171" s="32" t="str">
        <f aca="false">IF(P171&gt;0,N171/P171,"")</f>
        <v/>
      </c>
      <c r="U171" s="57" t="str">
        <f aca="false">IF(N171&gt;0,R171/N171,"")</f>
        <v/>
      </c>
      <c r="V171" s="34" t="str">
        <f aca="false">IF(E171+F171+G171+H171+I171+J171&gt;0,(E171+F171+G171)/(E171+F171+G171+H171+I171+J171),"")</f>
        <v/>
      </c>
      <c r="W171" s="33" t="n">
        <f aca="false">E171*(P1_PVP-P1_CPROD)+F171*(P2_PVP-P2_CPROD)+G171*(IF($A171&lt;P3_DESDE,P3A_PVP,P3_PVP)-IF($A171&lt;P3_DESDE,P3A_CPROD,P3_CPROD))-IF(ISNUMBER(L171),L171,E171*P1_LOG+F171*P2_LOG+G171*P3_LOG)</f>
        <v>0</v>
      </c>
      <c r="X171" s="33" t="n">
        <f aca="false">W171-(E171*P1_IVAN+F171*P2_IVAN+G171*IF($A171&lt;P3_DESDE,P3A_IVAN,P3_IVAN))-(H171+I171+J171)*(COSTE_DEV-IVA_DEV)-AM171-AO171</f>
        <v>0</v>
      </c>
      <c r="Y171" s="33" t="n">
        <f aca="false">AH171-AI171-AJ171-AK171-AL171-AM171-AO171</f>
        <v>0</v>
      </c>
      <c r="AA171" s="58" t="n">
        <f aca="false">MAX(0,B171-E171-H171)</f>
        <v>0</v>
      </c>
      <c r="AB171" s="58" t="n">
        <f aca="false">MAX(0,C171-F171-I171)</f>
        <v>0</v>
      </c>
      <c r="AC171" s="58" t="n">
        <f aca="false">MAX(0,D171-G171-J171)</f>
        <v>0</v>
      </c>
      <c r="AD171" s="59" t="n">
        <f aca="false">E171+AA171*AQ171</f>
        <v>0</v>
      </c>
      <c r="AE171" s="59" t="n">
        <f aca="false">F171+AB171*AQ171</f>
        <v>0</v>
      </c>
      <c r="AF171" s="59" t="n">
        <f aca="false">G171+AC171*AQ171</f>
        <v>0</v>
      </c>
      <c r="AG171" s="59" t="n">
        <f aca="false">H171+I171+J171+(AA171+AB171+AC171)*(1-AQ171)</f>
        <v>0</v>
      </c>
      <c r="AH171" s="60" t="n">
        <f aca="false">AD171*P1_PVP+AE171*P2_PVP+AF171*IF($A171&lt;P3_DESDE,P3A_PVP,P3_PVP)</f>
        <v>0</v>
      </c>
      <c r="AI171" s="60" t="n">
        <f aca="false">AD171*P1_CPROD+AE171*P2_CPROD+AF171*IF($A171&lt;P3_DESDE,P3A_CPROD,P3_CPROD)</f>
        <v>0</v>
      </c>
      <c r="AJ171" s="60" t="n">
        <f aca="false">IF(ISNUMBER(L171),L171,E171*P1_LOG+F171*P2_LOG+G171*P3_LOG)+IF(ISNUMBER(M171),M171,AA171*P1_LOG+AB171*P2_LOG+AC171*P3_LOG)*AQ171</f>
        <v>0</v>
      </c>
      <c r="AK171" s="60" t="n">
        <f aca="false">AG171*COSTE_DEV</f>
        <v>0</v>
      </c>
      <c r="AL171" s="60" t="n">
        <f aca="false">AD171*P1_IVAN+AE171*P2_IVAN+AF171*IF($A171&lt;P3_DESDE,P3A_IVAN,P3_IVAN)-AG171*IVA_DEV</f>
        <v>0</v>
      </c>
      <c r="AM171" s="60" t="n">
        <f aca="false">N171*(1+RECARGO_ADS)</f>
        <v>0</v>
      </c>
      <c r="AN171" s="58" t="n">
        <f aca="false">IF(ISNUMBER(L171),E171+F171+G171+AA171+AB171+AC171,0)</f>
        <v>0</v>
      </c>
      <c r="AO171" s="60" t="n">
        <f aca="false">P171*COMISION</f>
        <v>0</v>
      </c>
      <c r="AP171" s="58" t="n">
        <f aca="false">MIN(N(K171),Q171)</f>
        <v>0</v>
      </c>
      <c r="AQ171" s="61" t="n">
        <f aca="false">IF(Q171&gt;0,((Q171-AP171)*AT171+AP171*TASA_INC)/Q171,AT171)</f>
        <v>0.659887072235414</v>
      </c>
      <c r="AR171" s="58" t="n">
        <f aca="false">IF($A171&lt;FECHA_EXPORT,NETWORKDAYS($A171+1,FECHA_EXPORT,FESTIVOS),0)</f>
        <v>0</v>
      </c>
      <c r="AS171" s="61" t="n">
        <f aca="false">IF(AR171&gt;=5,1,INDEX(CDF_INC,1,AR171+1))</f>
        <v>0.14</v>
      </c>
      <c r="AT171" s="61" t="n">
        <f aca="false">TASA_USADA+(TASA_INC-TASA_USADA)*Q_INC*(1-AS171)/(1-Q_INC*AS171)</f>
        <v>0.659887072235414</v>
      </c>
    </row>
    <row r="172" customFormat="false" ht="15" hidden="false" customHeight="false" outlineLevel="0" collapsed="false">
      <c r="A172" s="53" t="n">
        <v>46466</v>
      </c>
      <c r="B172" s="54"/>
      <c r="C172" s="54"/>
      <c r="D172" s="54"/>
      <c r="E172" s="54"/>
      <c r="F172" s="54"/>
      <c r="G172" s="54"/>
      <c r="H172" s="54"/>
      <c r="I172" s="54"/>
      <c r="J172" s="54"/>
      <c r="K172" s="54"/>
      <c r="L172" s="55"/>
      <c r="M172" s="55"/>
      <c r="N172" s="55"/>
      <c r="O172" s="56"/>
      <c r="P172" s="31" t="n">
        <f aca="false">B172+C172+D172</f>
        <v>0</v>
      </c>
      <c r="Q172" s="31" t="n">
        <f aca="false">AA172+AB172+AC172</f>
        <v>0</v>
      </c>
      <c r="R172" s="32" t="n">
        <f aca="false">B172*P1_PVP+C172*P2_PVP+D172*IF($A172&lt;P3_DESDE,P3A_PVP,P3_PVP)</f>
        <v>0</v>
      </c>
      <c r="S172" s="32" t="str">
        <f aca="false">IF(P172&gt;0,R172/P172,"")</f>
        <v/>
      </c>
      <c r="T172" s="32" t="str">
        <f aca="false">IF(P172&gt;0,N172/P172,"")</f>
        <v/>
      </c>
      <c r="U172" s="57" t="str">
        <f aca="false">IF(N172&gt;0,R172/N172,"")</f>
        <v/>
      </c>
      <c r="V172" s="34" t="str">
        <f aca="false">IF(E172+F172+G172+H172+I172+J172&gt;0,(E172+F172+G172)/(E172+F172+G172+H172+I172+J172),"")</f>
        <v/>
      </c>
      <c r="W172" s="33" t="n">
        <f aca="false">E172*(P1_PVP-P1_CPROD)+F172*(P2_PVP-P2_CPROD)+G172*(IF($A172&lt;P3_DESDE,P3A_PVP,P3_PVP)-IF($A172&lt;P3_DESDE,P3A_CPROD,P3_CPROD))-IF(ISNUMBER(L172),L172,E172*P1_LOG+F172*P2_LOG+G172*P3_LOG)</f>
        <v>0</v>
      </c>
      <c r="X172" s="33" t="n">
        <f aca="false">W172-(E172*P1_IVAN+F172*P2_IVAN+G172*IF($A172&lt;P3_DESDE,P3A_IVAN,P3_IVAN))-(H172+I172+J172)*(COSTE_DEV-IVA_DEV)-AM172-AO172</f>
        <v>0</v>
      </c>
      <c r="Y172" s="33" t="n">
        <f aca="false">AH172-AI172-AJ172-AK172-AL172-AM172-AO172</f>
        <v>0</v>
      </c>
      <c r="AA172" s="58" t="n">
        <f aca="false">MAX(0,B172-E172-H172)</f>
        <v>0</v>
      </c>
      <c r="AB172" s="58" t="n">
        <f aca="false">MAX(0,C172-F172-I172)</f>
        <v>0</v>
      </c>
      <c r="AC172" s="58" t="n">
        <f aca="false">MAX(0,D172-G172-J172)</f>
        <v>0</v>
      </c>
      <c r="AD172" s="59" t="n">
        <f aca="false">E172+AA172*AQ172</f>
        <v>0</v>
      </c>
      <c r="AE172" s="59" t="n">
        <f aca="false">F172+AB172*AQ172</f>
        <v>0</v>
      </c>
      <c r="AF172" s="59" t="n">
        <f aca="false">G172+AC172*AQ172</f>
        <v>0</v>
      </c>
      <c r="AG172" s="59" t="n">
        <f aca="false">H172+I172+J172+(AA172+AB172+AC172)*(1-AQ172)</f>
        <v>0</v>
      </c>
      <c r="AH172" s="60" t="n">
        <f aca="false">AD172*P1_PVP+AE172*P2_PVP+AF172*IF($A172&lt;P3_DESDE,P3A_PVP,P3_PVP)</f>
        <v>0</v>
      </c>
      <c r="AI172" s="60" t="n">
        <f aca="false">AD172*P1_CPROD+AE172*P2_CPROD+AF172*IF($A172&lt;P3_DESDE,P3A_CPROD,P3_CPROD)</f>
        <v>0</v>
      </c>
      <c r="AJ172" s="60" t="n">
        <f aca="false">IF(ISNUMBER(L172),L172,E172*P1_LOG+F172*P2_LOG+G172*P3_LOG)+IF(ISNUMBER(M172),M172,AA172*P1_LOG+AB172*P2_LOG+AC172*P3_LOG)*AQ172</f>
        <v>0</v>
      </c>
      <c r="AK172" s="60" t="n">
        <f aca="false">AG172*COSTE_DEV</f>
        <v>0</v>
      </c>
      <c r="AL172" s="60" t="n">
        <f aca="false">AD172*P1_IVAN+AE172*P2_IVAN+AF172*IF($A172&lt;P3_DESDE,P3A_IVAN,P3_IVAN)-AG172*IVA_DEV</f>
        <v>0</v>
      </c>
      <c r="AM172" s="60" t="n">
        <f aca="false">N172*(1+RECARGO_ADS)</f>
        <v>0</v>
      </c>
      <c r="AN172" s="58" t="n">
        <f aca="false">IF(ISNUMBER(L172),E172+F172+G172+AA172+AB172+AC172,0)</f>
        <v>0</v>
      </c>
      <c r="AO172" s="60" t="n">
        <f aca="false">P172*COMISION</f>
        <v>0</v>
      </c>
      <c r="AP172" s="58" t="n">
        <f aca="false">MIN(N(K172),Q172)</f>
        <v>0</v>
      </c>
      <c r="AQ172" s="61" t="n">
        <f aca="false">IF(Q172&gt;0,((Q172-AP172)*AT172+AP172*TASA_INC)/Q172,AT172)</f>
        <v>0.659887072235414</v>
      </c>
      <c r="AR172" s="58" t="n">
        <f aca="false">IF($A172&lt;FECHA_EXPORT,NETWORKDAYS($A172+1,FECHA_EXPORT,FESTIVOS),0)</f>
        <v>0</v>
      </c>
      <c r="AS172" s="61" t="n">
        <f aca="false">IF(AR172&gt;=5,1,INDEX(CDF_INC,1,AR172+1))</f>
        <v>0.14</v>
      </c>
      <c r="AT172" s="61" t="n">
        <f aca="false">TASA_USADA+(TASA_INC-TASA_USADA)*Q_INC*(1-AS172)/(1-Q_INC*AS172)</f>
        <v>0.659887072235414</v>
      </c>
    </row>
    <row r="173" customFormat="false" ht="15" hidden="false" customHeight="false" outlineLevel="0" collapsed="false">
      <c r="A173" s="53" t="n">
        <v>46467</v>
      </c>
      <c r="B173" s="54"/>
      <c r="C173" s="54"/>
      <c r="D173" s="54"/>
      <c r="E173" s="54"/>
      <c r="F173" s="54"/>
      <c r="G173" s="54"/>
      <c r="H173" s="54"/>
      <c r="I173" s="54"/>
      <c r="J173" s="54"/>
      <c r="K173" s="54"/>
      <c r="L173" s="55"/>
      <c r="M173" s="55"/>
      <c r="N173" s="55"/>
      <c r="O173" s="56"/>
      <c r="P173" s="31" t="n">
        <f aca="false">B173+C173+D173</f>
        <v>0</v>
      </c>
      <c r="Q173" s="31" t="n">
        <f aca="false">AA173+AB173+AC173</f>
        <v>0</v>
      </c>
      <c r="R173" s="32" t="n">
        <f aca="false">B173*P1_PVP+C173*P2_PVP+D173*IF($A173&lt;P3_DESDE,P3A_PVP,P3_PVP)</f>
        <v>0</v>
      </c>
      <c r="S173" s="32" t="str">
        <f aca="false">IF(P173&gt;0,R173/P173,"")</f>
        <v/>
      </c>
      <c r="T173" s="32" t="str">
        <f aca="false">IF(P173&gt;0,N173/P173,"")</f>
        <v/>
      </c>
      <c r="U173" s="57" t="str">
        <f aca="false">IF(N173&gt;0,R173/N173,"")</f>
        <v/>
      </c>
      <c r="V173" s="34" t="str">
        <f aca="false">IF(E173+F173+G173+H173+I173+J173&gt;0,(E173+F173+G173)/(E173+F173+G173+H173+I173+J173),"")</f>
        <v/>
      </c>
      <c r="W173" s="33" t="n">
        <f aca="false">E173*(P1_PVP-P1_CPROD)+F173*(P2_PVP-P2_CPROD)+G173*(IF($A173&lt;P3_DESDE,P3A_PVP,P3_PVP)-IF($A173&lt;P3_DESDE,P3A_CPROD,P3_CPROD))-IF(ISNUMBER(L173),L173,E173*P1_LOG+F173*P2_LOG+G173*P3_LOG)</f>
        <v>0</v>
      </c>
      <c r="X173" s="33" t="n">
        <f aca="false">W173-(E173*P1_IVAN+F173*P2_IVAN+G173*IF($A173&lt;P3_DESDE,P3A_IVAN,P3_IVAN))-(H173+I173+J173)*(COSTE_DEV-IVA_DEV)-AM173-AO173</f>
        <v>0</v>
      </c>
      <c r="Y173" s="33" t="n">
        <f aca="false">AH173-AI173-AJ173-AK173-AL173-AM173-AO173</f>
        <v>0</v>
      </c>
      <c r="AA173" s="58" t="n">
        <f aca="false">MAX(0,B173-E173-H173)</f>
        <v>0</v>
      </c>
      <c r="AB173" s="58" t="n">
        <f aca="false">MAX(0,C173-F173-I173)</f>
        <v>0</v>
      </c>
      <c r="AC173" s="58" t="n">
        <f aca="false">MAX(0,D173-G173-J173)</f>
        <v>0</v>
      </c>
      <c r="AD173" s="59" t="n">
        <f aca="false">E173+AA173*AQ173</f>
        <v>0</v>
      </c>
      <c r="AE173" s="59" t="n">
        <f aca="false">F173+AB173*AQ173</f>
        <v>0</v>
      </c>
      <c r="AF173" s="59" t="n">
        <f aca="false">G173+AC173*AQ173</f>
        <v>0</v>
      </c>
      <c r="AG173" s="59" t="n">
        <f aca="false">H173+I173+J173+(AA173+AB173+AC173)*(1-AQ173)</f>
        <v>0</v>
      </c>
      <c r="AH173" s="60" t="n">
        <f aca="false">AD173*P1_PVP+AE173*P2_PVP+AF173*IF($A173&lt;P3_DESDE,P3A_PVP,P3_PVP)</f>
        <v>0</v>
      </c>
      <c r="AI173" s="60" t="n">
        <f aca="false">AD173*P1_CPROD+AE173*P2_CPROD+AF173*IF($A173&lt;P3_DESDE,P3A_CPROD,P3_CPROD)</f>
        <v>0</v>
      </c>
      <c r="AJ173" s="60" t="n">
        <f aca="false">IF(ISNUMBER(L173),L173,E173*P1_LOG+F173*P2_LOG+G173*P3_LOG)+IF(ISNUMBER(M173),M173,AA173*P1_LOG+AB173*P2_LOG+AC173*P3_LOG)*AQ173</f>
        <v>0</v>
      </c>
      <c r="AK173" s="60" t="n">
        <f aca="false">AG173*COSTE_DEV</f>
        <v>0</v>
      </c>
      <c r="AL173" s="60" t="n">
        <f aca="false">AD173*P1_IVAN+AE173*P2_IVAN+AF173*IF($A173&lt;P3_DESDE,P3A_IVAN,P3_IVAN)-AG173*IVA_DEV</f>
        <v>0</v>
      </c>
      <c r="AM173" s="60" t="n">
        <f aca="false">N173*(1+RECARGO_ADS)</f>
        <v>0</v>
      </c>
      <c r="AN173" s="58" t="n">
        <f aca="false">IF(ISNUMBER(L173),E173+F173+G173+AA173+AB173+AC173,0)</f>
        <v>0</v>
      </c>
      <c r="AO173" s="60" t="n">
        <f aca="false">P173*COMISION</f>
        <v>0</v>
      </c>
      <c r="AP173" s="58" t="n">
        <f aca="false">MIN(N(K173),Q173)</f>
        <v>0</v>
      </c>
      <c r="AQ173" s="61" t="n">
        <f aca="false">IF(Q173&gt;0,((Q173-AP173)*AT173+AP173*TASA_INC)/Q173,AT173)</f>
        <v>0.659887072235414</v>
      </c>
      <c r="AR173" s="58" t="n">
        <f aca="false">IF($A173&lt;FECHA_EXPORT,NETWORKDAYS($A173+1,FECHA_EXPORT,FESTIVOS),0)</f>
        <v>0</v>
      </c>
      <c r="AS173" s="61" t="n">
        <f aca="false">IF(AR173&gt;=5,1,INDEX(CDF_INC,1,AR173+1))</f>
        <v>0.14</v>
      </c>
      <c r="AT173" s="61" t="n">
        <f aca="false">TASA_USADA+(TASA_INC-TASA_USADA)*Q_INC*(1-AS173)/(1-Q_INC*AS173)</f>
        <v>0.659887072235414</v>
      </c>
    </row>
    <row r="174" customFormat="false" ht="15" hidden="false" customHeight="false" outlineLevel="0" collapsed="false">
      <c r="A174" s="53" t="n">
        <v>46468</v>
      </c>
      <c r="B174" s="54"/>
      <c r="C174" s="54"/>
      <c r="D174" s="54"/>
      <c r="E174" s="54"/>
      <c r="F174" s="54"/>
      <c r="G174" s="54"/>
      <c r="H174" s="54"/>
      <c r="I174" s="54"/>
      <c r="J174" s="54"/>
      <c r="K174" s="54"/>
      <c r="L174" s="55"/>
      <c r="M174" s="55"/>
      <c r="N174" s="55"/>
      <c r="O174" s="56"/>
      <c r="P174" s="31" t="n">
        <f aca="false">B174+C174+D174</f>
        <v>0</v>
      </c>
      <c r="Q174" s="31" t="n">
        <f aca="false">AA174+AB174+AC174</f>
        <v>0</v>
      </c>
      <c r="R174" s="32" t="n">
        <f aca="false">B174*P1_PVP+C174*P2_PVP+D174*IF($A174&lt;P3_DESDE,P3A_PVP,P3_PVP)</f>
        <v>0</v>
      </c>
      <c r="S174" s="32" t="str">
        <f aca="false">IF(P174&gt;0,R174/P174,"")</f>
        <v/>
      </c>
      <c r="T174" s="32" t="str">
        <f aca="false">IF(P174&gt;0,N174/P174,"")</f>
        <v/>
      </c>
      <c r="U174" s="57" t="str">
        <f aca="false">IF(N174&gt;0,R174/N174,"")</f>
        <v/>
      </c>
      <c r="V174" s="34" t="str">
        <f aca="false">IF(E174+F174+G174+H174+I174+J174&gt;0,(E174+F174+G174)/(E174+F174+G174+H174+I174+J174),"")</f>
        <v/>
      </c>
      <c r="W174" s="33" t="n">
        <f aca="false">E174*(P1_PVP-P1_CPROD)+F174*(P2_PVP-P2_CPROD)+G174*(IF($A174&lt;P3_DESDE,P3A_PVP,P3_PVP)-IF($A174&lt;P3_DESDE,P3A_CPROD,P3_CPROD))-IF(ISNUMBER(L174),L174,E174*P1_LOG+F174*P2_LOG+G174*P3_LOG)</f>
        <v>0</v>
      </c>
      <c r="X174" s="33" t="n">
        <f aca="false">W174-(E174*P1_IVAN+F174*P2_IVAN+G174*IF($A174&lt;P3_DESDE,P3A_IVAN,P3_IVAN))-(H174+I174+J174)*(COSTE_DEV-IVA_DEV)-AM174-AO174</f>
        <v>0</v>
      </c>
      <c r="Y174" s="33" t="n">
        <f aca="false">AH174-AI174-AJ174-AK174-AL174-AM174-AO174</f>
        <v>0</v>
      </c>
      <c r="AA174" s="58" t="n">
        <f aca="false">MAX(0,B174-E174-H174)</f>
        <v>0</v>
      </c>
      <c r="AB174" s="58" t="n">
        <f aca="false">MAX(0,C174-F174-I174)</f>
        <v>0</v>
      </c>
      <c r="AC174" s="58" t="n">
        <f aca="false">MAX(0,D174-G174-J174)</f>
        <v>0</v>
      </c>
      <c r="AD174" s="59" t="n">
        <f aca="false">E174+AA174*AQ174</f>
        <v>0</v>
      </c>
      <c r="AE174" s="59" t="n">
        <f aca="false">F174+AB174*AQ174</f>
        <v>0</v>
      </c>
      <c r="AF174" s="59" t="n">
        <f aca="false">G174+AC174*AQ174</f>
        <v>0</v>
      </c>
      <c r="AG174" s="59" t="n">
        <f aca="false">H174+I174+J174+(AA174+AB174+AC174)*(1-AQ174)</f>
        <v>0</v>
      </c>
      <c r="AH174" s="60" t="n">
        <f aca="false">AD174*P1_PVP+AE174*P2_PVP+AF174*IF($A174&lt;P3_DESDE,P3A_PVP,P3_PVP)</f>
        <v>0</v>
      </c>
      <c r="AI174" s="60" t="n">
        <f aca="false">AD174*P1_CPROD+AE174*P2_CPROD+AF174*IF($A174&lt;P3_DESDE,P3A_CPROD,P3_CPROD)</f>
        <v>0</v>
      </c>
      <c r="AJ174" s="60" t="n">
        <f aca="false">IF(ISNUMBER(L174),L174,E174*P1_LOG+F174*P2_LOG+G174*P3_LOG)+IF(ISNUMBER(M174),M174,AA174*P1_LOG+AB174*P2_LOG+AC174*P3_LOG)*AQ174</f>
        <v>0</v>
      </c>
      <c r="AK174" s="60" t="n">
        <f aca="false">AG174*COSTE_DEV</f>
        <v>0</v>
      </c>
      <c r="AL174" s="60" t="n">
        <f aca="false">AD174*P1_IVAN+AE174*P2_IVAN+AF174*IF($A174&lt;P3_DESDE,P3A_IVAN,P3_IVAN)-AG174*IVA_DEV</f>
        <v>0</v>
      </c>
      <c r="AM174" s="60" t="n">
        <f aca="false">N174*(1+RECARGO_ADS)</f>
        <v>0</v>
      </c>
      <c r="AN174" s="58" t="n">
        <f aca="false">IF(ISNUMBER(L174),E174+F174+G174+AA174+AB174+AC174,0)</f>
        <v>0</v>
      </c>
      <c r="AO174" s="60" t="n">
        <f aca="false">P174*COMISION</f>
        <v>0</v>
      </c>
      <c r="AP174" s="58" t="n">
        <f aca="false">MIN(N(K174),Q174)</f>
        <v>0</v>
      </c>
      <c r="AQ174" s="61" t="n">
        <f aca="false">IF(Q174&gt;0,((Q174-AP174)*AT174+AP174*TASA_INC)/Q174,AT174)</f>
        <v>0.659887072235414</v>
      </c>
      <c r="AR174" s="58" t="n">
        <f aca="false">IF($A174&lt;FECHA_EXPORT,NETWORKDAYS($A174+1,FECHA_EXPORT,FESTIVOS),0)</f>
        <v>0</v>
      </c>
      <c r="AS174" s="61" t="n">
        <f aca="false">IF(AR174&gt;=5,1,INDEX(CDF_INC,1,AR174+1))</f>
        <v>0.14</v>
      </c>
      <c r="AT174" s="61" t="n">
        <f aca="false">TASA_USADA+(TASA_INC-TASA_USADA)*Q_INC*(1-AS174)/(1-Q_INC*AS174)</f>
        <v>0.659887072235414</v>
      </c>
    </row>
    <row r="175" customFormat="false" ht="15" hidden="false" customHeight="false" outlineLevel="0" collapsed="false">
      <c r="A175" s="53" t="n">
        <v>46469</v>
      </c>
      <c r="B175" s="54"/>
      <c r="C175" s="54"/>
      <c r="D175" s="54"/>
      <c r="E175" s="54"/>
      <c r="F175" s="54"/>
      <c r="G175" s="54"/>
      <c r="H175" s="54"/>
      <c r="I175" s="54"/>
      <c r="J175" s="54"/>
      <c r="K175" s="54"/>
      <c r="L175" s="55"/>
      <c r="M175" s="55"/>
      <c r="N175" s="55"/>
      <c r="O175" s="56"/>
      <c r="P175" s="31" t="n">
        <f aca="false">B175+C175+D175</f>
        <v>0</v>
      </c>
      <c r="Q175" s="31" t="n">
        <f aca="false">AA175+AB175+AC175</f>
        <v>0</v>
      </c>
      <c r="R175" s="32" t="n">
        <f aca="false">B175*P1_PVP+C175*P2_PVP+D175*IF($A175&lt;P3_DESDE,P3A_PVP,P3_PVP)</f>
        <v>0</v>
      </c>
      <c r="S175" s="32" t="str">
        <f aca="false">IF(P175&gt;0,R175/P175,"")</f>
        <v/>
      </c>
      <c r="T175" s="32" t="str">
        <f aca="false">IF(P175&gt;0,N175/P175,"")</f>
        <v/>
      </c>
      <c r="U175" s="57" t="str">
        <f aca="false">IF(N175&gt;0,R175/N175,"")</f>
        <v/>
      </c>
      <c r="V175" s="34" t="str">
        <f aca="false">IF(E175+F175+G175+H175+I175+J175&gt;0,(E175+F175+G175)/(E175+F175+G175+H175+I175+J175),"")</f>
        <v/>
      </c>
      <c r="W175" s="33" t="n">
        <f aca="false">E175*(P1_PVP-P1_CPROD)+F175*(P2_PVP-P2_CPROD)+G175*(IF($A175&lt;P3_DESDE,P3A_PVP,P3_PVP)-IF($A175&lt;P3_DESDE,P3A_CPROD,P3_CPROD))-IF(ISNUMBER(L175),L175,E175*P1_LOG+F175*P2_LOG+G175*P3_LOG)</f>
        <v>0</v>
      </c>
      <c r="X175" s="33" t="n">
        <f aca="false">W175-(E175*P1_IVAN+F175*P2_IVAN+G175*IF($A175&lt;P3_DESDE,P3A_IVAN,P3_IVAN))-(H175+I175+J175)*(COSTE_DEV-IVA_DEV)-AM175-AO175</f>
        <v>0</v>
      </c>
      <c r="Y175" s="33" t="n">
        <f aca="false">AH175-AI175-AJ175-AK175-AL175-AM175-AO175</f>
        <v>0</v>
      </c>
      <c r="AA175" s="58" t="n">
        <f aca="false">MAX(0,B175-E175-H175)</f>
        <v>0</v>
      </c>
      <c r="AB175" s="58" t="n">
        <f aca="false">MAX(0,C175-F175-I175)</f>
        <v>0</v>
      </c>
      <c r="AC175" s="58" t="n">
        <f aca="false">MAX(0,D175-G175-J175)</f>
        <v>0</v>
      </c>
      <c r="AD175" s="59" t="n">
        <f aca="false">E175+AA175*AQ175</f>
        <v>0</v>
      </c>
      <c r="AE175" s="59" t="n">
        <f aca="false">F175+AB175*AQ175</f>
        <v>0</v>
      </c>
      <c r="AF175" s="59" t="n">
        <f aca="false">G175+AC175*AQ175</f>
        <v>0</v>
      </c>
      <c r="AG175" s="59" t="n">
        <f aca="false">H175+I175+J175+(AA175+AB175+AC175)*(1-AQ175)</f>
        <v>0</v>
      </c>
      <c r="AH175" s="60" t="n">
        <f aca="false">AD175*P1_PVP+AE175*P2_PVP+AF175*IF($A175&lt;P3_DESDE,P3A_PVP,P3_PVP)</f>
        <v>0</v>
      </c>
      <c r="AI175" s="60" t="n">
        <f aca="false">AD175*P1_CPROD+AE175*P2_CPROD+AF175*IF($A175&lt;P3_DESDE,P3A_CPROD,P3_CPROD)</f>
        <v>0</v>
      </c>
      <c r="AJ175" s="60" t="n">
        <f aca="false">IF(ISNUMBER(L175),L175,E175*P1_LOG+F175*P2_LOG+G175*P3_LOG)+IF(ISNUMBER(M175),M175,AA175*P1_LOG+AB175*P2_LOG+AC175*P3_LOG)*AQ175</f>
        <v>0</v>
      </c>
      <c r="AK175" s="60" t="n">
        <f aca="false">AG175*COSTE_DEV</f>
        <v>0</v>
      </c>
      <c r="AL175" s="60" t="n">
        <f aca="false">AD175*P1_IVAN+AE175*P2_IVAN+AF175*IF($A175&lt;P3_DESDE,P3A_IVAN,P3_IVAN)-AG175*IVA_DEV</f>
        <v>0</v>
      </c>
      <c r="AM175" s="60" t="n">
        <f aca="false">N175*(1+RECARGO_ADS)</f>
        <v>0</v>
      </c>
      <c r="AN175" s="58" t="n">
        <f aca="false">IF(ISNUMBER(L175),E175+F175+G175+AA175+AB175+AC175,0)</f>
        <v>0</v>
      </c>
      <c r="AO175" s="60" t="n">
        <f aca="false">P175*COMISION</f>
        <v>0</v>
      </c>
      <c r="AP175" s="58" t="n">
        <f aca="false">MIN(N(K175),Q175)</f>
        <v>0</v>
      </c>
      <c r="AQ175" s="61" t="n">
        <f aca="false">IF(Q175&gt;0,((Q175-AP175)*AT175+AP175*TASA_INC)/Q175,AT175)</f>
        <v>0.659887072235414</v>
      </c>
      <c r="AR175" s="58" t="n">
        <f aca="false">IF($A175&lt;FECHA_EXPORT,NETWORKDAYS($A175+1,FECHA_EXPORT,FESTIVOS),0)</f>
        <v>0</v>
      </c>
      <c r="AS175" s="61" t="n">
        <f aca="false">IF(AR175&gt;=5,1,INDEX(CDF_INC,1,AR175+1))</f>
        <v>0.14</v>
      </c>
      <c r="AT175" s="61" t="n">
        <f aca="false">TASA_USADA+(TASA_INC-TASA_USADA)*Q_INC*(1-AS175)/(1-Q_INC*AS175)</f>
        <v>0.659887072235414</v>
      </c>
    </row>
    <row r="176" customFormat="false" ht="15" hidden="false" customHeight="false" outlineLevel="0" collapsed="false">
      <c r="A176" s="53" t="n">
        <v>46470</v>
      </c>
      <c r="B176" s="54"/>
      <c r="C176" s="54"/>
      <c r="D176" s="54"/>
      <c r="E176" s="54"/>
      <c r="F176" s="54"/>
      <c r="G176" s="54"/>
      <c r="H176" s="54"/>
      <c r="I176" s="54"/>
      <c r="J176" s="54"/>
      <c r="K176" s="54"/>
      <c r="L176" s="55"/>
      <c r="M176" s="55"/>
      <c r="N176" s="55"/>
      <c r="O176" s="56"/>
      <c r="P176" s="31" t="n">
        <f aca="false">B176+C176+D176</f>
        <v>0</v>
      </c>
      <c r="Q176" s="31" t="n">
        <f aca="false">AA176+AB176+AC176</f>
        <v>0</v>
      </c>
      <c r="R176" s="32" t="n">
        <f aca="false">B176*P1_PVP+C176*P2_PVP+D176*IF($A176&lt;P3_DESDE,P3A_PVP,P3_PVP)</f>
        <v>0</v>
      </c>
      <c r="S176" s="32" t="str">
        <f aca="false">IF(P176&gt;0,R176/P176,"")</f>
        <v/>
      </c>
      <c r="T176" s="32" t="str">
        <f aca="false">IF(P176&gt;0,N176/P176,"")</f>
        <v/>
      </c>
      <c r="U176" s="57" t="str">
        <f aca="false">IF(N176&gt;0,R176/N176,"")</f>
        <v/>
      </c>
      <c r="V176" s="34" t="str">
        <f aca="false">IF(E176+F176+G176+H176+I176+J176&gt;0,(E176+F176+G176)/(E176+F176+G176+H176+I176+J176),"")</f>
        <v/>
      </c>
      <c r="W176" s="33" t="n">
        <f aca="false">E176*(P1_PVP-P1_CPROD)+F176*(P2_PVP-P2_CPROD)+G176*(IF($A176&lt;P3_DESDE,P3A_PVP,P3_PVP)-IF($A176&lt;P3_DESDE,P3A_CPROD,P3_CPROD))-IF(ISNUMBER(L176),L176,E176*P1_LOG+F176*P2_LOG+G176*P3_LOG)</f>
        <v>0</v>
      </c>
      <c r="X176" s="33" t="n">
        <f aca="false">W176-(E176*P1_IVAN+F176*P2_IVAN+G176*IF($A176&lt;P3_DESDE,P3A_IVAN,P3_IVAN))-(H176+I176+J176)*(COSTE_DEV-IVA_DEV)-AM176-AO176</f>
        <v>0</v>
      </c>
      <c r="Y176" s="33" t="n">
        <f aca="false">AH176-AI176-AJ176-AK176-AL176-AM176-AO176</f>
        <v>0</v>
      </c>
      <c r="AA176" s="58" t="n">
        <f aca="false">MAX(0,B176-E176-H176)</f>
        <v>0</v>
      </c>
      <c r="AB176" s="58" t="n">
        <f aca="false">MAX(0,C176-F176-I176)</f>
        <v>0</v>
      </c>
      <c r="AC176" s="58" t="n">
        <f aca="false">MAX(0,D176-G176-J176)</f>
        <v>0</v>
      </c>
      <c r="AD176" s="59" t="n">
        <f aca="false">E176+AA176*AQ176</f>
        <v>0</v>
      </c>
      <c r="AE176" s="59" t="n">
        <f aca="false">F176+AB176*AQ176</f>
        <v>0</v>
      </c>
      <c r="AF176" s="59" t="n">
        <f aca="false">G176+AC176*AQ176</f>
        <v>0</v>
      </c>
      <c r="AG176" s="59" t="n">
        <f aca="false">H176+I176+J176+(AA176+AB176+AC176)*(1-AQ176)</f>
        <v>0</v>
      </c>
      <c r="AH176" s="60" t="n">
        <f aca="false">AD176*P1_PVP+AE176*P2_PVP+AF176*IF($A176&lt;P3_DESDE,P3A_PVP,P3_PVP)</f>
        <v>0</v>
      </c>
      <c r="AI176" s="60" t="n">
        <f aca="false">AD176*P1_CPROD+AE176*P2_CPROD+AF176*IF($A176&lt;P3_DESDE,P3A_CPROD,P3_CPROD)</f>
        <v>0</v>
      </c>
      <c r="AJ176" s="60" t="n">
        <f aca="false">IF(ISNUMBER(L176),L176,E176*P1_LOG+F176*P2_LOG+G176*P3_LOG)+IF(ISNUMBER(M176),M176,AA176*P1_LOG+AB176*P2_LOG+AC176*P3_LOG)*AQ176</f>
        <v>0</v>
      </c>
      <c r="AK176" s="60" t="n">
        <f aca="false">AG176*COSTE_DEV</f>
        <v>0</v>
      </c>
      <c r="AL176" s="60" t="n">
        <f aca="false">AD176*P1_IVAN+AE176*P2_IVAN+AF176*IF($A176&lt;P3_DESDE,P3A_IVAN,P3_IVAN)-AG176*IVA_DEV</f>
        <v>0</v>
      </c>
      <c r="AM176" s="60" t="n">
        <f aca="false">N176*(1+RECARGO_ADS)</f>
        <v>0</v>
      </c>
      <c r="AN176" s="58" t="n">
        <f aca="false">IF(ISNUMBER(L176),E176+F176+G176+AA176+AB176+AC176,0)</f>
        <v>0</v>
      </c>
      <c r="AO176" s="60" t="n">
        <f aca="false">P176*COMISION</f>
        <v>0</v>
      </c>
      <c r="AP176" s="58" t="n">
        <f aca="false">MIN(N(K176),Q176)</f>
        <v>0</v>
      </c>
      <c r="AQ176" s="61" t="n">
        <f aca="false">IF(Q176&gt;0,((Q176-AP176)*AT176+AP176*TASA_INC)/Q176,AT176)</f>
        <v>0.659887072235414</v>
      </c>
      <c r="AR176" s="58" t="n">
        <f aca="false">IF($A176&lt;FECHA_EXPORT,NETWORKDAYS($A176+1,FECHA_EXPORT,FESTIVOS),0)</f>
        <v>0</v>
      </c>
      <c r="AS176" s="61" t="n">
        <f aca="false">IF(AR176&gt;=5,1,INDEX(CDF_INC,1,AR176+1))</f>
        <v>0.14</v>
      </c>
      <c r="AT176" s="61" t="n">
        <f aca="false">TASA_USADA+(TASA_INC-TASA_USADA)*Q_INC*(1-AS176)/(1-Q_INC*AS176)</f>
        <v>0.659887072235414</v>
      </c>
    </row>
    <row r="177" customFormat="false" ht="15" hidden="false" customHeight="false" outlineLevel="0" collapsed="false">
      <c r="A177" s="53" t="n">
        <v>46471</v>
      </c>
      <c r="B177" s="54"/>
      <c r="C177" s="54"/>
      <c r="D177" s="54"/>
      <c r="E177" s="54"/>
      <c r="F177" s="54"/>
      <c r="G177" s="54"/>
      <c r="H177" s="54"/>
      <c r="I177" s="54"/>
      <c r="J177" s="54"/>
      <c r="K177" s="54"/>
      <c r="L177" s="55"/>
      <c r="M177" s="55"/>
      <c r="N177" s="55"/>
      <c r="O177" s="56"/>
      <c r="P177" s="31" t="n">
        <f aca="false">B177+C177+D177</f>
        <v>0</v>
      </c>
      <c r="Q177" s="31" t="n">
        <f aca="false">AA177+AB177+AC177</f>
        <v>0</v>
      </c>
      <c r="R177" s="32" t="n">
        <f aca="false">B177*P1_PVP+C177*P2_PVP+D177*IF($A177&lt;P3_DESDE,P3A_PVP,P3_PVP)</f>
        <v>0</v>
      </c>
      <c r="S177" s="32" t="str">
        <f aca="false">IF(P177&gt;0,R177/P177,"")</f>
        <v/>
      </c>
      <c r="T177" s="32" t="str">
        <f aca="false">IF(P177&gt;0,N177/P177,"")</f>
        <v/>
      </c>
      <c r="U177" s="57" t="str">
        <f aca="false">IF(N177&gt;0,R177/N177,"")</f>
        <v/>
      </c>
      <c r="V177" s="34" t="str">
        <f aca="false">IF(E177+F177+G177+H177+I177+J177&gt;0,(E177+F177+G177)/(E177+F177+G177+H177+I177+J177),"")</f>
        <v/>
      </c>
      <c r="W177" s="33" t="n">
        <f aca="false">E177*(P1_PVP-P1_CPROD)+F177*(P2_PVP-P2_CPROD)+G177*(IF($A177&lt;P3_DESDE,P3A_PVP,P3_PVP)-IF($A177&lt;P3_DESDE,P3A_CPROD,P3_CPROD))-IF(ISNUMBER(L177),L177,E177*P1_LOG+F177*P2_LOG+G177*P3_LOG)</f>
        <v>0</v>
      </c>
      <c r="X177" s="33" t="n">
        <f aca="false">W177-(E177*P1_IVAN+F177*P2_IVAN+G177*IF($A177&lt;P3_DESDE,P3A_IVAN,P3_IVAN))-(H177+I177+J177)*(COSTE_DEV-IVA_DEV)-AM177-AO177</f>
        <v>0</v>
      </c>
      <c r="Y177" s="33" t="n">
        <f aca="false">AH177-AI177-AJ177-AK177-AL177-AM177-AO177</f>
        <v>0</v>
      </c>
      <c r="AA177" s="58" t="n">
        <f aca="false">MAX(0,B177-E177-H177)</f>
        <v>0</v>
      </c>
      <c r="AB177" s="58" t="n">
        <f aca="false">MAX(0,C177-F177-I177)</f>
        <v>0</v>
      </c>
      <c r="AC177" s="58" t="n">
        <f aca="false">MAX(0,D177-G177-J177)</f>
        <v>0</v>
      </c>
      <c r="AD177" s="59" t="n">
        <f aca="false">E177+AA177*AQ177</f>
        <v>0</v>
      </c>
      <c r="AE177" s="59" t="n">
        <f aca="false">F177+AB177*AQ177</f>
        <v>0</v>
      </c>
      <c r="AF177" s="59" t="n">
        <f aca="false">G177+AC177*AQ177</f>
        <v>0</v>
      </c>
      <c r="AG177" s="59" t="n">
        <f aca="false">H177+I177+J177+(AA177+AB177+AC177)*(1-AQ177)</f>
        <v>0</v>
      </c>
      <c r="AH177" s="60" t="n">
        <f aca="false">AD177*P1_PVP+AE177*P2_PVP+AF177*IF($A177&lt;P3_DESDE,P3A_PVP,P3_PVP)</f>
        <v>0</v>
      </c>
      <c r="AI177" s="60" t="n">
        <f aca="false">AD177*P1_CPROD+AE177*P2_CPROD+AF177*IF($A177&lt;P3_DESDE,P3A_CPROD,P3_CPROD)</f>
        <v>0</v>
      </c>
      <c r="AJ177" s="60" t="n">
        <f aca="false">IF(ISNUMBER(L177),L177,E177*P1_LOG+F177*P2_LOG+G177*P3_LOG)+IF(ISNUMBER(M177),M177,AA177*P1_LOG+AB177*P2_LOG+AC177*P3_LOG)*AQ177</f>
        <v>0</v>
      </c>
      <c r="AK177" s="60" t="n">
        <f aca="false">AG177*COSTE_DEV</f>
        <v>0</v>
      </c>
      <c r="AL177" s="60" t="n">
        <f aca="false">AD177*P1_IVAN+AE177*P2_IVAN+AF177*IF($A177&lt;P3_DESDE,P3A_IVAN,P3_IVAN)-AG177*IVA_DEV</f>
        <v>0</v>
      </c>
      <c r="AM177" s="60" t="n">
        <f aca="false">N177*(1+RECARGO_ADS)</f>
        <v>0</v>
      </c>
      <c r="AN177" s="58" t="n">
        <f aca="false">IF(ISNUMBER(L177),E177+F177+G177+AA177+AB177+AC177,0)</f>
        <v>0</v>
      </c>
      <c r="AO177" s="60" t="n">
        <f aca="false">P177*COMISION</f>
        <v>0</v>
      </c>
      <c r="AP177" s="58" t="n">
        <f aca="false">MIN(N(K177),Q177)</f>
        <v>0</v>
      </c>
      <c r="AQ177" s="61" t="n">
        <f aca="false">IF(Q177&gt;0,((Q177-AP177)*AT177+AP177*TASA_INC)/Q177,AT177)</f>
        <v>0.659887072235414</v>
      </c>
      <c r="AR177" s="58" t="n">
        <f aca="false">IF($A177&lt;FECHA_EXPORT,NETWORKDAYS($A177+1,FECHA_EXPORT,FESTIVOS),0)</f>
        <v>0</v>
      </c>
      <c r="AS177" s="61" t="n">
        <f aca="false">IF(AR177&gt;=5,1,INDEX(CDF_INC,1,AR177+1))</f>
        <v>0.14</v>
      </c>
      <c r="AT177" s="61" t="n">
        <f aca="false">TASA_USADA+(TASA_INC-TASA_USADA)*Q_INC*(1-AS177)/(1-Q_INC*AS177)</f>
        <v>0.659887072235414</v>
      </c>
    </row>
    <row r="178" customFormat="false" ht="15" hidden="false" customHeight="false" outlineLevel="0" collapsed="false">
      <c r="A178" s="53" t="n">
        <v>46472</v>
      </c>
      <c r="B178" s="54"/>
      <c r="C178" s="54"/>
      <c r="D178" s="54"/>
      <c r="E178" s="54"/>
      <c r="F178" s="54"/>
      <c r="G178" s="54"/>
      <c r="H178" s="54"/>
      <c r="I178" s="54"/>
      <c r="J178" s="54"/>
      <c r="K178" s="54"/>
      <c r="L178" s="55"/>
      <c r="M178" s="55"/>
      <c r="N178" s="55"/>
      <c r="O178" s="56"/>
      <c r="P178" s="31" t="n">
        <f aca="false">B178+C178+D178</f>
        <v>0</v>
      </c>
      <c r="Q178" s="31" t="n">
        <f aca="false">AA178+AB178+AC178</f>
        <v>0</v>
      </c>
      <c r="R178" s="32" t="n">
        <f aca="false">B178*P1_PVP+C178*P2_PVP+D178*IF($A178&lt;P3_DESDE,P3A_PVP,P3_PVP)</f>
        <v>0</v>
      </c>
      <c r="S178" s="32" t="str">
        <f aca="false">IF(P178&gt;0,R178/P178,"")</f>
        <v/>
      </c>
      <c r="T178" s="32" t="str">
        <f aca="false">IF(P178&gt;0,N178/P178,"")</f>
        <v/>
      </c>
      <c r="U178" s="57" t="str">
        <f aca="false">IF(N178&gt;0,R178/N178,"")</f>
        <v/>
      </c>
      <c r="V178" s="34" t="str">
        <f aca="false">IF(E178+F178+G178+H178+I178+J178&gt;0,(E178+F178+G178)/(E178+F178+G178+H178+I178+J178),"")</f>
        <v/>
      </c>
      <c r="W178" s="33" t="n">
        <f aca="false">E178*(P1_PVP-P1_CPROD)+F178*(P2_PVP-P2_CPROD)+G178*(IF($A178&lt;P3_DESDE,P3A_PVP,P3_PVP)-IF($A178&lt;P3_DESDE,P3A_CPROD,P3_CPROD))-IF(ISNUMBER(L178),L178,E178*P1_LOG+F178*P2_LOG+G178*P3_LOG)</f>
        <v>0</v>
      </c>
      <c r="X178" s="33" t="n">
        <f aca="false">W178-(E178*P1_IVAN+F178*P2_IVAN+G178*IF($A178&lt;P3_DESDE,P3A_IVAN,P3_IVAN))-(H178+I178+J178)*(COSTE_DEV-IVA_DEV)-AM178-AO178</f>
        <v>0</v>
      </c>
      <c r="Y178" s="33" t="n">
        <f aca="false">AH178-AI178-AJ178-AK178-AL178-AM178-AO178</f>
        <v>0</v>
      </c>
      <c r="AA178" s="58" t="n">
        <f aca="false">MAX(0,B178-E178-H178)</f>
        <v>0</v>
      </c>
      <c r="AB178" s="58" t="n">
        <f aca="false">MAX(0,C178-F178-I178)</f>
        <v>0</v>
      </c>
      <c r="AC178" s="58" t="n">
        <f aca="false">MAX(0,D178-G178-J178)</f>
        <v>0</v>
      </c>
      <c r="AD178" s="59" t="n">
        <f aca="false">E178+AA178*AQ178</f>
        <v>0</v>
      </c>
      <c r="AE178" s="59" t="n">
        <f aca="false">F178+AB178*AQ178</f>
        <v>0</v>
      </c>
      <c r="AF178" s="59" t="n">
        <f aca="false">G178+AC178*AQ178</f>
        <v>0</v>
      </c>
      <c r="AG178" s="59" t="n">
        <f aca="false">H178+I178+J178+(AA178+AB178+AC178)*(1-AQ178)</f>
        <v>0</v>
      </c>
      <c r="AH178" s="60" t="n">
        <f aca="false">AD178*P1_PVP+AE178*P2_PVP+AF178*IF($A178&lt;P3_DESDE,P3A_PVP,P3_PVP)</f>
        <v>0</v>
      </c>
      <c r="AI178" s="60" t="n">
        <f aca="false">AD178*P1_CPROD+AE178*P2_CPROD+AF178*IF($A178&lt;P3_DESDE,P3A_CPROD,P3_CPROD)</f>
        <v>0</v>
      </c>
      <c r="AJ178" s="60" t="n">
        <f aca="false">IF(ISNUMBER(L178),L178,E178*P1_LOG+F178*P2_LOG+G178*P3_LOG)+IF(ISNUMBER(M178),M178,AA178*P1_LOG+AB178*P2_LOG+AC178*P3_LOG)*AQ178</f>
        <v>0</v>
      </c>
      <c r="AK178" s="60" t="n">
        <f aca="false">AG178*COSTE_DEV</f>
        <v>0</v>
      </c>
      <c r="AL178" s="60" t="n">
        <f aca="false">AD178*P1_IVAN+AE178*P2_IVAN+AF178*IF($A178&lt;P3_DESDE,P3A_IVAN,P3_IVAN)-AG178*IVA_DEV</f>
        <v>0</v>
      </c>
      <c r="AM178" s="60" t="n">
        <f aca="false">N178*(1+RECARGO_ADS)</f>
        <v>0</v>
      </c>
      <c r="AN178" s="58" t="n">
        <f aca="false">IF(ISNUMBER(L178),E178+F178+G178+AA178+AB178+AC178,0)</f>
        <v>0</v>
      </c>
      <c r="AO178" s="60" t="n">
        <f aca="false">P178*COMISION</f>
        <v>0</v>
      </c>
      <c r="AP178" s="58" t="n">
        <f aca="false">MIN(N(K178),Q178)</f>
        <v>0</v>
      </c>
      <c r="AQ178" s="61" t="n">
        <f aca="false">IF(Q178&gt;0,((Q178-AP178)*AT178+AP178*TASA_INC)/Q178,AT178)</f>
        <v>0.659887072235414</v>
      </c>
      <c r="AR178" s="58" t="n">
        <f aca="false">IF($A178&lt;FECHA_EXPORT,NETWORKDAYS($A178+1,FECHA_EXPORT,FESTIVOS),0)</f>
        <v>0</v>
      </c>
      <c r="AS178" s="61" t="n">
        <f aca="false">IF(AR178&gt;=5,1,INDEX(CDF_INC,1,AR178+1))</f>
        <v>0.14</v>
      </c>
      <c r="AT178" s="61" t="n">
        <f aca="false">TASA_USADA+(TASA_INC-TASA_USADA)*Q_INC*(1-AS178)/(1-Q_INC*AS178)</f>
        <v>0.659887072235414</v>
      </c>
    </row>
    <row r="179" customFormat="false" ht="15" hidden="false" customHeight="false" outlineLevel="0" collapsed="false">
      <c r="A179" s="53" t="n">
        <v>46473</v>
      </c>
      <c r="B179" s="54"/>
      <c r="C179" s="54"/>
      <c r="D179" s="54"/>
      <c r="E179" s="54"/>
      <c r="F179" s="54"/>
      <c r="G179" s="54"/>
      <c r="H179" s="54"/>
      <c r="I179" s="54"/>
      <c r="J179" s="54"/>
      <c r="K179" s="54"/>
      <c r="L179" s="55"/>
      <c r="M179" s="55"/>
      <c r="N179" s="55"/>
      <c r="O179" s="56"/>
      <c r="P179" s="31" t="n">
        <f aca="false">B179+C179+D179</f>
        <v>0</v>
      </c>
      <c r="Q179" s="31" t="n">
        <f aca="false">AA179+AB179+AC179</f>
        <v>0</v>
      </c>
      <c r="R179" s="32" t="n">
        <f aca="false">B179*P1_PVP+C179*P2_PVP+D179*IF($A179&lt;P3_DESDE,P3A_PVP,P3_PVP)</f>
        <v>0</v>
      </c>
      <c r="S179" s="32" t="str">
        <f aca="false">IF(P179&gt;0,R179/P179,"")</f>
        <v/>
      </c>
      <c r="T179" s="32" t="str">
        <f aca="false">IF(P179&gt;0,N179/P179,"")</f>
        <v/>
      </c>
      <c r="U179" s="57" t="str">
        <f aca="false">IF(N179&gt;0,R179/N179,"")</f>
        <v/>
      </c>
      <c r="V179" s="34" t="str">
        <f aca="false">IF(E179+F179+G179+H179+I179+J179&gt;0,(E179+F179+G179)/(E179+F179+G179+H179+I179+J179),"")</f>
        <v/>
      </c>
      <c r="W179" s="33" t="n">
        <f aca="false">E179*(P1_PVP-P1_CPROD)+F179*(P2_PVP-P2_CPROD)+G179*(IF($A179&lt;P3_DESDE,P3A_PVP,P3_PVP)-IF($A179&lt;P3_DESDE,P3A_CPROD,P3_CPROD))-IF(ISNUMBER(L179),L179,E179*P1_LOG+F179*P2_LOG+G179*P3_LOG)</f>
        <v>0</v>
      </c>
      <c r="X179" s="33" t="n">
        <f aca="false">W179-(E179*P1_IVAN+F179*P2_IVAN+G179*IF($A179&lt;P3_DESDE,P3A_IVAN,P3_IVAN))-(H179+I179+J179)*(COSTE_DEV-IVA_DEV)-AM179-AO179</f>
        <v>0</v>
      </c>
      <c r="Y179" s="33" t="n">
        <f aca="false">AH179-AI179-AJ179-AK179-AL179-AM179-AO179</f>
        <v>0</v>
      </c>
      <c r="AA179" s="58" t="n">
        <f aca="false">MAX(0,B179-E179-H179)</f>
        <v>0</v>
      </c>
      <c r="AB179" s="58" t="n">
        <f aca="false">MAX(0,C179-F179-I179)</f>
        <v>0</v>
      </c>
      <c r="AC179" s="58" t="n">
        <f aca="false">MAX(0,D179-G179-J179)</f>
        <v>0</v>
      </c>
      <c r="AD179" s="59" t="n">
        <f aca="false">E179+AA179*AQ179</f>
        <v>0</v>
      </c>
      <c r="AE179" s="59" t="n">
        <f aca="false">F179+AB179*AQ179</f>
        <v>0</v>
      </c>
      <c r="AF179" s="59" t="n">
        <f aca="false">G179+AC179*AQ179</f>
        <v>0</v>
      </c>
      <c r="AG179" s="59" t="n">
        <f aca="false">H179+I179+J179+(AA179+AB179+AC179)*(1-AQ179)</f>
        <v>0</v>
      </c>
      <c r="AH179" s="60" t="n">
        <f aca="false">AD179*P1_PVP+AE179*P2_PVP+AF179*IF($A179&lt;P3_DESDE,P3A_PVP,P3_PVP)</f>
        <v>0</v>
      </c>
      <c r="AI179" s="60" t="n">
        <f aca="false">AD179*P1_CPROD+AE179*P2_CPROD+AF179*IF($A179&lt;P3_DESDE,P3A_CPROD,P3_CPROD)</f>
        <v>0</v>
      </c>
      <c r="AJ179" s="60" t="n">
        <f aca="false">IF(ISNUMBER(L179),L179,E179*P1_LOG+F179*P2_LOG+G179*P3_LOG)+IF(ISNUMBER(M179),M179,AA179*P1_LOG+AB179*P2_LOG+AC179*P3_LOG)*AQ179</f>
        <v>0</v>
      </c>
      <c r="AK179" s="60" t="n">
        <f aca="false">AG179*COSTE_DEV</f>
        <v>0</v>
      </c>
      <c r="AL179" s="60" t="n">
        <f aca="false">AD179*P1_IVAN+AE179*P2_IVAN+AF179*IF($A179&lt;P3_DESDE,P3A_IVAN,P3_IVAN)-AG179*IVA_DEV</f>
        <v>0</v>
      </c>
      <c r="AM179" s="60" t="n">
        <f aca="false">N179*(1+RECARGO_ADS)</f>
        <v>0</v>
      </c>
      <c r="AN179" s="58" t="n">
        <f aca="false">IF(ISNUMBER(L179),E179+F179+G179+AA179+AB179+AC179,0)</f>
        <v>0</v>
      </c>
      <c r="AO179" s="60" t="n">
        <f aca="false">P179*COMISION</f>
        <v>0</v>
      </c>
      <c r="AP179" s="58" t="n">
        <f aca="false">MIN(N(K179),Q179)</f>
        <v>0</v>
      </c>
      <c r="AQ179" s="61" t="n">
        <f aca="false">IF(Q179&gt;0,((Q179-AP179)*AT179+AP179*TASA_INC)/Q179,AT179)</f>
        <v>0.659887072235414</v>
      </c>
      <c r="AR179" s="58" t="n">
        <f aca="false">IF($A179&lt;FECHA_EXPORT,NETWORKDAYS($A179+1,FECHA_EXPORT,FESTIVOS),0)</f>
        <v>0</v>
      </c>
      <c r="AS179" s="61" t="n">
        <f aca="false">IF(AR179&gt;=5,1,INDEX(CDF_INC,1,AR179+1))</f>
        <v>0.14</v>
      </c>
      <c r="AT179" s="61" t="n">
        <f aca="false">TASA_USADA+(TASA_INC-TASA_USADA)*Q_INC*(1-AS179)/(1-Q_INC*AS179)</f>
        <v>0.659887072235414</v>
      </c>
    </row>
    <row r="180" customFormat="false" ht="15" hidden="false" customHeight="false" outlineLevel="0" collapsed="false">
      <c r="A180" s="53" t="n">
        <v>46474</v>
      </c>
      <c r="B180" s="54"/>
      <c r="C180" s="54"/>
      <c r="D180" s="54"/>
      <c r="E180" s="54"/>
      <c r="F180" s="54"/>
      <c r="G180" s="54"/>
      <c r="H180" s="54"/>
      <c r="I180" s="54"/>
      <c r="J180" s="54"/>
      <c r="K180" s="54"/>
      <c r="L180" s="55"/>
      <c r="M180" s="55"/>
      <c r="N180" s="55"/>
      <c r="O180" s="56"/>
      <c r="P180" s="31" t="n">
        <f aca="false">B180+C180+D180</f>
        <v>0</v>
      </c>
      <c r="Q180" s="31" t="n">
        <f aca="false">AA180+AB180+AC180</f>
        <v>0</v>
      </c>
      <c r="R180" s="32" t="n">
        <f aca="false">B180*P1_PVP+C180*P2_PVP+D180*IF($A180&lt;P3_DESDE,P3A_PVP,P3_PVP)</f>
        <v>0</v>
      </c>
      <c r="S180" s="32" t="str">
        <f aca="false">IF(P180&gt;0,R180/P180,"")</f>
        <v/>
      </c>
      <c r="T180" s="32" t="str">
        <f aca="false">IF(P180&gt;0,N180/P180,"")</f>
        <v/>
      </c>
      <c r="U180" s="57" t="str">
        <f aca="false">IF(N180&gt;0,R180/N180,"")</f>
        <v/>
      </c>
      <c r="V180" s="34" t="str">
        <f aca="false">IF(E180+F180+G180+H180+I180+J180&gt;0,(E180+F180+G180)/(E180+F180+G180+H180+I180+J180),"")</f>
        <v/>
      </c>
      <c r="W180" s="33" t="n">
        <f aca="false">E180*(P1_PVP-P1_CPROD)+F180*(P2_PVP-P2_CPROD)+G180*(IF($A180&lt;P3_DESDE,P3A_PVP,P3_PVP)-IF($A180&lt;P3_DESDE,P3A_CPROD,P3_CPROD))-IF(ISNUMBER(L180),L180,E180*P1_LOG+F180*P2_LOG+G180*P3_LOG)</f>
        <v>0</v>
      </c>
      <c r="X180" s="33" t="n">
        <f aca="false">W180-(E180*P1_IVAN+F180*P2_IVAN+G180*IF($A180&lt;P3_DESDE,P3A_IVAN,P3_IVAN))-(H180+I180+J180)*(COSTE_DEV-IVA_DEV)-AM180-AO180</f>
        <v>0</v>
      </c>
      <c r="Y180" s="33" t="n">
        <f aca="false">AH180-AI180-AJ180-AK180-AL180-AM180-AO180</f>
        <v>0</v>
      </c>
      <c r="AA180" s="58" t="n">
        <f aca="false">MAX(0,B180-E180-H180)</f>
        <v>0</v>
      </c>
      <c r="AB180" s="58" t="n">
        <f aca="false">MAX(0,C180-F180-I180)</f>
        <v>0</v>
      </c>
      <c r="AC180" s="58" t="n">
        <f aca="false">MAX(0,D180-G180-J180)</f>
        <v>0</v>
      </c>
      <c r="AD180" s="59" t="n">
        <f aca="false">E180+AA180*AQ180</f>
        <v>0</v>
      </c>
      <c r="AE180" s="59" t="n">
        <f aca="false">F180+AB180*AQ180</f>
        <v>0</v>
      </c>
      <c r="AF180" s="59" t="n">
        <f aca="false">G180+AC180*AQ180</f>
        <v>0</v>
      </c>
      <c r="AG180" s="59" t="n">
        <f aca="false">H180+I180+J180+(AA180+AB180+AC180)*(1-AQ180)</f>
        <v>0</v>
      </c>
      <c r="AH180" s="60" t="n">
        <f aca="false">AD180*P1_PVP+AE180*P2_PVP+AF180*IF($A180&lt;P3_DESDE,P3A_PVP,P3_PVP)</f>
        <v>0</v>
      </c>
      <c r="AI180" s="60" t="n">
        <f aca="false">AD180*P1_CPROD+AE180*P2_CPROD+AF180*IF($A180&lt;P3_DESDE,P3A_CPROD,P3_CPROD)</f>
        <v>0</v>
      </c>
      <c r="AJ180" s="60" t="n">
        <f aca="false">IF(ISNUMBER(L180),L180,E180*P1_LOG+F180*P2_LOG+G180*P3_LOG)+IF(ISNUMBER(M180),M180,AA180*P1_LOG+AB180*P2_LOG+AC180*P3_LOG)*AQ180</f>
        <v>0</v>
      </c>
      <c r="AK180" s="60" t="n">
        <f aca="false">AG180*COSTE_DEV</f>
        <v>0</v>
      </c>
      <c r="AL180" s="60" t="n">
        <f aca="false">AD180*P1_IVAN+AE180*P2_IVAN+AF180*IF($A180&lt;P3_DESDE,P3A_IVAN,P3_IVAN)-AG180*IVA_DEV</f>
        <v>0</v>
      </c>
      <c r="AM180" s="60" t="n">
        <f aca="false">N180*(1+RECARGO_ADS)</f>
        <v>0</v>
      </c>
      <c r="AN180" s="58" t="n">
        <f aca="false">IF(ISNUMBER(L180),E180+F180+G180+AA180+AB180+AC180,0)</f>
        <v>0</v>
      </c>
      <c r="AO180" s="60" t="n">
        <f aca="false">P180*COMISION</f>
        <v>0</v>
      </c>
      <c r="AP180" s="58" t="n">
        <f aca="false">MIN(N(K180),Q180)</f>
        <v>0</v>
      </c>
      <c r="AQ180" s="61" t="n">
        <f aca="false">IF(Q180&gt;0,((Q180-AP180)*AT180+AP180*TASA_INC)/Q180,AT180)</f>
        <v>0.659887072235414</v>
      </c>
      <c r="AR180" s="58" t="n">
        <f aca="false">IF($A180&lt;FECHA_EXPORT,NETWORKDAYS($A180+1,FECHA_EXPORT,FESTIVOS),0)</f>
        <v>0</v>
      </c>
      <c r="AS180" s="61" t="n">
        <f aca="false">IF(AR180&gt;=5,1,INDEX(CDF_INC,1,AR180+1))</f>
        <v>0.14</v>
      </c>
      <c r="AT180" s="61" t="n">
        <f aca="false">TASA_USADA+(TASA_INC-TASA_USADA)*Q_INC*(1-AS180)/(1-Q_INC*AS180)</f>
        <v>0.659887072235414</v>
      </c>
    </row>
    <row r="181" customFormat="false" ht="15" hidden="false" customHeight="false" outlineLevel="0" collapsed="false">
      <c r="A181" s="53" t="n">
        <v>46475</v>
      </c>
      <c r="B181" s="54"/>
      <c r="C181" s="54"/>
      <c r="D181" s="54"/>
      <c r="E181" s="54"/>
      <c r="F181" s="54"/>
      <c r="G181" s="54"/>
      <c r="H181" s="54"/>
      <c r="I181" s="54"/>
      <c r="J181" s="54"/>
      <c r="K181" s="54"/>
      <c r="L181" s="55"/>
      <c r="M181" s="55"/>
      <c r="N181" s="55"/>
      <c r="O181" s="56"/>
      <c r="P181" s="31" t="n">
        <f aca="false">B181+C181+D181</f>
        <v>0</v>
      </c>
      <c r="Q181" s="31" t="n">
        <f aca="false">AA181+AB181+AC181</f>
        <v>0</v>
      </c>
      <c r="R181" s="32" t="n">
        <f aca="false">B181*P1_PVP+C181*P2_PVP+D181*IF($A181&lt;P3_DESDE,P3A_PVP,P3_PVP)</f>
        <v>0</v>
      </c>
      <c r="S181" s="32" t="str">
        <f aca="false">IF(P181&gt;0,R181/P181,"")</f>
        <v/>
      </c>
      <c r="T181" s="32" t="str">
        <f aca="false">IF(P181&gt;0,N181/P181,"")</f>
        <v/>
      </c>
      <c r="U181" s="57" t="str">
        <f aca="false">IF(N181&gt;0,R181/N181,"")</f>
        <v/>
      </c>
      <c r="V181" s="34" t="str">
        <f aca="false">IF(E181+F181+G181+H181+I181+J181&gt;0,(E181+F181+G181)/(E181+F181+G181+H181+I181+J181),"")</f>
        <v/>
      </c>
      <c r="W181" s="33" t="n">
        <f aca="false">E181*(P1_PVP-P1_CPROD)+F181*(P2_PVP-P2_CPROD)+G181*(IF($A181&lt;P3_DESDE,P3A_PVP,P3_PVP)-IF($A181&lt;P3_DESDE,P3A_CPROD,P3_CPROD))-IF(ISNUMBER(L181),L181,E181*P1_LOG+F181*P2_LOG+G181*P3_LOG)</f>
        <v>0</v>
      </c>
      <c r="X181" s="33" t="n">
        <f aca="false">W181-(E181*P1_IVAN+F181*P2_IVAN+G181*IF($A181&lt;P3_DESDE,P3A_IVAN,P3_IVAN))-(H181+I181+J181)*(COSTE_DEV-IVA_DEV)-AM181-AO181</f>
        <v>0</v>
      </c>
      <c r="Y181" s="33" t="n">
        <f aca="false">AH181-AI181-AJ181-AK181-AL181-AM181-AO181</f>
        <v>0</v>
      </c>
      <c r="AA181" s="58" t="n">
        <f aca="false">MAX(0,B181-E181-H181)</f>
        <v>0</v>
      </c>
      <c r="AB181" s="58" t="n">
        <f aca="false">MAX(0,C181-F181-I181)</f>
        <v>0</v>
      </c>
      <c r="AC181" s="58" t="n">
        <f aca="false">MAX(0,D181-G181-J181)</f>
        <v>0</v>
      </c>
      <c r="AD181" s="59" t="n">
        <f aca="false">E181+AA181*AQ181</f>
        <v>0</v>
      </c>
      <c r="AE181" s="59" t="n">
        <f aca="false">F181+AB181*AQ181</f>
        <v>0</v>
      </c>
      <c r="AF181" s="59" t="n">
        <f aca="false">G181+AC181*AQ181</f>
        <v>0</v>
      </c>
      <c r="AG181" s="59" t="n">
        <f aca="false">H181+I181+J181+(AA181+AB181+AC181)*(1-AQ181)</f>
        <v>0</v>
      </c>
      <c r="AH181" s="60" t="n">
        <f aca="false">AD181*P1_PVP+AE181*P2_PVP+AF181*IF($A181&lt;P3_DESDE,P3A_PVP,P3_PVP)</f>
        <v>0</v>
      </c>
      <c r="AI181" s="60" t="n">
        <f aca="false">AD181*P1_CPROD+AE181*P2_CPROD+AF181*IF($A181&lt;P3_DESDE,P3A_CPROD,P3_CPROD)</f>
        <v>0</v>
      </c>
      <c r="AJ181" s="60" t="n">
        <f aca="false">IF(ISNUMBER(L181),L181,E181*P1_LOG+F181*P2_LOG+G181*P3_LOG)+IF(ISNUMBER(M181),M181,AA181*P1_LOG+AB181*P2_LOG+AC181*P3_LOG)*AQ181</f>
        <v>0</v>
      </c>
      <c r="AK181" s="60" t="n">
        <f aca="false">AG181*COSTE_DEV</f>
        <v>0</v>
      </c>
      <c r="AL181" s="60" t="n">
        <f aca="false">AD181*P1_IVAN+AE181*P2_IVAN+AF181*IF($A181&lt;P3_DESDE,P3A_IVAN,P3_IVAN)-AG181*IVA_DEV</f>
        <v>0</v>
      </c>
      <c r="AM181" s="60" t="n">
        <f aca="false">N181*(1+RECARGO_ADS)</f>
        <v>0</v>
      </c>
      <c r="AN181" s="58" t="n">
        <f aca="false">IF(ISNUMBER(L181),E181+F181+G181+AA181+AB181+AC181,0)</f>
        <v>0</v>
      </c>
      <c r="AO181" s="60" t="n">
        <f aca="false">P181*COMISION</f>
        <v>0</v>
      </c>
      <c r="AP181" s="58" t="n">
        <f aca="false">MIN(N(K181),Q181)</f>
        <v>0</v>
      </c>
      <c r="AQ181" s="61" t="n">
        <f aca="false">IF(Q181&gt;0,((Q181-AP181)*AT181+AP181*TASA_INC)/Q181,AT181)</f>
        <v>0.659887072235414</v>
      </c>
      <c r="AR181" s="58" t="n">
        <f aca="false">IF($A181&lt;FECHA_EXPORT,NETWORKDAYS($A181+1,FECHA_EXPORT,FESTIVOS),0)</f>
        <v>0</v>
      </c>
      <c r="AS181" s="61" t="n">
        <f aca="false">IF(AR181&gt;=5,1,INDEX(CDF_INC,1,AR181+1))</f>
        <v>0.14</v>
      </c>
      <c r="AT181" s="61" t="n">
        <f aca="false">TASA_USADA+(TASA_INC-TASA_USADA)*Q_INC*(1-AS181)/(1-Q_INC*AS181)</f>
        <v>0.659887072235414</v>
      </c>
    </row>
    <row r="182" customFormat="false" ht="15" hidden="false" customHeight="false" outlineLevel="0" collapsed="false">
      <c r="A182" s="53" t="n">
        <v>46476</v>
      </c>
      <c r="B182" s="54"/>
      <c r="C182" s="54"/>
      <c r="D182" s="54"/>
      <c r="E182" s="54"/>
      <c r="F182" s="54"/>
      <c r="G182" s="54"/>
      <c r="H182" s="54"/>
      <c r="I182" s="54"/>
      <c r="J182" s="54"/>
      <c r="K182" s="54"/>
      <c r="L182" s="55"/>
      <c r="M182" s="55"/>
      <c r="N182" s="55"/>
      <c r="O182" s="56"/>
      <c r="P182" s="31" t="n">
        <f aca="false">B182+C182+D182</f>
        <v>0</v>
      </c>
      <c r="Q182" s="31" t="n">
        <f aca="false">AA182+AB182+AC182</f>
        <v>0</v>
      </c>
      <c r="R182" s="32" t="n">
        <f aca="false">B182*P1_PVP+C182*P2_PVP+D182*IF($A182&lt;P3_DESDE,P3A_PVP,P3_PVP)</f>
        <v>0</v>
      </c>
      <c r="S182" s="32" t="str">
        <f aca="false">IF(P182&gt;0,R182/P182,"")</f>
        <v/>
      </c>
      <c r="T182" s="32" t="str">
        <f aca="false">IF(P182&gt;0,N182/P182,"")</f>
        <v/>
      </c>
      <c r="U182" s="57" t="str">
        <f aca="false">IF(N182&gt;0,R182/N182,"")</f>
        <v/>
      </c>
      <c r="V182" s="34" t="str">
        <f aca="false">IF(E182+F182+G182+H182+I182+J182&gt;0,(E182+F182+G182)/(E182+F182+G182+H182+I182+J182),"")</f>
        <v/>
      </c>
      <c r="W182" s="33" t="n">
        <f aca="false">E182*(P1_PVP-P1_CPROD)+F182*(P2_PVP-P2_CPROD)+G182*(IF($A182&lt;P3_DESDE,P3A_PVP,P3_PVP)-IF($A182&lt;P3_DESDE,P3A_CPROD,P3_CPROD))-IF(ISNUMBER(L182),L182,E182*P1_LOG+F182*P2_LOG+G182*P3_LOG)</f>
        <v>0</v>
      </c>
      <c r="X182" s="33" t="n">
        <f aca="false">W182-(E182*P1_IVAN+F182*P2_IVAN+G182*IF($A182&lt;P3_DESDE,P3A_IVAN,P3_IVAN))-(H182+I182+J182)*(COSTE_DEV-IVA_DEV)-AM182-AO182</f>
        <v>0</v>
      </c>
      <c r="Y182" s="33" t="n">
        <f aca="false">AH182-AI182-AJ182-AK182-AL182-AM182-AO182</f>
        <v>0</v>
      </c>
      <c r="AA182" s="58" t="n">
        <f aca="false">MAX(0,B182-E182-H182)</f>
        <v>0</v>
      </c>
      <c r="AB182" s="58" t="n">
        <f aca="false">MAX(0,C182-F182-I182)</f>
        <v>0</v>
      </c>
      <c r="AC182" s="58" t="n">
        <f aca="false">MAX(0,D182-G182-J182)</f>
        <v>0</v>
      </c>
      <c r="AD182" s="59" t="n">
        <f aca="false">E182+AA182*AQ182</f>
        <v>0</v>
      </c>
      <c r="AE182" s="59" t="n">
        <f aca="false">F182+AB182*AQ182</f>
        <v>0</v>
      </c>
      <c r="AF182" s="59" t="n">
        <f aca="false">G182+AC182*AQ182</f>
        <v>0</v>
      </c>
      <c r="AG182" s="59" t="n">
        <f aca="false">H182+I182+J182+(AA182+AB182+AC182)*(1-AQ182)</f>
        <v>0</v>
      </c>
      <c r="AH182" s="60" t="n">
        <f aca="false">AD182*P1_PVP+AE182*P2_PVP+AF182*IF($A182&lt;P3_DESDE,P3A_PVP,P3_PVP)</f>
        <v>0</v>
      </c>
      <c r="AI182" s="60" t="n">
        <f aca="false">AD182*P1_CPROD+AE182*P2_CPROD+AF182*IF($A182&lt;P3_DESDE,P3A_CPROD,P3_CPROD)</f>
        <v>0</v>
      </c>
      <c r="AJ182" s="60" t="n">
        <f aca="false">IF(ISNUMBER(L182),L182,E182*P1_LOG+F182*P2_LOG+G182*P3_LOG)+IF(ISNUMBER(M182),M182,AA182*P1_LOG+AB182*P2_LOG+AC182*P3_LOG)*AQ182</f>
        <v>0</v>
      </c>
      <c r="AK182" s="60" t="n">
        <f aca="false">AG182*COSTE_DEV</f>
        <v>0</v>
      </c>
      <c r="AL182" s="60" t="n">
        <f aca="false">AD182*P1_IVAN+AE182*P2_IVAN+AF182*IF($A182&lt;P3_DESDE,P3A_IVAN,P3_IVAN)-AG182*IVA_DEV</f>
        <v>0</v>
      </c>
      <c r="AM182" s="60" t="n">
        <f aca="false">N182*(1+RECARGO_ADS)</f>
        <v>0</v>
      </c>
      <c r="AN182" s="58" t="n">
        <f aca="false">IF(ISNUMBER(L182),E182+F182+G182+AA182+AB182+AC182,0)</f>
        <v>0</v>
      </c>
      <c r="AO182" s="60" t="n">
        <f aca="false">P182*COMISION</f>
        <v>0</v>
      </c>
      <c r="AP182" s="58" t="n">
        <f aca="false">MIN(N(K182),Q182)</f>
        <v>0</v>
      </c>
      <c r="AQ182" s="61" t="n">
        <f aca="false">IF(Q182&gt;0,((Q182-AP182)*AT182+AP182*TASA_INC)/Q182,AT182)</f>
        <v>0.659887072235414</v>
      </c>
      <c r="AR182" s="58" t="n">
        <f aca="false">IF($A182&lt;FECHA_EXPORT,NETWORKDAYS($A182+1,FECHA_EXPORT,FESTIVOS),0)</f>
        <v>0</v>
      </c>
      <c r="AS182" s="61" t="n">
        <f aca="false">IF(AR182&gt;=5,1,INDEX(CDF_INC,1,AR182+1))</f>
        <v>0.14</v>
      </c>
      <c r="AT182" s="61" t="n">
        <f aca="false">TASA_USADA+(TASA_INC-TASA_USADA)*Q_INC*(1-AS182)/(1-Q_INC*AS182)</f>
        <v>0.659887072235414</v>
      </c>
    </row>
    <row r="183" customFormat="false" ht="15" hidden="false" customHeight="false" outlineLevel="0" collapsed="false">
      <c r="A183" s="53" t="n">
        <v>46477</v>
      </c>
      <c r="B183" s="54"/>
      <c r="C183" s="54"/>
      <c r="D183" s="54"/>
      <c r="E183" s="54"/>
      <c r="F183" s="54"/>
      <c r="G183" s="54"/>
      <c r="H183" s="54"/>
      <c r="I183" s="54"/>
      <c r="J183" s="54"/>
      <c r="K183" s="54"/>
      <c r="L183" s="55"/>
      <c r="M183" s="55"/>
      <c r="N183" s="55"/>
      <c r="O183" s="56"/>
      <c r="P183" s="31" t="n">
        <f aca="false">B183+C183+D183</f>
        <v>0</v>
      </c>
      <c r="Q183" s="31" t="n">
        <f aca="false">AA183+AB183+AC183</f>
        <v>0</v>
      </c>
      <c r="R183" s="32" t="n">
        <f aca="false">B183*P1_PVP+C183*P2_PVP+D183*IF($A183&lt;P3_DESDE,P3A_PVP,P3_PVP)</f>
        <v>0</v>
      </c>
      <c r="S183" s="32" t="str">
        <f aca="false">IF(P183&gt;0,R183/P183,"")</f>
        <v/>
      </c>
      <c r="T183" s="32" t="str">
        <f aca="false">IF(P183&gt;0,N183/P183,"")</f>
        <v/>
      </c>
      <c r="U183" s="57" t="str">
        <f aca="false">IF(N183&gt;0,R183/N183,"")</f>
        <v/>
      </c>
      <c r="V183" s="34" t="str">
        <f aca="false">IF(E183+F183+G183+H183+I183+J183&gt;0,(E183+F183+G183)/(E183+F183+G183+H183+I183+J183),"")</f>
        <v/>
      </c>
      <c r="W183" s="33" t="n">
        <f aca="false">E183*(P1_PVP-P1_CPROD)+F183*(P2_PVP-P2_CPROD)+G183*(IF($A183&lt;P3_DESDE,P3A_PVP,P3_PVP)-IF($A183&lt;P3_DESDE,P3A_CPROD,P3_CPROD))-IF(ISNUMBER(L183),L183,E183*P1_LOG+F183*P2_LOG+G183*P3_LOG)</f>
        <v>0</v>
      </c>
      <c r="X183" s="33" t="n">
        <f aca="false">W183-(E183*P1_IVAN+F183*P2_IVAN+G183*IF($A183&lt;P3_DESDE,P3A_IVAN,P3_IVAN))-(H183+I183+J183)*(COSTE_DEV-IVA_DEV)-AM183-AO183</f>
        <v>0</v>
      </c>
      <c r="Y183" s="33" t="n">
        <f aca="false">AH183-AI183-AJ183-AK183-AL183-AM183-AO183</f>
        <v>0</v>
      </c>
      <c r="AA183" s="58" t="n">
        <f aca="false">MAX(0,B183-E183-H183)</f>
        <v>0</v>
      </c>
      <c r="AB183" s="58" t="n">
        <f aca="false">MAX(0,C183-F183-I183)</f>
        <v>0</v>
      </c>
      <c r="AC183" s="58" t="n">
        <f aca="false">MAX(0,D183-G183-J183)</f>
        <v>0</v>
      </c>
      <c r="AD183" s="59" t="n">
        <f aca="false">E183+AA183*AQ183</f>
        <v>0</v>
      </c>
      <c r="AE183" s="59" t="n">
        <f aca="false">F183+AB183*AQ183</f>
        <v>0</v>
      </c>
      <c r="AF183" s="59" t="n">
        <f aca="false">G183+AC183*AQ183</f>
        <v>0</v>
      </c>
      <c r="AG183" s="59" t="n">
        <f aca="false">H183+I183+J183+(AA183+AB183+AC183)*(1-AQ183)</f>
        <v>0</v>
      </c>
      <c r="AH183" s="60" t="n">
        <f aca="false">AD183*P1_PVP+AE183*P2_PVP+AF183*IF($A183&lt;P3_DESDE,P3A_PVP,P3_PVP)</f>
        <v>0</v>
      </c>
      <c r="AI183" s="60" t="n">
        <f aca="false">AD183*P1_CPROD+AE183*P2_CPROD+AF183*IF($A183&lt;P3_DESDE,P3A_CPROD,P3_CPROD)</f>
        <v>0</v>
      </c>
      <c r="AJ183" s="60" t="n">
        <f aca="false">IF(ISNUMBER(L183),L183,E183*P1_LOG+F183*P2_LOG+G183*P3_LOG)+IF(ISNUMBER(M183),M183,AA183*P1_LOG+AB183*P2_LOG+AC183*P3_LOG)*AQ183</f>
        <v>0</v>
      </c>
      <c r="AK183" s="60" t="n">
        <f aca="false">AG183*COSTE_DEV</f>
        <v>0</v>
      </c>
      <c r="AL183" s="60" t="n">
        <f aca="false">AD183*P1_IVAN+AE183*P2_IVAN+AF183*IF($A183&lt;P3_DESDE,P3A_IVAN,P3_IVAN)-AG183*IVA_DEV</f>
        <v>0</v>
      </c>
      <c r="AM183" s="60" t="n">
        <f aca="false">N183*(1+RECARGO_ADS)</f>
        <v>0</v>
      </c>
      <c r="AN183" s="58" t="n">
        <f aca="false">IF(ISNUMBER(L183),E183+F183+G183+AA183+AB183+AC183,0)</f>
        <v>0</v>
      </c>
      <c r="AO183" s="60" t="n">
        <f aca="false">P183*COMISION</f>
        <v>0</v>
      </c>
      <c r="AP183" s="58" t="n">
        <f aca="false">MIN(N(K183),Q183)</f>
        <v>0</v>
      </c>
      <c r="AQ183" s="61" t="n">
        <f aca="false">IF(Q183&gt;0,((Q183-AP183)*AT183+AP183*TASA_INC)/Q183,AT183)</f>
        <v>0.659887072235414</v>
      </c>
      <c r="AR183" s="58" t="n">
        <f aca="false">IF($A183&lt;FECHA_EXPORT,NETWORKDAYS($A183+1,FECHA_EXPORT,FESTIVOS),0)</f>
        <v>0</v>
      </c>
      <c r="AS183" s="61" t="n">
        <f aca="false">IF(AR183&gt;=5,1,INDEX(CDF_INC,1,AR183+1))</f>
        <v>0.14</v>
      </c>
      <c r="AT183" s="61" t="n">
        <f aca="false">TASA_USADA+(TASA_INC-TASA_USADA)*Q_INC*(1-AS183)/(1-Q_INC*AS183)</f>
        <v>0.659887072235414</v>
      </c>
    </row>
    <row r="184" customFormat="false" ht="15" hidden="false" customHeight="false" outlineLevel="0" collapsed="false">
      <c r="A184" s="53" t="n">
        <v>46478</v>
      </c>
      <c r="B184" s="54"/>
      <c r="C184" s="54"/>
      <c r="D184" s="54"/>
      <c r="E184" s="54"/>
      <c r="F184" s="54"/>
      <c r="G184" s="54"/>
      <c r="H184" s="54"/>
      <c r="I184" s="54"/>
      <c r="J184" s="54"/>
      <c r="K184" s="54"/>
      <c r="L184" s="55"/>
      <c r="M184" s="55"/>
      <c r="N184" s="55"/>
      <c r="O184" s="56"/>
      <c r="P184" s="31" t="n">
        <f aca="false">B184+C184+D184</f>
        <v>0</v>
      </c>
      <c r="Q184" s="31" t="n">
        <f aca="false">AA184+AB184+AC184</f>
        <v>0</v>
      </c>
      <c r="R184" s="32" t="n">
        <f aca="false">B184*P1_PVP+C184*P2_PVP+D184*IF($A184&lt;P3_DESDE,P3A_PVP,P3_PVP)</f>
        <v>0</v>
      </c>
      <c r="S184" s="32" t="str">
        <f aca="false">IF(P184&gt;0,R184/P184,"")</f>
        <v/>
      </c>
      <c r="T184" s="32" t="str">
        <f aca="false">IF(P184&gt;0,N184/P184,"")</f>
        <v/>
      </c>
      <c r="U184" s="57" t="str">
        <f aca="false">IF(N184&gt;0,R184/N184,"")</f>
        <v/>
      </c>
      <c r="V184" s="34" t="str">
        <f aca="false">IF(E184+F184+G184+H184+I184+J184&gt;0,(E184+F184+G184)/(E184+F184+G184+H184+I184+J184),"")</f>
        <v/>
      </c>
      <c r="W184" s="33" t="n">
        <f aca="false">E184*(P1_PVP-P1_CPROD)+F184*(P2_PVP-P2_CPROD)+G184*(IF($A184&lt;P3_DESDE,P3A_PVP,P3_PVP)-IF($A184&lt;P3_DESDE,P3A_CPROD,P3_CPROD))-IF(ISNUMBER(L184),L184,E184*P1_LOG+F184*P2_LOG+G184*P3_LOG)</f>
        <v>0</v>
      </c>
      <c r="X184" s="33" t="n">
        <f aca="false">W184-(E184*P1_IVAN+F184*P2_IVAN+G184*IF($A184&lt;P3_DESDE,P3A_IVAN,P3_IVAN))-(H184+I184+J184)*(COSTE_DEV-IVA_DEV)-AM184-AO184</f>
        <v>0</v>
      </c>
      <c r="Y184" s="33" t="n">
        <f aca="false">AH184-AI184-AJ184-AK184-AL184-AM184-AO184</f>
        <v>0</v>
      </c>
      <c r="AA184" s="58" t="n">
        <f aca="false">MAX(0,B184-E184-H184)</f>
        <v>0</v>
      </c>
      <c r="AB184" s="58" t="n">
        <f aca="false">MAX(0,C184-F184-I184)</f>
        <v>0</v>
      </c>
      <c r="AC184" s="58" t="n">
        <f aca="false">MAX(0,D184-G184-J184)</f>
        <v>0</v>
      </c>
      <c r="AD184" s="59" t="n">
        <f aca="false">E184+AA184*AQ184</f>
        <v>0</v>
      </c>
      <c r="AE184" s="59" t="n">
        <f aca="false">F184+AB184*AQ184</f>
        <v>0</v>
      </c>
      <c r="AF184" s="59" t="n">
        <f aca="false">G184+AC184*AQ184</f>
        <v>0</v>
      </c>
      <c r="AG184" s="59" t="n">
        <f aca="false">H184+I184+J184+(AA184+AB184+AC184)*(1-AQ184)</f>
        <v>0</v>
      </c>
      <c r="AH184" s="60" t="n">
        <f aca="false">AD184*P1_PVP+AE184*P2_PVP+AF184*IF($A184&lt;P3_DESDE,P3A_PVP,P3_PVP)</f>
        <v>0</v>
      </c>
      <c r="AI184" s="60" t="n">
        <f aca="false">AD184*P1_CPROD+AE184*P2_CPROD+AF184*IF($A184&lt;P3_DESDE,P3A_CPROD,P3_CPROD)</f>
        <v>0</v>
      </c>
      <c r="AJ184" s="60" t="n">
        <f aca="false">IF(ISNUMBER(L184),L184,E184*P1_LOG+F184*P2_LOG+G184*P3_LOG)+IF(ISNUMBER(M184),M184,AA184*P1_LOG+AB184*P2_LOG+AC184*P3_LOG)*AQ184</f>
        <v>0</v>
      </c>
      <c r="AK184" s="60" t="n">
        <f aca="false">AG184*COSTE_DEV</f>
        <v>0</v>
      </c>
      <c r="AL184" s="60" t="n">
        <f aca="false">AD184*P1_IVAN+AE184*P2_IVAN+AF184*IF($A184&lt;P3_DESDE,P3A_IVAN,P3_IVAN)-AG184*IVA_DEV</f>
        <v>0</v>
      </c>
      <c r="AM184" s="60" t="n">
        <f aca="false">N184*(1+RECARGO_ADS)</f>
        <v>0</v>
      </c>
      <c r="AN184" s="58" t="n">
        <f aca="false">IF(ISNUMBER(L184),E184+F184+G184+AA184+AB184+AC184,0)</f>
        <v>0</v>
      </c>
      <c r="AO184" s="60" t="n">
        <f aca="false">P184*COMISION</f>
        <v>0</v>
      </c>
      <c r="AP184" s="58" t="n">
        <f aca="false">MIN(N(K184),Q184)</f>
        <v>0</v>
      </c>
      <c r="AQ184" s="61" t="n">
        <f aca="false">IF(Q184&gt;0,((Q184-AP184)*AT184+AP184*TASA_INC)/Q184,AT184)</f>
        <v>0.659887072235414</v>
      </c>
      <c r="AR184" s="58" t="n">
        <f aca="false">IF($A184&lt;FECHA_EXPORT,NETWORKDAYS($A184+1,FECHA_EXPORT,FESTIVOS),0)</f>
        <v>0</v>
      </c>
      <c r="AS184" s="61" t="n">
        <f aca="false">IF(AR184&gt;=5,1,INDEX(CDF_INC,1,AR184+1))</f>
        <v>0.14</v>
      </c>
      <c r="AT184" s="61" t="n">
        <f aca="false">TASA_USADA+(TASA_INC-TASA_USADA)*Q_INC*(1-AS184)/(1-Q_INC*AS184)</f>
        <v>0.659887072235414</v>
      </c>
    </row>
    <row r="185" customFormat="false" ht="15" hidden="false" customHeight="false" outlineLevel="0" collapsed="false">
      <c r="A185" s="53" t="n">
        <v>46479</v>
      </c>
      <c r="B185" s="54"/>
      <c r="C185" s="54"/>
      <c r="D185" s="54"/>
      <c r="E185" s="54"/>
      <c r="F185" s="54"/>
      <c r="G185" s="54"/>
      <c r="H185" s="54"/>
      <c r="I185" s="54"/>
      <c r="J185" s="54"/>
      <c r="K185" s="54"/>
      <c r="L185" s="55"/>
      <c r="M185" s="55"/>
      <c r="N185" s="55"/>
      <c r="O185" s="56"/>
      <c r="P185" s="31" t="n">
        <f aca="false">B185+C185+D185</f>
        <v>0</v>
      </c>
      <c r="Q185" s="31" t="n">
        <f aca="false">AA185+AB185+AC185</f>
        <v>0</v>
      </c>
      <c r="R185" s="32" t="n">
        <f aca="false">B185*P1_PVP+C185*P2_PVP+D185*IF($A185&lt;P3_DESDE,P3A_PVP,P3_PVP)</f>
        <v>0</v>
      </c>
      <c r="S185" s="32" t="str">
        <f aca="false">IF(P185&gt;0,R185/P185,"")</f>
        <v/>
      </c>
      <c r="T185" s="32" t="str">
        <f aca="false">IF(P185&gt;0,N185/P185,"")</f>
        <v/>
      </c>
      <c r="U185" s="57" t="str">
        <f aca="false">IF(N185&gt;0,R185/N185,"")</f>
        <v/>
      </c>
      <c r="V185" s="34" t="str">
        <f aca="false">IF(E185+F185+G185+H185+I185+J185&gt;0,(E185+F185+G185)/(E185+F185+G185+H185+I185+J185),"")</f>
        <v/>
      </c>
      <c r="W185" s="33" t="n">
        <f aca="false">E185*(P1_PVP-P1_CPROD)+F185*(P2_PVP-P2_CPROD)+G185*(IF($A185&lt;P3_DESDE,P3A_PVP,P3_PVP)-IF($A185&lt;P3_DESDE,P3A_CPROD,P3_CPROD))-IF(ISNUMBER(L185),L185,E185*P1_LOG+F185*P2_LOG+G185*P3_LOG)</f>
        <v>0</v>
      </c>
      <c r="X185" s="33" t="n">
        <f aca="false">W185-(E185*P1_IVAN+F185*P2_IVAN+G185*IF($A185&lt;P3_DESDE,P3A_IVAN,P3_IVAN))-(H185+I185+J185)*(COSTE_DEV-IVA_DEV)-AM185-AO185</f>
        <v>0</v>
      </c>
      <c r="Y185" s="33" t="n">
        <f aca="false">AH185-AI185-AJ185-AK185-AL185-AM185-AO185</f>
        <v>0</v>
      </c>
      <c r="AA185" s="58" t="n">
        <f aca="false">MAX(0,B185-E185-H185)</f>
        <v>0</v>
      </c>
      <c r="AB185" s="58" t="n">
        <f aca="false">MAX(0,C185-F185-I185)</f>
        <v>0</v>
      </c>
      <c r="AC185" s="58" t="n">
        <f aca="false">MAX(0,D185-G185-J185)</f>
        <v>0</v>
      </c>
      <c r="AD185" s="59" t="n">
        <f aca="false">E185+AA185*AQ185</f>
        <v>0</v>
      </c>
      <c r="AE185" s="59" t="n">
        <f aca="false">F185+AB185*AQ185</f>
        <v>0</v>
      </c>
      <c r="AF185" s="59" t="n">
        <f aca="false">G185+AC185*AQ185</f>
        <v>0</v>
      </c>
      <c r="AG185" s="59" t="n">
        <f aca="false">H185+I185+J185+(AA185+AB185+AC185)*(1-AQ185)</f>
        <v>0</v>
      </c>
      <c r="AH185" s="60" t="n">
        <f aca="false">AD185*P1_PVP+AE185*P2_PVP+AF185*IF($A185&lt;P3_DESDE,P3A_PVP,P3_PVP)</f>
        <v>0</v>
      </c>
      <c r="AI185" s="60" t="n">
        <f aca="false">AD185*P1_CPROD+AE185*P2_CPROD+AF185*IF($A185&lt;P3_DESDE,P3A_CPROD,P3_CPROD)</f>
        <v>0</v>
      </c>
      <c r="AJ185" s="60" t="n">
        <f aca="false">IF(ISNUMBER(L185),L185,E185*P1_LOG+F185*P2_LOG+G185*P3_LOG)+IF(ISNUMBER(M185),M185,AA185*P1_LOG+AB185*P2_LOG+AC185*P3_LOG)*AQ185</f>
        <v>0</v>
      </c>
      <c r="AK185" s="60" t="n">
        <f aca="false">AG185*COSTE_DEV</f>
        <v>0</v>
      </c>
      <c r="AL185" s="60" t="n">
        <f aca="false">AD185*P1_IVAN+AE185*P2_IVAN+AF185*IF($A185&lt;P3_DESDE,P3A_IVAN,P3_IVAN)-AG185*IVA_DEV</f>
        <v>0</v>
      </c>
      <c r="AM185" s="60" t="n">
        <f aca="false">N185*(1+RECARGO_ADS)</f>
        <v>0</v>
      </c>
      <c r="AN185" s="58" t="n">
        <f aca="false">IF(ISNUMBER(L185),E185+F185+G185+AA185+AB185+AC185,0)</f>
        <v>0</v>
      </c>
      <c r="AO185" s="60" t="n">
        <f aca="false">P185*COMISION</f>
        <v>0</v>
      </c>
      <c r="AP185" s="58" t="n">
        <f aca="false">MIN(N(K185),Q185)</f>
        <v>0</v>
      </c>
      <c r="AQ185" s="61" t="n">
        <f aca="false">IF(Q185&gt;0,((Q185-AP185)*AT185+AP185*TASA_INC)/Q185,AT185)</f>
        <v>0.659887072235414</v>
      </c>
      <c r="AR185" s="58" t="n">
        <f aca="false">IF($A185&lt;FECHA_EXPORT,NETWORKDAYS($A185+1,FECHA_EXPORT,FESTIVOS),0)</f>
        <v>0</v>
      </c>
      <c r="AS185" s="61" t="n">
        <f aca="false">IF(AR185&gt;=5,1,INDEX(CDF_INC,1,AR185+1))</f>
        <v>0.14</v>
      </c>
      <c r="AT185" s="61" t="n">
        <f aca="false">TASA_USADA+(TASA_INC-TASA_USADA)*Q_INC*(1-AS185)/(1-Q_INC*AS185)</f>
        <v>0.659887072235414</v>
      </c>
    </row>
    <row r="186" customFormat="false" ht="15" hidden="false" customHeight="false" outlineLevel="0" collapsed="false">
      <c r="A186" s="53" t="n">
        <v>46480</v>
      </c>
      <c r="B186" s="54"/>
      <c r="C186" s="54"/>
      <c r="D186" s="54"/>
      <c r="E186" s="54"/>
      <c r="F186" s="54"/>
      <c r="G186" s="54"/>
      <c r="H186" s="54"/>
      <c r="I186" s="54"/>
      <c r="J186" s="54"/>
      <c r="K186" s="54"/>
      <c r="L186" s="55"/>
      <c r="M186" s="55"/>
      <c r="N186" s="55"/>
      <c r="O186" s="56"/>
      <c r="P186" s="31" t="n">
        <f aca="false">B186+C186+D186</f>
        <v>0</v>
      </c>
      <c r="Q186" s="31" t="n">
        <f aca="false">AA186+AB186+AC186</f>
        <v>0</v>
      </c>
      <c r="R186" s="32" t="n">
        <f aca="false">B186*P1_PVP+C186*P2_PVP+D186*IF($A186&lt;P3_DESDE,P3A_PVP,P3_PVP)</f>
        <v>0</v>
      </c>
      <c r="S186" s="32" t="str">
        <f aca="false">IF(P186&gt;0,R186/P186,"")</f>
        <v/>
      </c>
      <c r="T186" s="32" t="str">
        <f aca="false">IF(P186&gt;0,N186/P186,"")</f>
        <v/>
      </c>
      <c r="U186" s="57" t="str">
        <f aca="false">IF(N186&gt;0,R186/N186,"")</f>
        <v/>
      </c>
      <c r="V186" s="34" t="str">
        <f aca="false">IF(E186+F186+G186+H186+I186+J186&gt;0,(E186+F186+G186)/(E186+F186+G186+H186+I186+J186),"")</f>
        <v/>
      </c>
      <c r="W186" s="33" t="n">
        <f aca="false">E186*(P1_PVP-P1_CPROD)+F186*(P2_PVP-P2_CPROD)+G186*(IF($A186&lt;P3_DESDE,P3A_PVP,P3_PVP)-IF($A186&lt;P3_DESDE,P3A_CPROD,P3_CPROD))-IF(ISNUMBER(L186),L186,E186*P1_LOG+F186*P2_LOG+G186*P3_LOG)</f>
        <v>0</v>
      </c>
      <c r="X186" s="33" t="n">
        <f aca="false">W186-(E186*P1_IVAN+F186*P2_IVAN+G186*IF($A186&lt;P3_DESDE,P3A_IVAN,P3_IVAN))-(H186+I186+J186)*(COSTE_DEV-IVA_DEV)-AM186-AO186</f>
        <v>0</v>
      </c>
      <c r="Y186" s="33" t="n">
        <f aca="false">AH186-AI186-AJ186-AK186-AL186-AM186-AO186</f>
        <v>0</v>
      </c>
      <c r="AA186" s="58" t="n">
        <f aca="false">MAX(0,B186-E186-H186)</f>
        <v>0</v>
      </c>
      <c r="AB186" s="58" t="n">
        <f aca="false">MAX(0,C186-F186-I186)</f>
        <v>0</v>
      </c>
      <c r="AC186" s="58" t="n">
        <f aca="false">MAX(0,D186-G186-J186)</f>
        <v>0</v>
      </c>
      <c r="AD186" s="59" t="n">
        <f aca="false">E186+AA186*AQ186</f>
        <v>0</v>
      </c>
      <c r="AE186" s="59" t="n">
        <f aca="false">F186+AB186*AQ186</f>
        <v>0</v>
      </c>
      <c r="AF186" s="59" t="n">
        <f aca="false">G186+AC186*AQ186</f>
        <v>0</v>
      </c>
      <c r="AG186" s="59" t="n">
        <f aca="false">H186+I186+J186+(AA186+AB186+AC186)*(1-AQ186)</f>
        <v>0</v>
      </c>
      <c r="AH186" s="60" t="n">
        <f aca="false">AD186*P1_PVP+AE186*P2_PVP+AF186*IF($A186&lt;P3_DESDE,P3A_PVP,P3_PVP)</f>
        <v>0</v>
      </c>
      <c r="AI186" s="60" t="n">
        <f aca="false">AD186*P1_CPROD+AE186*P2_CPROD+AF186*IF($A186&lt;P3_DESDE,P3A_CPROD,P3_CPROD)</f>
        <v>0</v>
      </c>
      <c r="AJ186" s="60" t="n">
        <f aca="false">IF(ISNUMBER(L186),L186,E186*P1_LOG+F186*P2_LOG+G186*P3_LOG)+IF(ISNUMBER(M186),M186,AA186*P1_LOG+AB186*P2_LOG+AC186*P3_LOG)*AQ186</f>
        <v>0</v>
      </c>
      <c r="AK186" s="60" t="n">
        <f aca="false">AG186*COSTE_DEV</f>
        <v>0</v>
      </c>
      <c r="AL186" s="60" t="n">
        <f aca="false">AD186*P1_IVAN+AE186*P2_IVAN+AF186*IF($A186&lt;P3_DESDE,P3A_IVAN,P3_IVAN)-AG186*IVA_DEV</f>
        <v>0</v>
      </c>
      <c r="AM186" s="60" t="n">
        <f aca="false">N186*(1+RECARGO_ADS)</f>
        <v>0</v>
      </c>
      <c r="AN186" s="58" t="n">
        <f aca="false">IF(ISNUMBER(L186),E186+F186+G186+AA186+AB186+AC186,0)</f>
        <v>0</v>
      </c>
      <c r="AO186" s="60" t="n">
        <f aca="false">P186*COMISION</f>
        <v>0</v>
      </c>
      <c r="AP186" s="58" t="n">
        <f aca="false">MIN(N(K186),Q186)</f>
        <v>0</v>
      </c>
      <c r="AQ186" s="61" t="n">
        <f aca="false">IF(Q186&gt;0,((Q186-AP186)*AT186+AP186*TASA_INC)/Q186,AT186)</f>
        <v>0.659887072235414</v>
      </c>
      <c r="AR186" s="58" t="n">
        <f aca="false">IF($A186&lt;FECHA_EXPORT,NETWORKDAYS($A186+1,FECHA_EXPORT,FESTIVOS),0)</f>
        <v>0</v>
      </c>
      <c r="AS186" s="61" t="n">
        <f aca="false">IF(AR186&gt;=5,1,INDEX(CDF_INC,1,AR186+1))</f>
        <v>0.14</v>
      </c>
      <c r="AT186" s="61" t="n">
        <f aca="false">TASA_USADA+(TASA_INC-TASA_USADA)*Q_INC*(1-AS186)/(1-Q_INC*AS186)</f>
        <v>0.659887072235414</v>
      </c>
    </row>
    <row r="187" customFormat="false" ht="15" hidden="false" customHeight="false" outlineLevel="0" collapsed="false">
      <c r="A187" s="53" t="n">
        <v>46481</v>
      </c>
      <c r="B187" s="54"/>
      <c r="C187" s="54"/>
      <c r="D187" s="54"/>
      <c r="E187" s="54"/>
      <c r="F187" s="54"/>
      <c r="G187" s="54"/>
      <c r="H187" s="54"/>
      <c r="I187" s="54"/>
      <c r="J187" s="54"/>
      <c r="K187" s="54"/>
      <c r="L187" s="55"/>
      <c r="M187" s="55"/>
      <c r="N187" s="55"/>
      <c r="O187" s="56"/>
      <c r="P187" s="31" t="n">
        <f aca="false">B187+C187+D187</f>
        <v>0</v>
      </c>
      <c r="Q187" s="31" t="n">
        <f aca="false">AA187+AB187+AC187</f>
        <v>0</v>
      </c>
      <c r="R187" s="32" t="n">
        <f aca="false">B187*P1_PVP+C187*P2_PVP+D187*IF($A187&lt;P3_DESDE,P3A_PVP,P3_PVP)</f>
        <v>0</v>
      </c>
      <c r="S187" s="32" t="str">
        <f aca="false">IF(P187&gt;0,R187/P187,"")</f>
        <v/>
      </c>
      <c r="T187" s="32" t="str">
        <f aca="false">IF(P187&gt;0,N187/P187,"")</f>
        <v/>
      </c>
      <c r="U187" s="57" t="str">
        <f aca="false">IF(N187&gt;0,R187/N187,"")</f>
        <v/>
      </c>
      <c r="V187" s="34" t="str">
        <f aca="false">IF(E187+F187+G187+H187+I187+J187&gt;0,(E187+F187+G187)/(E187+F187+G187+H187+I187+J187),"")</f>
        <v/>
      </c>
      <c r="W187" s="33" t="n">
        <f aca="false">E187*(P1_PVP-P1_CPROD)+F187*(P2_PVP-P2_CPROD)+G187*(IF($A187&lt;P3_DESDE,P3A_PVP,P3_PVP)-IF($A187&lt;P3_DESDE,P3A_CPROD,P3_CPROD))-IF(ISNUMBER(L187),L187,E187*P1_LOG+F187*P2_LOG+G187*P3_LOG)</f>
        <v>0</v>
      </c>
      <c r="X187" s="33" t="n">
        <f aca="false">W187-(E187*P1_IVAN+F187*P2_IVAN+G187*IF($A187&lt;P3_DESDE,P3A_IVAN,P3_IVAN))-(H187+I187+J187)*(COSTE_DEV-IVA_DEV)-AM187-AO187</f>
        <v>0</v>
      </c>
      <c r="Y187" s="33" t="n">
        <f aca="false">AH187-AI187-AJ187-AK187-AL187-AM187-AO187</f>
        <v>0</v>
      </c>
      <c r="AA187" s="58" t="n">
        <f aca="false">MAX(0,B187-E187-H187)</f>
        <v>0</v>
      </c>
      <c r="AB187" s="58" t="n">
        <f aca="false">MAX(0,C187-F187-I187)</f>
        <v>0</v>
      </c>
      <c r="AC187" s="58" t="n">
        <f aca="false">MAX(0,D187-G187-J187)</f>
        <v>0</v>
      </c>
      <c r="AD187" s="59" t="n">
        <f aca="false">E187+AA187*AQ187</f>
        <v>0</v>
      </c>
      <c r="AE187" s="59" t="n">
        <f aca="false">F187+AB187*AQ187</f>
        <v>0</v>
      </c>
      <c r="AF187" s="59" t="n">
        <f aca="false">G187+AC187*AQ187</f>
        <v>0</v>
      </c>
      <c r="AG187" s="59" t="n">
        <f aca="false">H187+I187+J187+(AA187+AB187+AC187)*(1-AQ187)</f>
        <v>0</v>
      </c>
      <c r="AH187" s="60" t="n">
        <f aca="false">AD187*P1_PVP+AE187*P2_PVP+AF187*IF($A187&lt;P3_DESDE,P3A_PVP,P3_PVP)</f>
        <v>0</v>
      </c>
      <c r="AI187" s="60" t="n">
        <f aca="false">AD187*P1_CPROD+AE187*P2_CPROD+AF187*IF($A187&lt;P3_DESDE,P3A_CPROD,P3_CPROD)</f>
        <v>0</v>
      </c>
      <c r="AJ187" s="60" t="n">
        <f aca="false">IF(ISNUMBER(L187),L187,E187*P1_LOG+F187*P2_LOG+G187*P3_LOG)+IF(ISNUMBER(M187),M187,AA187*P1_LOG+AB187*P2_LOG+AC187*P3_LOG)*AQ187</f>
        <v>0</v>
      </c>
      <c r="AK187" s="60" t="n">
        <f aca="false">AG187*COSTE_DEV</f>
        <v>0</v>
      </c>
      <c r="AL187" s="60" t="n">
        <f aca="false">AD187*P1_IVAN+AE187*P2_IVAN+AF187*IF($A187&lt;P3_DESDE,P3A_IVAN,P3_IVAN)-AG187*IVA_DEV</f>
        <v>0</v>
      </c>
      <c r="AM187" s="60" t="n">
        <f aca="false">N187*(1+RECARGO_ADS)</f>
        <v>0</v>
      </c>
      <c r="AN187" s="58" t="n">
        <f aca="false">IF(ISNUMBER(L187),E187+F187+G187+AA187+AB187+AC187,0)</f>
        <v>0</v>
      </c>
      <c r="AO187" s="60" t="n">
        <f aca="false">P187*COMISION</f>
        <v>0</v>
      </c>
      <c r="AP187" s="58" t="n">
        <f aca="false">MIN(N(K187),Q187)</f>
        <v>0</v>
      </c>
      <c r="AQ187" s="61" t="n">
        <f aca="false">IF(Q187&gt;0,((Q187-AP187)*AT187+AP187*TASA_INC)/Q187,AT187)</f>
        <v>0.659887072235414</v>
      </c>
      <c r="AR187" s="58" t="n">
        <f aca="false">IF($A187&lt;FECHA_EXPORT,NETWORKDAYS($A187+1,FECHA_EXPORT,FESTIVOS),0)</f>
        <v>0</v>
      </c>
      <c r="AS187" s="61" t="n">
        <f aca="false">IF(AR187&gt;=5,1,INDEX(CDF_INC,1,AR187+1))</f>
        <v>0.14</v>
      </c>
      <c r="AT187" s="61" t="n">
        <f aca="false">TASA_USADA+(TASA_INC-TASA_USADA)*Q_INC*(1-AS187)/(1-Q_INC*AS187)</f>
        <v>0.659887072235414</v>
      </c>
    </row>
    <row r="188" customFormat="false" ht="15" hidden="false" customHeight="false" outlineLevel="0" collapsed="false">
      <c r="A188" s="53" t="n">
        <v>46482</v>
      </c>
      <c r="B188" s="54"/>
      <c r="C188" s="54"/>
      <c r="D188" s="54"/>
      <c r="E188" s="54"/>
      <c r="F188" s="54"/>
      <c r="G188" s="54"/>
      <c r="H188" s="54"/>
      <c r="I188" s="54"/>
      <c r="J188" s="54"/>
      <c r="K188" s="54"/>
      <c r="L188" s="55"/>
      <c r="M188" s="55"/>
      <c r="N188" s="55"/>
      <c r="O188" s="56"/>
      <c r="P188" s="31" t="n">
        <f aca="false">B188+C188+D188</f>
        <v>0</v>
      </c>
      <c r="Q188" s="31" t="n">
        <f aca="false">AA188+AB188+AC188</f>
        <v>0</v>
      </c>
      <c r="R188" s="32" t="n">
        <f aca="false">B188*P1_PVP+C188*P2_PVP+D188*IF($A188&lt;P3_DESDE,P3A_PVP,P3_PVP)</f>
        <v>0</v>
      </c>
      <c r="S188" s="32" t="str">
        <f aca="false">IF(P188&gt;0,R188/P188,"")</f>
        <v/>
      </c>
      <c r="T188" s="32" t="str">
        <f aca="false">IF(P188&gt;0,N188/P188,"")</f>
        <v/>
      </c>
      <c r="U188" s="57" t="str">
        <f aca="false">IF(N188&gt;0,R188/N188,"")</f>
        <v/>
      </c>
      <c r="V188" s="34" t="str">
        <f aca="false">IF(E188+F188+G188+H188+I188+J188&gt;0,(E188+F188+G188)/(E188+F188+G188+H188+I188+J188),"")</f>
        <v/>
      </c>
      <c r="W188" s="33" t="n">
        <f aca="false">E188*(P1_PVP-P1_CPROD)+F188*(P2_PVP-P2_CPROD)+G188*(IF($A188&lt;P3_DESDE,P3A_PVP,P3_PVP)-IF($A188&lt;P3_DESDE,P3A_CPROD,P3_CPROD))-IF(ISNUMBER(L188),L188,E188*P1_LOG+F188*P2_LOG+G188*P3_LOG)</f>
        <v>0</v>
      </c>
      <c r="X188" s="33" t="n">
        <f aca="false">W188-(E188*P1_IVAN+F188*P2_IVAN+G188*IF($A188&lt;P3_DESDE,P3A_IVAN,P3_IVAN))-(H188+I188+J188)*(COSTE_DEV-IVA_DEV)-AM188-AO188</f>
        <v>0</v>
      </c>
      <c r="Y188" s="33" t="n">
        <f aca="false">AH188-AI188-AJ188-AK188-AL188-AM188-AO188</f>
        <v>0</v>
      </c>
      <c r="AA188" s="58" t="n">
        <f aca="false">MAX(0,B188-E188-H188)</f>
        <v>0</v>
      </c>
      <c r="AB188" s="58" t="n">
        <f aca="false">MAX(0,C188-F188-I188)</f>
        <v>0</v>
      </c>
      <c r="AC188" s="58" t="n">
        <f aca="false">MAX(0,D188-G188-J188)</f>
        <v>0</v>
      </c>
      <c r="AD188" s="59" t="n">
        <f aca="false">E188+AA188*AQ188</f>
        <v>0</v>
      </c>
      <c r="AE188" s="59" t="n">
        <f aca="false">F188+AB188*AQ188</f>
        <v>0</v>
      </c>
      <c r="AF188" s="59" t="n">
        <f aca="false">G188+AC188*AQ188</f>
        <v>0</v>
      </c>
      <c r="AG188" s="59" t="n">
        <f aca="false">H188+I188+J188+(AA188+AB188+AC188)*(1-AQ188)</f>
        <v>0</v>
      </c>
      <c r="AH188" s="60" t="n">
        <f aca="false">AD188*P1_PVP+AE188*P2_PVP+AF188*IF($A188&lt;P3_DESDE,P3A_PVP,P3_PVP)</f>
        <v>0</v>
      </c>
      <c r="AI188" s="60" t="n">
        <f aca="false">AD188*P1_CPROD+AE188*P2_CPROD+AF188*IF($A188&lt;P3_DESDE,P3A_CPROD,P3_CPROD)</f>
        <v>0</v>
      </c>
      <c r="AJ188" s="60" t="n">
        <f aca="false">IF(ISNUMBER(L188),L188,E188*P1_LOG+F188*P2_LOG+G188*P3_LOG)+IF(ISNUMBER(M188),M188,AA188*P1_LOG+AB188*P2_LOG+AC188*P3_LOG)*AQ188</f>
        <v>0</v>
      </c>
      <c r="AK188" s="60" t="n">
        <f aca="false">AG188*COSTE_DEV</f>
        <v>0</v>
      </c>
      <c r="AL188" s="60" t="n">
        <f aca="false">AD188*P1_IVAN+AE188*P2_IVAN+AF188*IF($A188&lt;P3_DESDE,P3A_IVAN,P3_IVAN)-AG188*IVA_DEV</f>
        <v>0</v>
      </c>
      <c r="AM188" s="60" t="n">
        <f aca="false">N188*(1+RECARGO_ADS)</f>
        <v>0</v>
      </c>
      <c r="AN188" s="58" t="n">
        <f aca="false">IF(ISNUMBER(L188),E188+F188+G188+AA188+AB188+AC188,0)</f>
        <v>0</v>
      </c>
      <c r="AO188" s="60" t="n">
        <f aca="false">P188*COMISION</f>
        <v>0</v>
      </c>
      <c r="AP188" s="58" t="n">
        <f aca="false">MIN(N(K188),Q188)</f>
        <v>0</v>
      </c>
      <c r="AQ188" s="61" t="n">
        <f aca="false">IF(Q188&gt;0,((Q188-AP188)*AT188+AP188*TASA_INC)/Q188,AT188)</f>
        <v>0.659887072235414</v>
      </c>
      <c r="AR188" s="58" t="n">
        <f aca="false">IF($A188&lt;FECHA_EXPORT,NETWORKDAYS($A188+1,FECHA_EXPORT,FESTIVOS),0)</f>
        <v>0</v>
      </c>
      <c r="AS188" s="61" t="n">
        <f aca="false">IF(AR188&gt;=5,1,INDEX(CDF_INC,1,AR188+1))</f>
        <v>0.14</v>
      </c>
      <c r="AT188" s="61" t="n">
        <f aca="false">TASA_USADA+(TASA_INC-TASA_USADA)*Q_INC*(1-AS188)/(1-Q_INC*AS188)</f>
        <v>0.659887072235414</v>
      </c>
    </row>
    <row r="189" customFormat="false" ht="15" hidden="false" customHeight="false" outlineLevel="0" collapsed="false">
      <c r="A189" s="53" t="n">
        <v>46483</v>
      </c>
      <c r="B189" s="54"/>
      <c r="C189" s="54"/>
      <c r="D189" s="54"/>
      <c r="E189" s="54"/>
      <c r="F189" s="54"/>
      <c r="G189" s="54"/>
      <c r="H189" s="54"/>
      <c r="I189" s="54"/>
      <c r="J189" s="54"/>
      <c r="K189" s="54"/>
      <c r="L189" s="55"/>
      <c r="M189" s="55"/>
      <c r="N189" s="55"/>
      <c r="O189" s="56"/>
      <c r="P189" s="31" t="n">
        <f aca="false">B189+C189+D189</f>
        <v>0</v>
      </c>
      <c r="Q189" s="31" t="n">
        <f aca="false">AA189+AB189+AC189</f>
        <v>0</v>
      </c>
      <c r="R189" s="32" t="n">
        <f aca="false">B189*P1_PVP+C189*P2_PVP+D189*IF($A189&lt;P3_DESDE,P3A_PVP,P3_PVP)</f>
        <v>0</v>
      </c>
      <c r="S189" s="32" t="str">
        <f aca="false">IF(P189&gt;0,R189/P189,"")</f>
        <v/>
      </c>
      <c r="T189" s="32" t="str">
        <f aca="false">IF(P189&gt;0,N189/P189,"")</f>
        <v/>
      </c>
      <c r="U189" s="57" t="str">
        <f aca="false">IF(N189&gt;0,R189/N189,"")</f>
        <v/>
      </c>
      <c r="V189" s="34" t="str">
        <f aca="false">IF(E189+F189+G189+H189+I189+J189&gt;0,(E189+F189+G189)/(E189+F189+G189+H189+I189+J189),"")</f>
        <v/>
      </c>
      <c r="W189" s="33" t="n">
        <f aca="false">E189*(P1_PVP-P1_CPROD)+F189*(P2_PVP-P2_CPROD)+G189*(IF($A189&lt;P3_DESDE,P3A_PVP,P3_PVP)-IF($A189&lt;P3_DESDE,P3A_CPROD,P3_CPROD))-IF(ISNUMBER(L189),L189,E189*P1_LOG+F189*P2_LOG+G189*P3_LOG)</f>
        <v>0</v>
      </c>
      <c r="X189" s="33" t="n">
        <f aca="false">W189-(E189*P1_IVAN+F189*P2_IVAN+G189*IF($A189&lt;P3_DESDE,P3A_IVAN,P3_IVAN))-(H189+I189+J189)*(COSTE_DEV-IVA_DEV)-AM189-AO189</f>
        <v>0</v>
      </c>
      <c r="Y189" s="33" t="n">
        <f aca="false">AH189-AI189-AJ189-AK189-AL189-AM189-AO189</f>
        <v>0</v>
      </c>
      <c r="AA189" s="58" t="n">
        <f aca="false">MAX(0,B189-E189-H189)</f>
        <v>0</v>
      </c>
      <c r="AB189" s="58" t="n">
        <f aca="false">MAX(0,C189-F189-I189)</f>
        <v>0</v>
      </c>
      <c r="AC189" s="58" t="n">
        <f aca="false">MAX(0,D189-G189-J189)</f>
        <v>0</v>
      </c>
      <c r="AD189" s="59" t="n">
        <f aca="false">E189+AA189*AQ189</f>
        <v>0</v>
      </c>
      <c r="AE189" s="59" t="n">
        <f aca="false">F189+AB189*AQ189</f>
        <v>0</v>
      </c>
      <c r="AF189" s="59" t="n">
        <f aca="false">G189+AC189*AQ189</f>
        <v>0</v>
      </c>
      <c r="AG189" s="59" t="n">
        <f aca="false">H189+I189+J189+(AA189+AB189+AC189)*(1-AQ189)</f>
        <v>0</v>
      </c>
      <c r="AH189" s="60" t="n">
        <f aca="false">AD189*P1_PVP+AE189*P2_PVP+AF189*IF($A189&lt;P3_DESDE,P3A_PVP,P3_PVP)</f>
        <v>0</v>
      </c>
      <c r="AI189" s="60" t="n">
        <f aca="false">AD189*P1_CPROD+AE189*P2_CPROD+AF189*IF($A189&lt;P3_DESDE,P3A_CPROD,P3_CPROD)</f>
        <v>0</v>
      </c>
      <c r="AJ189" s="60" t="n">
        <f aca="false">IF(ISNUMBER(L189),L189,E189*P1_LOG+F189*P2_LOG+G189*P3_LOG)+IF(ISNUMBER(M189),M189,AA189*P1_LOG+AB189*P2_LOG+AC189*P3_LOG)*AQ189</f>
        <v>0</v>
      </c>
      <c r="AK189" s="60" t="n">
        <f aca="false">AG189*COSTE_DEV</f>
        <v>0</v>
      </c>
      <c r="AL189" s="60" t="n">
        <f aca="false">AD189*P1_IVAN+AE189*P2_IVAN+AF189*IF($A189&lt;P3_DESDE,P3A_IVAN,P3_IVAN)-AG189*IVA_DEV</f>
        <v>0</v>
      </c>
      <c r="AM189" s="60" t="n">
        <f aca="false">N189*(1+RECARGO_ADS)</f>
        <v>0</v>
      </c>
      <c r="AN189" s="58" t="n">
        <f aca="false">IF(ISNUMBER(L189),E189+F189+G189+AA189+AB189+AC189,0)</f>
        <v>0</v>
      </c>
      <c r="AO189" s="60" t="n">
        <f aca="false">P189*COMISION</f>
        <v>0</v>
      </c>
      <c r="AP189" s="58" t="n">
        <f aca="false">MIN(N(K189),Q189)</f>
        <v>0</v>
      </c>
      <c r="AQ189" s="61" t="n">
        <f aca="false">IF(Q189&gt;0,((Q189-AP189)*AT189+AP189*TASA_INC)/Q189,AT189)</f>
        <v>0.659887072235414</v>
      </c>
      <c r="AR189" s="58" t="n">
        <f aca="false">IF($A189&lt;FECHA_EXPORT,NETWORKDAYS($A189+1,FECHA_EXPORT,FESTIVOS),0)</f>
        <v>0</v>
      </c>
      <c r="AS189" s="61" t="n">
        <f aca="false">IF(AR189&gt;=5,1,INDEX(CDF_INC,1,AR189+1))</f>
        <v>0.14</v>
      </c>
      <c r="AT189" s="61" t="n">
        <f aca="false">TASA_USADA+(TASA_INC-TASA_USADA)*Q_INC*(1-AS189)/(1-Q_INC*AS189)</f>
        <v>0.659887072235414</v>
      </c>
    </row>
    <row r="190" customFormat="false" ht="15" hidden="false" customHeight="false" outlineLevel="0" collapsed="false">
      <c r="A190" s="53" t="n">
        <v>46484</v>
      </c>
      <c r="B190" s="54"/>
      <c r="C190" s="54"/>
      <c r="D190" s="54"/>
      <c r="E190" s="54"/>
      <c r="F190" s="54"/>
      <c r="G190" s="54"/>
      <c r="H190" s="54"/>
      <c r="I190" s="54"/>
      <c r="J190" s="54"/>
      <c r="K190" s="54"/>
      <c r="L190" s="55"/>
      <c r="M190" s="55"/>
      <c r="N190" s="55"/>
      <c r="O190" s="56"/>
      <c r="P190" s="31" t="n">
        <f aca="false">B190+C190+D190</f>
        <v>0</v>
      </c>
      <c r="Q190" s="31" t="n">
        <f aca="false">AA190+AB190+AC190</f>
        <v>0</v>
      </c>
      <c r="R190" s="32" t="n">
        <f aca="false">B190*P1_PVP+C190*P2_PVP+D190*IF($A190&lt;P3_DESDE,P3A_PVP,P3_PVP)</f>
        <v>0</v>
      </c>
      <c r="S190" s="32" t="str">
        <f aca="false">IF(P190&gt;0,R190/P190,"")</f>
        <v/>
      </c>
      <c r="T190" s="32" t="str">
        <f aca="false">IF(P190&gt;0,N190/P190,"")</f>
        <v/>
      </c>
      <c r="U190" s="57" t="str">
        <f aca="false">IF(N190&gt;0,R190/N190,"")</f>
        <v/>
      </c>
      <c r="V190" s="34" t="str">
        <f aca="false">IF(E190+F190+G190+H190+I190+J190&gt;0,(E190+F190+G190)/(E190+F190+G190+H190+I190+J190),"")</f>
        <v/>
      </c>
      <c r="W190" s="33" t="n">
        <f aca="false">E190*(P1_PVP-P1_CPROD)+F190*(P2_PVP-P2_CPROD)+G190*(IF($A190&lt;P3_DESDE,P3A_PVP,P3_PVP)-IF($A190&lt;P3_DESDE,P3A_CPROD,P3_CPROD))-IF(ISNUMBER(L190),L190,E190*P1_LOG+F190*P2_LOG+G190*P3_LOG)</f>
        <v>0</v>
      </c>
      <c r="X190" s="33" t="n">
        <f aca="false">W190-(E190*P1_IVAN+F190*P2_IVAN+G190*IF($A190&lt;P3_DESDE,P3A_IVAN,P3_IVAN))-(H190+I190+J190)*(COSTE_DEV-IVA_DEV)-AM190-AO190</f>
        <v>0</v>
      </c>
      <c r="Y190" s="33" t="n">
        <f aca="false">AH190-AI190-AJ190-AK190-AL190-AM190-AO190</f>
        <v>0</v>
      </c>
      <c r="AA190" s="58" t="n">
        <f aca="false">MAX(0,B190-E190-H190)</f>
        <v>0</v>
      </c>
      <c r="AB190" s="58" t="n">
        <f aca="false">MAX(0,C190-F190-I190)</f>
        <v>0</v>
      </c>
      <c r="AC190" s="58" t="n">
        <f aca="false">MAX(0,D190-G190-J190)</f>
        <v>0</v>
      </c>
      <c r="AD190" s="59" t="n">
        <f aca="false">E190+AA190*AQ190</f>
        <v>0</v>
      </c>
      <c r="AE190" s="59" t="n">
        <f aca="false">F190+AB190*AQ190</f>
        <v>0</v>
      </c>
      <c r="AF190" s="59" t="n">
        <f aca="false">G190+AC190*AQ190</f>
        <v>0</v>
      </c>
      <c r="AG190" s="59" t="n">
        <f aca="false">H190+I190+J190+(AA190+AB190+AC190)*(1-AQ190)</f>
        <v>0</v>
      </c>
      <c r="AH190" s="60" t="n">
        <f aca="false">AD190*P1_PVP+AE190*P2_PVP+AF190*IF($A190&lt;P3_DESDE,P3A_PVP,P3_PVP)</f>
        <v>0</v>
      </c>
      <c r="AI190" s="60" t="n">
        <f aca="false">AD190*P1_CPROD+AE190*P2_CPROD+AF190*IF($A190&lt;P3_DESDE,P3A_CPROD,P3_CPROD)</f>
        <v>0</v>
      </c>
      <c r="AJ190" s="60" t="n">
        <f aca="false">IF(ISNUMBER(L190),L190,E190*P1_LOG+F190*P2_LOG+G190*P3_LOG)+IF(ISNUMBER(M190),M190,AA190*P1_LOG+AB190*P2_LOG+AC190*P3_LOG)*AQ190</f>
        <v>0</v>
      </c>
      <c r="AK190" s="60" t="n">
        <f aca="false">AG190*COSTE_DEV</f>
        <v>0</v>
      </c>
      <c r="AL190" s="60" t="n">
        <f aca="false">AD190*P1_IVAN+AE190*P2_IVAN+AF190*IF($A190&lt;P3_DESDE,P3A_IVAN,P3_IVAN)-AG190*IVA_DEV</f>
        <v>0</v>
      </c>
      <c r="AM190" s="60" t="n">
        <f aca="false">N190*(1+RECARGO_ADS)</f>
        <v>0</v>
      </c>
      <c r="AN190" s="58" t="n">
        <f aca="false">IF(ISNUMBER(L190),E190+F190+G190+AA190+AB190+AC190,0)</f>
        <v>0</v>
      </c>
      <c r="AO190" s="60" t="n">
        <f aca="false">P190*COMISION</f>
        <v>0</v>
      </c>
      <c r="AP190" s="58" t="n">
        <f aca="false">MIN(N(K190),Q190)</f>
        <v>0</v>
      </c>
      <c r="AQ190" s="61" t="n">
        <f aca="false">IF(Q190&gt;0,((Q190-AP190)*AT190+AP190*TASA_INC)/Q190,AT190)</f>
        <v>0.659887072235414</v>
      </c>
      <c r="AR190" s="58" t="n">
        <f aca="false">IF($A190&lt;FECHA_EXPORT,NETWORKDAYS($A190+1,FECHA_EXPORT,FESTIVOS),0)</f>
        <v>0</v>
      </c>
      <c r="AS190" s="61" t="n">
        <f aca="false">IF(AR190&gt;=5,1,INDEX(CDF_INC,1,AR190+1))</f>
        <v>0.14</v>
      </c>
      <c r="AT190" s="61" t="n">
        <f aca="false">TASA_USADA+(TASA_INC-TASA_USADA)*Q_INC*(1-AS190)/(1-Q_INC*AS190)</f>
        <v>0.659887072235414</v>
      </c>
    </row>
    <row r="191" customFormat="false" ht="15" hidden="false" customHeight="false" outlineLevel="0" collapsed="false">
      <c r="A191" s="53" t="n">
        <v>46485</v>
      </c>
      <c r="B191" s="54"/>
      <c r="C191" s="54"/>
      <c r="D191" s="54"/>
      <c r="E191" s="54"/>
      <c r="F191" s="54"/>
      <c r="G191" s="54"/>
      <c r="H191" s="54"/>
      <c r="I191" s="54"/>
      <c r="J191" s="54"/>
      <c r="K191" s="54"/>
      <c r="L191" s="55"/>
      <c r="M191" s="55"/>
      <c r="N191" s="55"/>
      <c r="O191" s="56"/>
      <c r="P191" s="31" t="n">
        <f aca="false">B191+C191+D191</f>
        <v>0</v>
      </c>
      <c r="Q191" s="31" t="n">
        <f aca="false">AA191+AB191+AC191</f>
        <v>0</v>
      </c>
      <c r="R191" s="32" t="n">
        <f aca="false">B191*P1_PVP+C191*P2_PVP+D191*IF($A191&lt;P3_DESDE,P3A_PVP,P3_PVP)</f>
        <v>0</v>
      </c>
      <c r="S191" s="32" t="str">
        <f aca="false">IF(P191&gt;0,R191/P191,"")</f>
        <v/>
      </c>
      <c r="T191" s="32" t="str">
        <f aca="false">IF(P191&gt;0,N191/P191,"")</f>
        <v/>
      </c>
      <c r="U191" s="57" t="str">
        <f aca="false">IF(N191&gt;0,R191/N191,"")</f>
        <v/>
      </c>
      <c r="V191" s="34" t="str">
        <f aca="false">IF(E191+F191+G191+H191+I191+J191&gt;0,(E191+F191+G191)/(E191+F191+G191+H191+I191+J191),"")</f>
        <v/>
      </c>
      <c r="W191" s="33" t="n">
        <f aca="false">E191*(P1_PVP-P1_CPROD)+F191*(P2_PVP-P2_CPROD)+G191*(IF($A191&lt;P3_DESDE,P3A_PVP,P3_PVP)-IF($A191&lt;P3_DESDE,P3A_CPROD,P3_CPROD))-IF(ISNUMBER(L191),L191,E191*P1_LOG+F191*P2_LOG+G191*P3_LOG)</f>
        <v>0</v>
      </c>
      <c r="X191" s="33" t="n">
        <f aca="false">W191-(E191*P1_IVAN+F191*P2_IVAN+G191*IF($A191&lt;P3_DESDE,P3A_IVAN,P3_IVAN))-(H191+I191+J191)*(COSTE_DEV-IVA_DEV)-AM191-AO191</f>
        <v>0</v>
      </c>
      <c r="Y191" s="33" t="n">
        <f aca="false">AH191-AI191-AJ191-AK191-AL191-AM191-AO191</f>
        <v>0</v>
      </c>
      <c r="AA191" s="58" t="n">
        <f aca="false">MAX(0,B191-E191-H191)</f>
        <v>0</v>
      </c>
      <c r="AB191" s="58" t="n">
        <f aca="false">MAX(0,C191-F191-I191)</f>
        <v>0</v>
      </c>
      <c r="AC191" s="58" t="n">
        <f aca="false">MAX(0,D191-G191-J191)</f>
        <v>0</v>
      </c>
      <c r="AD191" s="59" t="n">
        <f aca="false">E191+AA191*AQ191</f>
        <v>0</v>
      </c>
      <c r="AE191" s="59" t="n">
        <f aca="false">F191+AB191*AQ191</f>
        <v>0</v>
      </c>
      <c r="AF191" s="59" t="n">
        <f aca="false">G191+AC191*AQ191</f>
        <v>0</v>
      </c>
      <c r="AG191" s="59" t="n">
        <f aca="false">H191+I191+J191+(AA191+AB191+AC191)*(1-AQ191)</f>
        <v>0</v>
      </c>
      <c r="AH191" s="60" t="n">
        <f aca="false">AD191*P1_PVP+AE191*P2_PVP+AF191*IF($A191&lt;P3_DESDE,P3A_PVP,P3_PVP)</f>
        <v>0</v>
      </c>
      <c r="AI191" s="60" t="n">
        <f aca="false">AD191*P1_CPROD+AE191*P2_CPROD+AF191*IF($A191&lt;P3_DESDE,P3A_CPROD,P3_CPROD)</f>
        <v>0</v>
      </c>
      <c r="AJ191" s="60" t="n">
        <f aca="false">IF(ISNUMBER(L191),L191,E191*P1_LOG+F191*P2_LOG+G191*P3_LOG)+IF(ISNUMBER(M191),M191,AA191*P1_LOG+AB191*P2_LOG+AC191*P3_LOG)*AQ191</f>
        <v>0</v>
      </c>
      <c r="AK191" s="60" t="n">
        <f aca="false">AG191*COSTE_DEV</f>
        <v>0</v>
      </c>
      <c r="AL191" s="60" t="n">
        <f aca="false">AD191*P1_IVAN+AE191*P2_IVAN+AF191*IF($A191&lt;P3_DESDE,P3A_IVAN,P3_IVAN)-AG191*IVA_DEV</f>
        <v>0</v>
      </c>
      <c r="AM191" s="60" t="n">
        <f aca="false">N191*(1+RECARGO_ADS)</f>
        <v>0</v>
      </c>
      <c r="AN191" s="58" t="n">
        <f aca="false">IF(ISNUMBER(L191),E191+F191+G191+AA191+AB191+AC191,0)</f>
        <v>0</v>
      </c>
      <c r="AO191" s="60" t="n">
        <f aca="false">P191*COMISION</f>
        <v>0</v>
      </c>
      <c r="AP191" s="58" t="n">
        <f aca="false">MIN(N(K191),Q191)</f>
        <v>0</v>
      </c>
      <c r="AQ191" s="61" t="n">
        <f aca="false">IF(Q191&gt;0,((Q191-AP191)*AT191+AP191*TASA_INC)/Q191,AT191)</f>
        <v>0.659887072235414</v>
      </c>
      <c r="AR191" s="58" t="n">
        <f aca="false">IF($A191&lt;FECHA_EXPORT,NETWORKDAYS($A191+1,FECHA_EXPORT,FESTIVOS),0)</f>
        <v>0</v>
      </c>
      <c r="AS191" s="61" t="n">
        <f aca="false">IF(AR191&gt;=5,1,INDEX(CDF_INC,1,AR191+1))</f>
        <v>0.14</v>
      </c>
      <c r="AT191" s="61" t="n">
        <f aca="false">TASA_USADA+(TASA_INC-TASA_USADA)*Q_INC*(1-AS191)/(1-Q_INC*AS191)</f>
        <v>0.659887072235414</v>
      </c>
    </row>
    <row r="192" customFormat="false" ht="15" hidden="false" customHeight="false" outlineLevel="0" collapsed="false">
      <c r="A192" s="53" t="n">
        <v>46486</v>
      </c>
      <c r="B192" s="54"/>
      <c r="C192" s="54"/>
      <c r="D192" s="54"/>
      <c r="E192" s="54"/>
      <c r="F192" s="54"/>
      <c r="G192" s="54"/>
      <c r="H192" s="54"/>
      <c r="I192" s="54"/>
      <c r="J192" s="54"/>
      <c r="K192" s="54"/>
      <c r="L192" s="55"/>
      <c r="M192" s="55"/>
      <c r="N192" s="55"/>
      <c r="O192" s="56"/>
      <c r="P192" s="31" t="n">
        <f aca="false">B192+C192+D192</f>
        <v>0</v>
      </c>
      <c r="Q192" s="31" t="n">
        <f aca="false">AA192+AB192+AC192</f>
        <v>0</v>
      </c>
      <c r="R192" s="32" t="n">
        <f aca="false">B192*P1_PVP+C192*P2_PVP+D192*IF($A192&lt;P3_DESDE,P3A_PVP,P3_PVP)</f>
        <v>0</v>
      </c>
      <c r="S192" s="32" t="str">
        <f aca="false">IF(P192&gt;0,R192/P192,"")</f>
        <v/>
      </c>
      <c r="T192" s="32" t="str">
        <f aca="false">IF(P192&gt;0,N192/P192,"")</f>
        <v/>
      </c>
      <c r="U192" s="57" t="str">
        <f aca="false">IF(N192&gt;0,R192/N192,"")</f>
        <v/>
      </c>
      <c r="V192" s="34" t="str">
        <f aca="false">IF(E192+F192+G192+H192+I192+J192&gt;0,(E192+F192+G192)/(E192+F192+G192+H192+I192+J192),"")</f>
        <v/>
      </c>
      <c r="W192" s="33" t="n">
        <f aca="false">E192*(P1_PVP-P1_CPROD)+F192*(P2_PVP-P2_CPROD)+G192*(IF($A192&lt;P3_DESDE,P3A_PVP,P3_PVP)-IF($A192&lt;P3_DESDE,P3A_CPROD,P3_CPROD))-IF(ISNUMBER(L192),L192,E192*P1_LOG+F192*P2_LOG+G192*P3_LOG)</f>
        <v>0</v>
      </c>
      <c r="X192" s="33" t="n">
        <f aca="false">W192-(E192*P1_IVAN+F192*P2_IVAN+G192*IF($A192&lt;P3_DESDE,P3A_IVAN,P3_IVAN))-(H192+I192+J192)*(COSTE_DEV-IVA_DEV)-AM192-AO192</f>
        <v>0</v>
      </c>
      <c r="Y192" s="33" t="n">
        <f aca="false">AH192-AI192-AJ192-AK192-AL192-AM192-AO192</f>
        <v>0</v>
      </c>
      <c r="AA192" s="58" t="n">
        <f aca="false">MAX(0,B192-E192-H192)</f>
        <v>0</v>
      </c>
      <c r="AB192" s="58" t="n">
        <f aca="false">MAX(0,C192-F192-I192)</f>
        <v>0</v>
      </c>
      <c r="AC192" s="58" t="n">
        <f aca="false">MAX(0,D192-G192-J192)</f>
        <v>0</v>
      </c>
      <c r="AD192" s="59" t="n">
        <f aca="false">E192+AA192*AQ192</f>
        <v>0</v>
      </c>
      <c r="AE192" s="59" t="n">
        <f aca="false">F192+AB192*AQ192</f>
        <v>0</v>
      </c>
      <c r="AF192" s="59" t="n">
        <f aca="false">G192+AC192*AQ192</f>
        <v>0</v>
      </c>
      <c r="AG192" s="59" t="n">
        <f aca="false">H192+I192+J192+(AA192+AB192+AC192)*(1-AQ192)</f>
        <v>0</v>
      </c>
      <c r="AH192" s="60" t="n">
        <f aca="false">AD192*P1_PVP+AE192*P2_PVP+AF192*IF($A192&lt;P3_DESDE,P3A_PVP,P3_PVP)</f>
        <v>0</v>
      </c>
      <c r="AI192" s="60" t="n">
        <f aca="false">AD192*P1_CPROD+AE192*P2_CPROD+AF192*IF($A192&lt;P3_DESDE,P3A_CPROD,P3_CPROD)</f>
        <v>0</v>
      </c>
      <c r="AJ192" s="60" t="n">
        <f aca="false">IF(ISNUMBER(L192),L192,E192*P1_LOG+F192*P2_LOG+G192*P3_LOG)+IF(ISNUMBER(M192),M192,AA192*P1_LOG+AB192*P2_LOG+AC192*P3_LOG)*AQ192</f>
        <v>0</v>
      </c>
      <c r="AK192" s="60" t="n">
        <f aca="false">AG192*COSTE_DEV</f>
        <v>0</v>
      </c>
      <c r="AL192" s="60" t="n">
        <f aca="false">AD192*P1_IVAN+AE192*P2_IVAN+AF192*IF($A192&lt;P3_DESDE,P3A_IVAN,P3_IVAN)-AG192*IVA_DEV</f>
        <v>0</v>
      </c>
      <c r="AM192" s="60" t="n">
        <f aca="false">N192*(1+RECARGO_ADS)</f>
        <v>0</v>
      </c>
      <c r="AN192" s="58" t="n">
        <f aca="false">IF(ISNUMBER(L192),E192+F192+G192+AA192+AB192+AC192,0)</f>
        <v>0</v>
      </c>
      <c r="AO192" s="60" t="n">
        <f aca="false">P192*COMISION</f>
        <v>0</v>
      </c>
      <c r="AP192" s="58" t="n">
        <f aca="false">MIN(N(K192),Q192)</f>
        <v>0</v>
      </c>
      <c r="AQ192" s="61" t="n">
        <f aca="false">IF(Q192&gt;0,((Q192-AP192)*AT192+AP192*TASA_INC)/Q192,AT192)</f>
        <v>0.659887072235414</v>
      </c>
      <c r="AR192" s="58" t="n">
        <f aca="false">IF($A192&lt;FECHA_EXPORT,NETWORKDAYS($A192+1,FECHA_EXPORT,FESTIVOS),0)</f>
        <v>0</v>
      </c>
      <c r="AS192" s="61" t="n">
        <f aca="false">IF(AR192&gt;=5,1,INDEX(CDF_INC,1,AR192+1))</f>
        <v>0.14</v>
      </c>
      <c r="AT192" s="61" t="n">
        <f aca="false">TASA_USADA+(TASA_INC-TASA_USADA)*Q_INC*(1-AS192)/(1-Q_INC*AS192)</f>
        <v>0.659887072235414</v>
      </c>
    </row>
    <row r="193" customFormat="false" ht="15" hidden="false" customHeight="false" outlineLevel="0" collapsed="false">
      <c r="A193" s="53" t="n">
        <v>46487</v>
      </c>
      <c r="B193" s="54"/>
      <c r="C193" s="54"/>
      <c r="D193" s="54"/>
      <c r="E193" s="54"/>
      <c r="F193" s="54"/>
      <c r="G193" s="54"/>
      <c r="H193" s="54"/>
      <c r="I193" s="54"/>
      <c r="J193" s="54"/>
      <c r="K193" s="54"/>
      <c r="L193" s="55"/>
      <c r="M193" s="55"/>
      <c r="N193" s="55"/>
      <c r="O193" s="56"/>
      <c r="P193" s="31" t="n">
        <f aca="false">B193+C193+D193</f>
        <v>0</v>
      </c>
      <c r="Q193" s="31" t="n">
        <f aca="false">AA193+AB193+AC193</f>
        <v>0</v>
      </c>
      <c r="R193" s="32" t="n">
        <f aca="false">B193*P1_PVP+C193*P2_PVP+D193*IF($A193&lt;P3_DESDE,P3A_PVP,P3_PVP)</f>
        <v>0</v>
      </c>
      <c r="S193" s="32" t="str">
        <f aca="false">IF(P193&gt;0,R193/P193,"")</f>
        <v/>
      </c>
      <c r="T193" s="32" t="str">
        <f aca="false">IF(P193&gt;0,N193/P193,"")</f>
        <v/>
      </c>
      <c r="U193" s="57" t="str">
        <f aca="false">IF(N193&gt;0,R193/N193,"")</f>
        <v/>
      </c>
      <c r="V193" s="34" t="str">
        <f aca="false">IF(E193+F193+G193+H193+I193+J193&gt;0,(E193+F193+G193)/(E193+F193+G193+H193+I193+J193),"")</f>
        <v/>
      </c>
      <c r="W193" s="33" t="n">
        <f aca="false">E193*(P1_PVP-P1_CPROD)+F193*(P2_PVP-P2_CPROD)+G193*(IF($A193&lt;P3_DESDE,P3A_PVP,P3_PVP)-IF($A193&lt;P3_DESDE,P3A_CPROD,P3_CPROD))-IF(ISNUMBER(L193),L193,E193*P1_LOG+F193*P2_LOG+G193*P3_LOG)</f>
        <v>0</v>
      </c>
      <c r="X193" s="33" t="n">
        <f aca="false">W193-(E193*P1_IVAN+F193*P2_IVAN+G193*IF($A193&lt;P3_DESDE,P3A_IVAN,P3_IVAN))-(H193+I193+J193)*(COSTE_DEV-IVA_DEV)-AM193-AO193</f>
        <v>0</v>
      </c>
      <c r="Y193" s="33" t="n">
        <f aca="false">AH193-AI193-AJ193-AK193-AL193-AM193-AO193</f>
        <v>0</v>
      </c>
      <c r="AA193" s="58" t="n">
        <f aca="false">MAX(0,B193-E193-H193)</f>
        <v>0</v>
      </c>
      <c r="AB193" s="58" t="n">
        <f aca="false">MAX(0,C193-F193-I193)</f>
        <v>0</v>
      </c>
      <c r="AC193" s="58" t="n">
        <f aca="false">MAX(0,D193-G193-J193)</f>
        <v>0</v>
      </c>
      <c r="AD193" s="59" t="n">
        <f aca="false">E193+AA193*AQ193</f>
        <v>0</v>
      </c>
      <c r="AE193" s="59" t="n">
        <f aca="false">F193+AB193*AQ193</f>
        <v>0</v>
      </c>
      <c r="AF193" s="59" t="n">
        <f aca="false">G193+AC193*AQ193</f>
        <v>0</v>
      </c>
      <c r="AG193" s="59" t="n">
        <f aca="false">H193+I193+J193+(AA193+AB193+AC193)*(1-AQ193)</f>
        <v>0</v>
      </c>
      <c r="AH193" s="60" t="n">
        <f aca="false">AD193*P1_PVP+AE193*P2_PVP+AF193*IF($A193&lt;P3_DESDE,P3A_PVP,P3_PVP)</f>
        <v>0</v>
      </c>
      <c r="AI193" s="60" t="n">
        <f aca="false">AD193*P1_CPROD+AE193*P2_CPROD+AF193*IF($A193&lt;P3_DESDE,P3A_CPROD,P3_CPROD)</f>
        <v>0</v>
      </c>
      <c r="AJ193" s="60" t="n">
        <f aca="false">IF(ISNUMBER(L193),L193,E193*P1_LOG+F193*P2_LOG+G193*P3_LOG)+IF(ISNUMBER(M193),M193,AA193*P1_LOG+AB193*P2_LOG+AC193*P3_LOG)*AQ193</f>
        <v>0</v>
      </c>
      <c r="AK193" s="60" t="n">
        <f aca="false">AG193*COSTE_DEV</f>
        <v>0</v>
      </c>
      <c r="AL193" s="60" t="n">
        <f aca="false">AD193*P1_IVAN+AE193*P2_IVAN+AF193*IF($A193&lt;P3_DESDE,P3A_IVAN,P3_IVAN)-AG193*IVA_DEV</f>
        <v>0</v>
      </c>
      <c r="AM193" s="60" t="n">
        <f aca="false">N193*(1+RECARGO_ADS)</f>
        <v>0</v>
      </c>
      <c r="AN193" s="58" t="n">
        <f aca="false">IF(ISNUMBER(L193),E193+F193+G193+AA193+AB193+AC193,0)</f>
        <v>0</v>
      </c>
      <c r="AO193" s="60" t="n">
        <f aca="false">P193*COMISION</f>
        <v>0</v>
      </c>
      <c r="AP193" s="58" t="n">
        <f aca="false">MIN(N(K193),Q193)</f>
        <v>0</v>
      </c>
      <c r="AQ193" s="61" t="n">
        <f aca="false">IF(Q193&gt;0,((Q193-AP193)*AT193+AP193*TASA_INC)/Q193,AT193)</f>
        <v>0.659887072235414</v>
      </c>
      <c r="AR193" s="58" t="n">
        <f aca="false">IF($A193&lt;FECHA_EXPORT,NETWORKDAYS($A193+1,FECHA_EXPORT,FESTIVOS),0)</f>
        <v>0</v>
      </c>
      <c r="AS193" s="61" t="n">
        <f aca="false">IF(AR193&gt;=5,1,INDEX(CDF_INC,1,AR193+1))</f>
        <v>0.14</v>
      </c>
      <c r="AT193" s="61" t="n">
        <f aca="false">TASA_USADA+(TASA_INC-TASA_USADA)*Q_INC*(1-AS193)/(1-Q_INC*AS193)</f>
        <v>0.659887072235414</v>
      </c>
    </row>
    <row r="194" customFormat="false" ht="15" hidden="false" customHeight="false" outlineLevel="0" collapsed="false">
      <c r="A194" s="53" t="n">
        <v>46488</v>
      </c>
      <c r="B194" s="54"/>
      <c r="C194" s="54"/>
      <c r="D194" s="54"/>
      <c r="E194" s="54"/>
      <c r="F194" s="54"/>
      <c r="G194" s="54"/>
      <c r="H194" s="54"/>
      <c r="I194" s="54"/>
      <c r="J194" s="54"/>
      <c r="K194" s="54"/>
      <c r="L194" s="55"/>
      <c r="M194" s="55"/>
      <c r="N194" s="55"/>
      <c r="O194" s="56"/>
      <c r="P194" s="31" t="n">
        <f aca="false">B194+C194+D194</f>
        <v>0</v>
      </c>
      <c r="Q194" s="31" t="n">
        <f aca="false">AA194+AB194+AC194</f>
        <v>0</v>
      </c>
      <c r="R194" s="32" t="n">
        <f aca="false">B194*P1_PVP+C194*P2_PVP+D194*IF($A194&lt;P3_DESDE,P3A_PVP,P3_PVP)</f>
        <v>0</v>
      </c>
      <c r="S194" s="32" t="str">
        <f aca="false">IF(P194&gt;0,R194/P194,"")</f>
        <v/>
      </c>
      <c r="T194" s="32" t="str">
        <f aca="false">IF(P194&gt;0,N194/P194,"")</f>
        <v/>
      </c>
      <c r="U194" s="57" t="str">
        <f aca="false">IF(N194&gt;0,R194/N194,"")</f>
        <v/>
      </c>
      <c r="V194" s="34" t="str">
        <f aca="false">IF(E194+F194+G194+H194+I194+J194&gt;0,(E194+F194+G194)/(E194+F194+G194+H194+I194+J194),"")</f>
        <v/>
      </c>
      <c r="W194" s="33" t="n">
        <f aca="false">E194*(P1_PVP-P1_CPROD)+F194*(P2_PVP-P2_CPROD)+G194*(IF($A194&lt;P3_DESDE,P3A_PVP,P3_PVP)-IF($A194&lt;P3_DESDE,P3A_CPROD,P3_CPROD))-IF(ISNUMBER(L194),L194,E194*P1_LOG+F194*P2_LOG+G194*P3_LOG)</f>
        <v>0</v>
      </c>
      <c r="X194" s="33" t="n">
        <f aca="false">W194-(E194*P1_IVAN+F194*P2_IVAN+G194*IF($A194&lt;P3_DESDE,P3A_IVAN,P3_IVAN))-(H194+I194+J194)*(COSTE_DEV-IVA_DEV)-AM194-AO194</f>
        <v>0</v>
      </c>
      <c r="Y194" s="33" t="n">
        <f aca="false">AH194-AI194-AJ194-AK194-AL194-AM194-AO194</f>
        <v>0</v>
      </c>
      <c r="AA194" s="58" t="n">
        <f aca="false">MAX(0,B194-E194-H194)</f>
        <v>0</v>
      </c>
      <c r="AB194" s="58" t="n">
        <f aca="false">MAX(0,C194-F194-I194)</f>
        <v>0</v>
      </c>
      <c r="AC194" s="58" t="n">
        <f aca="false">MAX(0,D194-G194-J194)</f>
        <v>0</v>
      </c>
      <c r="AD194" s="59" t="n">
        <f aca="false">E194+AA194*AQ194</f>
        <v>0</v>
      </c>
      <c r="AE194" s="59" t="n">
        <f aca="false">F194+AB194*AQ194</f>
        <v>0</v>
      </c>
      <c r="AF194" s="59" t="n">
        <f aca="false">G194+AC194*AQ194</f>
        <v>0</v>
      </c>
      <c r="AG194" s="59" t="n">
        <f aca="false">H194+I194+J194+(AA194+AB194+AC194)*(1-AQ194)</f>
        <v>0</v>
      </c>
      <c r="AH194" s="60" t="n">
        <f aca="false">AD194*P1_PVP+AE194*P2_PVP+AF194*IF($A194&lt;P3_DESDE,P3A_PVP,P3_PVP)</f>
        <v>0</v>
      </c>
      <c r="AI194" s="60" t="n">
        <f aca="false">AD194*P1_CPROD+AE194*P2_CPROD+AF194*IF($A194&lt;P3_DESDE,P3A_CPROD,P3_CPROD)</f>
        <v>0</v>
      </c>
      <c r="AJ194" s="60" t="n">
        <f aca="false">IF(ISNUMBER(L194),L194,E194*P1_LOG+F194*P2_LOG+G194*P3_LOG)+IF(ISNUMBER(M194),M194,AA194*P1_LOG+AB194*P2_LOG+AC194*P3_LOG)*AQ194</f>
        <v>0</v>
      </c>
      <c r="AK194" s="60" t="n">
        <f aca="false">AG194*COSTE_DEV</f>
        <v>0</v>
      </c>
      <c r="AL194" s="60" t="n">
        <f aca="false">AD194*P1_IVAN+AE194*P2_IVAN+AF194*IF($A194&lt;P3_DESDE,P3A_IVAN,P3_IVAN)-AG194*IVA_DEV</f>
        <v>0</v>
      </c>
      <c r="AM194" s="60" t="n">
        <f aca="false">N194*(1+RECARGO_ADS)</f>
        <v>0</v>
      </c>
      <c r="AN194" s="58" t="n">
        <f aca="false">IF(ISNUMBER(L194),E194+F194+G194+AA194+AB194+AC194,0)</f>
        <v>0</v>
      </c>
      <c r="AO194" s="60" t="n">
        <f aca="false">P194*COMISION</f>
        <v>0</v>
      </c>
      <c r="AP194" s="58" t="n">
        <f aca="false">MIN(N(K194),Q194)</f>
        <v>0</v>
      </c>
      <c r="AQ194" s="61" t="n">
        <f aca="false">IF(Q194&gt;0,((Q194-AP194)*AT194+AP194*TASA_INC)/Q194,AT194)</f>
        <v>0.659887072235414</v>
      </c>
      <c r="AR194" s="58" t="n">
        <f aca="false">IF($A194&lt;FECHA_EXPORT,NETWORKDAYS($A194+1,FECHA_EXPORT,FESTIVOS),0)</f>
        <v>0</v>
      </c>
      <c r="AS194" s="61" t="n">
        <f aca="false">IF(AR194&gt;=5,1,INDEX(CDF_INC,1,AR194+1))</f>
        <v>0.14</v>
      </c>
      <c r="AT194" s="61" t="n">
        <f aca="false">TASA_USADA+(TASA_INC-TASA_USADA)*Q_INC*(1-AS194)/(1-Q_INC*AS194)</f>
        <v>0.659887072235414</v>
      </c>
    </row>
    <row r="195" customFormat="false" ht="15" hidden="false" customHeight="false" outlineLevel="0" collapsed="false">
      <c r="A195" s="53" t="n">
        <v>46489</v>
      </c>
      <c r="B195" s="54"/>
      <c r="C195" s="54"/>
      <c r="D195" s="54"/>
      <c r="E195" s="54"/>
      <c r="F195" s="54"/>
      <c r="G195" s="54"/>
      <c r="H195" s="54"/>
      <c r="I195" s="54"/>
      <c r="J195" s="54"/>
      <c r="K195" s="54"/>
      <c r="L195" s="55"/>
      <c r="M195" s="55"/>
      <c r="N195" s="55"/>
      <c r="O195" s="56"/>
      <c r="P195" s="31" t="n">
        <f aca="false">B195+C195+D195</f>
        <v>0</v>
      </c>
      <c r="Q195" s="31" t="n">
        <f aca="false">AA195+AB195+AC195</f>
        <v>0</v>
      </c>
      <c r="R195" s="32" t="n">
        <f aca="false">B195*P1_PVP+C195*P2_PVP+D195*IF($A195&lt;P3_DESDE,P3A_PVP,P3_PVP)</f>
        <v>0</v>
      </c>
      <c r="S195" s="32" t="str">
        <f aca="false">IF(P195&gt;0,R195/P195,"")</f>
        <v/>
      </c>
      <c r="T195" s="32" t="str">
        <f aca="false">IF(P195&gt;0,N195/P195,"")</f>
        <v/>
      </c>
      <c r="U195" s="57" t="str">
        <f aca="false">IF(N195&gt;0,R195/N195,"")</f>
        <v/>
      </c>
      <c r="V195" s="34" t="str">
        <f aca="false">IF(E195+F195+G195+H195+I195+J195&gt;0,(E195+F195+G195)/(E195+F195+G195+H195+I195+J195),"")</f>
        <v/>
      </c>
      <c r="W195" s="33" t="n">
        <f aca="false">E195*(P1_PVP-P1_CPROD)+F195*(P2_PVP-P2_CPROD)+G195*(IF($A195&lt;P3_DESDE,P3A_PVP,P3_PVP)-IF($A195&lt;P3_DESDE,P3A_CPROD,P3_CPROD))-IF(ISNUMBER(L195),L195,E195*P1_LOG+F195*P2_LOG+G195*P3_LOG)</f>
        <v>0</v>
      </c>
      <c r="X195" s="33" t="n">
        <f aca="false">W195-(E195*P1_IVAN+F195*P2_IVAN+G195*IF($A195&lt;P3_DESDE,P3A_IVAN,P3_IVAN))-(H195+I195+J195)*(COSTE_DEV-IVA_DEV)-AM195-AO195</f>
        <v>0</v>
      </c>
      <c r="Y195" s="33" t="n">
        <f aca="false">AH195-AI195-AJ195-AK195-AL195-AM195-AO195</f>
        <v>0</v>
      </c>
      <c r="AA195" s="58" t="n">
        <f aca="false">MAX(0,B195-E195-H195)</f>
        <v>0</v>
      </c>
      <c r="AB195" s="58" t="n">
        <f aca="false">MAX(0,C195-F195-I195)</f>
        <v>0</v>
      </c>
      <c r="AC195" s="58" t="n">
        <f aca="false">MAX(0,D195-G195-J195)</f>
        <v>0</v>
      </c>
      <c r="AD195" s="59" t="n">
        <f aca="false">E195+AA195*AQ195</f>
        <v>0</v>
      </c>
      <c r="AE195" s="59" t="n">
        <f aca="false">F195+AB195*AQ195</f>
        <v>0</v>
      </c>
      <c r="AF195" s="59" t="n">
        <f aca="false">G195+AC195*AQ195</f>
        <v>0</v>
      </c>
      <c r="AG195" s="59" t="n">
        <f aca="false">H195+I195+J195+(AA195+AB195+AC195)*(1-AQ195)</f>
        <v>0</v>
      </c>
      <c r="AH195" s="60" t="n">
        <f aca="false">AD195*P1_PVP+AE195*P2_PVP+AF195*IF($A195&lt;P3_DESDE,P3A_PVP,P3_PVP)</f>
        <v>0</v>
      </c>
      <c r="AI195" s="60" t="n">
        <f aca="false">AD195*P1_CPROD+AE195*P2_CPROD+AF195*IF($A195&lt;P3_DESDE,P3A_CPROD,P3_CPROD)</f>
        <v>0</v>
      </c>
      <c r="AJ195" s="60" t="n">
        <f aca="false">IF(ISNUMBER(L195),L195,E195*P1_LOG+F195*P2_LOG+G195*P3_LOG)+IF(ISNUMBER(M195),M195,AA195*P1_LOG+AB195*P2_LOG+AC195*P3_LOG)*AQ195</f>
        <v>0</v>
      </c>
      <c r="AK195" s="60" t="n">
        <f aca="false">AG195*COSTE_DEV</f>
        <v>0</v>
      </c>
      <c r="AL195" s="60" t="n">
        <f aca="false">AD195*P1_IVAN+AE195*P2_IVAN+AF195*IF($A195&lt;P3_DESDE,P3A_IVAN,P3_IVAN)-AG195*IVA_DEV</f>
        <v>0</v>
      </c>
      <c r="AM195" s="60" t="n">
        <f aca="false">N195*(1+RECARGO_ADS)</f>
        <v>0</v>
      </c>
      <c r="AN195" s="58" t="n">
        <f aca="false">IF(ISNUMBER(L195),E195+F195+G195+AA195+AB195+AC195,0)</f>
        <v>0</v>
      </c>
      <c r="AO195" s="60" t="n">
        <f aca="false">P195*COMISION</f>
        <v>0</v>
      </c>
      <c r="AP195" s="58" t="n">
        <f aca="false">MIN(N(K195),Q195)</f>
        <v>0</v>
      </c>
      <c r="AQ195" s="61" t="n">
        <f aca="false">IF(Q195&gt;0,((Q195-AP195)*AT195+AP195*TASA_INC)/Q195,AT195)</f>
        <v>0.659887072235414</v>
      </c>
      <c r="AR195" s="58" t="n">
        <f aca="false">IF($A195&lt;FECHA_EXPORT,NETWORKDAYS($A195+1,FECHA_EXPORT,FESTIVOS),0)</f>
        <v>0</v>
      </c>
      <c r="AS195" s="61" t="n">
        <f aca="false">IF(AR195&gt;=5,1,INDEX(CDF_INC,1,AR195+1))</f>
        <v>0.14</v>
      </c>
      <c r="AT195" s="61" t="n">
        <f aca="false">TASA_USADA+(TASA_INC-TASA_USADA)*Q_INC*(1-AS195)/(1-Q_INC*AS195)</f>
        <v>0.659887072235414</v>
      </c>
    </row>
    <row r="196" customFormat="false" ht="15" hidden="false" customHeight="false" outlineLevel="0" collapsed="false">
      <c r="A196" s="53" t="n">
        <v>46490</v>
      </c>
      <c r="B196" s="54"/>
      <c r="C196" s="54"/>
      <c r="D196" s="54"/>
      <c r="E196" s="54"/>
      <c r="F196" s="54"/>
      <c r="G196" s="54"/>
      <c r="H196" s="54"/>
      <c r="I196" s="54"/>
      <c r="J196" s="54"/>
      <c r="K196" s="54"/>
      <c r="L196" s="55"/>
      <c r="M196" s="55"/>
      <c r="N196" s="55"/>
      <c r="O196" s="56"/>
      <c r="P196" s="31" t="n">
        <f aca="false">B196+C196+D196</f>
        <v>0</v>
      </c>
      <c r="Q196" s="31" t="n">
        <f aca="false">AA196+AB196+AC196</f>
        <v>0</v>
      </c>
      <c r="R196" s="32" t="n">
        <f aca="false">B196*P1_PVP+C196*P2_PVP+D196*IF($A196&lt;P3_DESDE,P3A_PVP,P3_PVP)</f>
        <v>0</v>
      </c>
      <c r="S196" s="32" t="str">
        <f aca="false">IF(P196&gt;0,R196/P196,"")</f>
        <v/>
      </c>
      <c r="T196" s="32" t="str">
        <f aca="false">IF(P196&gt;0,N196/P196,"")</f>
        <v/>
      </c>
      <c r="U196" s="57" t="str">
        <f aca="false">IF(N196&gt;0,R196/N196,"")</f>
        <v/>
      </c>
      <c r="V196" s="34" t="str">
        <f aca="false">IF(E196+F196+G196+H196+I196+J196&gt;0,(E196+F196+G196)/(E196+F196+G196+H196+I196+J196),"")</f>
        <v/>
      </c>
      <c r="W196" s="33" t="n">
        <f aca="false">E196*(P1_PVP-P1_CPROD)+F196*(P2_PVP-P2_CPROD)+G196*(IF($A196&lt;P3_DESDE,P3A_PVP,P3_PVP)-IF($A196&lt;P3_DESDE,P3A_CPROD,P3_CPROD))-IF(ISNUMBER(L196),L196,E196*P1_LOG+F196*P2_LOG+G196*P3_LOG)</f>
        <v>0</v>
      </c>
      <c r="X196" s="33" t="n">
        <f aca="false">W196-(E196*P1_IVAN+F196*P2_IVAN+G196*IF($A196&lt;P3_DESDE,P3A_IVAN,P3_IVAN))-(H196+I196+J196)*(COSTE_DEV-IVA_DEV)-AM196-AO196</f>
        <v>0</v>
      </c>
      <c r="Y196" s="33" t="n">
        <f aca="false">AH196-AI196-AJ196-AK196-AL196-AM196-AO196</f>
        <v>0</v>
      </c>
      <c r="AA196" s="58" t="n">
        <f aca="false">MAX(0,B196-E196-H196)</f>
        <v>0</v>
      </c>
      <c r="AB196" s="58" t="n">
        <f aca="false">MAX(0,C196-F196-I196)</f>
        <v>0</v>
      </c>
      <c r="AC196" s="58" t="n">
        <f aca="false">MAX(0,D196-G196-J196)</f>
        <v>0</v>
      </c>
      <c r="AD196" s="59" t="n">
        <f aca="false">E196+AA196*AQ196</f>
        <v>0</v>
      </c>
      <c r="AE196" s="59" t="n">
        <f aca="false">F196+AB196*AQ196</f>
        <v>0</v>
      </c>
      <c r="AF196" s="59" t="n">
        <f aca="false">G196+AC196*AQ196</f>
        <v>0</v>
      </c>
      <c r="AG196" s="59" t="n">
        <f aca="false">H196+I196+J196+(AA196+AB196+AC196)*(1-AQ196)</f>
        <v>0</v>
      </c>
      <c r="AH196" s="60" t="n">
        <f aca="false">AD196*P1_PVP+AE196*P2_PVP+AF196*IF($A196&lt;P3_DESDE,P3A_PVP,P3_PVP)</f>
        <v>0</v>
      </c>
      <c r="AI196" s="60" t="n">
        <f aca="false">AD196*P1_CPROD+AE196*P2_CPROD+AF196*IF($A196&lt;P3_DESDE,P3A_CPROD,P3_CPROD)</f>
        <v>0</v>
      </c>
      <c r="AJ196" s="60" t="n">
        <f aca="false">IF(ISNUMBER(L196),L196,E196*P1_LOG+F196*P2_LOG+G196*P3_LOG)+IF(ISNUMBER(M196),M196,AA196*P1_LOG+AB196*P2_LOG+AC196*P3_LOG)*AQ196</f>
        <v>0</v>
      </c>
      <c r="AK196" s="60" t="n">
        <f aca="false">AG196*COSTE_DEV</f>
        <v>0</v>
      </c>
      <c r="AL196" s="60" t="n">
        <f aca="false">AD196*P1_IVAN+AE196*P2_IVAN+AF196*IF($A196&lt;P3_DESDE,P3A_IVAN,P3_IVAN)-AG196*IVA_DEV</f>
        <v>0</v>
      </c>
      <c r="AM196" s="60" t="n">
        <f aca="false">N196*(1+RECARGO_ADS)</f>
        <v>0</v>
      </c>
      <c r="AN196" s="58" t="n">
        <f aca="false">IF(ISNUMBER(L196),E196+F196+G196+AA196+AB196+AC196,0)</f>
        <v>0</v>
      </c>
      <c r="AO196" s="60" t="n">
        <f aca="false">P196*COMISION</f>
        <v>0</v>
      </c>
      <c r="AP196" s="58" t="n">
        <f aca="false">MIN(N(K196),Q196)</f>
        <v>0</v>
      </c>
      <c r="AQ196" s="61" t="n">
        <f aca="false">IF(Q196&gt;0,((Q196-AP196)*AT196+AP196*TASA_INC)/Q196,AT196)</f>
        <v>0.659887072235414</v>
      </c>
      <c r="AR196" s="58" t="n">
        <f aca="false">IF($A196&lt;FECHA_EXPORT,NETWORKDAYS($A196+1,FECHA_EXPORT,FESTIVOS),0)</f>
        <v>0</v>
      </c>
      <c r="AS196" s="61" t="n">
        <f aca="false">IF(AR196&gt;=5,1,INDEX(CDF_INC,1,AR196+1))</f>
        <v>0.14</v>
      </c>
      <c r="AT196" s="61" t="n">
        <f aca="false">TASA_USADA+(TASA_INC-TASA_USADA)*Q_INC*(1-AS196)/(1-Q_INC*AS196)</f>
        <v>0.659887072235414</v>
      </c>
    </row>
    <row r="197" customFormat="false" ht="15" hidden="false" customHeight="false" outlineLevel="0" collapsed="false">
      <c r="A197" s="53" t="n">
        <v>46491</v>
      </c>
      <c r="B197" s="54"/>
      <c r="C197" s="54"/>
      <c r="D197" s="54"/>
      <c r="E197" s="54"/>
      <c r="F197" s="54"/>
      <c r="G197" s="54"/>
      <c r="H197" s="54"/>
      <c r="I197" s="54"/>
      <c r="J197" s="54"/>
      <c r="K197" s="54"/>
      <c r="L197" s="55"/>
      <c r="M197" s="55"/>
      <c r="N197" s="55"/>
      <c r="O197" s="56"/>
      <c r="P197" s="31" t="n">
        <f aca="false">B197+C197+D197</f>
        <v>0</v>
      </c>
      <c r="Q197" s="31" t="n">
        <f aca="false">AA197+AB197+AC197</f>
        <v>0</v>
      </c>
      <c r="R197" s="32" t="n">
        <f aca="false">B197*P1_PVP+C197*P2_PVP+D197*IF($A197&lt;P3_DESDE,P3A_PVP,P3_PVP)</f>
        <v>0</v>
      </c>
      <c r="S197" s="32" t="str">
        <f aca="false">IF(P197&gt;0,R197/P197,"")</f>
        <v/>
      </c>
      <c r="T197" s="32" t="str">
        <f aca="false">IF(P197&gt;0,N197/P197,"")</f>
        <v/>
      </c>
      <c r="U197" s="57" t="str">
        <f aca="false">IF(N197&gt;0,R197/N197,"")</f>
        <v/>
      </c>
      <c r="V197" s="34" t="str">
        <f aca="false">IF(E197+F197+G197+H197+I197+J197&gt;0,(E197+F197+G197)/(E197+F197+G197+H197+I197+J197),"")</f>
        <v/>
      </c>
      <c r="W197" s="33" t="n">
        <f aca="false">E197*(P1_PVP-P1_CPROD)+F197*(P2_PVP-P2_CPROD)+G197*(IF($A197&lt;P3_DESDE,P3A_PVP,P3_PVP)-IF($A197&lt;P3_DESDE,P3A_CPROD,P3_CPROD))-IF(ISNUMBER(L197),L197,E197*P1_LOG+F197*P2_LOG+G197*P3_LOG)</f>
        <v>0</v>
      </c>
      <c r="X197" s="33" t="n">
        <f aca="false">W197-(E197*P1_IVAN+F197*P2_IVAN+G197*IF($A197&lt;P3_DESDE,P3A_IVAN,P3_IVAN))-(H197+I197+J197)*(COSTE_DEV-IVA_DEV)-AM197-AO197</f>
        <v>0</v>
      </c>
      <c r="Y197" s="33" t="n">
        <f aca="false">AH197-AI197-AJ197-AK197-AL197-AM197-AO197</f>
        <v>0</v>
      </c>
      <c r="AA197" s="58" t="n">
        <f aca="false">MAX(0,B197-E197-H197)</f>
        <v>0</v>
      </c>
      <c r="AB197" s="58" t="n">
        <f aca="false">MAX(0,C197-F197-I197)</f>
        <v>0</v>
      </c>
      <c r="AC197" s="58" t="n">
        <f aca="false">MAX(0,D197-G197-J197)</f>
        <v>0</v>
      </c>
      <c r="AD197" s="59" t="n">
        <f aca="false">E197+AA197*AQ197</f>
        <v>0</v>
      </c>
      <c r="AE197" s="59" t="n">
        <f aca="false">F197+AB197*AQ197</f>
        <v>0</v>
      </c>
      <c r="AF197" s="59" t="n">
        <f aca="false">G197+AC197*AQ197</f>
        <v>0</v>
      </c>
      <c r="AG197" s="59" t="n">
        <f aca="false">H197+I197+J197+(AA197+AB197+AC197)*(1-AQ197)</f>
        <v>0</v>
      </c>
      <c r="AH197" s="60" t="n">
        <f aca="false">AD197*P1_PVP+AE197*P2_PVP+AF197*IF($A197&lt;P3_DESDE,P3A_PVP,P3_PVP)</f>
        <v>0</v>
      </c>
      <c r="AI197" s="60" t="n">
        <f aca="false">AD197*P1_CPROD+AE197*P2_CPROD+AF197*IF($A197&lt;P3_DESDE,P3A_CPROD,P3_CPROD)</f>
        <v>0</v>
      </c>
      <c r="AJ197" s="60" t="n">
        <f aca="false">IF(ISNUMBER(L197),L197,E197*P1_LOG+F197*P2_LOG+G197*P3_LOG)+IF(ISNUMBER(M197),M197,AA197*P1_LOG+AB197*P2_LOG+AC197*P3_LOG)*AQ197</f>
        <v>0</v>
      </c>
      <c r="AK197" s="60" t="n">
        <f aca="false">AG197*COSTE_DEV</f>
        <v>0</v>
      </c>
      <c r="AL197" s="60" t="n">
        <f aca="false">AD197*P1_IVAN+AE197*P2_IVAN+AF197*IF($A197&lt;P3_DESDE,P3A_IVAN,P3_IVAN)-AG197*IVA_DEV</f>
        <v>0</v>
      </c>
      <c r="AM197" s="60" t="n">
        <f aca="false">N197*(1+RECARGO_ADS)</f>
        <v>0</v>
      </c>
      <c r="AN197" s="58" t="n">
        <f aca="false">IF(ISNUMBER(L197),E197+F197+G197+AA197+AB197+AC197,0)</f>
        <v>0</v>
      </c>
      <c r="AO197" s="60" t="n">
        <f aca="false">P197*COMISION</f>
        <v>0</v>
      </c>
      <c r="AP197" s="58" t="n">
        <f aca="false">MIN(N(K197),Q197)</f>
        <v>0</v>
      </c>
      <c r="AQ197" s="61" t="n">
        <f aca="false">IF(Q197&gt;0,((Q197-AP197)*AT197+AP197*TASA_INC)/Q197,AT197)</f>
        <v>0.659887072235414</v>
      </c>
      <c r="AR197" s="58" t="n">
        <f aca="false">IF($A197&lt;FECHA_EXPORT,NETWORKDAYS($A197+1,FECHA_EXPORT,FESTIVOS),0)</f>
        <v>0</v>
      </c>
      <c r="AS197" s="61" t="n">
        <f aca="false">IF(AR197&gt;=5,1,INDEX(CDF_INC,1,AR197+1))</f>
        <v>0.14</v>
      </c>
      <c r="AT197" s="61" t="n">
        <f aca="false">TASA_USADA+(TASA_INC-TASA_USADA)*Q_INC*(1-AS197)/(1-Q_INC*AS197)</f>
        <v>0.659887072235414</v>
      </c>
    </row>
    <row r="198" customFormat="false" ht="15" hidden="false" customHeight="false" outlineLevel="0" collapsed="false">
      <c r="A198" s="53" t="n">
        <v>46492</v>
      </c>
      <c r="B198" s="54"/>
      <c r="C198" s="54"/>
      <c r="D198" s="54"/>
      <c r="E198" s="54"/>
      <c r="F198" s="54"/>
      <c r="G198" s="54"/>
      <c r="H198" s="54"/>
      <c r="I198" s="54"/>
      <c r="J198" s="54"/>
      <c r="K198" s="54"/>
      <c r="L198" s="55"/>
      <c r="M198" s="55"/>
      <c r="N198" s="55"/>
      <c r="O198" s="56"/>
      <c r="P198" s="31" t="n">
        <f aca="false">B198+C198+D198</f>
        <v>0</v>
      </c>
      <c r="Q198" s="31" t="n">
        <f aca="false">AA198+AB198+AC198</f>
        <v>0</v>
      </c>
      <c r="R198" s="32" t="n">
        <f aca="false">B198*P1_PVP+C198*P2_PVP+D198*IF($A198&lt;P3_DESDE,P3A_PVP,P3_PVP)</f>
        <v>0</v>
      </c>
      <c r="S198" s="32" t="str">
        <f aca="false">IF(P198&gt;0,R198/P198,"")</f>
        <v/>
      </c>
      <c r="T198" s="32" t="str">
        <f aca="false">IF(P198&gt;0,N198/P198,"")</f>
        <v/>
      </c>
      <c r="U198" s="57" t="str">
        <f aca="false">IF(N198&gt;0,R198/N198,"")</f>
        <v/>
      </c>
      <c r="V198" s="34" t="str">
        <f aca="false">IF(E198+F198+G198+H198+I198+J198&gt;0,(E198+F198+G198)/(E198+F198+G198+H198+I198+J198),"")</f>
        <v/>
      </c>
      <c r="W198" s="33" t="n">
        <f aca="false">E198*(P1_PVP-P1_CPROD)+F198*(P2_PVP-P2_CPROD)+G198*(IF($A198&lt;P3_DESDE,P3A_PVP,P3_PVP)-IF($A198&lt;P3_DESDE,P3A_CPROD,P3_CPROD))-IF(ISNUMBER(L198),L198,E198*P1_LOG+F198*P2_LOG+G198*P3_LOG)</f>
        <v>0</v>
      </c>
      <c r="X198" s="33" t="n">
        <f aca="false">W198-(E198*P1_IVAN+F198*P2_IVAN+G198*IF($A198&lt;P3_DESDE,P3A_IVAN,P3_IVAN))-(H198+I198+J198)*(COSTE_DEV-IVA_DEV)-AM198-AO198</f>
        <v>0</v>
      </c>
      <c r="Y198" s="33" t="n">
        <f aca="false">AH198-AI198-AJ198-AK198-AL198-AM198-AO198</f>
        <v>0</v>
      </c>
      <c r="AA198" s="58" t="n">
        <f aca="false">MAX(0,B198-E198-H198)</f>
        <v>0</v>
      </c>
      <c r="AB198" s="58" t="n">
        <f aca="false">MAX(0,C198-F198-I198)</f>
        <v>0</v>
      </c>
      <c r="AC198" s="58" t="n">
        <f aca="false">MAX(0,D198-G198-J198)</f>
        <v>0</v>
      </c>
      <c r="AD198" s="59" t="n">
        <f aca="false">E198+AA198*AQ198</f>
        <v>0</v>
      </c>
      <c r="AE198" s="59" t="n">
        <f aca="false">F198+AB198*AQ198</f>
        <v>0</v>
      </c>
      <c r="AF198" s="59" t="n">
        <f aca="false">G198+AC198*AQ198</f>
        <v>0</v>
      </c>
      <c r="AG198" s="59" t="n">
        <f aca="false">H198+I198+J198+(AA198+AB198+AC198)*(1-AQ198)</f>
        <v>0</v>
      </c>
      <c r="AH198" s="60" t="n">
        <f aca="false">AD198*P1_PVP+AE198*P2_PVP+AF198*IF($A198&lt;P3_DESDE,P3A_PVP,P3_PVP)</f>
        <v>0</v>
      </c>
      <c r="AI198" s="60" t="n">
        <f aca="false">AD198*P1_CPROD+AE198*P2_CPROD+AF198*IF($A198&lt;P3_DESDE,P3A_CPROD,P3_CPROD)</f>
        <v>0</v>
      </c>
      <c r="AJ198" s="60" t="n">
        <f aca="false">IF(ISNUMBER(L198),L198,E198*P1_LOG+F198*P2_LOG+G198*P3_LOG)+IF(ISNUMBER(M198),M198,AA198*P1_LOG+AB198*P2_LOG+AC198*P3_LOG)*AQ198</f>
        <v>0</v>
      </c>
      <c r="AK198" s="60" t="n">
        <f aca="false">AG198*COSTE_DEV</f>
        <v>0</v>
      </c>
      <c r="AL198" s="60" t="n">
        <f aca="false">AD198*P1_IVAN+AE198*P2_IVAN+AF198*IF($A198&lt;P3_DESDE,P3A_IVAN,P3_IVAN)-AG198*IVA_DEV</f>
        <v>0</v>
      </c>
      <c r="AM198" s="60" t="n">
        <f aca="false">N198*(1+RECARGO_ADS)</f>
        <v>0</v>
      </c>
      <c r="AN198" s="58" t="n">
        <f aca="false">IF(ISNUMBER(L198),E198+F198+G198+AA198+AB198+AC198,0)</f>
        <v>0</v>
      </c>
      <c r="AO198" s="60" t="n">
        <f aca="false">P198*COMISION</f>
        <v>0</v>
      </c>
      <c r="AP198" s="58" t="n">
        <f aca="false">MIN(N(K198),Q198)</f>
        <v>0</v>
      </c>
      <c r="AQ198" s="61" t="n">
        <f aca="false">IF(Q198&gt;0,((Q198-AP198)*AT198+AP198*TASA_INC)/Q198,AT198)</f>
        <v>0.659887072235414</v>
      </c>
      <c r="AR198" s="58" t="n">
        <f aca="false">IF($A198&lt;FECHA_EXPORT,NETWORKDAYS($A198+1,FECHA_EXPORT,FESTIVOS),0)</f>
        <v>0</v>
      </c>
      <c r="AS198" s="61" t="n">
        <f aca="false">IF(AR198&gt;=5,1,INDEX(CDF_INC,1,AR198+1))</f>
        <v>0.14</v>
      </c>
      <c r="AT198" s="61" t="n">
        <f aca="false">TASA_USADA+(TASA_INC-TASA_USADA)*Q_INC*(1-AS198)/(1-Q_INC*AS198)</f>
        <v>0.659887072235414</v>
      </c>
    </row>
    <row r="199" customFormat="false" ht="15" hidden="false" customHeight="false" outlineLevel="0" collapsed="false">
      <c r="A199" s="53" t="n">
        <v>46493</v>
      </c>
      <c r="B199" s="54"/>
      <c r="C199" s="54"/>
      <c r="D199" s="54"/>
      <c r="E199" s="54"/>
      <c r="F199" s="54"/>
      <c r="G199" s="54"/>
      <c r="H199" s="54"/>
      <c r="I199" s="54"/>
      <c r="J199" s="54"/>
      <c r="K199" s="54"/>
      <c r="L199" s="55"/>
      <c r="M199" s="55"/>
      <c r="N199" s="55"/>
      <c r="O199" s="56"/>
      <c r="P199" s="31" t="n">
        <f aca="false">B199+C199+D199</f>
        <v>0</v>
      </c>
      <c r="Q199" s="31" t="n">
        <f aca="false">AA199+AB199+AC199</f>
        <v>0</v>
      </c>
      <c r="R199" s="32" t="n">
        <f aca="false">B199*P1_PVP+C199*P2_PVP+D199*IF($A199&lt;P3_DESDE,P3A_PVP,P3_PVP)</f>
        <v>0</v>
      </c>
      <c r="S199" s="32" t="str">
        <f aca="false">IF(P199&gt;0,R199/P199,"")</f>
        <v/>
      </c>
      <c r="T199" s="32" t="str">
        <f aca="false">IF(P199&gt;0,N199/P199,"")</f>
        <v/>
      </c>
      <c r="U199" s="57" t="str">
        <f aca="false">IF(N199&gt;0,R199/N199,"")</f>
        <v/>
      </c>
      <c r="V199" s="34" t="str">
        <f aca="false">IF(E199+F199+G199+H199+I199+J199&gt;0,(E199+F199+G199)/(E199+F199+G199+H199+I199+J199),"")</f>
        <v/>
      </c>
      <c r="W199" s="33" t="n">
        <f aca="false">E199*(P1_PVP-P1_CPROD)+F199*(P2_PVP-P2_CPROD)+G199*(IF($A199&lt;P3_DESDE,P3A_PVP,P3_PVP)-IF($A199&lt;P3_DESDE,P3A_CPROD,P3_CPROD))-IF(ISNUMBER(L199),L199,E199*P1_LOG+F199*P2_LOG+G199*P3_LOG)</f>
        <v>0</v>
      </c>
      <c r="X199" s="33" t="n">
        <f aca="false">W199-(E199*P1_IVAN+F199*P2_IVAN+G199*IF($A199&lt;P3_DESDE,P3A_IVAN,P3_IVAN))-(H199+I199+J199)*(COSTE_DEV-IVA_DEV)-AM199-AO199</f>
        <v>0</v>
      </c>
      <c r="Y199" s="33" t="n">
        <f aca="false">AH199-AI199-AJ199-AK199-AL199-AM199-AO199</f>
        <v>0</v>
      </c>
      <c r="AA199" s="58" t="n">
        <f aca="false">MAX(0,B199-E199-H199)</f>
        <v>0</v>
      </c>
      <c r="AB199" s="58" t="n">
        <f aca="false">MAX(0,C199-F199-I199)</f>
        <v>0</v>
      </c>
      <c r="AC199" s="58" t="n">
        <f aca="false">MAX(0,D199-G199-J199)</f>
        <v>0</v>
      </c>
      <c r="AD199" s="59" t="n">
        <f aca="false">E199+AA199*AQ199</f>
        <v>0</v>
      </c>
      <c r="AE199" s="59" t="n">
        <f aca="false">F199+AB199*AQ199</f>
        <v>0</v>
      </c>
      <c r="AF199" s="59" t="n">
        <f aca="false">G199+AC199*AQ199</f>
        <v>0</v>
      </c>
      <c r="AG199" s="59" t="n">
        <f aca="false">H199+I199+J199+(AA199+AB199+AC199)*(1-AQ199)</f>
        <v>0</v>
      </c>
      <c r="AH199" s="60" t="n">
        <f aca="false">AD199*P1_PVP+AE199*P2_PVP+AF199*IF($A199&lt;P3_DESDE,P3A_PVP,P3_PVP)</f>
        <v>0</v>
      </c>
      <c r="AI199" s="60" t="n">
        <f aca="false">AD199*P1_CPROD+AE199*P2_CPROD+AF199*IF($A199&lt;P3_DESDE,P3A_CPROD,P3_CPROD)</f>
        <v>0</v>
      </c>
      <c r="AJ199" s="60" t="n">
        <f aca="false">IF(ISNUMBER(L199),L199,E199*P1_LOG+F199*P2_LOG+G199*P3_LOG)+IF(ISNUMBER(M199),M199,AA199*P1_LOG+AB199*P2_LOG+AC199*P3_LOG)*AQ199</f>
        <v>0</v>
      </c>
      <c r="AK199" s="60" t="n">
        <f aca="false">AG199*COSTE_DEV</f>
        <v>0</v>
      </c>
      <c r="AL199" s="60" t="n">
        <f aca="false">AD199*P1_IVAN+AE199*P2_IVAN+AF199*IF($A199&lt;P3_DESDE,P3A_IVAN,P3_IVAN)-AG199*IVA_DEV</f>
        <v>0</v>
      </c>
      <c r="AM199" s="60" t="n">
        <f aca="false">N199*(1+RECARGO_ADS)</f>
        <v>0</v>
      </c>
      <c r="AN199" s="58" t="n">
        <f aca="false">IF(ISNUMBER(L199),E199+F199+G199+AA199+AB199+AC199,0)</f>
        <v>0</v>
      </c>
      <c r="AO199" s="60" t="n">
        <f aca="false">P199*COMISION</f>
        <v>0</v>
      </c>
      <c r="AP199" s="58" t="n">
        <f aca="false">MIN(N(K199),Q199)</f>
        <v>0</v>
      </c>
      <c r="AQ199" s="61" t="n">
        <f aca="false">IF(Q199&gt;0,((Q199-AP199)*AT199+AP199*TASA_INC)/Q199,AT199)</f>
        <v>0.659887072235414</v>
      </c>
      <c r="AR199" s="58" t="n">
        <f aca="false">IF($A199&lt;FECHA_EXPORT,NETWORKDAYS($A199+1,FECHA_EXPORT,FESTIVOS),0)</f>
        <v>0</v>
      </c>
      <c r="AS199" s="61" t="n">
        <f aca="false">IF(AR199&gt;=5,1,INDEX(CDF_INC,1,AR199+1))</f>
        <v>0.14</v>
      </c>
      <c r="AT199" s="61" t="n">
        <f aca="false">TASA_USADA+(TASA_INC-TASA_USADA)*Q_INC*(1-AS199)/(1-Q_INC*AS199)</f>
        <v>0.659887072235414</v>
      </c>
    </row>
    <row r="200" customFormat="false" ht="15" hidden="false" customHeight="false" outlineLevel="0" collapsed="false">
      <c r="A200" s="53" t="n">
        <v>46494</v>
      </c>
      <c r="B200" s="54"/>
      <c r="C200" s="54"/>
      <c r="D200" s="54"/>
      <c r="E200" s="54"/>
      <c r="F200" s="54"/>
      <c r="G200" s="54"/>
      <c r="H200" s="54"/>
      <c r="I200" s="54"/>
      <c r="J200" s="54"/>
      <c r="K200" s="54"/>
      <c r="L200" s="55"/>
      <c r="M200" s="55"/>
      <c r="N200" s="55"/>
      <c r="O200" s="56"/>
      <c r="P200" s="31" t="n">
        <f aca="false">B200+C200+D200</f>
        <v>0</v>
      </c>
      <c r="Q200" s="31" t="n">
        <f aca="false">AA200+AB200+AC200</f>
        <v>0</v>
      </c>
      <c r="R200" s="32" t="n">
        <f aca="false">B200*P1_PVP+C200*P2_PVP+D200*IF($A200&lt;P3_DESDE,P3A_PVP,P3_PVP)</f>
        <v>0</v>
      </c>
      <c r="S200" s="32" t="str">
        <f aca="false">IF(P200&gt;0,R200/P200,"")</f>
        <v/>
      </c>
      <c r="T200" s="32" t="str">
        <f aca="false">IF(P200&gt;0,N200/P200,"")</f>
        <v/>
      </c>
      <c r="U200" s="57" t="str">
        <f aca="false">IF(N200&gt;0,R200/N200,"")</f>
        <v/>
      </c>
      <c r="V200" s="34" t="str">
        <f aca="false">IF(E200+F200+G200+H200+I200+J200&gt;0,(E200+F200+G200)/(E200+F200+G200+H200+I200+J200),"")</f>
        <v/>
      </c>
      <c r="W200" s="33" t="n">
        <f aca="false">E200*(P1_PVP-P1_CPROD)+F200*(P2_PVP-P2_CPROD)+G200*(IF($A200&lt;P3_DESDE,P3A_PVP,P3_PVP)-IF($A200&lt;P3_DESDE,P3A_CPROD,P3_CPROD))-IF(ISNUMBER(L200),L200,E200*P1_LOG+F200*P2_LOG+G200*P3_LOG)</f>
        <v>0</v>
      </c>
      <c r="X200" s="33" t="n">
        <f aca="false">W200-(E200*P1_IVAN+F200*P2_IVAN+G200*IF($A200&lt;P3_DESDE,P3A_IVAN,P3_IVAN))-(H200+I200+J200)*(COSTE_DEV-IVA_DEV)-AM200-AO200</f>
        <v>0</v>
      </c>
      <c r="Y200" s="33" t="n">
        <f aca="false">AH200-AI200-AJ200-AK200-AL200-AM200-AO200</f>
        <v>0</v>
      </c>
      <c r="AA200" s="58" t="n">
        <f aca="false">MAX(0,B200-E200-H200)</f>
        <v>0</v>
      </c>
      <c r="AB200" s="58" t="n">
        <f aca="false">MAX(0,C200-F200-I200)</f>
        <v>0</v>
      </c>
      <c r="AC200" s="58" t="n">
        <f aca="false">MAX(0,D200-G200-J200)</f>
        <v>0</v>
      </c>
      <c r="AD200" s="59" t="n">
        <f aca="false">E200+AA200*AQ200</f>
        <v>0</v>
      </c>
      <c r="AE200" s="59" t="n">
        <f aca="false">F200+AB200*AQ200</f>
        <v>0</v>
      </c>
      <c r="AF200" s="59" t="n">
        <f aca="false">G200+AC200*AQ200</f>
        <v>0</v>
      </c>
      <c r="AG200" s="59" t="n">
        <f aca="false">H200+I200+J200+(AA200+AB200+AC200)*(1-AQ200)</f>
        <v>0</v>
      </c>
      <c r="AH200" s="60" t="n">
        <f aca="false">AD200*P1_PVP+AE200*P2_PVP+AF200*IF($A200&lt;P3_DESDE,P3A_PVP,P3_PVP)</f>
        <v>0</v>
      </c>
      <c r="AI200" s="60" t="n">
        <f aca="false">AD200*P1_CPROD+AE200*P2_CPROD+AF200*IF($A200&lt;P3_DESDE,P3A_CPROD,P3_CPROD)</f>
        <v>0</v>
      </c>
      <c r="AJ200" s="60" t="n">
        <f aca="false">IF(ISNUMBER(L200),L200,E200*P1_LOG+F200*P2_LOG+G200*P3_LOG)+IF(ISNUMBER(M200),M200,AA200*P1_LOG+AB200*P2_LOG+AC200*P3_LOG)*AQ200</f>
        <v>0</v>
      </c>
      <c r="AK200" s="60" t="n">
        <f aca="false">AG200*COSTE_DEV</f>
        <v>0</v>
      </c>
      <c r="AL200" s="60" t="n">
        <f aca="false">AD200*P1_IVAN+AE200*P2_IVAN+AF200*IF($A200&lt;P3_DESDE,P3A_IVAN,P3_IVAN)-AG200*IVA_DEV</f>
        <v>0</v>
      </c>
      <c r="AM200" s="60" t="n">
        <f aca="false">N200*(1+RECARGO_ADS)</f>
        <v>0</v>
      </c>
      <c r="AN200" s="58" t="n">
        <f aca="false">IF(ISNUMBER(L200),E200+F200+G200+AA200+AB200+AC200,0)</f>
        <v>0</v>
      </c>
      <c r="AO200" s="60" t="n">
        <f aca="false">P200*COMISION</f>
        <v>0</v>
      </c>
      <c r="AP200" s="58" t="n">
        <f aca="false">MIN(N(K200),Q200)</f>
        <v>0</v>
      </c>
      <c r="AQ200" s="61" t="n">
        <f aca="false">IF(Q200&gt;0,((Q200-AP200)*AT200+AP200*TASA_INC)/Q200,AT200)</f>
        <v>0.659887072235414</v>
      </c>
      <c r="AR200" s="58" t="n">
        <f aca="false">IF($A200&lt;FECHA_EXPORT,NETWORKDAYS($A200+1,FECHA_EXPORT,FESTIVOS),0)</f>
        <v>0</v>
      </c>
      <c r="AS200" s="61" t="n">
        <f aca="false">IF(AR200&gt;=5,1,INDEX(CDF_INC,1,AR200+1))</f>
        <v>0.14</v>
      </c>
      <c r="AT200" s="61" t="n">
        <f aca="false">TASA_USADA+(TASA_INC-TASA_USADA)*Q_INC*(1-AS200)/(1-Q_INC*AS200)</f>
        <v>0.659887072235414</v>
      </c>
    </row>
    <row r="201" customFormat="false" ht="15" hidden="false" customHeight="false" outlineLevel="0" collapsed="false">
      <c r="A201" s="53" t="n">
        <v>46495</v>
      </c>
      <c r="B201" s="54"/>
      <c r="C201" s="54"/>
      <c r="D201" s="54"/>
      <c r="E201" s="54"/>
      <c r="F201" s="54"/>
      <c r="G201" s="54"/>
      <c r="H201" s="54"/>
      <c r="I201" s="54"/>
      <c r="J201" s="54"/>
      <c r="K201" s="54"/>
      <c r="L201" s="55"/>
      <c r="M201" s="55"/>
      <c r="N201" s="55"/>
      <c r="O201" s="56"/>
      <c r="P201" s="31" t="n">
        <f aca="false">B201+C201+D201</f>
        <v>0</v>
      </c>
      <c r="Q201" s="31" t="n">
        <f aca="false">AA201+AB201+AC201</f>
        <v>0</v>
      </c>
      <c r="R201" s="32" t="n">
        <f aca="false">B201*P1_PVP+C201*P2_PVP+D201*IF($A201&lt;P3_DESDE,P3A_PVP,P3_PVP)</f>
        <v>0</v>
      </c>
      <c r="S201" s="32" t="str">
        <f aca="false">IF(P201&gt;0,R201/P201,"")</f>
        <v/>
      </c>
      <c r="T201" s="32" t="str">
        <f aca="false">IF(P201&gt;0,N201/P201,"")</f>
        <v/>
      </c>
      <c r="U201" s="57" t="str">
        <f aca="false">IF(N201&gt;0,R201/N201,"")</f>
        <v/>
      </c>
      <c r="V201" s="34" t="str">
        <f aca="false">IF(E201+F201+G201+H201+I201+J201&gt;0,(E201+F201+G201)/(E201+F201+G201+H201+I201+J201),"")</f>
        <v/>
      </c>
      <c r="W201" s="33" t="n">
        <f aca="false">E201*(P1_PVP-P1_CPROD)+F201*(P2_PVP-P2_CPROD)+G201*(IF($A201&lt;P3_DESDE,P3A_PVP,P3_PVP)-IF($A201&lt;P3_DESDE,P3A_CPROD,P3_CPROD))-IF(ISNUMBER(L201),L201,E201*P1_LOG+F201*P2_LOG+G201*P3_LOG)</f>
        <v>0</v>
      </c>
      <c r="X201" s="33" t="n">
        <f aca="false">W201-(E201*P1_IVAN+F201*P2_IVAN+G201*IF($A201&lt;P3_DESDE,P3A_IVAN,P3_IVAN))-(H201+I201+J201)*(COSTE_DEV-IVA_DEV)-AM201-AO201</f>
        <v>0</v>
      </c>
      <c r="Y201" s="33" t="n">
        <f aca="false">AH201-AI201-AJ201-AK201-AL201-AM201-AO201</f>
        <v>0</v>
      </c>
      <c r="AA201" s="58" t="n">
        <f aca="false">MAX(0,B201-E201-H201)</f>
        <v>0</v>
      </c>
      <c r="AB201" s="58" t="n">
        <f aca="false">MAX(0,C201-F201-I201)</f>
        <v>0</v>
      </c>
      <c r="AC201" s="58" t="n">
        <f aca="false">MAX(0,D201-G201-J201)</f>
        <v>0</v>
      </c>
      <c r="AD201" s="59" t="n">
        <f aca="false">E201+AA201*AQ201</f>
        <v>0</v>
      </c>
      <c r="AE201" s="59" t="n">
        <f aca="false">F201+AB201*AQ201</f>
        <v>0</v>
      </c>
      <c r="AF201" s="59" t="n">
        <f aca="false">G201+AC201*AQ201</f>
        <v>0</v>
      </c>
      <c r="AG201" s="59" t="n">
        <f aca="false">H201+I201+J201+(AA201+AB201+AC201)*(1-AQ201)</f>
        <v>0</v>
      </c>
      <c r="AH201" s="60" t="n">
        <f aca="false">AD201*P1_PVP+AE201*P2_PVP+AF201*IF($A201&lt;P3_DESDE,P3A_PVP,P3_PVP)</f>
        <v>0</v>
      </c>
      <c r="AI201" s="60" t="n">
        <f aca="false">AD201*P1_CPROD+AE201*P2_CPROD+AF201*IF($A201&lt;P3_DESDE,P3A_CPROD,P3_CPROD)</f>
        <v>0</v>
      </c>
      <c r="AJ201" s="60" t="n">
        <f aca="false">IF(ISNUMBER(L201),L201,E201*P1_LOG+F201*P2_LOG+G201*P3_LOG)+IF(ISNUMBER(M201),M201,AA201*P1_LOG+AB201*P2_LOG+AC201*P3_LOG)*AQ201</f>
        <v>0</v>
      </c>
      <c r="AK201" s="60" t="n">
        <f aca="false">AG201*COSTE_DEV</f>
        <v>0</v>
      </c>
      <c r="AL201" s="60" t="n">
        <f aca="false">AD201*P1_IVAN+AE201*P2_IVAN+AF201*IF($A201&lt;P3_DESDE,P3A_IVAN,P3_IVAN)-AG201*IVA_DEV</f>
        <v>0</v>
      </c>
      <c r="AM201" s="60" t="n">
        <f aca="false">N201*(1+RECARGO_ADS)</f>
        <v>0</v>
      </c>
      <c r="AN201" s="58" t="n">
        <f aca="false">IF(ISNUMBER(L201),E201+F201+G201+AA201+AB201+AC201,0)</f>
        <v>0</v>
      </c>
      <c r="AO201" s="60" t="n">
        <f aca="false">P201*COMISION</f>
        <v>0</v>
      </c>
      <c r="AP201" s="58" t="n">
        <f aca="false">MIN(N(K201),Q201)</f>
        <v>0</v>
      </c>
      <c r="AQ201" s="61" t="n">
        <f aca="false">IF(Q201&gt;0,((Q201-AP201)*AT201+AP201*TASA_INC)/Q201,AT201)</f>
        <v>0.659887072235414</v>
      </c>
      <c r="AR201" s="58" t="n">
        <f aca="false">IF($A201&lt;FECHA_EXPORT,NETWORKDAYS($A201+1,FECHA_EXPORT,FESTIVOS),0)</f>
        <v>0</v>
      </c>
      <c r="AS201" s="61" t="n">
        <f aca="false">IF(AR201&gt;=5,1,INDEX(CDF_INC,1,AR201+1))</f>
        <v>0.14</v>
      </c>
      <c r="AT201" s="61" t="n">
        <f aca="false">TASA_USADA+(TASA_INC-TASA_USADA)*Q_INC*(1-AS201)/(1-Q_INC*AS201)</f>
        <v>0.659887072235414</v>
      </c>
    </row>
    <row r="202" customFormat="false" ht="15" hidden="false" customHeight="false" outlineLevel="0" collapsed="false">
      <c r="A202" s="53" t="n">
        <v>46496</v>
      </c>
      <c r="B202" s="54"/>
      <c r="C202" s="54"/>
      <c r="D202" s="54"/>
      <c r="E202" s="54"/>
      <c r="F202" s="54"/>
      <c r="G202" s="54"/>
      <c r="H202" s="54"/>
      <c r="I202" s="54"/>
      <c r="J202" s="54"/>
      <c r="K202" s="54"/>
      <c r="L202" s="55"/>
      <c r="M202" s="55"/>
      <c r="N202" s="55"/>
      <c r="O202" s="56"/>
      <c r="P202" s="31" t="n">
        <f aca="false">B202+C202+D202</f>
        <v>0</v>
      </c>
      <c r="Q202" s="31" t="n">
        <f aca="false">AA202+AB202+AC202</f>
        <v>0</v>
      </c>
      <c r="R202" s="32" t="n">
        <f aca="false">B202*P1_PVP+C202*P2_PVP+D202*IF($A202&lt;P3_DESDE,P3A_PVP,P3_PVP)</f>
        <v>0</v>
      </c>
      <c r="S202" s="32" t="str">
        <f aca="false">IF(P202&gt;0,R202/P202,"")</f>
        <v/>
      </c>
      <c r="T202" s="32" t="str">
        <f aca="false">IF(P202&gt;0,N202/P202,"")</f>
        <v/>
      </c>
      <c r="U202" s="57" t="str">
        <f aca="false">IF(N202&gt;0,R202/N202,"")</f>
        <v/>
      </c>
      <c r="V202" s="34" t="str">
        <f aca="false">IF(E202+F202+G202+H202+I202+J202&gt;0,(E202+F202+G202)/(E202+F202+G202+H202+I202+J202),"")</f>
        <v/>
      </c>
      <c r="W202" s="33" t="n">
        <f aca="false">E202*(P1_PVP-P1_CPROD)+F202*(P2_PVP-P2_CPROD)+G202*(IF($A202&lt;P3_DESDE,P3A_PVP,P3_PVP)-IF($A202&lt;P3_DESDE,P3A_CPROD,P3_CPROD))-IF(ISNUMBER(L202),L202,E202*P1_LOG+F202*P2_LOG+G202*P3_LOG)</f>
        <v>0</v>
      </c>
      <c r="X202" s="33" t="n">
        <f aca="false">W202-(E202*P1_IVAN+F202*P2_IVAN+G202*IF($A202&lt;P3_DESDE,P3A_IVAN,P3_IVAN))-(H202+I202+J202)*(COSTE_DEV-IVA_DEV)-AM202-AO202</f>
        <v>0</v>
      </c>
      <c r="Y202" s="33" t="n">
        <f aca="false">AH202-AI202-AJ202-AK202-AL202-AM202-AO202</f>
        <v>0</v>
      </c>
      <c r="AA202" s="58" t="n">
        <f aca="false">MAX(0,B202-E202-H202)</f>
        <v>0</v>
      </c>
      <c r="AB202" s="58" t="n">
        <f aca="false">MAX(0,C202-F202-I202)</f>
        <v>0</v>
      </c>
      <c r="AC202" s="58" t="n">
        <f aca="false">MAX(0,D202-G202-J202)</f>
        <v>0</v>
      </c>
      <c r="AD202" s="59" t="n">
        <f aca="false">E202+AA202*AQ202</f>
        <v>0</v>
      </c>
      <c r="AE202" s="59" t="n">
        <f aca="false">F202+AB202*AQ202</f>
        <v>0</v>
      </c>
      <c r="AF202" s="59" t="n">
        <f aca="false">G202+AC202*AQ202</f>
        <v>0</v>
      </c>
      <c r="AG202" s="59" t="n">
        <f aca="false">H202+I202+J202+(AA202+AB202+AC202)*(1-AQ202)</f>
        <v>0</v>
      </c>
      <c r="AH202" s="60" t="n">
        <f aca="false">AD202*P1_PVP+AE202*P2_PVP+AF202*IF($A202&lt;P3_DESDE,P3A_PVP,P3_PVP)</f>
        <v>0</v>
      </c>
      <c r="AI202" s="60" t="n">
        <f aca="false">AD202*P1_CPROD+AE202*P2_CPROD+AF202*IF($A202&lt;P3_DESDE,P3A_CPROD,P3_CPROD)</f>
        <v>0</v>
      </c>
      <c r="AJ202" s="60" t="n">
        <f aca="false">IF(ISNUMBER(L202),L202,E202*P1_LOG+F202*P2_LOG+G202*P3_LOG)+IF(ISNUMBER(M202),M202,AA202*P1_LOG+AB202*P2_LOG+AC202*P3_LOG)*AQ202</f>
        <v>0</v>
      </c>
      <c r="AK202" s="60" t="n">
        <f aca="false">AG202*COSTE_DEV</f>
        <v>0</v>
      </c>
      <c r="AL202" s="60" t="n">
        <f aca="false">AD202*P1_IVAN+AE202*P2_IVAN+AF202*IF($A202&lt;P3_DESDE,P3A_IVAN,P3_IVAN)-AG202*IVA_DEV</f>
        <v>0</v>
      </c>
      <c r="AM202" s="60" t="n">
        <f aca="false">N202*(1+RECARGO_ADS)</f>
        <v>0</v>
      </c>
      <c r="AN202" s="58" t="n">
        <f aca="false">IF(ISNUMBER(L202),E202+F202+G202+AA202+AB202+AC202,0)</f>
        <v>0</v>
      </c>
      <c r="AO202" s="60" t="n">
        <f aca="false">P202*COMISION</f>
        <v>0</v>
      </c>
      <c r="AP202" s="58" t="n">
        <f aca="false">MIN(N(K202),Q202)</f>
        <v>0</v>
      </c>
      <c r="AQ202" s="61" t="n">
        <f aca="false">IF(Q202&gt;0,((Q202-AP202)*AT202+AP202*TASA_INC)/Q202,AT202)</f>
        <v>0.659887072235414</v>
      </c>
      <c r="AR202" s="58" t="n">
        <f aca="false">IF($A202&lt;FECHA_EXPORT,NETWORKDAYS($A202+1,FECHA_EXPORT,FESTIVOS),0)</f>
        <v>0</v>
      </c>
      <c r="AS202" s="61" t="n">
        <f aca="false">IF(AR202&gt;=5,1,INDEX(CDF_INC,1,AR202+1))</f>
        <v>0.14</v>
      </c>
      <c r="AT202" s="61" t="n">
        <f aca="false">TASA_USADA+(TASA_INC-TASA_USADA)*Q_INC*(1-AS202)/(1-Q_INC*AS202)</f>
        <v>0.659887072235414</v>
      </c>
    </row>
    <row r="203" customFormat="false" ht="15" hidden="false" customHeight="false" outlineLevel="0" collapsed="false">
      <c r="A203" s="53" t="n">
        <v>46497</v>
      </c>
      <c r="B203" s="54"/>
      <c r="C203" s="54"/>
      <c r="D203" s="54"/>
      <c r="E203" s="54"/>
      <c r="F203" s="54"/>
      <c r="G203" s="54"/>
      <c r="H203" s="54"/>
      <c r="I203" s="54"/>
      <c r="J203" s="54"/>
      <c r="K203" s="54"/>
      <c r="L203" s="55"/>
      <c r="M203" s="55"/>
      <c r="N203" s="55"/>
      <c r="O203" s="56"/>
      <c r="P203" s="31" t="n">
        <f aca="false">B203+C203+D203</f>
        <v>0</v>
      </c>
      <c r="Q203" s="31" t="n">
        <f aca="false">AA203+AB203+AC203</f>
        <v>0</v>
      </c>
      <c r="R203" s="32" t="n">
        <f aca="false">B203*P1_PVP+C203*P2_PVP+D203*IF($A203&lt;P3_DESDE,P3A_PVP,P3_PVP)</f>
        <v>0</v>
      </c>
      <c r="S203" s="32" t="str">
        <f aca="false">IF(P203&gt;0,R203/P203,"")</f>
        <v/>
      </c>
      <c r="T203" s="32" t="str">
        <f aca="false">IF(P203&gt;0,N203/P203,"")</f>
        <v/>
      </c>
      <c r="U203" s="57" t="str">
        <f aca="false">IF(N203&gt;0,R203/N203,"")</f>
        <v/>
      </c>
      <c r="V203" s="34" t="str">
        <f aca="false">IF(E203+F203+G203+H203+I203+J203&gt;0,(E203+F203+G203)/(E203+F203+G203+H203+I203+J203),"")</f>
        <v/>
      </c>
      <c r="W203" s="33" t="n">
        <f aca="false">E203*(P1_PVP-P1_CPROD)+F203*(P2_PVP-P2_CPROD)+G203*(IF($A203&lt;P3_DESDE,P3A_PVP,P3_PVP)-IF($A203&lt;P3_DESDE,P3A_CPROD,P3_CPROD))-IF(ISNUMBER(L203),L203,E203*P1_LOG+F203*P2_LOG+G203*P3_LOG)</f>
        <v>0</v>
      </c>
      <c r="X203" s="33" t="n">
        <f aca="false">W203-(E203*P1_IVAN+F203*P2_IVAN+G203*IF($A203&lt;P3_DESDE,P3A_IVAN,P3_IVAN))-(H203+I203+J203)*(COSTE_DEV-IVA_DEV)-AM203-AO203</f>
        <v>0</v>
      </c>
      <c r="Y203" s="33" t="n">
        <f aca="false">AH203-AI203-AJ203-AK203-AL203-AM203-AO203</f>
        <v>0</v>
      </c>
      <c r="AA203" s="58" t="n">
        <f aca="false">MAX(0,B203-E203-H203)</f>
        <v>0</v>
      </c>
      <c r="AB203" s="58" t="n">
        <f aca="false">MAX(0,C203-F203-I203)</f>
        <v>0</v>
      </c>
      <c r="AC203" s="58" t="n">
        <f aca="false">MAX(0,D203-G203-J203)</f>
        <v>0</v>
      </c>
      <c r="AD203" s="59" t="n">
        <f aca="false">E203+AA203*AQ203</f>
        <v>0</v>
      </c>
      <c r="AE203" s="59" t="n">
        <f aca="false">F203+AB203*AQ203</f>
        <v>0</v>
      </c>
      <c r="AF203" s="59" t="n">
        <f aca="false">G203+AC203*AQ203</f>
        <v>0</v>
      </c>
      <c r="AG203" s="59" t="n">
        <f aca="false">H203+I203+J203+(AA203+AB203+AC203)*(1-AQ203)</f>
        <v>0</v>
      </c>
      <c r="AH203" s="60" t="n">
        <f aca="false">AD203*P1_PVP+AE203*P2_PVP+AF203*IF($A203&lt;P3_DESDE,P3A_PVP,P3_PVP)</f>
        <v>0</v>
      </c>
      <c r="AI203" s="60" t="n">
        <f aca="false">AD203*P1_CPROD+AE203*P2_CPROD+AF203*IF($A203&lt;P3_DESDE,P3A_CPROD,P3_CPROD)</f>
        <v>0</v>
      </c>
      <c r="AJ203" s="60" t="n">
        <f aca="false">IF(ISNUMBER(L203),L203,E203*P1_LOG+F203*P2_LOG+G203*P3_LOG)+IF(ISNUMBER(M203),M203,AA203*P1_LOG+AB203*P2_LOG+AC203*P3_LOG)*AQ203</f>
        <v>0</v>
      </c>
      <c r="AK203" s="60" t="n">
        <f aca="false">AG203*COSTE_DEV</f>
        <v>0</v>
      </c>
      <c r="AL203" s="60" t="n">
        <f aca="false">AD203*P1_IVAN+AE203*P2_IVAN+AF203*IF($A203&lt;P3_DESDE,P3A_IVAN,P3_IVAN)-AG203*IVA_DEV</f>
        <v>0</v>
      </c>
      <c r="AM203" s="60" t="n">
        <f aca="false">N203*(1+RECARGO_ADS)</f>
        <v>0</v>
      </c>
      <c r="AN203" s="58" t="n">
        <f aca="false">IF(ISNUMBER(L203),E203+F203+G203+AA203+AB203+AC203,0)</f>
        <v>0</v>
      </c>
      <c r="AO203" s="60" t="n">
        <f aca="false">P203*COMISION</f>
        <v>0</v>
      </c>
      <c r="AP203" s="58" t="n">
        <f aca="false">MIN(N(K203),Q203)</f>
        <v>0</v>
      </c>
      <c r="AQ203" s="61" t="n">
        <f aca="false">IF(Q203&gt;0,((Q203-AP203)*AT203+AP203*TASA_INC)/Q203,AT203)</f>
        <v>0.659887072235414</v>
      </c>
      <c r="AR203" s="58" t="n">
        <f aca="false">IF($A203&lt;FECHA_EXPORT,NETWORKDAYS($A203+1,FECHA_EXPORT,FESTIVOS),0)</f>
        <v>0</v>
      </c>
      <c r="AS203" s="61" t="n">
        <f aca="false">IF(AR203&gt;=5,1,INDEX(CDF_INC,1,AR203+1))</f>
        <v>0.14</v>
      </c>
      <c r="AT203" s="61" t="n">
        <f aca="false">TASA_USADA+(TASA_INC-TASA_USADA)*Q_INC*(1-AS203)/(1-Q_INC*AS203)</f>
        <v>0.659887072235414</v>
      </c>
    </row>
    <row r="204" customFormat="false" ht="15" hidden="false" customHeight="false" outlineLevel="0" collapsed="false">
      <c r="A204" s="53" t="n">
        <v>46498</v>
      </c>
      <c r="B204" s="54"/>
      <c r="C204" s="54"/>
      <c r="D204" s="54"/>
      <c r="E204" s="54"/>
      <c r="F204" s="54"/>
      <c r="G204" s="54"/>
      <c r="H204" s="54"/>
      <c r="I204" s="54"/>
      <c r="J204" s="54"/>
      <c r="K204" s="54"/>
      <c r="L204" s="55"/>
      <c r="M204" s="55"/>
      <c r="N204" s="55"/>
      <c r="O204" s="56"/>
      <c r="P204" s="31" t="n">
        <f aca="false">B204+C204+D204</f>
        <v>0</v>
      </c>
      <c r="Q204" s="31" t="n">
        <f aca="false">AA204+AB204+AC204</f>
        <v>0</v>
      </c>
      <c r="R204" s="32" t="n">
        <f aca="false">B204*P1_PVP+C204*P2_PVP+D204*IF($A204&lt;P3_DESDE,P3A_PVP,P3_PVP)</f>
        <v>0</v>
      </c>
      <c r="S204" s="32" t="str">
        <f aca="false">IF(P204&gt;0,R204/P204,"")</f>
        <v/>
      </c>
      <c r="T204" s="32" t="str">
        <f aca="false">IF(P204&gt;0,N204/P204,"")</f>
        <v/>
      </c>
      <c r="U204" s="57" t="str">
        <f aca="false">IF(N204&gt;0,R204/N204,"")</f>
        <v/>
      </c>
      <c r="V204" s="34" t="str">
        <f aca="false">IF(E204+F204+G204+H204+I204+J204&gt;0,(E204+F204+G204)/(E204+F204+G204+H204+I204+J204),"")</f>
        <v/>
      </c>
      <c r="W204" s="33" t="n">
        <f aca="false">E204*(P1_PVP-P1_CPROD)+F204*(P2_PVP-P2_CPROD)+G204*(IF($A204&lt;P3_DESDE,P3A_PVP,P3_PVP)-IF($A204&lt;P3_DESDE,P3A_CPROD,P3_CPROD))-IF(ISNUMBER(L204),L204,E204*P1_LOG+F204*P2_LOG+G204*P3_LOG)</f>
        <v>0</v>
      </c>
      <c r="X204" s="33" t="n">
        <f aca="false">W204-(E204*P1_IVAN+F204*P2_IVAN+G204*IF($A204&lt;P3_DESDE,P3A_IVAN,P3_IVAN))-(H204+I204+J204)*(COSTE_DEV-IVA_DEV)-AM204-AO204</f>
        <v>0</v>
      </c>
      <c r="Y204" s="33" t="n">
        <f aca="false">AH204-AI204-AJ204-AK204-AL204-AM204-AO204</f>
        <v>0</v>
      </c>
      <c r="AA204" s="58" t="n">
        <f aca="false">MAX(0,B204-E204-H204)</f>
        <v>0</v>
      </c>
      <c r="AB204" s="58" t="n">
        <f aca="false">MAX(0,C204-F204-I204)</f>
        <v>0</v>
      </c>
      <c r="AC204" s="58" t="n">
        <f aca="false">MAX(0,D204-G204-J204)</f>
        <v>0</v>
      </c>
      <c r="AD204" s="59" t="n">
        <f aca="false">E204+AA204*AQ204</f>
        <v>0</v>
      </c>
      <c r="AE204" s="59" t="n">
        <f aca="false">F204+AB204*AQ204</f>
        <v>0</v>
      </c>
      <c r="AF204" s="59" t="n">
        <f aca="false">G204+AC204*AQ204</f>
        <v>0</v>
      </c>
      <c r="AG204" s="59" t="n">
        <f aca="false">H204+I204+J204+(AA204+AB204+AC204)*(1-AQ204)</f>
        <v>0</v>
      </c>
      <c r="AH204" s="60" t="n">
        <f aca="false">AD204*P1_PVP+AE204*P2_PVP+AF204*IF($A204&lt;P3_DESDE,P3A_PVP,P3_PVP)</f>
        <v>0</v>
      </c>
      <c r="AI204" s="60" t="n">
        <f aca="false">AD204*P1_CPROD+AE204*P2_CPROD+AF204*IF($A204&lt;P3_DESDE,P3A_CPROD,P3_CPROD)</f>
        <v>0</v>
      </c>
      <c r="AJ204" s="60" t="n">
        <f aca="false">IF(ISNUMBER(L204),L204,E204*P1_LOG+F204*P2_LOG+G204*P3_LOG)+IF(ISNUMBER(M204),M204,AA204*P1_LOG+AB204*P2_LOG+AC204*P3_LOG)*AQ204</f>
        <v>0</v>
      </c>
      <c r="AK204" s="60" t="n">
        <f aca="false">AG204*COSTE_DEV</f>
        <v>0</v>
      </c>
      <c r="AL204" s="60" t="n">
        <f aca="false">AD204*P1_IVAN+AE204*P2_IVAN+AF204*IF($A204&lt;P3_DESDE,P3A_IVAN,P3_IVAN)-AG204*IVA_DEV</f>
        <v>0</v>
      </c>
      <c r="AM204" s="60" t="n">
        <f aca="false">N204*(1+RECARGO_ADS)</f>
        <v>0</v>
      </c>
      <c r="AN204" s="58" t="n">
        <f aca="false">IF(ISNUMBER(L204),E204+F204+G204+AA204+AB204+AC204,0)</f>
        <v>0</v>
      </c>
      <c r="AO204" s="60" t="n">
        <f aca="false">P204*COMISION</f>
        <v>0</v>
      </c>
      <c r="AP204" s="58" t="n">
        <f aca="false">MIN(N(K204),Q204)</f>
        <v>0</v>
      </c>
      <c r="AQ204" s="61" t="n">
        <f aca="false">IF(Q204&gt;0,((Q204-AP204)*AT204+AP204*TASA_INC)/Q204,AT204)</f>
        <v>0.659887072235414</v>
      </c>
      <c r="AR204" s="58" t="n">
        <f aca="false">IF($A204&lt;FECHA_EXPORT,NETWORKDAYS($A204+1,FECHA_EXPORT,FESTIVOS),0)</f>
        <v>0</v>
      </c>
      <c r="AS204" s="61" t="n">
        <f aca="false">IF(AR204&gt;=5,1,INDEX(CDF_INC,1,AR204+1))</f>
        <v>0.14</v>
      </c>
      <c r="AT204" s="61" t="n">
        <f aca="false">TASA_USADA+(TASA_INC-TASA_USADA)*Q_INC*(1-AS204)/(1-Q_INC*AS204)</f>
        <v>0.659887072235414</v>
      </c>
    </row>
    <row r="205" customFormat="false" ht="15" hidden="false" customHeight="false" outlineLevel="0" collapsed="false">
      <c r="A205" s="53" t="n">
        <v>46499</v>
      </c>
      <c r="B205" s="54"/>
      <c r="C205" s="54"/>
      <c r="D205" s="54"/>
      <c r="E205" s="54"/>
      <c r="F205" s="54"/>
      <c r="G205" s="54"/>
      <c r="H205" s="54"/>
      <c r="I205" s="54"/>
      <c r="J205" s="54"/>
      <c r="K205" s="54"/>
      <c r="L205" s="55"/>
      <c r="M205" s="55"/>
      <c r="N205" s="55"/>
      <c r="O205" s="56"/>
      <c r="P205" s="31" t="n">
        <f aca="false">B205+C205+D205</f>
        <v>0</v>
      </c>
      <c r="Q205" s="31" t="n">
        <f aca="false">AA205+AB205+AC205</f>
        <v>0</v>
      </c>
      <c r="R205" s="32" t="n">
        <f aca="false">B205*P1_PVP+C205*P2_PVP+D205*IF($A205&lt;P3_DESDE,P3A_PVP,P3_PVP)</f>
        <v>0</v>
      </c>
      <c r="S205" s="32" t="str">
        <f aca="false">IF(P205&gt;0,R205/P205,"")</f>
        <v/>
      </c>
      <c r="T205" s="32" t="str">
        <f aca="false">IF(P205&gt;0,N205/P205,"")</f>
        <v/>
      </c>
      <c r="U205" s="57" t="str">
        <f aca="false">IF(N205&gt;0,R205/N205,"")</f>
        <v/>
      </c>
      <c r="V205" s="34" t="str">
        <f aca="false">IF(E205+F205+G205+H205+I205+J205&gt;0,(E205+F205+G205)/(E205+F205+G205+H205+I205+J205),"")</f>
        <v/>
      </c>
      <c r="W205" s="33" t="n">
        <f aca="false">E205*(P1_PVP-P1_CPROD)+F205*(P2_PVP-P2_CPROD)+G205*(IF($A205&lt;P3_DESDE,P3A_PVP,P3_PVP)-IF($A205&lt;P3_DESDE,P3A_CPROD,P3_CPROD))-IF(ISNUMBER(L205),L205,E205*P1_LOG+F205*P2_LOG+G205*P3_LOG)</f>
        <v>0</v>
      </c>
      <c r="X205" s="33" t="n">
        <f aca="false">W205-(E205*P1_IVAN+F205*P2_IVAN+G205*IF($A205&lt;P3_DESDE,P3A_IVAN,P3_IVAN))-(H205+I205+J205)*(COSTE_DEV-IVA_DEV)-AM205-AO205</f>
        <v>0</v>
      </c>
      <c r="Y205" s="33" t="n">
        <f aca="false">AH205-AI205-AJ205-AK205-AL205-AM205-AO205</f>
        <v>0</v>
      </c>
      <c r="AA205" s="58" t="n">
        <f aca="false">MAX(0,B205-E205-H205)</f>
        <v>0</v>
      </c>
      <c r="AB205" s="58" t="n">
        <f aca="false">MAX(0,C205-F205-I205)</f>
        <v>0</v>
      </c>
      <c r="AC205" s="58" t="n">
        <f aca="false">MAX(0,D205-G205-J205)</f>
        <v>0</v>
      </c>
      <c r="AD205" s="59" t="n">
        <f aca="false">E205+AA205*AQ205</f>
        <v>0</v>
      </c>
      <c r="AE205" s="59" t="n">
        <f aca="false">F205+AB205*AQ205</f>
        <v>0</v>
      </c>
      <c r="AF205" s="59" t="n">
        <f aca="false">G205+AC205*AQ205</f>
        <v>0</v>
      </c>
      <c r="AG205" s="59" t="n">
        <f aca="false">H205+I205+J205+(AA205+AB205+AC205)*(1-AQ205)</f>
        <v>0</v>
      </c>
      <c r="AH205" s="60" t="n">
        <f aca="false">AD205*P1_PVP+AE205*P2_PVP+AF205*IF($A205&lt;P3_DESDE,P3A_PVP,P3_PVP)</f>
        <v>0</v>
      </c>
      <c r="AI205" s="60" t="n">
        <f aca="false">AD205*P1_CPROD+AE205*P2_CPROD+AF205*IF($A205&lt;P3_DESDE,P3A_CPROD,P3_CPROD)</f>
        <v>0</v>
      </c>
      <c r="AJ205" s="60" t="n">
        <f aca="false">IF(ISNUMBER(L205),L205,E205*P1_LOG+F205*P2_LOG+G205*P3_LOG)+IF(ISNUMBER(M205),M205,AA205*P1_LOG+AB205*P2_LOG+AC205*P3_LOG)*AQ205</f>
        <v>0</v>
      </c>
      <c r="AK205" s="60" t="n">
        <f aca="false">AG205*COSTE_DEV</f>
        <v>0</v>
      </c>
      <c r="AL205" s="60" t="n">
        <f aca="false">AD205*P1_IVAN+AE205*P2_IVAN+AF205*IF($A205&lt;P3_DESDE,P3A_IVAN,P3_IVAN)-AG205*IVA_DEV</f>
        <v>0</v>
      </c>
      <c r="AM205" s="60" t="n">
        <f aca="false">N205*(1+RECARGO_ADS)</f>
        <v>0</v>
      </c>
      <c r="AN205" s="58" t="n">
        <f aca="false">IF(ISNUMBER(L205),E205+F205+G205+AA205+AB205+AC205,0)</f>
        <v>0</v>
      </c>
      <c r="AO205" s="60" t="n">
        <f aca="false">P205*COMISION</f>
        <v>0</v>
      </c>
      <c r="AP205" s="58" t="n">
        <f aca="false">MIN(N(K205),Q205)</f>
        <v>0</v>
      </c>
      <c r="AQ205" s="61" t="n">
        <f aca="false">IF(Q205&gt;0,((Q205-AP205)*AT205+AP205*TASA_INC)/Q205,AT205)</f>
        <v>0.659887072235414</v>
      </c>
      <c r="AR205" s="58" t="n">
        <f aca="false">IF($A205&lt;FECHA_EXPORT,NETWORKDAYS($A205+1,FECHA_EXPORT,FESTIVOS),0)</f>
        <v>0</v>
      </c>
      <c r="AS205" s="61" t="n">
        <f aca="false">IF(AR205&gt;=5,1,INDEX(CDF_INC,1,AR205+1))</f>
        <v>0.14</v>
      </c>
      <c r="AT205" s="61" t="n">
        <f aca="false">TASA_USADA+(TASA_INC-TASA_USADA)*Q_INC*(1-AS205)/(1-Q_INC*AS205)</f>
        <v>0.659887072235414</v>
      </c>
    </row>
    <row r="206" customFormat="false" ht="15" hidden="false" customHeight="false" outlineLevel="0" collapsed="false">
      <c r="A206" s="53" t="n">
        <v>46500</v>
      </c>
      <c r="B206" s="54"/>
      <c r="C206" s="54"/>
      <c r="D206" s="54"/>
      <c r="E206" s="54"/>
      <c r="F206" s="54"/>
      <c r="G206" s="54"/>
      <c r="H206" s="54"/>
      <c r="I206" s="54"/>
      <c r="J206" s="54"/>
      <c r="K206" s="54"/>
      <c r="L206" s="55"/>
      <c r="M206" s="55"/>
      <c r="N206" s="55"/>
      <c r="O206" s="56"/>
      <c r="P206" s="31" t="n">
        <f aca="false">B206+C206+D206</f>
        <v>0</v>
      </c>
      <c r="Q206" s="31" t="n">
        <f aca="false">AA206+AB206+AC206</f>
        <v>0</v>
      </c>
      <c r="R206" s="32" t="n">
        <f aca="false">B206*P1_PVP+C206*P2_PVP+D206*IF($A206&lt;P3_DESDE,P3A_PVP,P3_PVP)</f>
        <v>0</v>
      </c>
      <c r="S206" s="32" t="str">
        <f aca="false">IF(P206&gt;0,R206/P206,"")</f>
        <v/>
      </c>
      <c r="T206" s="32" t="str">
        <f aca="false">IF(P206&gt;0,N206/P206,"")</f>
        <v/>
      </c>
      <c r="U206" s="57" t="str">
        <f aca="false">IF(N206&gt;0,R206/N206,"")</f>
        <v/>
      </c>
      <c r="V206" s="34" t="str">
        <f aca="false">IF(E206+F206+G206+H206+I206+J206&gt;0,(E206+F206+G206)/(E206+F206+G206+H206+I206+J206),"")</f>
        <v/>
      </c>
      <c r="W206" s="33" t="n">
        <f aca="false">E206*(P1_PVP-P1_CPROD)+F206*(P2_PVP-P2_CPROD)+G206*(IF($A206&lt;P3_DESDE,P3A_PVP,P3_PVP)-IF($A206&lt;P3_DESDE,P3A_CPROD,P3_CPROD))-IF(ISNUMBER(L206),L206,E206*P1_LOG+F206*P2_LOG+G206*P3_LOG)</f>
        <v>0</v>
      </c>
      <c r="X206" s="33" t="n">
        <f aca="false">W206-(E206*P1_IVAN+F206*P2_IVAN+G206*IF($A206&lt;P3_DESDE,P3A_IVAN,P3_IVAN))-(H206+I206+J206)*(COSTE_DEV-IVA_DEV)-AM206-AO206</f>
        <v>0</v>
      </c>
      <c r="Y206" s="33" t="n">
        <f aca="false">AH206-AI206-AJ206-AK206-AL206-AM206-AO206</f>
        <v>0</v>
      </c>
      <c r="AA206" s="58" t="n">
        <f aca="false">MAX(0,B206-E206-H206)</f>
        <v>0</v>
      </c>
      <c r="AB206" s="58" t="n">
        <f aca="false">MAX(0,C206-F206-I206)</f>
        <v>0</v>
      </c>
      <c r="AC206" s="58" t="n">
        <f aca="false">MAX(0,D206-G206-J206)</f>
        <v>0</v>
      </c>
      <c r="AD206" s="59" t="n">
        <f aca="false">E206+AA206*AQ206</f>
        <v>0</v>
      </c>
      <c r="AE206" s="59" t="n">
        <f aca="false">F206+AB206*AQ206</f>
        <v>0</v>
      </c>
      <c r="AF206" s="59" t="n">
        <f aca="false">G206+AC206*AQ206</f>
        <v>0</v>
      </c>
      <c r="AG206" s="59" t="n">
        <f aca="false">H206+I206+J206+(AA206+AB206+AC206)*(1-AQ206)</f>
        <v>0</v>
      </c>
      <c r="AH206" s="60" t="n">
        <f aca="false">AD206*P1_PVP+AE206*P2_PVP+AF206*IF($A206&lt;P3_DESDE,P3A_PVP,P3_PVP)</f>
        <v>0</v>
      </c>
      <c r="AI206" s="60" t="n">
        <f aca="false">AD206*P1_CPROD+AE206*P2_CPROD+AF206*IF($A206&lt;P3_DESDE,P3A_CPROD,P3_CPROD)</f>
        <v>0</v>
      </c>
      <c r="AJ206" s="60" t="n">
        <f aca="false">IF(ISNUMBER(L206),L206,E206*P1_LOG+F206*P2_LOG+G206*P3_LOG)+IF(ISNUMBER(M206),M206,AA206*P1_LOG+AB206*P2_LOG+AC206*P3_LOG)*AQ206</f>
        <v>0</v>
      </c>
      <c r="AK206" s="60" t="n">
        <f aca="false">AG206*COSTE_DEV</f>
        <v>0</v>
      </c>
      <c r="AL206" s="60" t="n">
        <f aca="false">AD206*P1_IVAN+AE206*P2_IVAN+AF206*IF($A206&lt;P3_DESDE,P3A_IVAN,P3_IVAN)-AG206*IVA_DEV</f>
        <v>0</v>
      </c>
      <c r="AM206" s="60" t="n">
        <f aca="false">N206*(1+RECARGO_ADS)</f>
        <v>0</v>
      </c>
      <c r="AN206" s="58" t="n">
        <f aca="false">IF(ISNUMBER(L206),E206+F206+G206+AA206+AB206+AC206,0)</f>
        <v>0</v>
      </c>
      <c r="AO206" s="60" t="n">
        <f aca="false">P206*COMISION</f>
        <v>0</v>
      </c>
      <c r="AP206" s="58" t="n">
        <f aca="false">MIN(N(K206),Q206)</f>
        <v>0</v>
      </c>
      <c r="AQ206" s="61" t="n">
        <f aca="false">IF(Q206&gt;0,((Q206-AP206)*AT206+AP206*TASA_INC)/Q206,AT206)</f>
        <v>0.659887072235414</v>
      </c>
      <c r="AR206" s="58" t="n">
        <f aca="false">IF($A206&lt;FECHA_EXPORT,NETWORKDAYS($A206+1,FECHA_EXPORT,FESTIVOS),0)</f>
        <v>0</v>
      </c>
      <c r="AS206" s="61" t="n">
        <f aca="false">IF(AR206&gt;=5,1,INDEX(CDF_INC,1,AR206+1))</f>
        <v>0.14</v>
      </c>
      <c r="AT206" s="61" t="n">
        <f aca="false">TASA_USADA+(TASA_INC-TASA_USADA)*Q_INC*(1-AS206)/(1-Q_INC*AS206)</f>
        <v>0.659887072235414</v>
      </c>
    </row>
    <row r="207" customFormat="false" ht="15" hidden="false" customHeight="false" outlineLevel="0" collapsed="false">
      <c r="A207" s="53" t="n">
        <v>46501</v>
      </c>
      <c r="B207" s="54"/>
      <c r="C207" s="54"/>
      <c r="D207" s="54"/>
      <c r="E207" s="54"/>
      <c r="F207" s="54"/>
      <c r="G207" s="54"/>
      <c r="H207" s="54"/>
      <c r="I207" s="54"/>
      <c r="J207" s="54"/>
      <c r="K207" s="54"/>
      <c r="L207" s="55"/>
      <c r="M207" s="55"/>
      <c r="N207" s="55"/>
      <c r="O207" s="56"/>
      <c r="P207" s="31" t="n">
        <f aca="false">B207+C207+D207</f>
        <v>0</v>
      </c>
      <c r="Q207" s="31" t="n">
        <f aca="false">AA207+AB207+AC207</f>
        <v>0</v>
      </c>
      <c r="R207" s="32" t="n">
        <f aca="false">B207*P1_PVP+C207*P2_PVP+D207*IF($A207&lt;P3_DESDE,P3A_PVP,P3_PVP)</f>
        <v>0</v>
      </c>
      <c r="S207" s="32" t="str">
        <f aca="false">IF(P207&gt;0,R207/P207,"")</f>
        <v/>
      </c>
      <c r="T207" s="32" t="str">
        <f aca="false">IF(P207&gt;0,N207/P207,"")</f>
        <v/>
      </c>
      <c r="U207" s="57" t="str">
        <f aca="false">IF(N207&gt;0,R207/N207,"")</f>
        <v/>
      </c>
      <c r="V207" s="34" t="str">
        <f aca="false">IF(E207+F207+G207+H207+I207+J207&gt;0,(E207+F207+G207)/(E207+F207+G207+H207+I207+J207),"")</f>
        <v/>
      </c>
      <c r="W207" s="33" t="n">
        <f aca="false">E207*(P1_PVP-P1_CPROD)+F207*(P2_PVP-P2_CPROD)+G207*(IF($A207&lt;P3_DESDE,P3A_PVP,P3_PVP)-IF($A207&lt;P3_DESDE,P3A_CPROD,P3_CPROD))-IF(ISNUMBER(L207),L207,E207*P1_LOG+F207*P2_LOG+G207*P3_LOG)</f>
        <v>0</v>
      </c>
      <c r="X207" s="33" t="n">
        <f aca="false">W207-(E207*P1_IVAN+F207*P2_IVAN+G207*IF($A207&lt;P3_DESDE,P3A_IVAN,P3_IVAN))-(H207+I207+J207)*(COSTE_DEV-IVA_DEV)-AM207-AO207</f>
        <v>0</v>
      </c>
      <c r="Y207" s="33" t="n">
        <f aca="false">AH207-AI207-AJ207-AK207-AL207-AM207-AO207</f>
        <v>0</v>
      </c>
      <c r="AA207" s="58" t="n">
        <f aca="false">MAX(0,B207-E207-H207)</f>
        <v>0</v>
      </c>
      <c r="AB207" s="58" t="n">
        <f aca="false">MAX(0,C207-F207-I207)</f>
        <v>0</v>
      </c>
      <c r="AC207" s="58" t="n">
        <f aca="false">MAX(0,D207-G207-J207)</f>
        <v>0</v>
      </c>
      <c r="AD207" s="59" t="n">
        <f aca="false">E207+AA207*AQ207</f>
        <v>0</v>
      </c>
      <c r="AE207" s="59" t="n">
        <f aca="false">F207+AB207*AQ207</f>
        <v>0</v>
      </c>
      <c r="AF207" s="59" t="n">
        <f aca="false">G207+AC207*AQ207</f>
        <v>0</v>
      </c>
      <c r="AG207" s="59" t="n">
        <f aca="false">H207+I207+J207+(AA207+AB207+AC207)*(1-AQ207)</f>
        <v>0</v>
      </c>
      <c r="AH207" s="60" t="n">
        <f aca="false">AD207*P1_PVP+AE207*P2_PVP+AF207*IF($A207&lt;P3_DESDE,P3A_PVP,P3_PVP)</f>
        <v>0</v>
      </c>
      <c r="AI207" s="60" t="n">
        <f aca="false">AD207*P1_CPROD+AE207*P2_CPROD+AF207*IF($A207&lt;P3_DESDE,P3A_CPROD,P3_CPROD)</f>
        <v>0</v>
      </c>
      <c r="AJ207" s="60" t="n">
        <f aca="false">IF(ISNUMBER(L207),L207,E207*P1_LOG+F207*P2_LOG+G207*P3_LOG)+IF(ISNUMBER(M207),M207,AA207*P1_LOG+AB207*P2_LOG+AC207*P3_LOG)*AQ207</f>
        <v>0</v>
      </c>
      <c r="AK207" s="60" t="n">
        <f aca="false">AG207*COSTE_DEV</f>
        <v>0</v>
      </c>
      <c r="AL207" s="60" t="n">
        <f aca="false">AD207*P1_IVAN+AE207*P2_IVAN+AF207*IF($A207&lt;P3_DESDE,P3A_IVAN,P3_IVAN)-AG207*IVA_DEV</f>
        <v>0</v>
      </c>
      <c r="AM207" s="60" t="n">
        <f aca="false">N207*(1+RECARGO_ADS)</f>
        <v>0</v>
      </c>
      <c r="AN207" s="58" t="n">
        <f aca="false">IF(ISNUMBER(L207),E207+F207+G207+AA207+AB207+AC207,0)</f>
        <v>0</v>
      </c>
      <c r="AO207" s="60" t="n">
        <f aca="false">P207*COMISION</f>
        <v>0</v>
      </c>
      <c r="AP207" s="58" t="n">
        <f aca="false">MIN(N(K207),Q207)</f>
        <v>0</v>
      </c>
      <c r="AQ207" s="61" t="n">
        <f aca="false">IF(Q207&gt;0,((Q207-AP207)*AT207+AP207*TASA_INC)/Q207,AT207)</f>
        <v>0.659887072235414</v>
      </c>
      <c r="AR207" s="58" t="n">
        <f aca="false">IF($A207&lt;FECHA_EXPORT,NETWORKDAYS($A207+1,FECHA_EXPORT,FESTIVOS),0)</f>
        <v>0</v>
      </c>
      <c r="AS207" s="61" t="n">
        <f aca="false">IF(AR207&gt;=5,1,INDEX(CDF_INC,1,AR207+1))</f>
        <v>0.14</v>
      </c>
      <c r="AT207" s="61" t="n">
        <f aca="false">TASA_USADA+(TASA_INC-TASA_USADA)*Q_INC*(1-AS207)/(1-Q_INC*AS207)</f>
        <v>0.659887072235414</v>
      </c>
    </row>
    <row r="208" customFormat="false" ht="15" hidden="false" customHeight="false" outlineLevel="0" collapsed="false">
      <c r="A208" s="53" t="n">
        <v>46502</v>
      </c>
      <c r="B208" s="54"/>
      <c r="C208" s="54"/>
      <c r="D208" s="54"/>
      <c r="E208" s="54"/>
      <c r="F208" s="54"/>
      <c r="G208" s="54"/>
      <c r="H208" s="54"/>
      <c r="I208" s="54"/>
      <c r="J208" s="54"/>
      <c r="K208" s="54"/>
      <c r="L208" s="55"/>
      <c r="M208" s="55"/>
      <c r="N208" s="55"/>
      <c r="O208" s="56"/>
      <c r="P208" s="31" t="n">
        <f aca="false">B208+C208+D208</f>
        <v>0</v>
      </c>
      <c r="Q208" s="31" t="n">
        <f aca="false">AA208+AB208+AC208</f>
        <v>0</v>
      </c>
      <c r="R208" s="32" t="n">
        <f aca="false">B208*P1_PVP+C208*P2_PVP+D208*IF($A208&lt;P3_DESDE,P3A_PVP,P3_PVP)</f>
        <v>0</v>
      </c>
      <c r="S208" s="32" t="str">
        <f aca="false">IF(P208&gt;0,R208/P208,"")</f>
        <v/>
      </c>
      <c r="T208" s="32" t="str">
        <f aca="false">IF(P208&gt;0,N208/P208,"")</f>
        <v/>
      </c>
      <c r="U208" s="57" t="str">
        <f aca="false">IF(N208&gt;0,R208/N208,"")</f>
        <v/>
      </c>
      <c r="V208" s="34" t="str">
        <f aca="false">IF(E208+F208+G208+H208+I208+J208&gt;0,(E208+F208+G208)/(E208+F208+G208+H208+I208+J208),"")</f>
        <v/>
      </c>
      <c r="W208" s="33" t="n">
        <f aca="false">E208*(P1_PVP-P1_CPROD)+F208*(P2_PVP-P2_CPROD)+G208*(IF($A208&lt;P3_DESDE,P3A_PVP,P3_PVP)-IF($A208&lt;P3_DESDE,P3A_CPROD,P3_CPROD))-IF(ISNUMBER(L208),L208,E208*P1_LOG+F208*P2_LOG+G208*P3_LOG)</f>
        <v>0</v>
      </c>
      <c r="X208" s="33" t="n">
        <f aca="false">W208-(E208*P1_IVAN+F208*P2_IVAN+G208*IF($A208&lt;P3_DESDE,P3A_IVAN,P3_IVAN))-(H208+I208+J208)*(COSTE_DEV-IVA_DEV)-AM208-AO208</f>
        <v>0</v>
      </c>
      <c r="Y208" s="33" t="n">
        <f aca="false">AH208-AI208-AJ208-AK208-AL208-AM208-AO208</f>
        <v>0</v>
      </c>
      <c r="AA208" s="58" t="n">
        <f aca="false">MAX(0,B208-E208-H208)</f>
        <v>0</v>
      </c>
      <c r="AB208" s="58" t="n">
        <f aca="false">MAX(0,C208-F208-I208)</f>
        <v>0</v>
      </c>
      <c r="AC208" s="58" t="n">
        <f aca="false">MAX(0,D208-G208-J208)</f>
        <v>0</v>
      </c>
      <c r="AD208" s="59" t="n">
        <f aca="false">E208+AA208*AQ208</f>
        <v>0</v>
      </c>
      <c r="AE208" s="59" t="n">
        <f aca="false">F208+AB208*AQ208</f>
        <v>0</v>
      </c>
      <c r="AF208" s="59" t="n">
        <f aca="false">G208+AC208*AQ208</f>
        <v>0</v>
      </c>
      <c r="AG208" s="59" t="n">
        <f aca="false">H208+I208+J208+(AA208+AB208+AC208)*(1-AQ208)</f>
        <v>0</v>
      </c>
      <c r="AH208" s="60" t="n">
        <f aca="false">AD208*P1_PVP+AE208*P2_PVP+AF208*IF($A208&lt;P3_DESDE,P3A_PVP,P3_PVP)</f>
        <v>0</v>
      </c>
      <c r="AI208" s="60" t="n">
        <f aca="false">AD208*P1_CPROD+AE208*P2_CPROD+AF208*IF($A208&lt;P3_DESDE,P3A_CPROD,P3_CPROD)</f>
        <v>0</v>
      </c>
      <c r="AJ208" s="60" t="n">
        <f aca="false">IF(ISNUMBER(L208),L208,E208*P1_LOG+F208*P2_LOG+G208*P3_LOG)+IF(ISNUMBER(M208),M208,AA208*P1_LOG+AB208*P2_LOG+AC208*P3_LOG)*AQ208</f>
        <v>0</v>
      </c>
      <c r="AK208" s="60" t="n">
        <f aca="false">AG208*COSTE_DEV</f>
        <v>0</v>
      </c>
      <c r="AL208" s="60" t="n">
        <f aca="false">AD208*P1_IVAN+AE208*P2_IVAN+AF208*IF($A208&lt;P3_DESDE,P3A_IVAN,P3_IVAN)-AG208*IVA_DEV</f>
        <v>0</v>
      </c>
      <c r="AM208" s="60" t="n">
        <f aca="false">N208*(1+RECARGO_ADS)</f>
        <v>0</v>
      </c>
      <c r="AN208" s="58" t="n">
        <f aca="false">IF(ISNUMBER(L208),E208+F208+G208+AA208+AB208+AC208,0)</f>
        <v>0</v>
      </c>
      <c r="AO208" s="60" t="n">
        <f aca="false">P208*COMISION</f>
        <v>0</v>
      </c>
      <c r="AP208" s="58" t="n">
        <f aca="false">MIN(N(K208),Q208)</f>
        <v>0</v>
      </c>
      <c r="AQ208" s="61" t="n">
        <f aca="false">IF(Q208&gt;0,((Q208-AP208)*AT208+AP208*TASA_INC)/Q208,AT208)</f>
        <v>0.659887072235414</v>
      </c>
      <c r="AR208" s="58" t="n">
        <f aca="false">IF($A208&lt;FECHA_EXPORT,NETWORKDAYS($A208+1,FECHA_EXPORT,FESTIVOS),0)</f>
        <v>0</v>
      </c>
      <c r="AS208" s="61" t="n">
        <f aca="false">IF(AR208&gt;=5,1,INDEX(CDF_INC,1,AR208+1))</f>
        <v>0.14</v>
      </c>
      <c r="AT208" s="61" t="n">
        <f aca="false">TASA_USADA+(TASA_INC-TASA_USADA)*Q_INC*(1-AS208)/(1-Q_INC*AS208)</f>
        <v>0.659887072235414</v>
      </c>
    </row>
    <row r="209" customFormat="false" ht="15" hidden="false" customHeight="false" outlineLevel="0" collapsed="false">
      <c r="A209" s="53" t="n">
        <v>46503</v>
      </c>
      <c r="B209" s="54"/>
      <c r="C209" s="54"/>
      <c r="D209" s="54"/>
      <c r="E209" s="54"/>
      <c r="F209" s="54"/>
      <c r="G209" s="54"/>
      <c r="H209" s="54"/>
      <c r="I209" s="54"/>
      <c r="J209" s="54"/>
      <c r="K209" s="54"/>
      <c r="L209" s="55"/>
      <c r="M209" s="55"/>
      <c r="N209" s="55"/>
      <c r="O209" s="56"/>
      <c r="P209" s="31" t="n">
        <f aca="false">B209+C209+D209</f>
        <v>0</v>
      </c>
      <c r="Q209" s="31" t="n">
        <f aca="false">AA209+AB209+AC209</f>
        <v>0</v>
      </c>
      <c r="R209" s="32" t="n">
        <f aca="false">B209*P1_PVP+C209*P2_PVP+D209*IF($A209&lt;P3_DESDE,P3A_PVP,P3_PVP)</f>
        <v>0</v>
      </c>
      <c r="S209" s="32" t="str">
        <f aca="false">IF(P209&gt;0,R209/P209,"")</f>
        <v/>
      </c>
      <c r="T209" s="32" t="str">
        <f aca="false">IF(P209&gt;0,N209/P209,"")</f>
        <v/>
      </c>
      <c r="U209" s="57" t="str">
        <f aca="false">IF(N209&gt;0,R209/N209,"")</f>
        <v/>
      </c>
      <c r="V209" s="34" t="str">
        <f aca="false">IF(E209+F209+G209+H209+I209+J209&gt;0,(E209+F209+G209)/(E209+F209+G209+H209+I209+J209),"")</f>
        <v/>
      </c>
      <c r="W209" s="33" t="n">
        <f aca="false">E209*(P1_PVP-P1_CPROD)+F209*(P2_PVP-P2_CPROD)+G209*(IF($A209&lt;P3_DESDE,P3A_PVP,P3_PVP)-IF($A209&lt;P3_DESDE,P3A_CPROD,P3_CPROD))-IF(ISNUMBER(L209),L209,E209*P1_LOG+F209*P2_LOG+G209*P3_LOG)</f>
        <v>0</v>
      </c>
      <c r="X209" s="33" t="n">
        <f aca="false">W209-(E209*P1_IVAN+F209*P2_IVAN+G209*IF($A209&lt;P3_DESDE,P3A_IVAN,P3_IVAN))-(H209+I209+J209)*(COSTE_DEV-IVA_DEV)-AM209-AO209</f>
        <v>0</v>
      </c>
      <c r="Y209" s="33" t="n">
        <f aca="false">AH209-AI209-AJ209-AK209-AL209-AM209-AO209</f>
        <v>0</v>
      </c>
      <c r="AA209" s="58" t="n">
        <f aca="false">MAX(0,B209-E209-H209)</f>
        <v>0</v>
      </c>
      <c r="AB209" s="58" t="n">
        <f aca="false">MAX(0,C209-F209-I209)</f>
        <v>0</v>
      </c>
      <c r="AC209" s="58" t="n">
        <f aca="false">MAX(0,D209-G209-J209)</f>
        <v>0</v>
      </c>
      <c r="AD209" s="59" t="n">
        <f aca="false">E209+AA209*AQ209</f>
        <v>0</v>
      </c>
      <c r="AE209" s="59" t="n">
        <f aca="false">F209+AB209*AQ209</f>
        <v>0</v>
      </c>
      <c r="AF209" s="59" t="n">
        <f aca="false">G209+AC209*AQ209</f>
        <v>0</v>
      </c>
      <c r="AG209" s="59" t="n">
        <f aca="false">H209+I209+J209+(AA209+AB209+AC209)*(1-AQ209)</f>
        <v>0</v>
      </c>
      <c r="AH209" s="60" t="n">
        <f aca="false">AD209*P1_PVP+AE209*P2_PVP+AF209*IF($A209&lt;P3_DESDE,P3A_PVP,P3_PVP)</f>
        <v>0</v>
      </c>
      <c r="AI209" s="60" t="n">
        <f aca="false">AD209*P1_CPROD+AE209*P2_CPROD+AF209*IF($A209&lt;P3_DESDE,P3A_CPROD,P3_CPROD)</f>
        <v>0</v>
      </c>
      <c r="AJ209" s="60" t="n">
        <f aca="false">IF(ISNUMBER(L209),L209,E209*P1_LOG+F209*P2_LOG+G209*P3_LOG)+IF(ISNUMBER(M209),M209,AA209*P1_LOG+AB209*P2_LOG+AC209*P3_LOG)*AQ209</f>
        <v>0</v>
      </c>
      <c r="AK209" s="60" t="n">
        <f aca="false">AG209*COSTE_DEV</f>
        <v>0</v>
      </c>
      <c r="AL209" s="60" t="n">
        <f aca="false">AD209*P1_IVAN+AE209*P2_IVAN+AF209*IF($A209&lt;P3_DESDE,P3A_IVAN,P3_IVAN)-AG209*IVA_DEV</f>
        <v>0</v>
      </c>
      <c r="AM209" s="60" t="n">
        <f aca="false">N209*(1+RECARGO_ADS)</f>
        <v>0</v>
      </c>
      <c r="AN209" s="58" t="n">
        <f aca="false">IF(ISNUMBER(L209),E209+F209+G209+AA209+AB209+AC209,0)</f>
        <v>0</v>
      </c>
      <c r="AO209" s="60" t="n">
        <f aca="false">P209*COMISION</f>
        <v>0</v>
      </c>
      <c r="AP209" s="58" t="n">
        <f aca="false">MIN(N(K209),Q209)</f>
        <v>0</v>
      </c>
      <c r="AQ209" s="61" t="n">
        <f aca="false">IF(Q209&gt;0,((Q209-AP209)*AT209+AP209*TASA_INC)/Q209,AT209)</f>
        <v>0.659887072235414</v>
      </c>
      <c r="AR209" s="58" t="n">
        <f aca="false">IF($A209&lt;FECHA_EXPORT,NETWORKDAYS($A209+1,FECHA_EXPORT,FESTIVOS),0)</f>
        <v>0</v>
      </c>
      <c r="AS209" s="61" t="n">
        <f aca="false">IF(AR209&gt;=5,1,INDEX(CDF_INC,1,AR209+1))</f>
        <v>0.14</v>
      </c>
      <c r="AT209" s="61" t="n">
        <f aca="false">TASA_USADA+(TASA_INC-TASA_USADA)*Q_INC*(1-AS209)/(1-Q_INC*AS209)</f>
        <v>0.659887072235414</v>
      </c>
    </row>
    <row r="210" customFormat="false" ht="15" hidden="false" customHeight="false" outlineLevel="0" collapsed="false">
      <c r="A210" s="53" t="n">
        <v>46504</v>
      </c>
      <c r="B210" s="54"/>
      <c r="C210" s="54"/>
      <c r="D210" s="54"/>
      <c r="E210" s="54"/>
      <c r="F210" s="54"/>
      <c r="G210" s="54"/>
      <c r="H210" s="54"/>
      <c r="I210" s="54"/>
      <c r="J210" s="54"/>
      <c r="K210" s="54"/>
      <c r="L210" s="55"/>
      <c r="M210" s="55"/>
      <c r="N210" s="55"/>
      <c r="O210" s="56"/>
      <c r="P210" s="31" t="n">
        <f aca="false">B210+C210+D210</f>
        <v>0</v>
      </c>
      <c r="Q210" s="31" t="n">
        <f aca="false">AA210+AB210+AC210</f>
        <v>0</v>
      </c>
      <c r="R210" s="32" t="n">
        <f aca="false">B210*P1_PVP+C210*P2_PVP+D210*IF($A210&lt;P3_DESDE,P3A_PVP,P3_PVP)</f>
        <v>0</v>
      </c>
      <c r="S210" s="32" t="str">
        <f aca="false">IF(P210&gt;0,R210/P210,"")</f>
        <v/>
      </c>
      <c r="T210" s="32" t="str">
        <f aca="false">IF(P210&gt;0,N210/P210,"")</f>
        <v/>
      </c>
      <c r="U210" s="57" t="str">
        <f aca="false">IF(N210&gt;0,R210/N210,"")</f>
        <v/>
      </c>
      <c r="V210" s="34" t="str">
        <f aca="false">IF(E210+F210+G210+H210+I210+J210&gt;0,(E210+F210+G210)/(E210+F210+G210+H210+I210+J210),"")</f>
        <v/>
      </c>
      <c r="W210" s="33" t="n">
        <f aca="false">E210*(P1_PVP-P1_CPROD)+F210*(P2_PVP-P2_CPROD)+G210*(IF($A210&lt;P3_DESDE,P3A_PVP,P3_PVP)-IF($A210&lt;P3_DESDE,P3A_CPROD,P3_CPROD))-IF(ISNUMBER(L210),L210,E210*P1_LOG+F210*P2_LOG+G210*P3_LOG)</f>
        <v>0</v>
      </c>
      <c r="X210" s="33" t="n">
        <f aca="false">W210-(E210*P1_IVAN+F210*P2_IVAN+G210*IF($A210&lt;P3_DESDE,P3A_IVAN,P3_IVAN))-(H210+I210+J210)*(COSTE_DEV-IVA_DEV)-AM210-AO210</f>
        <v>0</v>
      </c>
      <c r="Y210" s="33" t="n">
        <f aca="false">AH210-AI210-AJ210-AK210-AL210-AM210-AO210</f>
        <v>0</v>
      </c>
      <c r="AA210" s="58" t="n">
        <f aca="false">MAX(0,B210-E210-H210)</f>
        <v>0</v>
      </c>
      <c r="AB210" s="58" t="n">
        <f aca="false">MAX(0,C210-F210-I210)</f>
        <v>0</v>
      </c>
      <c r="AC210" s="58" t="n">
        <f aca="false">MAX(0,D210-G210-J210)</f>
        <v>0</v>
      </c>
      <c r="AD210" s="59" t="n">
        <f aca="false">E210+AA210*AQ210</f>
        <v>0</v>
      </c>
      <c r="AE210" s="59" t="n">
        <f aca="false">F210+AB210*AQ210</f>
        <v>0</v>
      </c>
      <c r="AF210" s="59" t="n">
        <f aca="false">G210+AC210*AQ210</f>
        <v>0</v>
      </c>
      <c r="AG210" s="59" t="n">
        <f aca="false">H210+I210+J210+(AA210+AB210+AC210)*(1-AQ210)</f>
        <v>0</v>
      </c>
      <c r="AH210" s="60" t="n">
        <f aca="false">AD210*P1_PVP+AE210*P2_PVP+AF210*IF($A210&lt;P3_DESDE,P3A_PVP,P3_PVP)</f>
        <v>0</v>
      </c>
      <c r="AI210" s="60" t="n">
        <f aca="false">AD210*P1_CPROD+AE210*P2_CPROD+AF210*IF($A210&lt;P3_DESDE,P3A_CPROD,P3_CPROD)</f>
        <v>0</v>
      </c>
      <c r="AJ210" s="60" t="n">
        <f aca="false">IF(ISNUMBER(L210),L210,E210*P1_LOG+F210*P2_LOG+G210*P3_LOG)+IF(ISNUMBER(M210),M210,AA210*P1_LOG+AB210*P2_LOG+AC210*P3_LOG)*AQ210</f>
        <v>0</v>
      </c>
      <c r="AK210" s="60" t="n">
        <f aca="false">AG210*COSTE_DEV</f>
        <v>0</v>
      </c>
      <c r="AL210" s="60" t="n">
        <f aca="false">AD210*P1_IVAN+AE210*P2_IVAN+AF210*IF($A210&lt;P3_DESDE,P3A_IVAN,P3_IVAN)-AG210*IVA_DEV</f>
        <v>0</v>
      </c>
      <c r="AM210" s="60" t="n">
        <f aca="false">N210*(1+RECARGO_ADS)</f>
        <v>0</v>
      </c>
      <c r="AN210" s="58" t="n">
        <f aca="false">IF(ISNUMBER(L210),E210+F210+G210+AA210+AB210+AC210,0)</f>
        <v>0</v>
      </c>
      <c r="AO210" s="60" t="n">
        <f aca="false">P210*COMISION</f>
        <v>0</v>
      </c>
      <c r="AP210" s="58" t="n">
        <f aca="false">MIN(N(K210),Q210)</f>
        <v>0</v>
      </c>
      <c r="AQ210" s="61" t="n">
        <f aca="false">IF(Q210&gt;0,((Q210-AP210)*AT210+AP210*TASA_INC)/Q210,AT210)</f>
        <v>0.659887072235414</v>
      </c>
      <c r="AR210" s="58" t="n">
        <f aca="false">IF($A210&lt;FECHA_EXPORT,NETWORKDAYS($A210+1,FECHA_EXPORT,FESTIVOS),0)</f>
        <v>0</v>
      </c>
      <c r="AS210" s="61" t="n">
        <f aca="false">IF(AR210&gt;=5,1,INDEX(CDF_INC,1,AR210+1))</f>
        <v>0.14</v>
      </c>
      <c r="AT210" s="61" t="n">
        <f aca="false">TASA_USADA+(TASA_INC-TASA_USADA)*Q_INC*(1-AS210)/(1-Q_INC*AS210)</f>
        <v>0.659887072235414</v>
      </c>
    </row>
    <row r="211" customFormat="false" ht="15" hidden="false" customHeight="false" outlineLevel="0" collapsed="false">
      <c r="A211" s="53" t="n">
        <v>46505</v>
      </c>
      <c r="B211" s="54"/>
      <c r="C211" s="54"/>
      <c r="D211" s="54"/>
      <c r="E211" s="54"/>
      <c r="F211" s="54"/>
      <c r="G211" s="54"/>
      <c r="H211" s="54"/>
      <c r="I211" s="54"/>
      <c r="J211" s="54"/>
      <c r="K211" s="54"/>
      <c r="L211" s="55"/>
      <c r="M211" s="55"/>
      <c r="N211" s="55"/>
      <c r="O211" s="56"/>
      <c r="P211" s="31" t="n">
        <f aca="false">B211+C211+D211</f>
        <v>0</v>
      </c>
      <c r="Q211" s="31" t="n">
        <f aca="false">AA211+AB211+AC211</f>
        <v>0</v>
      </c>
      <c r="R211" s="32" t="n">
        <f aca="false">B211*P1_PVP+C211*P2_PVP+D211*IF($A211&lt;P3_DESDE,P3A_PVP,P3_PVP)</f>
        <v>0</v>
      </c>
      <c r="S211" s="32" t="str">
        <f aca="false">IF(P211&gt;0,R211/P211,"")</f>
        <v/>
      </c>
      <c r="T211" s="32" t="str">
        <f aca="false">IF(P211&gt;0,N211/P211,"")</f>
        <v/>
      </c>
      <c r="U211" s="57" t="str">
        <f aca="false">IF(N211&gt;0,R211/N211,"")</f>
        <v/>
      </c>
      <c r="V211" s="34" t="str">
        <f aca="false">IF(E211+F211+G211+H211+I211+J211&gt;0,(E211+F211+G211)/(E211+F211+G211+H211+I211+J211),"")</f>
        <v/>
      </c>
      <c r="W211" s="33" t="n">
        <f aca="false">E211*(P1_PVP-P1_CPROD)+F211*(P2_PVP-P2_CPROD)+G211*(IF($A211&lt;P3_DESDE,P3A_PVP,P3_PVP)-IF($A211&lt;P3_DESDE,P3A_CPROD,P3_CPROD))-IF(ISNUMBER(L211),L211,E211*P1_LOG+F211*P2_LOG+G211*P3_LOG)</f>
        <v>0</v>
      </c>
      <c r="X211" s="33" t="n">
        <f aca="false">W211-(E211*P1_IVAN+F211*P2_IVAN+G211*IF($A211&lt;P3_DESDE,P3A_IVAN,P3_IVAN))-(H211+I211+J211)*(COSTE_DEV-IVA_DEV)-AM211-AO211</f>
        <v>0</v>
      </c>
      <c r="Y211" s="33" t="n">
        <f aca="false">AH211-AI211-AJ211-AK211-AL211-AM211-AO211</f>
        <v>0</v>
      </c>
      <c r="AA211" s="58" t="n">
        <f aca="false">MAX(0,B211-E211-H211)</f>
        <v>0</v>
      </c>
      <c r="AB211" s="58" t="n">
        <f aca="false">MAX(0,C211-F211-I211)</f>
        <v>0</v>
      </c>
      <c r="AC211" s="58" t="n">
        <f aca="false">MAX(0,D211-G211-J211)</f>
        <v>0</v>
      </c>
      <c r="AD211" s="59" t="n">
        <f aca="false">E211+AA211*AQ211</f>
        <v>0</v>
      </c>
      <c r="AE211" s="59" t="n">
        <f aca="false">F211+AB211*AQ211</f>
        <v>0</v>
      </c>
      <c r="AF211" s="59" t="n">
        <f aca="false">G211+AC211*AQ211</f>
        <v>0</v>
      </c>
      <c r="AG211" s="59" t="n">
        <f aca="false">H211+I211+J211+(AA211+AB211+AC211)*(1-AQ211)</f>
        <v>0</v>
      </c>
      <c r="AH211" s="60" t="n">
        <f aca="false">AD211*P1_PVP+AE211*P2_PVP+AF211*IF($A211&lt;P3_DESDE,P3A_PVP,P3_PVP)</f>
        <v>0</v>
      </c>
      <c r="AI211" s="60" t="n">
        <f aca="false">AD211*P1_CPROD+AE211*P2_CPROD+AF211*IF($A211&lt;P3_DESDE,P3A_CPROD,P3_CPROD)</f>
        <v>0</v>
      </c>
      <c r="AJ211" s="60" t="n">
        <f aca="false">IF(ISNUMBER(L211),L211,E211*P1_LOG+F211*P2_LOG+G211*P3_LOG)+IF(ISNUMBER(M211),M211,AA211*P1_LOG+AB211*P2_LOG+AC211*P3_LOG)*AQ211</f>
        <v>0</v>
      </c>
      <c r="AK211" s="60" t="n">
        <f aca="false">AG211*COSTE_DEV</f>
        <v>0</v>
      </c>
      <c r="AL211" s="60" t="n">
        <f aca="false">AD211*P1_IVAN+AE211*P2_IVAN+AF211*IF($A211&lt;P3_DESDE,P3A_IVAN,P3_IVAN)-AG211*IVA_DEV</f>
        <v>0</v>
      </c>
      <c r="AM211" s="60" t="n">
        <f aca="false">N211*(1+RECARGO_ADS)</f>
        <v>0</v>
      </c>
      <c r="AN211" s="58" t="n">
        <f aca="false">IF(ISNUMBER(L211),E211+F211+G211+AA211+AB211+AC211,0)</f>
        <v>0</v>
      </c>
      <c r="AO211" s="60" t="n">
        <f aca="false">P211*COMISION</f>
        <v>0</v>
      </c>
      <c r="AP211" s="58" t="n">
        <f aca="false">MIN(N(K211),Q211)</f>
        <v>0</v>
      </c>
      <c r="AQ211" s="61" t="n">
        <f aca="false">IF(Q211&gt;0,((Q211-AP211)*AT211+AP211*TASA_INC)/Q211,AT211)</f>
        <v>0.659887072235414</v>
      </c>
      <c r="AR211" s="58" t="n">
        <f aca="false">IF($A211&lt;FECHA_EXPORT,NETWORKDAYS($A211+1,FECHA_EXPORT,FESTIVOS),0)</f>
        <v>0</v>
      </c>
      <c r="AS211" s="61" t="n">
        <f aca="false">IF(AR211&gt;=5,1,INDEX(CDF_INC,1,AR211+1))</f>
        <v>0.14</v>
      </c>
      <c r="AT211" s="61" t="n">
        <f aca="false">TASA_USADA+(TASA_INC-TASA_USADA)*Q_INC*(1-AS211)/(1-Q_INC*AS211)</f>
        <v>0.659887072235414</v>
      </c>
    </row>
    <row r="212" customFormat="false" ht="15" hidden="false" customHeight="false" outlineLevel="0" collapsed="false">
      <c r="A212" s="53" t="n">
        <v>46506</v>
      </c>
      <c r="B212" s="54"/>
      <c r="C212" s="54"/>
      <c r="D212" s="54"/>
      <c r="E212" s="54"/>
      <c r="F212" s="54"/>
      <c r="G212" s="54"/>
      <c r="H212" s="54"/>
      <c r="I212" s="54"/>
      <c r="J212" s="54"/>
      <c r="K212" s="54"/>
      <c r="L212" s="55"/>
      <c r="M212" s="55"/>
      <c r="N212" s="55"/>
      <c r="O212" s="56"/>
      <c r="P212" s="31" t="n">
        <f aca="false">B212+C212+D212</f>
        <v>0</v>
      </c>
      <c r="Q212" s="31" t="n">
        <f aca="false">AA212+AB212+AC212</f>
        <v>0</v>
      </c>
      <c r="R212" s="32" t="n">
        <f aca="false">B212*P1_PVP+C212*P2_PVP+D212*IF($A212&lt;P3_DESDE,P3A_PVP,P3_PVP)</f>
        <v>0</v>
      </c>
      <c r="S212" s="32" t="str">
        <f aca="false">IF(P212&gt;0,R212/P212,"")</f>
        <v/>
      </c>
      <c r="T212" s="32" t="str">
        <f aca="false">IF(P212&gt;0,N212/P212,"")</f>
        <v/>
      </c>
      <c r="U212" s="57" t="str">
        <f aca="false">IF(N212&gt;0,R212/N212,"")</f>
        <v/>
      </c>
      <c r="V212" s="34" t="str">
        <f aca="false">IF(E212+F212+G212+H212+I212+J212&gt;0,(E212+F212+G212)/(E212+F212+G212+H212+I212+J212),"")</f>
        <v/>
      </c>
      <c r="W212" s="33" t="n">
        <f aca="false">E212*(P1_PVP-P1_CPROD)+F212*(P2_PVP-P2_CPROD)+G212*(IF($A212&lt;P3_DESDE,P3A_PVP,P3_PVP)-IF($A212&lt;P3_DESDE,P3A_CPROD,P3_CPROD))-IF(ISNUMBER(L212),L212,E212*P1_LOG+F212*P2_LOG+G212*P3_LOG)</f>
        <v>0</v>
      </c>
      <c r="X212" s="33" t="n">
        <f aca="false">W212-(E212*P1_IVAN+F212*P2_IVAN+G212*IF($A212&lt;P3_DESDE,P3A_IVAN,P3_IVAN))-(H212+I212+J212)*(COSTE_DEV-IVA_DEV)-AM212-AO212</f>
        <v>0</v>
      </c>
      <c r="Y212" s="33" t="n">
        <f aca="false">AH212-AI212-AJ212-AK212-AL212-AM212-AO212</f>
        <v>0</v>
      </c>
      <c r="AA212" s="58" t="n">
        <f aca="false">MAX(0,B212-E212-H212)</f>
        <v>0</v>
      </c>
      <c r="AB212" s="58" t="n">
        <f aca="false">MAX(0,C212-F212-I212)</f>
        <v>0</v>
      </c>
      <c r="AC212" s="58" t="n">
        <f aca="false">MAX(0,D212-G212-J212)</f>
        <v>0</v>
      </c>
      <c r="AD212" s="59" t="n">
        <f aca="false">E212+AA212*AQ212</f>
        <v>0</v>
      </c>
      <c r="AE212" s="59" t="n">
        <f aca="false">F212+AB212*AQ212</f>
        <v>0</v>
      </c>
      <c r="AF212" s="59" t="n">
        <f aca="false">G212+AC212*AQ212</f>
        <v>0</v>
      </c>
      <c r="AG212" s="59" t="n">
        <f aca="false">H212+I212+J212+(AA212+AB212+AC212)*(1-AQ212)</f>
        <v>0</v>
      </c>
      <c r="AH212" s="60" t="n">
        <f aca="false">AD212*P1_PVP+AE212*P2_PVP+AF212*IF($A212&lt;P3_DESDE,P3A_PVP,P3_PVP)</f>
        <v>0</v>
      </c>
      <c r="AI212" s="60" t="n">
        <f aca="false">AD212*P1_CPROD+AE212*P2_CPROD+AF212*IF($A212&lt;P3_DESDE,P3A_CPROD,P3_CPROD)</f>
        <v>0</v>
      </c>
      <c r="AJ212" s="60" t="n">
        <f aca="false">IF(ISNUMBER(L212),L212,E212*P1_LOG+F212*P2_LOG+G212*P3_LOG)+IF(ISNUMBER(M212),M212,AA212*P1_LOG+AB212*P2_LOG+AC212*P3_LOG)*AQ212</f>
        <v>0</v>
      </c>
      <c r="AK212" s="60" t="n">
        <f aca="false">AG212*COSTE_DEV</f>
        <v>0</v>
      </c>
      <c r="AL212" s="60" t="n">
        <f aca="false">AD212*P1_IVAN+AE212*P2_IVAN+AF212*IF($A212&lt;P3_DESDE,P3A_IVAN,P3_IVAN)-AG212*IVA_DEV</f>
        <v>0</v>
      </c>
      <c r="AM212" s="60" t="n">
        <f aca="false">N212*(1+RECARGO_ADS)</f>
        <v>0</v>
      </c>
      <c r="AN212" s="58" t="n">
        <f aca="false">IF(ISNUMBER(L212),E212+F212+G212+AA212+AB212+AC212,0)</f>
        <v>0</v>
      </c>
      <c r="AO212" s="60" t="n">
        <f aca="false">P212*COMISION</f>
        <v>0</v>
      </c>
      <c r="AP212" s="58" t="n">
        <f aca="false">MIN(N(K212),Q212)</f>
        <v>0</v>
      </c>
      <c r="AQ212" s="61" t="n">
        <f aca="false">IF(Q212&gt;0,((Q212-AP212)*AT212+AP212*TASA_INC)/Q212,AT212)</f>
        <v>0.659887072235414</v>
      </c>
      <c r="AR212" s="58" t="n">
        <f aca="false">IF($A212&lt;FECHA_EXPORT,NETWORKDAYS($A212+1,FECHA_EXPORT,FESTIVOS),0)</f>
        <v>0</v>
      </c>
      <c r="AS212" s="61" t="n">
        <f aca="false">IF(AR212&gt;=5,1,INDEX(CDF_INC,1,AR212+1))</f>
        <v>0.14</v>
      </c>
      <c r="AT212" s="61" t="n">
        <f aca="false">TASA_USADA+(TASA_INC-TASA_USADA)*Q_INC*(1-AS212)/(1-Q_INC*AS212)</f>
        <v>0.659887072235414</v>
      </c>
    </row>
    <row r="213" customFormat="false" ht="15" hidden="false" customHeight="false" outlineLevel="0" collapsed="false">
      <c r="A213" s="53" t="n">
        <v>46507</v>
      </c>
      <c r="B213" s="54"/>
      <c r="C213" s="54"/>
      <c r="D213" s="54"/>
      <c r="E213" s="54"/>
      <c r="F213" s="54"/>
      <c r="G213" s="54"/>
      <c r="H213" s="54"/>
      <c r="I213" s="54"/>
      <c r="J213" s="54"/>
      <c r="K213" s="54"/>
      <c r="L213" s="55"/>
      <c r="M213" s="55"/>
      <c r="N213" s="55"/>
      <c r="O213" s="56"/>
      <c r="P213" s="31" t="n">
        <f aca="false">B213+C213+D213</f>
        <v>0</v>
      </c>
      <c r="Q213" s="31" t="n">
        <f aca="false">AA213+AB213+AC213</f>
        <v>0</v>
      </c>
      <c r="R213" s="32" t="n">
        <f aca="false">B213*P1_PVP+C213*P2_PVP+D213*IF($A213&lt;P3_DESDE,P3A_PVP,P3_PVP)</f>
        <v>0</v>
      </c>
      <c r="S213" s="32" t="str">
        <f aca="false">IF(P213&gt;0,R213/P213,"")</f>
        <v/>
      </c>
      <c r="T213" s="32" t="str">
        <f aca="false">IF(P213&gt;0,N213/P213,"")</f>
        <v/>
      </c>
      <c r="U213" s="57" t="str">
        <f aca="false">IF(N213&gt;0,R213/N213,"")</f>
        <v/>
      </c>
      <c r="V213" s="34" t="str">
        <f aca="false">IF(E213+F213+G213+H213+I213+J213&gt;0,(E213+F213+G213)/(E213+F213+G213+H213+I213+J213),"")</f>
        <v/>
      </c>
      <c r="W213" s="33" t="n">
        <f aca="false">E213*(P1_PVP-P1_CPROD)+F213*(P2_PVP-P2_CPROD)+G213*(IF($A213&lt;P3_DESDE,P3A_PVP,P3_PVP)-IF($A213&lt;P3_DESDE,P3A_CPROD,P3_CPROD))-IF(ISNUMBER(L213),L213,E213*P1_LOG+F213*P2_LOG+G213*P3_LOG)</f>
        <v>0</v>
      </c>
      <c r="X213" s="33" t="n">
        <f aca="false">W213-(E213*P1_IVAN+F213*P2_IVAN+G213*IF($A213&lt;P3_DESDE,P3A_IVAN,P3_IVAN))-(H213+I213+J213)*(COSTE_DEV-IVA_DEV)-AM213-AO213</f>
        <v>0</v>
      </c>
      <c r="Y213" s="33" t="n">
        <f aca="false">AH213-AI213-AJ213-AK213-AL213-AM213-AO213</f>
        <v>0</v>
      </c>
      <c r="AA213" s="58" t="n">
        <f aca="false">MAX(0,B213-E213-H213)</f>
        <v>0</v>
      </c>
      <c r="AB213" s="58" t="n">
        <f aca="false">MAX(0,C213-F213-I213)</f>
        <v>0</v>
      </c>
      <c r="AC213" s="58" t="n">
        <f aca="false">MAX(0,D213-G213-J213)</f>
        <v>0</v>
      </c>
      <c r="AD213" s="59" t="n">
        <f aca="false">E213+AA213*AQ213</f>
        <v>0</v>
      </c>
      <c r="AE213" s="59" t="n">
        <f aca="false">F213+AB213*AQ213</f>
        <v>0</v>
      </c>
      <c r="AF213" s="59" t="n">
        <f aca="false">G213+AC213*AQ213</f>
        <v>0</v>
      </c>
      <c r="AG213" s="59" t="n">
        <f aca="false">H213+I213+J213+(AA213+AB213+AC213)*(1-AQ213)</f>
        <v>0</v>
      </c>
      <c r="AH213" s="60" t="n">
        <f aca="false">AD213*P1_PVP+AE213*P2_PVP+AF213*IF($A213&lt;P3_DESDE,P3A_PVP,P3_PVP)</f>
        <v>0</v>
      </c>
      <c r="AI213" s="60" t="n">
        <f aca="false">AD213*P1_CPROD+AE213*P2_CPROD+AF213*IF($A213&lt;P3_DESDE,P3A_CPROD,P3_CPROD)</f>
        <v>0</v>
      </c>
      <c r="AJ213" s="60" t="n">
        <f aca="false">IF(ISNUMBER(L213),L213,E213*P1_LOG+F213*P2_LOG+G213*P3_LOG)+IF(ISNUMBER(M213),M213,AA213*P1_LOG+AB213*P2_LOG+AC213*P3_LOG)*AQ213</f>
        <v>0</v>
      </c>
      <c r="AK213" s="60" t="n">
        <f aca="false">AG213*COSTE_DEV</f>
        <v>0</v>
      </c>
      <c r="AL213" s="60" t="n">
        <f aca="false">AD213*P1_IVAN+AE213*P2_IVAN+AF213*IF($A213&lt;P3_DESDE,P3A_IVAN,P3_IVAN)-AG213*IVA_DEV</f>
        <v>0</v>
      </c>
      <c r="AM213" s="60" t="n">
        <f aca="false">N213*(1+RECARGO_ADS)</f>
        <v>0</v>
      </c>
      <c r="AN213" s="58" t="n">
        <f aca="false">IF(ISNUMBER(L213),E213+F213+G213+AA213+AB213+AC213,0)</f>
        <v>0</v>
      </c>
      <c r="AO213" s="60" t="n">
        <f aca="false">P213*COMISION</f>
        <v>0</v>
      </c>
      <c r="AP213" s="58" t="n">
        <f aca="false">MIN(N(K213),Q213)</f>
        <v>0</v>
      </c>
      <c r="AQ213" s="61" t="n">
        <f aca="false">IF(Q213&gt;0,((Q213-AP213)*AT213+AP213*TASA_INC)/Q213,AT213)</f>
        <v>0.659887072235414</v>
      </c>
      <c r="AR213" s="58" t="n">
        <f aca="false">IF($A213&lt;FECHA_EXPORT,NETWORKDAYS($A213+1,FECHA_EXPORT,FESTIVOS),0)</f>
        <v>0</v>
      </c>
      <c r="AS213" s="61" t="n">
        <f aca="false">IF(AR213&gt;=5,1,INDEX(CDF_INC,1,AR213+1))</f>
        <v>0.14</v>
      </c>
      <c r="AT213" s="61" t="n">
        <f aca="false">TASA_USADA+(TASA_INC-TASA_USADA)*Q_INC*(1-AS213)/(1-Q_INC*AS213)</f>
        <v>0.659887072235414</v>
      </c>
    </row>
    <row r="214" customFormat="false" ht="15" hidden="false" customHeight="false" outlineLevel="0" collapsed="false">
      <c r="A214" s="53" t="n">
        <v>46508</v>
      </c>
      <c r="B214" s="54"/>
      <c r="C214" s="54"/>
      <c r="D214" s="54"/>
      <c r="E214" s="54"/>
      <c r="F214" s="54"/>
      <c r="G214" s="54"/>
      <c r="H214" s="54"/>
      <c r="I214" s="54"/>
      <c r="J214" s="54"/>
      <c r="K214" s="54"/>
      <c r="L214" s="55"/>
      <c r="M214" s="55"/>
      <c r="N214" s="55"/>
      <c r="O214" s="56"/>
      <c r="P214" s="31" t="n">
        <f aca="false">B214+C214+D214</f>
        <v>0</v>
      </c>
      <c r="Q214" s="31" t="n">
        <f aca="false">AA214+AB214+AC214</f>
        <v>0</v>
      </c>
      <c r="R214" s="32" t="n">
        <f aca="false">B214*P1_PVP+C214*P2_PVP+D214*IF($A214&lt;P3_DESDE,P3A_PVP,P3_PVP)</f>
        <v>0</v>
      </c>
      <c r="S214" s="32" t="str">
        <f aca="false">IF(P214&gt;0,R214/P214,"")</f>
        <v/>
      </c>
      <c r="T214" s="32" t="str">
        <f aca="false">IF(P214&gt;0,N214/P214,"")</f>
        <v/>
      </c>
      <c r="U214" s="57" t="str">
        <f aca="false">IF(N214&gt;0,R214/N214,"")</f>
        <v/>
      </c>
      <c r="V214" s="34" t="str">
        <f aca="false">IF(E214+F214+G214+H214+I214+J214&gt;0,(E214+F214+G214)/(E214+F214+G214+H214+I214+J214),"")</f>
        <v/>
      </c>
      <c r="W214" s="33" t="n">
        <f aca="false">E214*(P1_PVP-P1_CPROD)+F214*(P2_PVP-P2_CPROD)+G214*(IF($A214&lt;P3_DESDE,P3A_PVP,P3_PVP)-IF($A214&lt;P3_DESDE,P3A_CPROD,P3_CPROD))-IF(ISNUMBER(L214),L214,E214*P1_LOG+F214*P2_LOG+G214*P3_LOG)</f>
        <v>0</v>
      </c>
      <c r="X214" s="33" t="n">
        <f aca="false">W214-(E214*P1_IVAN+F214*P2_IVAN+G214*IF($A214&lt;P3_DESDE,P3A_IVAN,P3_IVAN))-(H214+I214+J214)*(COSTE_DEV-IVA_DEV)-AM214-AO214</f>
        <v>0</v>
      </c>
      <c r="Y214" s="33" t="n">
        <f aca="false">AH214-AI214-AJ214-AK214-AL214-AM214-AO214</f>
        <v>0</v>
      </c>
      <c r="AA214" s="58" t="n">
        <f aca="false">MAX(0,B214-E214-H214)</f>
        <v>0</v>
      </c>
      <c r="AB214" s="58" t="n">
        <f aca="false">MAX(0,C214-F214-I214)</f>
        <v>0</v>
      </c>
      <c r="AC214" s="58" t="n">
        <f aca="false">MAX(0,D214-G214-J214)</f>
        <v>0</v>
      </c>
      <c r="AD214" s="59" t="n">
        <f aca="false">E214+AA214*AQ214</f>
        <v>0</v>
      </c>
      <c r="AE214" s="59" t="n">
        <f aca="false">F214+AB214*AQ214</f>
        <v>0</v>
      </c>
      <c r="AF214" s="59" t="n">
        <f aca="false">G214+AC214*AQ214</f>
        <v>0</v>
      </c>
      <c r="AG214" s="59" t="n">
        <f aca="false">H214+I214+J214+(AA214+AB214+AC214)*(1-AQ214)</f>
        <v>0</v>
      </c>
      <c r="AH214" s="60" t="n">
        <f aca="false">AD214*P1_PVP+AE214*P2_PVP+AF214*IF($A214&lt;P3_DESDE,P3A_PVP,P3_PVP)</f>
        <v>0</v>
      </c>
      <c r="AI214" s="60" t="n">
        <f aca="false">AD214*P1_CPROD+AE214*P2_CPROD+AF214*IF($A214&lt;P3_DESDE,P3A_CPROD,P3_CPROD)</f>
        <v>0</v>
      </c>
      <c r="AJ214" s="60" t="n">
        <f aca="false">IF(ISNUMBER(L214),L214,E214*P1_LOG+F214*P2_LOG+G214*P3_LOG)+IF(ISNUMBER(M214),M214,AA214*P1_LOG+AB214*P2_LOG+AC214*P3_LOG)*AQ214</f>
        <v>0</v>
      </c>
      <c r="AK214" s="60" t="n">
        <f aca="false">AG214*COSTE_DEV</f>
        <v>0</v>
      </c>
      <c r="AL214" s="60" t="n">
        <f aca="false">AD214*P1_IVAN+AE214*P2_IVAN+AF214*IF($A214&lt;P3_DESDE,P3A_IVAN,P3_IVAN)-AG214*IVA_DEV</f>
        <v>0</v>
      </c>
      <c r="AM214" s="60" t="n">
        <f aca="false">N214*(1+RECARGO_ADS)</f>
        <v>0</v>
      </c>
      <c r="AN214" s="58" t="n">
        <f aca="false">IF(ISNUMBER(L214),E214+F214+G214+AA214+AB214+AC214,0)</f>
        <v>0</v>
      </c>
      <c r="AO214" s="60" t="n">
        <f aca="false">P214*COMISION</f>
        <v>0</v>
      </c>
      <c r="AP214" s="58" t="n">
        <f aca="false">MIN(N(K214),Q214)</f>
        <v>0</v>
      </c>
      <c r="AQ214" s="61" t="n">
        <f aca="false">IF(Q214&gt;0,((Q214-AP214)*AT214+AP214*TASA_INC)/Q214,AT214)</f>
        <v>0.659887072235414</v>
      </c>
      <c r="AR214" s="58" t="n">
        <f aca="false">IF($A214&lt;FECHA_EXPORT,NETWORKDAYS($A214+1,FECHA_EXPORT,FESTIVOS),0)</f>
        <v>0</v>
      </c>
      <c r="AS214" s="61" t="n">
        <f aca="false">IF(AR214&gt;=5,1,INDEX(CDF_INC,1,AR214+1))</f>
        <v>0.14</v>
      </c>
      <c r="AT214" s="61" t="n">
        <f aca="false">TASA_USADA+(TASA_INC-TASA_USADA)*Q_INC*(1-AS214)/(1-Q_INC*AS214)</f>
        <v>0.659887072235414</v>
      </c>
    </row>
    <row r="215" customFormat="false" ht="15" hidden="false" customHeight="false" outlineLevel="0" collapsed="false">
      <c r="A215" s="53" t="n">
        <v>46509</v>
      </c>
      <c r="B215" s="54"/>
      <c r="C215" s="54"/>
      <c r="D215" s="54"/>
      <c r="E215" s="54"/>
      <c r="F215" s="54"/>
      <c r="G215" s="54"/>
      <c r="H215" s="54"/>
      <c r="I215" s="54"/>
      <c r="J215" s="54"/>
      <c r="K215" s="54"/>
      <c r="L215" s="55"/>
      <c r="M215" s="55"/>
      <c r="N215" s="55"/>
      <c r="O215" s="56"/>
      <c r="P215" s="31" t="n">
        <f aca="false">B215+C215+D215</f>
        <v>0</v>
      </c>
      <c r="Q215" s="31" t="n">
        <f aca="false">AA215+AB215+AC215</f>
        <v>0</v>
      </c>
      <c r="R215" s="32" t="n">
        <f aca="false">B215*P1_PVP+C215*P2_PVP+D215*IF($A215&lt;P3_DESDE,P3A_PVP,P3_PVP)</f>
        <v>0</v>
      </c>
      <c r="S215" s="32" t="str">
        <f aca="false">IF(P215&gt;0,R215/P215,"")</f>
        <v/>
      </c>
      <c r="T215" s="32" t="str">
        <f aca="false">IF(P215&gt;0,N215/P215,"")</f>
        <v/>
      </c>
      <c r="U215" s="57" t="str">
        <f aca="false">IF(N215&gt;0,R215/N215,"")</f>
        <v/>
      </c>
      <c r="V215" s="34" t="str">
        <f aca="false">IF(E215+F215+G215+H215+I215+J215&gt;0,(E215+F215+G215)/(E215+F215+G215+H215+I215+J215),"")</f>
        <v/>
      </c>
      <c r="W215" s="33" t="n">
        <f aca="false">E215*(P1_PVP-P1_CPROD)+F215*(P2_PVP-P2_CPROD)+G215*(IF($A215&lt;P3_DESDE,P3A_PVP,P3_PVP)-IF($A215&lt;P3_DESDE,P3A_CPROD,P3_CPROD))-IF(ISNUMBER(L215),L215,E215*P1_LOG+F215*P2_LOG+G215*P3_LOG)</f>
        <v>0</v>
      </c>
      <c r="X215" s="33" t="n">
        <f aca="false">W215-(E215*P1_IVAN+F215*P2_IVAN+G215*IF($A215&lt;P3_DESDE,P3A_IVAN,P3_IVAN))-(H215+I215+J215)*(COSTE_DEV-IVA_DEV)-AM215-AO215</f>
        <v>0</v>
      </c>
      <c r="Y215" s="33" t="n">
        <f aca="false">AH215-AI215-AJ215-AK215-AL215-AM215-AO215</f>
        <v>0</v>
      </c>
      <c r="AA215" s="58" t="n">
        <f aca="false">MAX(0,B215-E215-H215)</f>
        <v>0</v>
      </c>
      <c r="AB215" s="58" t="n">
        <f aca="false">MAX(0,C215-F215-I215)</f>
        <v>0</v>
      </c>
      <c r="AC215" s="58" t="n">
        <f aca="false">MAX(0,D215-G215-J215)</f>
        <v>0</v>
      </c>
      <c r="AD215" s="59" t="n">
        <f aca="false">E215+AA215*AQ215</f>
        <v>0</v>
      </c>
      <c r="AE215" s="59" t="n">
        <f aca="false">F215+AB215*AQ215</f>
        <v>0</v>
      </c>
      <c r="AF215" s="59" t="n">
        <f aca="false">G215+AC215*AQ215</f>
        <v>0</v>
      </c>
      <c r="AG215" s="59" t="n">
        <f aca="false">H215+I215+J215+(AA215+AB215+AC215)*(1-AQ215)</f>
        <v>0</v>
      </c>
      <c r="AH215" s="60" t="n">
        <f aca="false">AD215*P1_PVP+AE215*P2_PVP+AF215*IF($A215&lt;P3_DESDE,P3A_PVP,P3_PVP)</f>
        <v>0</v>
      </c>
      <c r="AI215" s="60" t="n">
        <f aca="false">AD215*P1_CPROD+AE215*P2_CPROD+AF215*IF($A215&lt;P3_DESDE,P3A_CPROD,P3_CPROD)</f>
        <v>0</v>
      </c>
      <c r="AJ215" s="60" t="n">
        <f aca="false">IF(ISNUMBER(L215),L215,E215*P1_LOG+F215*P2_LOG+G215*P3_LOG)+IF(ISNUMBER(M215),M215,AA215*P1_LOG+AB215*P2_LOG+AC215*P3_LOG)*AQ215</f>
        <v>0</v>
      </c>
      <c r="AK215" s="60" t="n">
        <f aca="false">AG215*COSTE_DEV</f>
        <v>0</v>
      </c>
      <c r="AL215" s="60" t="n">
        <f aca="false">AD215*P1_IVAN+AE215*P2_IVAN+AF215*IF($A215&lt;P3_DESDE,P3A_IVAN,P3_IVAN)-AG215*IVA_DEV</f>
        <v>0</v>
      </c>
      <c r="AM215" s="60" t="n">
        <f aca="false">N215*(1+RECARGO_ADS)</f>
        <v>0</v>
      </c>
      <c r="AN215" s="58" t="n">
        <f aca="false">IF(ISNUMBER(L215),E215+F215+G215+AA215+AB215+AC215,0)</f>
        <v>0</v>
      </c>
      <c r="AO215" s="60" t="n">
        <f aca="false">P215*COMISION</f>
        <v>0</v>
      </c>
      <c r="AP215" s="58" t="n">
        <f aca="false">MIN(N(K215),Q215)</f>
        <v>0</v>
      </c>
      <c r="AQ215" s="61" t="n">
        <f aca="false">IF(Q215&gt;0,((Q215-AP215)*AT215+AP215*TASA_INC)/Q215,AT215)</f>
        <v>0.659887072235414</v>
      </c>
      <c r="AR215" s="58" t="n">
        <f aca="false">IF($A215&lt;FECHA_EXPORT,NETWORKDAYS($A215+1,FECHA_EXPORT,FESTIVOS),0)</f>
        <v>0</v>
      </c>
      <c r="AS215" s="61" t="n">
        <f aca="false">IF(AR215&gt;=5,1,INDEX(CDF_INC,1,AR215+1))</f>
        <v>0.14</v>
      </c>
      <c r="AT215" s="61" t="n">
        <f aca="false">TASA_USADA+(TASA_INC-TASA_USADA)*Q_INC*(1-AS215)/(1-Q_INC*AS215)</f>
        <v>0.659887072235414</v>
      </c>
    </row>
    <row r="216" customFormat="false" ht="15" hidden="false" customHeight="false" outlineLevel="0" collapsed="false">
      <c r="A216" s="53" t="n">
        <v>46510</v>
      </c>
      <c r="B216" s="54"/>
      <c r="C216" s="54"/>
      <c r="D216" s="54"/>
      <c r="E216" s="54"/>
      <c r="F216" s="54"/>
      <c r="G216" s="54"/>
      <c r="H216" s="54"/>
      <c r="I216" s="54"/>
      <c r="J216" s="54"/>
      <c r="K216" s="54"/>
      <c r="L216" s="55"/>
      <c r="M216" s="55"/>
      <c r="N216" s="55"/>
      <c r="O216" s="56"/>
      <c r="P216" s="31" t="n">
        <f aca="false">B216+C216+D216</f>
        <v>0</v>
      </c>
      <c r="Q216" s="31" t="n">
        <f aca="false">AA216+AB216+AC216</f>
        <v>0</v>
      </c>
      <c r="R216" s="32" t="n">
        <f aca="false">B216*P1_PVP+C216*P2_PVP+D216*IF($A216&lt;P3_DESDE,P3A_PVP,P3_PVP)</f>
        <v>0</v>
      </c>
      <c r="S216" s="32" t="str">
        <f aca="false">IF(P216&gt;0,R216/P216,"")</f>
        <v/>
      </c>
      <c r="T216" s="32" t="str">
        <f aca="false">IF(P216&gt;0,N216/P216,"")</f>
        <v/>
      </c>
      <c r="U216" s="57" t="str">
        <f aca="false">IF(N216&gt;0,R216/N216,"")</f>
        <v/>
      </c>
      <c r="V216" s="34" t="str">
        <f aca="false">IF(E216+F216+G216+H216+I216+J216&gt;0,(E216+F216+G216)/(E216+F216+G216+H216+I216+J216),"")</f>
        <v/>
      </c>
      <c r="W216" s="33" t="n">
        <f aca="false">E216*(P1_PVP-P1_CPROD)+F216*(P2_PVP-P2_CPROD)+G216*(IF($A216&lt;P3_DESDE,P3A_PVP,P3_PVP)-IF($A216&lt;P3_DESDE,P3A_CPROD,P3_CPROD))-IF(ISNUMBER(L216),L216,E216*P1_LOG+F216*P2_LOG+G216*P3_LOG)</f>
        <v>0</v>
      </c>
      <c r="X216" s="33" t="n">
        <f aca="false">W216-(E216*P1_IVAN+F216*P2_IVAN+G216*IF($A216&lt;P3_DESDE,P3A_IVAN,P3_IVAN))-(H216+I216+J216)*(COSTE_DEV-IVA_DEV)-AM216-AO216</f>
        <v>0</v>
      </c>
      <c r="Y216" s="33" t="n">
        <f aca="false">AH216-AI216-AJ216-AK216-AL216-AM216-AO216</f>
        <v>0</v>
      </c>
      <c r="AA216" s="58" t="n">
        <f aca="false">MAX(0,B216-E216-H216)</f>
        <v>0</v>
      </c>
      <c r="AB216" s="58" t="n">
        <f aca="false">MAX(0,C216-F216-I216)</f>
        <v>0</v>
      </c>
      <c r="AC216" s="58" t="n">
        <f aca="false">MAX(0,D216-G216-J216)</f>
        <v>0</v>
      </c>
      <c r="AD216" s="59" t="n">
        <f aca="false">E216+AA216*AQ216</f>
        <v>0</v>
      </c>
      <c r="AE216" s="59" t="n">
        <f aca="false">F216+AB216*AQ216</f>
        <v>0</v>
      </c>
      <c r="AF216" s="59" t="n">
        <f aca="false">G216+AC216*AQ216</f>
        <v>0</v>
      </c>
      <c r="AG216" s="59" t="n">
        <f aca="false">H216+I216+J216+(AA216+AB216+AC216)*(1-AQ216)</f>
        <v>0</v>
      </c>
      <c r="AH216" s="60" t="n">
        <f aca="false">AD216*P1_PVP+AE216*P2_PVP+AF216*IF($A216&lt;P3_DESDE,P3A_PVP,P3_PVP)</f>
        <v>0</v>
      </c>
      <c r="AI216" s="60" t="n">
        <f aca="false">AD216*P1_CPROD+AE216*P2_CPROD+AF216*IF($A216&lt;P3_DESDE,P3A_CPROD,P3_CPROD)</f>
        <v>0</v>
      </c>
      <c r="AJ216" s="60" t="n">
        <f aca="false">IF(ISNUMBER(L216),L216,E216*P1_LOG+F216*P2_LOG+G216*P3_LOG)+IF(ISNUMBER(M216),M216,AA216*P1_LOG+AB216*P2_LOG+AC216*P3_LOG)*AQ216</f>
        <v>0</v>
      </c>
      <c r="AK216" s="60" t="n">
        <f aca="false">AG216*COSTE_DEV</f>
        <v>0</v>
      </c>
      <c r="AL216" s="60" t="n">
        <f aca="false">AD216*P1_IVAN+AE216*P2_IVAN+AF216*IF($A216&lt;P3_DESDE,P3A_IVAN,P3_IVAN)-AG216*IVA_DEV</f>
        <v>0</v>
      </c>
      <c r="AM216" s="60" t="n">
        <f aca="false">N216*(1+RECARGO_ADS)</f>
        <v>0</v>
      </c>
      <c r="AN216" s="58" t="n">
        <f aca="false">IF(ISNUMBER(L216),E216+F216+G216+AA216+AB216+AC216,0)</f>
        <v>0</v>
      </c>
      <c r="AO216" s="60" t="n">
        <f aca="false">P216*COMISION</f>
        <v>0</v>
      </c>
      <c r="AP216" s="58" t="n">
        <f aca="false">MIN(N(K216),Q216)</f>
        <v>0</v>
      </c>
      <c r="AQ216" s="61" t="n">
        <f aca="false">IF(Q216&gt;0,((Q216-AP216)*AT216+AP216*TASA_INC)/Q216,AT216)</f>
        <v>0.659887072235414</v>
      </c>
      <c r="AR216" s="58" t="n">
        <f aca="false">IF($A216&lt;FECHA_EXPORT,NETWORKDAYS($A216+1,FECHA_EXPORT,FESTIVOS),0)</f>
        <v>0</v>
      </c>
      <c r="AS216" s="61" t="n">
        <f aca="false">IF(AR216&gt;=5,1,INDEX(CDF_INC,1,AR216+1))</f>
        <v>0.14</v>
      </c>
      <c r="AT216" s="61" t="n">
        <f aca="false">TASA_USADA+(TASA_INC-TASA_USADA)*Q_INC*(1-AS216)/(1-Q_INC*AS216)</f>
        <v>0.659887072235414</v>
      </c>
    </row>
    <row r="217" customFormat="false" ht="15" hidden="false" customHeight="false" outlineLevel="0" collapsed="false">
      <c r="A217" s="53" t="n">
        <v>46511</v>
      </c>
      <c r="B217" s="54"/>
      <c r="C217" s="54"/>
      <c r="D217" s="54"/>
      <c r="E217" s="54"/>
      <c r="F217" s="54"/>
      <c r="G217" s="54"/>
      <c r="H217" s="54"/>
      <c r="I217" s="54"/>
      <c r="J217" s="54"/>
      <c r="K217" s="54"/>
      <c r="L217" s="55"/>
      <c r="M217" s="55"/>
      <c r="N217" s="55"/>
      <c r="O217" s="56"/>
      <c r="P217" s="31" t="n">
        <f aca="false">B217+C217+D217</f>
        <v>0</v>
      </c>
      <c r="Q217" s="31" t="n">
        <f aca="false">AA217+AB217+AC217</f>
        <v>0</v>
      </c>
      <c r="R217" s="32" t="n">
        <f aca="false">B217*P1_PVP+C217*P2_PVP+D217*IF($A217&lt;P3_DESDE,P3A_PVP,P3_PVP)</f>
        <v>0</v>
      </c>
      <c r="S217" s="32" t="str">
        <f aca="false">IF(P217&gt;0,R217/P217,"")</f>
        <v/>
      </c>
      <c r="T217" s="32" t="str">
        <f aca="false">IF(P217&gt;0,N217/P217,"")</f>
        <v/>
      </c>
      <c r="U217" s="57" t="str">
        <f aca="false">IF(N217&gt;0,R217/N217,"")</f>
        <v/>
      </c>
      <c r="V217" s="34" t="str">
        <f aca="false">IF(E217+F217+G217+H217+I217+J217&gt;0,(E217+F217+G217)/(E217+F217+G217+H217+I217+J217),"")</f>
        <v/>
      </c>
      <c r="W217" s="33" t="n">
        <f aca="false">E217*(P1_PVP-P1_CPROD)+F217*(P2_PVP-P2_CPROD)+G217*(IF($A217&lt;P3_DESDE,P3A_PVP,P3_PVP)-IF($A217&lt;P3_DESDE,P3A_CPROD,P3_CPROD))-IF(ISNUMBER(L217),L217,E217*P1_LOG+F217*P2_LOG+G217*P3_LOG)</f>
        <v>0</v>
      </c>
      <c r="X217" s="33" t="n">
        <f aca="false">W217-(E217*P1_IVAN+F217*P2_IVAN+G217*IF($A217&lt;P3_DESDE,P3A_IVAN,P3_IVAN))-(H217+I217+J217)*(COSTE_DEV-IVA_DEV)-AM217-AO217</f>
        <v>0</v>
      </c>
      <c r="Y217" s="33" t="n">
        <f aca="false">AH217-AI217-AJ217-AK217-AL217-AM217-AO217</f>
        <v>0</v>
      </c>
      <c r="AA217" s="58" t="n">
        <f aca="false">MAX(0,B217-E217-H217)</f>
        <v>0</v>
      </c>
      <c r="AB217" s="58" t="n">
        <f aca="false">MAX(0,C217-F217-I217)</f>
        <v>0</v>
      </c>
      <c r="AC217" s="58" t="n">
        <f aca="false">MAX(0,D217-G217-J217)</f>
        <v>0</v>
      </c>
      <c r="AD217" s="59" t="n">
        <f aca="false">E217+AA217*AQ217</f>
        <v>0</v>
      </c>
      <c r="AE217" s="59" t="n">
        <f aca="false">F217+AB217*AQ217</f>
        <v>0</v>
      </c>
      <c r="AF217" s="59" t="n">
        <f aca="false">G217+AC217*AQ217</f>
        <v>0</v>
      </c>
      <c r="AG217" s="59" t="n">
        <f aca="false">H217+I217+J217+(AA217+AB217+AC217)*(1-AQ217)</f>
        <v>0</v>
      </c>
      <c r="AH217" s="60" t="n">
        <f aca="false">AD217*P1_PVP+AE217*P2_PVP+AF217*IF($A217&lt;P3_DESDE,P3A_PVP,P3_PVP)</f>
        <v>0</v>
      </c>
      <c r="AI217" s="60" t="n">
        <f aca="false">AD217*P1_CPROD+AE217*P2_CPROD+AF217*IF($A217&lt;P3_DESDE,P3A_CPROD,P3_CPROD)</f>
        <v>0</v>
      </c>
      <c r="AJ217" s="60" t="n">
        <f aca="false">IF(ISNUMBER(L217),L217,E217*P1_LOG+F217*P2_LOG+G217*P3_LOG)+IF(ISNUMBER(M217),M217,AA217*P1_LOG+AB217*P2_LOG+AC217*P3_LOG)*AQ217</f>
        <v>0</v>
      </c>
      <c r="AK217" s="60" t="n">
        <f aca="false">AG217*COSTE_DEV</f>
        <v>0</v>
      </c>
      <c r="AL217" s="60" t="n">
        <f aca="false">AD217*P1_IVAN+AE217*P2_IVAN+AF217*IF($A217&lt;P3_DESDE,P3A_IVAN,P3_IVAN)-AG217*IVA_DEV</f>
        <v>0</v>
      </c>
      <c r="AM217" s="60" t="n">
        <f aca="false">N217*(1+RECARGO_ADS)</f>
        <v>0</v>
      </c>
      <c r="AN217" s="58" t="n">
        <f aca="false">IF(ISNUMBER(L217),E217+F217+G217+AA217+AB217+AC217,0)</f>
        <v>0</v>
      </c>
      <c r="AO217" s="60" t="n">
        <f aca="false">P217*COMISION</f>
        <v>0</v>
      </c>
      <c r="AP217" s="58" t="n">
        <f aca="false">MIN(N(K217),Q217)</f>
        <v>0</v>
      </c>
      <c r="AQ217" s="61" t="n">
        <f aca="false">IF(Q217&gt;0,((Q217-AP217)*AT217+AP217*TASA_INC)/Q217,AT217)</f>
        <v>0.659887072235414</v>
      </c>
      <c r="AR217" s="58" t="n">
        <f aca="false">IF($A217&lt;FECHA_EXPORT,NETWORKDAYS($A217+1,FECHA_EXPORT,FESTIVOS),0)</f>
        <v>0</v>
      </c>
      <c r="AS217" s="61" t="n">
        <f aca="false">IF(AR217&gt;=5,1,INDEX(CDF_INC,1,AR217+1))</f>
        <v>0.14</v>
      </c>
      <c r="AT217" s="61" t="n">
        <f aca="false">TASA_USADA+(TASA_INC-TASA_USADA)*Q_INC*(1-AS217)/(1-Q_INC*AS217)</f>
        <v>0.659887072235414</v>
      </c>
    </row>
    <row r="218" customFormat="false" ht="15" hidden="false" customHeight="false" outlineLevel="0" collapsed="false">
      <c r="A218" s="53" t="n">
        <v>46512</v>
      </c>
      <c r="B218" s="54"/>
      <c r="C218" s="54"/>
      <c r="D218" s="54"/>
      <c r="E218" s="54"/>
      <c r="F218" s="54"/>
      <c r="G218" s="54"/>
      <c r="H218" s="54"/>
      <c r="I218" s="54"/>
      <c r="J218" s="54"/>
      <c r="K218" s="54"/>
      <c r="L218" s="55"/>
      <c r="M218" s="55"/>
      <c r="N218" s="55"/>
      <c r="O218" s="56"/>
      <c r="P218" s="31" t="n">
        <f aca="false">B218+C218+D218</f>
        <v>0</v>
      </c>
      <c r="Q218" s="31" t="n">
        <f aca="false">AA218+AB218+AC218</f>
        <v>0</v>
      </c>
      <c r="R218" s="32" t="n">
        <f aca="false">B218*P1_PVP+C218*P2_PVP+D218*IF($A218&lt;P3_DESDE,P3A_PVP,P3_PVP)</f>
        <v>0</v>
      </c>
      <c r="S218" s="32" t="str">
        <f aca="false">IF(P218&gt;0,R218/P218,"")</f>
        <v/>
      </c>
      <c r="T218" s="32" t="str">
        <f aca="false">IF(P218&gt;0,N218/P218,"")</f>
        <v/>
      </c>
      <c r="U218" s="57" t="str">
        <f aca="false">IF(N218&gt;0,R218/N218,"")</f>
        <v/>
      </c>
      <c r="V218" s="34" t="str">
        <f aca="false">IF(E218+F218+G218+H218+I218+J218&gt;0,(E218+F218+G218)/(E218+F218+G218+H218+I218+J218),"")</f>
        <v/>
      </c>
      <c r="W218" s="33" t="n">
        <f aca="false">E218*(P1_PVP-P1_CPROD)+F218*(P2_PVP-P2_CPROD)+G218*(IF($A218&lt;P3_DESDE,P3A_PVP,P3_PVP)-IF($A218&lt;P3_DESDE,P3A_CPROD,P3_CPROD))-IF(ISNUMBER(L218),L218,E218*P1_LOG+F218*P2_LOG+G218*P3_LOG)</f>
        <v>0</v>
      </c>
      <c r="X218" s="33" t="n">
        <f aca="false">W218-(E218*P1_IVAN+F218*P2_IVAN+G218*IF($A218&lt;P3_DESDE,P3A_IVAN,P3_IVAN))-(H218+I218+J218)*(COSTE_DEV-IVA_DEV)-AM218-AO218</f>
        <v>0</v>
      </c>
      <c r="Y218" s="33" t="n">
        <f aca="false">AH218-AI218-AJ218-AK218-AL218-AM218-AO218</f>
        <v>0</v>
      </c>
      <c r="AA218" s="58" t="n">
        <f aca="false">MAX(0,B218-E218-H218)</f>
        <v>0</v>
      </c>
      <c r="AB218" s="58" t="n">
        <f aca="false">MAX(0,C218-F218-I218)</f>
        <v>0</v>
      </c>
      <c r="AC218" s="58" t="n">
        <f aca="false">MAX(0,D218-G218-J218)</f>
        <v>0</v>
      </c>
      <c r="AD218" s="59" t="n">
        <f aca="false">E218+AA218*AQ218</f>
        <v>0</v>
      </c>
      <c r="AE218" s="59" t="n">
        <f aca="false">F218+AB218*AQ218</f>
        <v>0</v>
      </c>
      <c r="AF218" s="59" t="n">
        <f aca="false">G218+AC218*AQ218</f>
        <v>0</v>
      </c>
      <c r="AG218" s="59" t="n">
        <f aca="false">H218+I218+J218+(AA218+AB218+AC218)*(1-AQ218)</f>
        <v>0</v>
      </c>
      <c r="AH218" s="60" t="n">
        <f aca="false">AD218*P1_PVP+AE218*P2_PVP+AF218*IF($A218&lt;P3_DESDE,P3A_PVP,P3_PVP)</f>
        <v>0</v>
      </c>
      <c r="AI218" s="60" t="n">
        <f aca="false">AD218*P1_CPROD+AE218*P2_CPROD+AF218*IF($A218&lt;P3_DESDE,P3A_CPROD,P3_CPROD)</f>
        <v>0</v>
      </c>
      <c r="AJ218" s="60" t="n">
        <f aca="false">IF(ISNUMBER(L218),L218,E218*P1_LOG+F218*P2_LOG+G218*P3_LOG)+IF(ISNUMBER(M218),M218,AA218*P1_LOG+AB218*P2_LOG+AC218*P3_LOG)*AQ218</f>
        <v>0</v>
      </c>
      <c r="AK218" s="60" t="n">
        <f aca="false">AG218*COSTE_DEV</f>
        <v>0</v>
      </c>
      <c r="AL218" s="60" t="n">
        <f aca="false">AD218*P1_IVAN+AE218*P2_IVAN+AF218*IF($A218&lt;P3_DESDE,P3A_IVAN,P3_IVAN)-AG218*IVA_DEV</f>
        <v>0</v>
      </c>
      <c r="AM218" s="60" t="n">
        <f aca="false">N218*(1+RECARGO_ADS)</f>
        <v>0</v>
      </c>
      <c r="AN218" s="58" t="n">
        <f aca="false">IF(ISNUMBER(L218),E218+F218+G218+AA218+AB218+AC218,0)</f>
        <v>0</v>
      </c>
      <c r="AO218" s="60" t="n">
        <f aca="false">P218*COMISION</f>
        <v>0</v>
      </c>
      <c r="AP218" s="58" t="n">
        <f aca="false">MIN(N(K218),Q218)</f>
        <v>0</v>
      </c>
      <c r="AQ218" s="61" t="n">
        <f aca="false">IF(Q218&gt;0,((Q218-AP218)*AT218+AP218*TASA_INC)/Q218,AT218)</f>
        <v>0.659887072235414</v>
      </c>
      <c r="AR218" s="58" t="n">
        <f aca="false">IF($A218&lt;FECHA_EXPORT,NETWORKDAYS($A218+1,FECHA_EXPORT,FESTIVOS),0)</f>
        <v>0</v>
      </c>
      <c r="AS218" s="61" t="n">
        <f aca="false">IF(AR218&gt;=5,1,INDEX(CDF_INC,1,AR218+1))</f>
        <v>0.14</v>
      </c>
      <c r="AT218" s="61" t="n">
        <f aca="false">TASA_USADA+(TASA_INC-TASA_USADA)*Q_INC*(1-AS218)/(1-Q_INC*AS218)</f>
        <v>0.659887072235414</v>
      </c>
    </row>
    <row r="219" customFormat="false" ht="15" hidden="false" customHeight="false" outlineLevel="0" collapsed="false">
      <c r="A219" s="53" t="n">
        <v>46513</v>
      </c>
      <c r="B219" s="54"/>
      <c r="C219" s="54"/>
      <c r="D219" s="54"/>
      <c r="E219" s="54"/>
      <c r="F219" s="54"/>
      <c r="G219" s="54"/>
      <c r="H219" s="54"/>
      <c r="I219" s="54"/>
      <c r="J219" s="54"/>
      <c r="K219" s="54"/>
      <c r="L219" s="55"/>
      <c r="M219" s="55"/>
      <c r="N219" s="55"/>
      <c r="O219" s="56"/>
      <c r="P219" s="31" t="n">
        <f aca="false">B219+C219+D219</f>
        <v>0</v>
      </c>
      <c r="Q219" s="31" t="n">
        <f aca="false">AA219+AB219+AC219</f>
        <v>0</v>
      </c>
      <c r="R219" s="32" t="n">
        <f aca="false">B219*P1_PVP+C219*P2_PVP+D219*IF($A219&lt;P3_DESDE,P3A_PVP,P3_PVP)</f>
        <v>0</v>
      </c>
      <c r="S219" s="32" t="str">
        <f aca="false">IF(P219&gt;0,R219/P219,"")</f>
        <v/>
      </c>
      <c r="T219" s="32" t="str">
        <f aca="false">IF(P219&gt;0,N219/P219,"")</f>
        <v/>
      </c>
      <c r="U219" s="57" t="str">
        <f aca="false">IF(N219&gt;0,R219/N219,"")</f>
        <v/>
      </c>
      <c r="V219" s="34" t="str">
        <f aca="false">IF(E219+F219+G219+H219+I219+J219&gt;0,(E219+F219+G219)/(E219+F219+G219+H219+I219+J219),"")</f>
        <v/>
      </c>
      <c r="W219" s="33" t="n">
        <f aca="false">E219*(P1_PVP-P1_CPROD)+F219*(P2_PVP-P2_CPROD)+G219*(IF($A219&lt;P3_DESDE,P3A_PVP,P3_PVP)-IF($A219&lt;P3_DESDE,P3A_CPROD,P3_CPROD))-IF(ISNUMBER(L219),L219,E219*P1_LOG+F219*P2_LOG+G219*P3_LOG)</f>
        <v>0</v>
      </c>
      <c r="X219" s="33" t="n">
        <f aca="false">W219-(E219*P1_IVAN+F219*P2_IVAN+G219*IF($A219&lt;P3_DESDE,P3A_IVAN,P3_IVAN))-(H219+I219+J219)*(COSTE_DEV-IVA_DEV)-AM219-AO219</f>
        <v>0</v>
      </c>
      <c r="Y219" s="33" t="n">
        <f aca="false">AH219-AI219-AJ219-AK219-AL219-AM219-AO219</f>
        <v>0</v>
      </c>
      <c r="AA219" s="58" t="n">
        <f aca="false">MAX(0,B219-E219-H219)</f>
        <v>0</v>
      </c>
      <c r="AB219" s="58" t="n">
        <f aca="false">MAX(0,C219-F219-I219)</f>
        <v>0</v>
      </c>
      <c r="AC219" s="58" t="n">
        <f aca="false">MAX(0,D219-G219-J219)</f>
        <v>0</v>
      </c>
      <c r="AD219" s="59" t="n">
        <f aca="false">E219+AA219*AQ219</f>
        <v>0</v>
      </c>
      <c r="AE219" s="59" t="n">
        <f aca="false">F219+AB219*AQ219</f>
        <v>0</v>
      </c>
      <c r="AF219" s="59" t="n">
        <f aca="false">G219+AC219*AQ219</f>
        <v>0</v>
      </c>
      <c r="AG219" s="59" t="n">
        <f aca="false">H219+I219+J219+(AA219+AB219+AC219)*(1-AQ219)</f>
        <v>0</v>
      </c>
      <c r="AH219" s="60" t="n">
        <f aca="false">AD219*P1_PVP+AE219*P2_PVP+AF219*IF($A219&lt;P3_DESDE,P3A_PVP,P3_PVP)</f>
        <v>0</v>
      </c>
      <c r="AI219" s="60" t="n">
        <f aca="false">AD219*P1_CPROD+AE219*P2_CPROD+AF219*IF($A219&lt;P3_DESDE,P3A_CPROD,P3_CPROD)</f>
        <v>0</v>
      </c>
      <c r="AJ219" s="60" t="n">
        <f aca="false">IF(ISNUMBER(L219),L219,E219*P1_LOG+F219*P2_LOG+G219*P3_LOG)+IF(ISNUMBER(M219),M219,AA219*P1_LOG+AB219*P2_LOG+AC219*P3_LOG)*AQ219</f>
        <v>0</v>
      </c>
      <c r="AK219" s="60" t="n">
        <f aca="false">AG219*COSTE_DEV</f>
        <v>0</v>
      </c>
      <c r="AL219" s="60" t="n">
        <f aca="false">AD219*P1_IVAN+AE219*P2_IVAN+AF219*IF($A219&lt;P3_DESDE,P3A_IVAN,P3_IVAN)-AG219*IVA_DEV</f>
        <v>0</v>
      </c>
      <c r="AM219" s="60" t="n">
        <f aca="false">N219*(1+RECARGO_ADS)</f>
        <v>0</v>
      </c>
      <c r="AN219" s="58" t="n">
        <f aca="false">IF(ISNUMBER(L219),E219+F219+G219+AA219+AB219+AC219,0)</f>
        <v>0</v>
      </c>
      <c r="AO219" s="60" t="n">
        <f aca="false">P219*COMISION</f>
        <v>0</v>
      </c>
      <c r="AP219" s="58" t="n">
        <f aca="false">MIN(N(K219),Q219)</f>
        <v>0</v>
      </c>
      <c r="AQ219" s="61" t="n">
        <f aca="false">IF(Q219&gt;0,((Q219-AP219)*AT219+AP219*TASA_INC)/Q219,AT219)</f>
        <v>0.659887072235414</v>
      </c>
      <c r="AR219" s="58" t="n">
        <f aca="false">IF($A219&lt;FECHA_EXPORT,NETWORKDAYS($A219+1,FECHA_EXPORT,FESTIVOS),0)</f>
        <v>0</v>
      </c>
      <c r="AS219" s="61" t="n">
        <f aca="false">IF(AR219&gt;=5,1,INDEX(CDF_INC,1,AR219+1))</f>
        <v>0.14</v>
      </c>
      <c r="AT219" s="61" t="n">
        <f aca="false">TASA_USADA+(TASA_INC-TASA_USADA)*Q_INC*(1-AS219)/(1-Q_INC*AS219)</f>
        <v>0.659887072235414</v>
      </c>
    </row>
    <row r="220" customFormat="false" ht="15" hidden="false" customHeight="false" outlineLevel="0" collapsed="false">
      <c r="A220" s="53" t="n">
        <v>46514</v>
      </c>
      <c r="B220" s="54"/>
      <c r="C220" s="54"/>
      <c r="D220" s="54"/>
      <c r="E220" s="54"/>
      <c r="F220" s="54"/>
      <c r="G220" s="54"/>
      <c r="H220" s="54"/>
      <c r="I220" s="54"/>
      <c r="J220" s="54"/>
      <c r="K220" s="54"/>
      <c r="L220" s="55"/>
      <c r="M220" s="55"/>
      <c r="N220" s="55"/>
      <c r="O220" s="56"/>
      <c r="P220" s="31" t="n">
        <f aca="false">B220+C220+D220</f>
        <v>0</v>
      </c>
      <c r="Q220" s="31" t="n">
        <f aca="false">AA220+AB220+AC220</f>
        <v>0</v>
      </c>
      <c r="R220" s="32" t="n">
        <f aca="false">B220*P1_PVP+C220*P2_PVP+D220*IF($A220&lt;P3_DESDE,P3A_PVP,P3_PVP)</f>
        <v>0</v>
      </c>
      <c r="S220" s="32" t="str">
        <f aca="false">IF(P220&gt;0,R220/P220,"")</f>
        <v/>
      </c>
      <c r="T220" s="32" t="str">
        <f aca="false">IF(P220&gt;0,N220/P220,"")</f>
        <v/>
      </c>
      <c r="U220" s="57" t="str">
        <f aca="false">IF(N220&gt;0,R220/N220,"")</f>
        <v/>
      </c>
      <c r="V220" s="34" t="str">
        <f aca="false">IF(E220+F220+G220+H220+I220+J220&gt;0,(E220+F220+G220)/(E220+F220+G220+H220+I220+J220),"")</f>
        <v/>
      </c>
      <c r="W220" s="33" t="n">
        <f aca="false">E220*(P1_PVP-P1_CPROD)+F220*(P2_PVP-P2_CPROD)+G220*(IF($A220&lt;P3_DESDE,P3A_PVP,P3_PVP)-IF($A220&lt;P3_DESDE,P3A_CPROD,P3_CPROD))-IF(ISNUMBER(L220),L220,E220*P1_LOG+F220*P2_LOG+G220*P3_LOG)</f>
        <v>0</v>
      </c>
      <c r="X220" s="33" t="n">
        <f aca="false">W220-(E220*P1_IVAN+F220*P2_IVAN+G220*IF($A220&lt;P3_DESDE,P3A_IVAN,P3_IVAN))-(H220+I220+J220)*(COSTE_DEV-IVA_DEV)-AM220-AO220</f>
        <v>0</v>
      </c>
      <c r="Y220" s="33" t="n">
        <f aca="false">AH220-AI220-AJ220-AK220-AL220-AM220-AO220</f>
        <v>0</v>
      </c>
      <c r="AA220" s="58" t="n">
        <f aca="false">MAX(0,B220-E220-H220)</f>
        <v>0</v>
      </c>
      <c r="AB220" s="58" t="n">
        <f aca="false">MAX(0,C220-F220-I220)</f>
        <v>0</v>
      </c>
      <c r="AC220" s="58" t="n">
        <f aca="false">MAX(0,D220-G220-J220)</f>
        <v>0</v>
      </c>
      <c r="AD220" s="59" t="n">
        <f aca="false">E220+AA220*AQ220</f>
        <v>0</v>
      </c>
      <c r="AE220" s="59" t="n">
        <f aca="false">F220+AB220*AQ220</f>
        <v>0</v>
      </c>
      <c r="AF220" s="59" t="n">
        <f aca="false">G220+AC220*AQ220</f>
        <v>0</v>
      </c>
      <c r="AG220" s="59" t="n">
        <f aca="false">H220+I220+J220+(AA220+AB220+AC220)*(1-AQ220)</f>
        <v>0</v>
      </c>
      <c r="AH220" s="60" t="n">
        <f aca="false">AD220*P1_PVP+AE220*P2_PVP+AF220*IF($A220&lt;P3_DESDE,P3A_PVP,P3_PVP)</f>
        <v>0</v>
      </c>
      <c r="AI220" s="60" t="n">
        <f aca="false">AD220*P1_CPROD+AE220*P2_CPROD+AF220*IF($A220&lt;P3_DESDE,P3A_CPROD,P3_CPROD)</f>
        <v>0</v>
      </c>
      <c r="AJ220" s="60" t="n">
        <f aca="false">IF(ISNUMBER(L220),L220,E220*P1_LOG+F220*P2_LOG+G220*P3_LOG)+IF(ISNUMBER(M220),M220,AA220*P1_LOG+AB220*P2_LOG+AC220*P3_LOG)*AQ220</f>
        <v>0</v>
      </c>
      <c r="AK220" s="60" t="n">
        <f aca="false">AG220*COSTE_DEV</f>
        <v>0</v>
      </c>
      <c r="AL220" s="60" t="n">
        <f aca="false">AD220*P1_IVAN+AE220*P2_IVAN+AF220*IF($A220&lt;P3_DESDE,P3A_IVAN,P3_IVAN)-AG220*IVA_DEV</f>
        <v>0</v>
      </c>
      <c r="AM220" s="60" t="n">
        <f aca="false">N220*(1+RECARGO_ADS)</f>
        <v>0</v>
      </c>
      <c r="AN220" s="58" t="n">
        <f aca="false">IF(ISNUMBER(L220),E220+F220+G220+AA220+AB220+AC220,0)</f>
        <v>0</v>
      </c>
      <c r="AO220" s="60" t="n">
        <f aca="false">P220*COMISION</f>
        <v>0</v>
      </c>
      <c r="AP220" s="58" t="n">
        <f aca="false">MIN(N(K220),Q220)</f>
        <v>0</v>
      </c>
      <c r="AQ220" s="61" t="n">
        <f aca="false">IF(Q220&gt;0,((Q220-AP220)*AT220+AP220*TASA_INC)/Q220,AT220)</f>
        <v>0.659887072235414</v>
      </c>
      <c r="AR220" s="58" t="n">
        <f aca="false">IF($A220&lt;FECHA_EXPORT,NETWORKDAYS($A220+1,FECHA_EXPORT,FESTIVOS),0)</f>
        <v>0</v>
      </c>
      <c r="AS220" s="61" t="n">
        <f aca="false">IF(AR220&gt;=5,1,INDEX(CDF_INC,1,AR220+1))</f>
        <v>0.14</v>
      </c>
      <c r="AT220" s="61" t="n">
        <f aca="false">TASA_USADA+(TASA_INC-TASA_USADA)*Q_INC*(1-AS220)/(1-Q_INC*AS220)</f>
        <v>0.659887072235414</v>
      </c>
    </row>
    <row r="221" customFormat="false" ht="15" hidden="false" customHeight="false" outlineLevel="0" collapsed="false">
      <c r="A221" s="53" t="n">
        <v>46515</v>
      </c>
      <c r="B221" s="54"/>
      <c r="C221" s="54"/>
      <c r="D221" s="54"/>
      <c r="E221" s="54"/>
      <c r="F221" s="54"/>
      <c r="G221" s="54"/>
      <c r="H221" s="54"/>
      <c r="I221" s="54"/>
      <c r="J221" s="54"/>
      <c r="K221" s="54"/>
      <c r="L221" s="55"/>
      <c r="M221" s="55"/>
      <c r="N221" s="55"/>
      <c r="O221" s="56"/>
      <c r="P221" s="31" t="n">
        <f aca="false">B221+C221+D221</f>
        <v>0</v>
      </c>
      <c r="Q221" s="31" t="n">
        <f aca="false">AA221+AB221+AC221</f>
        <v>0</v>
      </c>
      <c r="R221" s="32" t="n">
        <f aca="false">B221*P1_PVP+C221*P2_PVP+D221*IF($A221&lt;P3_DESDE,P3A_PVP,P3_PVP)</f>
        <v>0</v>
      </c>
      <c r="S221" s="32" t="str">
        <f aca="false">IF(P221&gt;0,R221/P221,"")</f>
        <v/>
      </c>
      <c r="T221" s="32" t="str">
        <f aca="false">IF(P221&gt;0,N221/P221,"")</f>
        <v/>
      </c>
      <c r="U221" s="57" t="str">
        <f aca="false">IF(N221&gt;0,R221/N221,"")</f>
        <v/>
      </c>
      <c r="V221" s="34" t="str">
        <f aca="false">IF(E221+F221+G221+H221+I221+J221&gt;0,(E221+F221+G221)/(E221+F221+G221+H221+I221+J221),"")</f>
        <v/>
      </c>
      <c r="W221" s="33" t="n">
        <f aca="false">E221*(P1_PVP-P1_CPROD)+F221*(P2_PVP-P2_CPROD)+G221*(IF($A221&lt;P3_DESDE,P3A_PVP,P3_PVP)-IF($A221&lt;P3_DESDE,P3A_CPROD,P3_CPROD))-IF(ISNUMBER(L221),L221,E221*P1_LOG+F221*P2_LOG+G221*P3_LOG)</f>
        <v>0</v>
      </c>
      <c r="X221" s="33" t="n">
        <f aca="false">W221-(E221*P1_IVAN+F221*P2_IVAN+G221*IF($A221&lt;P3_DESDE,P3A_IVAN,P3_IVAN))-(H221+I221+J221)*(COSTE_DEV-IVA_DEV)-AM221-AO221</f>
        <v>0</v>
      </c>
      <c r="Y221" s="33" t="n">
        <f aca="false">AH221-AI221-AJ221-AK221-AL221-AM221-AO221</f>
        <v>0</v>
      </c>
      <c r="AA221" s="58" t="n">
        <f aca="false">MAX(0,B221-E221-H221)</f>
        <v>0</v>
      </c>
      <c r="AB221" s="58" t="n">
        <f aca="false">MAX(0,C221-F221-I221)</f>
        <v>0</v>
      </c>
      <c r="AC221" s="58" t="n">
        <f aca="false">MAX(0,D221-G221-J221)</f>
        <v>0</v>
      </c>
      <c r="AD221" s="59" t="n">
        <f aca="false">E221+AA221*AQ221</f>
        <v>0</v>
      </c>
      <c r="AE221" s="59" t="n">
        <f aca="false">F221+AB221*AQ221</f>
        <v>0</v>
      </c>
      <c r="AF221" s="59" t="n">
        <f aca="false">G221+AC221*AQ221</f>
        <v>0</v>
      </c>
      <c r="AG221" s="59" t="n">
        <f aca="false">H221+I221+J221+(AA221+AB221+AC221)*(1-AQ221)</f>
        <v>0</v>
      </c>
      <c r="AH221" s="60" t="n">
        <f aca="false">AD221*P1_PVP+AE221*P2_PVP+AF221*IF($A221&lt;P3_DESDE,P3A_PVP,P3_PVP)</f>
        <v>0</v>
      </c>
      <c r="AI221" s="60" t="n">
        <f aca="false">AD221*P1_CPROD+AE221*P2_CPROD+AF221*IF($A221&lt;P3_DESDE,P3A_CPROD,P3_CPROD)</f>
        <v>0</v>
      </c>
      <c r="AJ221" s="60" t="n">
        <f aca="false">IF(ISNUMBER(L221),L221,E221*P1_LOG+F221*P2_LOG+G221*P3_LOG)+IF(ISNUMBER(M221),M221,AA221*P1_LOG+AB221*P2_LOG+AC221*P3_LOG)*AQ221</f>
        <v>0</v>
      </c>
      <c r="AK221" s="60" t="n">
        <f aca="false">AG221*COSTE_DEV</f>
        <v>0</v>
      </c>
      <c r="AL221" s="60" t="n">
        <f aca="false">AD221*P1_IVAN+AE221*P2_IVAN+AF221*IF($A221&lt;P3_DESDE,P3A_IVAN,P3_IVAN)-AG221*IVA_DEV</f>
        <v>0</v>
      </c>
      <c r="AM221" s="60" t="n">
        <f aca="false">N221*(1+RECARGO_ADS)</f>
        <v>0</v>
      </c>
      <c r="AN221" s="58" t="n">
        <f aca="false">IF(ISNUMBER(L221),E221+F221+G221+AA221+AB221+AC221,0)</f>
        <v>0</v>
      </c>
      <c r="AO221" s="60" t="n">
        <f aca="false">P221*COMISION</f>
        <v>0</v>
      </c>
      <c r="AP221" s="58" t="n">
        <f aca="false">MIN(N(K221),Q221)</f>
        <v>0</v>
      </c>
      <c r="AQ221" s="61" t="n">
        <f aca="false">IF(Q221&gt;0,((Q221-AP221)*AT221+AP221*TASA_INC)/Q221,AT221)</f>
        <v>0.659887072235414</v>
      </c>
      <c r="AR221" s="58" t="n">
        <f aca="false">IF($A221&lt;FECHA_EXPORT,NETWORKDAYS($A221+1,FECHA_EXPORT,FESTIVOS),0)</f>
        <v>0</v>
      </c>
      <c r="AS221" s="61" t="n">
        <f aca="false">IF(AR221&gt;=5,1,INDEX(CDF_INC,1,AR221+1))</f>
        <v>0.14</v>
      </c>
      <c r="AT221" s="61" t="n">
        <f aca="false">TASA_USADA+(TASA_INC-TASA_USADA)*Q_INC*(1-AS221)/(1-Q_INC*AS221)</f>
        <v>0.659887072235414</v>
      </c>
    </row>
    <row r="222" customFormat="false" ht="15" hidden="false" customHeight="false" outlineLevel="0" collapsed="false">
      <c r="A222" s="53" t="n">
        <v>46516</v>
      </c>
      <c r="B222" s="54"/>
      <c r="C222" s="54"/>
      <c r="D222" s="54"/>
      <c r="E222" s="54"/>
      <c r="F222" s="54"/>
      <c r="G222" s="54"/>
      <c r="H222" s="54"/>
      <c r="I222" s="54"/>
      <c r="J222" s="54"/>
      <c r="K222" s="54"/>
      <c r="L222" s="55"/>
      <c r="M222" s="55"/>
      <c r="N222" s="55"/>
      <c r="O222" s="56"/>
      <c r="P222" s="31" t="n">
        <f aca="false">B222+C222+D222</f>
        <v>0</v>
      </c>
      <c r="Q222" s="31" t="n">
        <f aca="false">AA222+AB222+AC222</f>
        <v>0</v>
      </c>
      <c r="R222" s="32" t="n">
        <f aca="false">B222*P1_PVP+C222*P2_PVP+D222*IF($A222&lt;P3_DESDE,P3A_PVP,P3_PVP)</f>
        <v>0</v>
      </c>
      <c r="S222" s="32" t="str">
        <f aca="false">IF(P222&gt;0,R222/P222,"")</f>
        <v/>
      </c>
      <c r="T222" s="32" t="str">
        <f aca="false">IF(P222&gt;0,N222/P222,"")</f>
        <v/>
      </c>
      <c r="U222" s="57" t="str">
        <f aca="false">IF(N222&gt;0,R222/N222,"")</f>
        <v/>
      </c>
      <c r="V222" s="34" t="str">
        <f aca="false">IF(E222+F222+G222+H222+I222+J222&gt;0,(E222+F222+G222)/(E222+F222+G222+H222+I222+J222),"")</f>
        <v/>
      </c>
      <c r="W222" s="33" t="n">
        <f aca="false">E222*(P1_PVP-P1_CPROD)+F222*(P2_PVP-P2_CPROD)+G222*(IF($A222&lt;P3_DESDE,P3A_PVP,P3_PVP)-IF($A222&lt;P3_DESDE,P3A_CPROD,P3_CPROD))-IF(ISNUMBER(L222),L222,E222*P1_LOG+F222*P2_LOG+G222*P3_LOG)</f>
        <v>0</v>
      </c>
      <c r="X222" s="33" t="n">
        <f aca="false">W222-(E222*P1_IVAN+F222*P2_IVAN+G222*IF($A222&lt;P3_DESDE,P3A_IVAN,P3_IVAN))-(H222+I222+J222)*(COSTE_DEV-IVA_DEV)-AM222-AO222</f>
        <v>0</v>
      </c>
      <c r="Y222" s="33" t="n">
        <f aca="false">AH222-AI222-AJ222-AK222-AL222-AM222-AO222</f>
        <v>0</v>
      </c>
      <c r="AA222" s="58" t="n">
        <f aca="false">MAX(0,B222-E222-H222)</f>
        <v>0</v>
      </c>
      <c r="AB222" s="58" t="n">
        <f aca="false">MAX(0,C222-F222-I222)</f>
        <v>0</v>
      </c>
      <c r="AC222" s="58" t="n">
        <f aca="false">MAX(0,D222-G222-J222)</f>
        <v>0</v>
      </c>
      <c r="AD222" s="59" t="n">
        <f aca="false">E222+AA222*AQ222</f>
        <v>0</v>
      </c>
      <c r="AE222" s="59" t="n">
        <f aca="false">F222+AB222*AQ222</f>
        <v>0</v>
      </c>
      <c r="AF222" s="59" t="n">
        <f aca="false">G222+AC222*AQ222</f>
        <v>0</v>
      </c>
      <c r="AG222" s="59" t="n">
        <f aca="false">H222+I222+J222+(AA222+AB222+AC222)*(1-AQ222)</f>
        <v>0</v>
      </c>
      <c r="AH222" s="60" t="n">
        <f aca="false">AD222*P1_PVP+AE222*P2_PVP+AF222*IF($A222&lt;P3_DESDE,P3A_PVP,P3_PVP)</f>
        <v>0</v>
      </c>
      <c r="AI222" s="60" t="n">
        <f aca="false">AD222*P1_CPROD+AE222*P2_CPROD+AF222*IF($A222&lt;P3_DESDE,P3A_CPROD,P3_CPROD)</f>
        <v>0</v>
      </c>
      <c r="AJ222" s="60" t="n">
        <f aca="false">IF(ISNUMBER(L222),L222,E222*P1_LOG+F222*P2_LOG+G222*P3_LOG)+IF(ISNUMBER(M222),M222,AA222*P1_LOG+AB222*P2_LOG+AC222*P3_LOG)*AQ222</f>
        <v>0</v>
      </c>
      <c r="AK222" s="60" t="n">
        <f aca="false">AG222*COSTE_DEV</f>
        <v>0</v>
      </c>
      <c r="AL222" s="60" t="n">
        <f aca="false">AD222*P1_IVAN+AE222*P2_IVAN+AF222*IF($A222&lt;P3_DESDE,P3A_IVAN,P3_IVAN)-AG222*IVA_DEV</f>
        <v>0</v>
      </c>
      <c r="AM222" s="60" t="n">
        <f aca="false">N222*(1+RECARGO_ADS)</f>
        <v>0</v>
      </c>
      <c r="AN222" s="58" t="n">
        <f aca="false">IF(ISNUMBER(L222),E222+F222+G222+AA222+AB222+AC222,0)</f>
        <v>0</v>
      </c>
      <c r="AO222" s="60" t="n">
        <f aca="false">P222*COMISION</f>
        <v>0</v>
      </c>
      <c r="AP222" s="58" t="n">
        <f aca="false">MIN(N(K222),Q222)</f>
        <v>0</v>
      </c>
      <c r="AQ222" s="61" t="n">
        <f aca="false">IF(Q222&gt;0,((Q222-AP222)*AT222+AP222*TASA_INC)/Q222,AT222)</f>
        <v>0.659887072235414</v>
      </c>
      <c r="AR222" s="58" t="n">
        <f aca="false">IF($A222&lt;FECHA_EXPORT,NETWORKDAYS($A222+1,FECHA_EXPORT,FESTIVOS),0)</f>
        <v>0</v>
      </c>
      <c r="AS222" s="61" t="n">
        <f aca="false">IF(AR222&gt;=5,1,INDEX(CDF_INC,1,AR222+1))</f>
        <v>0.14</v>
      </c>
      <c r="AT222" s="61" t="n">
        <f aca="false">TASA_USADA+(TASA_INC-TASA_USADA)*Q_INC*(1-AS222)/(1-Q_INC*AS222)</f>
        <v>0.659887072235414</v>
      </c>
    </row>
    <row r="223" customFormat="false" ht="15" hidden="false" customHeight="false" outlineLevel="0" collapsed="false">
      <c r="A223" s="53" t="n">
        <v>46517</v>
      </c>
      <c r="B223" s="54"/>
      <c r="C223" s="54"/>
      <c r="D223" s="54"/>
      <c r="E223" s="54"/>
      <c r="F223" s="54"/>
      <c r="G223" s="54"/>
      <c r="H223" s="54"/>
      <c r="I223" s="54"/>
      <c r="J223" s="54"/>
      <c r="K223" s="54"/>
      <c r="L223" s="55"/>
      <c r="M223" s="55"/>
      <c r="N223" s="55"/>
      <c r="O223" s="56"/>
      <c r="P223" s="31" t="n">
        <f aca="false">B223+C223+D223</f>
        <v>0</v>
      </c>
      <c r="Q223" s="31" t="n">
        <f aca="false">AA223+AB223+AC223</f>
        <v>0</v>
      </c>
      <c r="R223" s="32" t="n">
        <f aca="false">B223*P1_PVP+C223*P2_PVP+D223*IF($A223&lt;P3_DESDE,P3A_PVP,P3_PVP)</f>
        <v>0</v>
      </c>
      <c r="S223" s="32" t="str">
        <f aca="false">IF(P223&gt;0,R223/P223,"")</f>
        <v/>
      </c>
      <c r="T223" s="32" t="str">
        <f aca="false">IF(P223&gt;0,N223/P223,"")</f>
        <v/>
      </c>
      <c r="U223" s="57" t="str">
        <f aca="false">IF(N223&gt;0,R223/N223,"")</f>
        <v/>
      </c>
      <c r="V223" s="34" t="str">
        <f aca="false">IF(E223+F223+G223+H223+I223+J223&gt;0,(E223+F223+G223)/(E223+F223+G223+H223+I223+J223),"")</f>
        <v/>
      </c>
      <c r="W223" s="33" t="n">
        <f aca="false">E223*(P1_PVP-P1_CPROD)+F223*(P2_PVP-P2_CPROD)+G223*(IF($A223&lt;P3_DESDE,P3A_PVP,P3_PVP)-IF($A223&lt;P3_DESDE,P3A_CPROD,P3_CPROD))-IF(ISNUMBER(L223),L223,E223*P1_LOG+F223*P2_LOG+G223*P3_LOG)</f>
        <v>0</v>
      </c>
      <c r="X223" s="33" t="n">
        <f aca="false">W223-(E223*P1_IVAN+F223*P2_IVAN+G223*IF($A223&lt;P3_DESDE,P3A_IVAN,P3_IVAN))-(H223+I223+J223)*(COSTE_DEV-IVA_DEV)-AM223-AO223</f>
        <v>0</v>
      </c>
      <c r="Y223" s="33" t="n">
        <f aca="false">AH223-AI223-AJ223-AK223-AL223-AM223-AO223</f>
        <v>0</v>
      </c>
      <c r="AA223" s="58" t="n">
        <f aca="false">MAX(0,B223-E223-H223)</f>
        <v>0</v>
      </c>
      <c r="AB223" s="58" t="n">
        <f aca="false">MAX(0,C223-F223-I223)</f>
        <v>0</v>
      </c>
      <c r="AC223" s="58" t="n">
        <f aca="false">MAX(0,D223-G223-J223)</f>
        <v>0</v>
      </c>
      <c r="AD223" s="59" t="n">
        <f aca="false">E223+AA223*AQ223</f>
        <v>0</v>
      </c>
      <c r="AE223" s="59" t="n">
        <f aca="false">F223+AB223*AQ223</f>
        <v>0</v>
      </c>
      <c r="AF223" s="59" t="n">
        <f aca="false">G223+AC223*AQ223</f>
        <v>0</v>
      </c>
      <c r="AG223" s="59" t="n">
        <f aca="false">H223+I223+J223+(AA223+AB223+AC223)*(1-AQ223)</f>
        <v>0</v>
      </c>
      <c r="AH223" s="60" t="n">
        <f aca="false">AD223*P1_PVP+AE223*P2_PVP+AF223*IF($A223&lt;P3_DESDE,P3A_PVP,P3_PVP)</f>
        <v>0</v>
      </c>
      <c r="AI223" s="60" t="n">
        <f aca="false">AD223*P1_CPROD+AE223*P2_CPROD+AF223*IF($A223&lt;P3_DESDE,P3A_CPROD,P3_CPROD)</f>
        <v>0</v>
      </c>
      <c r="AJ223" s="60" t="n">
        <f aca="false">IF(ISNUMBER(L223),L223,E223*P1_LOG+F223*P2_LOG+G223*P3_LOG)+IF(ISNUMBER(M223),M223,AA223*P1_LOG+AB223*P2_LOG+AC223*P3_LOG)*AQ223</f>
        <v>0</v>
      </c>
      <c r="AK223" s="60" t="n">
        <f aca="false">AG223*COSTE_DEV</f>
        <v>0</v>
      </c>
      <c r="AL223" s="60" t="n">
        <f aca="false">AD223*P1_IVAN+AE223*P2_IVAN+AF223*IF($A223&lt;P3_DESDE,P3A_IVAN,P3_IVAN)-AG223*IVA_DEV</f>
        <v>0</v>
      </c>
      <c r="AM223" s="60" t="n">
        <f aca="false">N223*(1+RECARGO_ADS)</f>
        <v>0</v>
      </c>
      <c r="AN223" s="58" t="n">
        <f aca="false">IF(ISNUMBER(L223),E223+F223+G223+AA223+AB223+AC223,0)</f>
        <v>0</v>
      </c>
      <c r="AO223" s="60" t="n">
        <f aca="false">P223*COMISION</f>
        <v>0</v>
      </c>
      <c r="AP223" s="58" t="n">
        <f aca="false">MIN(N(K223),Q223)</f>
        <v>0</v>
      </c>
      <c r="AQ223" s="61" t="n">
        <f aca="false">IF(Q223&gt;0,((Q223-AP223)*AT223+AP223*TASA_INC)/Q223,AT223)</f>
        <v>0.659887072235414</v>
      </c>
      <c r="AR223" s="58" t="n">
        <f aca="false">IF($A223&lt;FECHA_EXPORT,NETWORKDAYS($A223+1,FECHA_EXPORT,FESTIVOS),0)</f>
        <v>0</v>
      </c>
      <c r="AS223" s="61" t="n">
        <f aca="false">IF(AR223&gt;=5,1,INDEX(CDF_INC,1,AR223+1))</f>
        <v>0.14</v>
      </c>
      <c r="AT223" s="61" t="n">
        <f aca="false">TASA_USADA+(TASA_INC-TASA_USADA)*Q_INC*(1-AS223)/(1-Q_INC*AS223)</f>
        <v>0.659887072235414</v>
      </c>
    </row>
    <row r="224" customFormat="false" ht="15" hidden="false" customHeight="false" outlineLevel="0" collapsed="false">
      <c r="A224" s="53" t="n">
        <v>46518</v>
      </c>
      <c r="B224" s="54"/>
      <c r="C224" s="54"/>
      <c r="D224" s="54"/>
      <c r="E224" s="54"/>
      <c r="F224" s="54"/>
      <c r="G224" s="54"/>
      <c r="H224" s="54"/>
      <c r="I224" s="54"/>
      <c r="J224" s="54"/>
      <c r="K224" s="54"/>
      <c r="L224" s="55"/>
      <c r="M224" s="55"/>
      <c r="N224" s="55"/>
      <c r="O224" s="56"/>
      <c r="P224" s="31" t="n">
        <f aca="false">B224+C224+D224</f>
        <v>0</v>
      </c>
      <c r="Q224" s="31" t="n">
        <f aca="false">AA224+AB224+AC224</f>
        <v>0</v>
      </c>
      <c r="R224" s="32" t="n">
        <f aca="false">B224*P1_PVP+C224*P2_PVP+D224*IF($A224&lt;P3_DESDE,P3A_PVP,P3_PVP)</f>
        <v>0</v>
      </c>
      <c r="S224" s="32" t="str">
        <f aca="false">IF(P224&gt;0,R224/P224,"")</f>
        <v/>
      </c>
      <c r="T224" s="32" t="str">
        <f aca="false">IF(P224&gt;0,N224/P224,"")</f>
        <v/>
      </c>
      <c r="U224" s="57" t="str">
        <f aca="false">IF(N224&gt;0,R224/N224,"")</f>
        <v/>
      </c>
      <c r="V224" s="34" t="str">
        <f aca="false">IF(E224+F224+G224+H224+I224+J224&gt;0,(E224+F224+G224)/(E224+F224+G224+H224+I224+J224),"")</f>
        <v/>
      </c>
      <c r="W224" s="33" t="n">
        <f aca="false">E224*(P1_PVP-P1_CPROD)+F224*(P2_PVP-P2_CPROD)+G224*(IF($A224&lt;P3_DESDE,P3A_PVP,P3_PVP)-IF($A224&lt;P3_DESDE,P3A_CPROD,P3_CPROD))-IF(ISNUMBER(L224),L224,E224*P1_LOG+F224*P2_LOG+G224*P3_LOG)</f>
        <v>0</v>
      </c>
      <c r="X224" s="33" t="n">
        <f aca="false">W224-(E224*P1_IVAN+F224*P2_IVAN+G224*IF($A224&lt;P3_DESDE,P3A_IVAN,P3_IVAN))-(H224+I224+J224)*(COSTE_DEV-IVA_DEV)-AM224-AO224</f>
        <v>0</v>
      </c>
      <c r="Y224" s="33" t="n">
        <f aca="false">AH224-AI224-AJ224-AK224-AL224-AM224-AO224</f>
        <v>0</v>
      </c>
      <c r="AA224" s="58" t="n">
        <f aca="false">MAX(0,B224-E224-H224)</f>
        <v>0</v>
      </c>
      <c r="AB224" s="58" t="n">
        <f aca="false">MAX(0,C224-F224-I224)</f>
        <v>0</v>
      </c>
      <c r="AC224" s="58" t="n">
        <f aca="false">MAX(0,D224-G224-J224)</f>
        <v>0</v>
      </c>
      <c r="AD224" s="59" t="n">
        <f aca="false">E224+AA224*AQ224</f>
        <v>0</v>
      </c>
      <c r="AE224" s="59" t="n">
        <f aca="false">F224+AB224*AQ224</f>
        <v>0</v>
      </c>
      <c r="AF224" s="59" t="n">
        <f aca="false">G224+AC224*AQ224</f>
        <v>0</v>
      </c>
      <c r="AG224" s="59" t="n">
        <f aca="false">H224+I224+J224+(AA224+AB224+AC224)*(1-AQ224)</f>
        <v>0</v>
      </c>
      <c r="AH224" s="60" t="n">
        <f aca="false">AD224*P1_PVP+AE224*P2_PVP+AF224*IF($A224&lt;P3_DESDE,P3A_PVP,P3_PVP)</f>
        <v>0</v>
      </c>
      <c r="AI224" s="60" t="n">
        <f aca="false">AD224*P1_CPROD+AE224*P2_CPROD+AF224*IF($A224&lt;P3_DESDE,P3A_CPROD,P3_CPROD)</f>
        <v>0</v>
      </c>
      <c r="AJ224" s="60" t="n">
        <f aca="false">IF(ISNUMBER(L224),L224,E224*P1_LOG+F224*P2_LOG+G224*P3_LOG)+IF(ISNUMBER(M224),M224,AA224*P1_LOG+AB224*P2_LOG+AC224*P3_LOG)*AQ224</f>
        <v>0</v>
      </c>
      <c r="AK224" s="60" t="n">
        <f aca="false">AG224*COSTE_DEV</f>
        <v>0</v>
      </c>
      <c r="AL224" s="60" t="n">
        <f aca="false">AD224*P1_IVAN+AE224*P2_IVAN+AF224*IF($A224&lt;P3_DESDE,P3A_IVAN,P3_IVAN)-AG224*IVA_DEV</f>
        <v>0</v>
      </c>
      <c r="AM224" s="60" t="n">
        <f aca="false">N224*(1+RECARGO_ADS)</f>
        <v>0</v>
      </c>
      <c r="AN224" s="58" t="n">
        <f aca="false">IF(ISNUMBER(L224),E224+F224+G224+AA224+AB224+AC224,0)</f>
        <v>0</v>
      </c>
      <c r="AO224" s="60" t="n">
        <f aca="false">P224*COMISION</f>
        <v>0</v>
      </c>
      <c r="AP224" s="58" t="n">
        <f aca="false">MIN(N(K224),Q224)</f>
        <v>0</v>
      </c>
      <c r="AQ224" s="61" t="n">
        <f aca="false">IF(Q224&gt;0,((Q224-AP224)*AT224+AP224*TASA_INC)/Q224,AT224)</f>
        <v>0.659887072235414</v>
      </c>
      <c r="AR224" s="58" t="n">
        <f aca="false">IF($A224&lt;FECHA_EXPORT,NETWORKDAYS($A224+1,FECHA_EXPORT,FESTIVOS),0)</f>
        <v>0</v>
      </c>
      <c r="AS224" s="61" t="n">
        <f aca="false">IF(AR224&gt;=5,1,INDEX(CDF_INC,1,AR224+1))</f>
        <v>0.14</v>
      </c>
      <c r="AT224" s="61" t="n">
        <f aca="false">TASA_USADA+(TASA_INC-TASA_USADA)*Q_INC*(1-AS224)/(1-Q_INC*AS224)</f>
        <v>0.659887072235414</v>
      </c>
    </row>
    <row r="225" customFormat="false" ht="15" hidden="false" customHeight="false" outlineLevel="0" collapsed="false">
      <c r="A225" s="53" t="n">
        <v>46519</v>
      </c>
      <c r="B225" s="54"/>
      <c r="C225" s="54"/>
      <c r="D225" s="54"/>
      <c r="E225" s="54"/>
      <c r="F225" s="54"/>
      <c r="G225" s="54"/>
      <c r="H225" s="54"/>
      <c r="I225" s="54"/>
      <c r="J225" s="54"/>
      <c r="K225" s="54"/>
      <c r="L225" s="55"/>
      <c r="M225" s="55"/>
      <c r="N225" s="55"/>
      <c r="O225" s="56"/>
      <c r="P225" s="31" t="n">
        <f aca="false">B225+C225+D225</f>
        <v>0</v>
      </c>
      <c r="Q225" s="31" t="n">
        <f aca="false">AA225+AB225+AC225</f>
        <v>0</v>
      </c>
      <c r="R225" s="32" t="n">
        <f aca="false">B225*P1_PVP+C225*P2_PVP+D225*IF($A225&lt;P3_DESDE,P3A_PVP,P3_PVP)</f>
        <v>0</v>
      </c>
      <c r="S225" s="32" t="str">
        <f aca="false">IF(P225&gt;0,R225/P225,"")</f>
        <v/>
      </c>
      <c r="T225" s="32" t="str">
        <f aca="false">IF(P225&gt;0,N225/P225,"")</f>
        <v/>
      </c>
      <c r="U225" s="57" t="str">
        <f aca="false">IF(N225&gt;0,R225/N225,"")</f>
        <v/>
      </c>
      <c r="V225" s="34" t="str">
        <f aca="false">IF(E225+F225+G225+H225+I225+J225&gt;0,(E225+F225+G225)/(E225+F225+G225+H225+I225+J225),"")</f>
        <v/>
      </c>
      <c r="W225" s="33" t="n">
        <f aca="false">E225*(P1_PVP-P1_CPROD)+F225*(P2_PVP-P2_CPROD)+G225*(IF($A225&lt;P3_DESDE,P3A_PVP,P3_PVP)-IF($A225&lt;P3_DESDE,P3A_CPROD,P3_CPROD))-IF(ISNUMBER(L225),L225,E225*P1_LOG+F225*P2_LOG+G225*P3_LOG)</f>
        <v>0</v>
      </c>
      <c r="X225" s="33" t="n">
        <f aca="false">W225-(E225*P1_IVAN+F225*P2_IVAN+G225*IF($A225&lt;P3_DESDE,P3A_IVAN,P3_IVAN))-(H225+I225+J225)*(COSTE_DEV-IVA_DEV)-AM225-AO225</f>
        <v>0</v>
      </c>
      <c r="Y225" s="33" t="n">
        <f aca="false">AH225-AI225-AJ225-AK225-AL225-AM225-AO225</f>
        <v>0</v>
      </c>
      <c r="AA225" s="58" t="n">
        <f aca="false">MAX(0,B225-E225-H225)</f>
        <v>0</v>
      </c>
      <c r="AB225" s="58" t="n">
        <f aca="false">MAX(0,C225-F225-I225)</f>
        <v>0</v>
      </c>
      <c r="AC225" s="58" t="n">
        <f aca="false">MAX(0,D225-G225-J225)</f>
        <v>0</v>
      </c>
      <c r="AD225" s="59" t="n">
        <f aca="false">E225+AA225*AQ225</f>
        <v>0</v>
      </c>
      <c r="AE225" s="59" t="n">
        <f aca="false">F225+AB225*AQ225</f>
        <v>0</v>
      </c>
      <c r="AF225" s="59" t="n">
        <f aca="false">G225+AC225*AQ225</f>
        <v>0</v>
      </c>
      <c r="AG225" s="59" t="n">
        <f aca="false">H225+I225+J225+(AA225+AB225+AC225)*(1-AQ225)</f>
        <v>0</v>
      </c>
      <c r="AH225" s="60" t="n">
        <f aca="false">AD225*P1_PVP+AE225*P2_PVP+AF225*IF($A225&lt;P3_DESDE,P3A_PVP,P3_PVP)</f>
        <v>0</v>
      </c>
      <c r="AI225" s="60" t="n">
        <f aca="false">AD225*P1_CPROD+AE225*P2_CPROD+AF225*IF($A225&lt;P3_DESDE,P3A_CPROD,P3_CPROD)</f>
        <v>0</v>
      </c>
      <c r="AJ225" s="60" t="n">
        <f aca="false">IF(ISNUMBER(L225),L225,E225*P1_LOG+F225*P2_LOG+G225*P3_LOG)+IF(ISNUMBER(M225),M225,AA225*P1_LOG+AB225*P2_LOG+AC225*P3_LOG)*AQ225</f>
        <v>0</v>
      </c>
      <c r="AK225" s="60" t="n">
        <f aca="false">AG225*COSTE_DEV</f>
        <v>0</v>
      </c>
      <c r="AL225" s="60" t="n">
        <f aca="false">AD225*P1_IVAN+AE225*P2_IVAN+AF225*IF($A225&lt;P3_DESDE,P3A_IVAN,P3_IVAN)-AG225*IVA_DEV</f>
        <v>0</v>
      </c>
      <c r="AM225" s="60" t="n">
        <f aca="false">N225*(1+RECARGO_ADS)</f>
        <v>0</v>
      </c>
      <c r="AN225" s="58" t="n">
        <f aca="false">IF(ISNUMBER(L225),E225+F225+G225+AA225+AB225+AC225,0)</f>
        <v>0</v>
      </c>
      <c r="AO225" s="60" t="n">
        <f aca="false">P225*COMISION</f>
        <v>0</v>
      </c>
      <c r="AP225" s="58" t="n">
        <f aca="false">MIN(N(K225),Q225)</f>
        <v>0</v>
      </c>
      <c r="AQ225" s="61" t="n">
        <f aca="false">IF(Q225&gt;0,((Q225-AP225)*AT225+AP225*TASA_INC)/Q225,AT225)</f>
        <v>0.659887072235414</v>
      </c>
      <c r="AR225" s="58" t="n">
        <f aca="false">IF($A225&lt;FECHA_EXPORT,NETWORKDAYS($A225+1,FECHA_EXPORT,FESTIVOS),0)</f>
        <v>0</v>
      </c>
      <c r="AS225" s="61" t="n">
        <f aca="false">IF(AR225&gt;=5,1,INDEX(CDF_INC,1,AR225+1))</f>
        <v>0.14</v>
      </c>
      <c r="AT225" s="61" t="n">
        <f aca="false">TASA_USADA+(TASA_INC-TASA_USADA)*Q_INC*(1-AS225)/(1-Q_INC*AS225)</f>
        <v>0.659887072235414</v>
      </c>
    </row>
    <row r="226" customFormat="false" ht="15" hidden="false" customHeight="false" outlineLevel="0" collapsed="false">
      <c r="A226" s="53" t="n">
        <v>46520</v>
      </c>
      <c r="B226" s="54"/>
      <c r="C226" s="54"/>
      <c r="D226" s="54"/>
      <c r="E226" s="54"/>
      <c r="F226" s="54"/>
      <c r="G226" s="54"/>
      <c r="H226" s="54"/>
      <c r="I226" s="54"/>
      <c r="J226" s="54"/>
      <c r="K226" s="54"/>
      <c r="L226" s="55"/>
      <c r="M226" s="55"/>
      <c r="N226" s="55"/>
      <c r="O226" s="56"/>
      <c r="P226" s="31" t="n">
        <f aca="false">B226+C226+D226</f>
        <v>0</v>
      </c>
      <c r="Q226" s="31" t="n">
        <f aca="false">AA226+AB226+AC226</f>
        <v>0</v>
      </c>
      <c r="R226" s="32" t="n">
        <f aca="false">B226*P1_PVP+C226*P2_PVP+D226*IF($A226&lt;P3_DESDE,P3A_PVP,P3_PVP)</f>
        <v>0</v>
      </c>
      <c r="S226" s="32" t="str">
        <f aca="false">IF(P226&gt;0,R226/P226,"")</f>
        <v/>
      </c>
      <c r="T226" s="32" t="str">
        <f aca="false">IF(P226&gt;0,N226/P226,"")</f>
        <v/>
      </c>
      <c r="U226" s="57" t="str">
        <f aca="false">IF(N226&gt;0,R226/N226,"")</f>
        <v/>
      </c>
      <c r="V226" s="34" t="str">
        <f aca="false">IF(E226+F226+G226+H226+I226+J226&gt;0,(E226+F226+G226)/(E226+F226+G226+H226+I226+J226),"")</f>
        <v/>
      </c>
      <c r="W226" s="33" t="n">
        <f aca="false">E226*(P1_PVP-P1_CPROD)+F226*(P2_PVP-P2_CPROD)+G226*(IF($A226&lt;P3_DESDE,P3A_PVP,P3_PVP)-IF($A226&lt;P3_DESDE,P3A_CPROD,P3_CPROD))-IF(ISNUMBER(L226),L226,E226*P1_LOG+F226*P2_LOG+G226*P3_LOG)</f>
        <v>0</v>
      </c>
      <c r="X226" s="33" t="n">
        <f aca="false">W226-(E226*P1_IVAN+F226*P2_IVAN+G226*IF($A226&lt;P3_DESDE,P3A_IVAN,P3_IVAN))-(H226+I226+J226)*(COSTE_DEV-IVA_DEV)-AM226-AO226</f>
        <v>0</v>
      </c>
      <c r="Y226" s="33" t="n">
        <f aca="false">AH226-AI226-AJ226-AK226-AL226-AM226-AO226</f>
        <v>0</v>
      </c>
      <c r="AA226" s="58" t="n">
        <f aca="false">MAX(0,B226-E226-H226)</f>
        <v>0</v>
      </c>
      <c r="AB226" s="58" t="n">
        <f aca="false">MAX(0,C226-F226-I226)</f>
        <v>0</v>
      </c>
      <c r="AC226" s="58" t="n">
        <f aca="false">MAX(0,D226-G226-J226)</f>
        <v>0</v>
      </c>
      <c r="AD226" s="59" t="n">
        <f aca="false">E226+AA226*AQ226</f>
        <v>0</v>
      </c>
      <c r="AE226" s="59" t="n">
        <f aca="false">F226+AB226*AQ226</f>
        <v>0</v>
      </c>
      <c r="AF226" s="59" t="n">
        <f aca="false">G226+AC226*AQ226</f>
        <v>0</v>
      </c>
      <c r="AG226" s="59" t="n">
        <f aca="false">H226+I226+J226+(AA226+AB226+AC226)*(1-AQ226)</f>
        <v>0</v>
      </c>
      <c r="AH226" s="60" t="n">
        <f aca="false">AD226*P1_PVP+AE226*P2_PVP+AF226*IF($A226&lt;P3_DESDE,P3A_PVP,P3_PVP)</f>
        <v>0</v>
      </c>
      <c r="AI226" s="60" t="n">
        <f aca="false">AD226*P1_CPROD+AE226*P2_CPROD+AF226*IF($A226&lt;P3_DESDE,P3A_CPROD,P3_CPROD)</f>
        <v>0</v>
      </c>
      <c r="AJ226" s="60" t="n">
        <f aca="false">IF(ISNUMBER(L226),L226,E226*P1_LOG+F226*P2_LOG+G226*P3_LOG)+IF(ISNUMBER(M226),M226,AA226*P1_LOG+AB226*P2_LOG+AC226*P3_LOG)*AQ226</f>
        <v>0</v>
      </c>
      <c r="AK226" s="60" t="n">
        <f aca="false">AG226*COSTE_DEV</f>
        <v>0</v>
      </c>
      <c r="AL226" s="60" t="n">
        <f aca="false">AD226*P1_IVAN+AE226*P2_IVAN+AF226*IF($A226&lt;P3_DESDE,P3A_IVAN,P3_IVAN)-AG226*IVA_DEV</f>
        <v>0</v>
      </c>
      <c r="AM226" s="60" t="n">
        <f aca="false">N226*(1+RECARGO_ADS)</f>
        <v>0</v>
      </c>
      <c r="AN226" s="58" t="n">
        <f aca="false">IF(ISNUMBER(L226),E226+F226+G226+AA226+AB226+AC226,0)</f>
        <v>0</v>
      </c>
      <c r="AO226" s="60" t="n">
        <f aca="false">P226*COMISION</f>
        <v>0</v>
      </c>
      <c r="AP226" s="58" t="n">
        <f aca="false">MIN(N(K226),Q226)</f>
        <v>0</v>
      </c>
      <c r="AQ226" s="61" t="n">
        <f aca="false">IF(Q226&gt;0,((Q226-AP226)*AT226+AP226*TASA_INC)/Q226,AT226)</f>
        <v>0.659887072235414</v>
      </c>
      <c r="AR226" s="58" t="n">
        <f aca="false">IF($A226&lt;FECHA_EXPORT,NETWORKDAYS($A226+1,FECHA_EXPORT,FESTIVOS),0)</f>
        <v>0</v>
      </c>
      <c r="AS226" s="61" t="n">
        <f aca="false">IF(AR226&gt;=5,1,INDEX(CDF_INC,1,AR226+1))</f>
        <v>0.14</v>
      </c>
      <c r="AT226" s="61" t="n">
        <f aca="false">TASA_USADA+(TASA_INC-TASA_USADA)*Q_INC*(1-AS226)/(1-Q_INC*AS226)</f>
        <v>0.659887072235414</v>
      </c>
    </row>
    <row r="227" customFormat="false" ht="15" hidden="false" customHeight="false" outlineLevel="0" collapsed="false">
      <c r="A227" s="53" t="n">
        <v>46521</v>
      </c>
      <c r="B227" s="54"/>
      <c r="C227" s="54"/>
      <c r="D227" s="54"/>
      <c r="E227" s="54"/>
      <c r="F227" s="54"/>
      <c r="G227" s="54"/>
      <c r="H227" s="54"/>
      <c r="I227" s="54"/>
      <c r="J227" s="54"/>
      <c r="K227" s="54"/>
      <c r="L227" s="55"/>
      <c r="M227" s="55"/>
      <c r="N227" s="55"/>
      <c r="O227" s="56"/>
      <c r="P227" s="31" t="n">
        <f aca="false">B227+C227+D227</f>
        <v>0</v>
      </c>
      <c r="Q227" s="31" t="n">
        <f aca="false">AA227+AB227+AC227</f>
        <v>0</v>
      </c>
      <c r="R227" s="32" t="n">
        <f aca="false">B227*P1_PVP+C227*P2_PVP+D227*IF($A227&lt;P3_DESDE,P3A_PVP,P3_PVP)</f>
        <v>0</v>
      </c>
      <c r="S227" s="32" t="str">
        <f aca="false">IF(P227&gt;0,R227/P227,"")</f>
        <v/>
      </c>
      <c r="T227" s="32" t="str">
        <f aca="false">IF(P227&gt;0,N227/P227,"")</f>
        <v/>
      </c>
      <c r="U227" s="57" t="str">
        <f aca="false">IF(N227&gt;0,R227/N227,"")</f>
        <v/>
      </c>
      <c r="V227" s="34" t="str">
        <f aca="false">IF(E227+F227+G227+H227+I227+J227&gt;0,(E227+F227+G227)/(E227+F227+G227+H227+I227+J227),"")</f>
        <v/>
      </c>
      <c r="W227" s="33" t="n">
        <f aca="false">E227*(P1_PVP-P1_CPROD)+F227*(P2_PVP-P2_CPROD)+G227*(IF($A227&lt;P3_DESDE,P3A_PVP,P3_PVP)-IF($A227&lt;P3_DESDE,P3A_CPROD,P3_CPROD))-IF(ISNUMBER(L227),L227,E227*P1_LOG+F227*P2_LOG+G227*P3_LOG)</f>
        <v>0</v>
      </c>
      <c r="X227" s="33" t="n">
        <f aca="false">W227-(E227*P1_IVAN+F227*P2_IVAN+G227*IF($A227&lt;P3_DESDE,P3A_IVAN,P3_IVAN))-(H227+I227+J227)*(COSTE_DEV-IVA_DEV)-AM227-AO227</f>
        <v>0</v>
      </c>
      <c r="Y227" s="33" t="n">
        <f aca="false">AH227-AI227-AJ227-AK227-AL227-AM227-AO227</f>
        <v>0</v>
      </c>
      <c r="AA227" s="58" t="n">
        <f aca="false">MAX(0,B227-E227-H227)</f>
        <v>0</v>
      </c>
      <c r="AB227" s="58" t="n">
        <f aca="false">MAX(0,C227-F227-I227)</f>
        <v>0</v>
      </c>
      <c r="AC227" s="58" t="n">
        <f aca="false">MAX(0,D227-G227-J227)</f>
        <v>0</v>
      </c>
      <c r="AD227" s="59" t="n">
        <f aca="false">E227+AA227*AQ227</f>
        <v>0</v>
      </c>
      <c r="AE227" s="59" t="n">
        <f aca="false">F227+AB227*AQ227</f>
        <v>0</v>
      </c>
      <c r="AF227" s="59" t="n">
        <f aca="false">G227+AC227*AQ227</f>
        <v>0</v>
      </c>
      <c r="AG227" s="59" t="n">
        <f aca="false">H227+I227+J227+(AA227+AB227+AC227)*(1-AQ227)</f>
        <v>0</v>
      </c>
      <c r="AH227" s="60" t="n">
        <f aca="false">AD227*P1_PVP+AE227*P2_PVP+AF227*IF($A227&lt;P3_DESDE,P3A_PVP,P3_PVP)</f>
        <v>0</v>
      </c>
      <c r="AI227" s="60" t="n">
        <f aca="false">AD227*P1_CPROD+AE227*P2_CPROD+AF227*IF($A227&lt;P3_DESDE,P3A_CPROD,P3_CPROD)</f>
        <v>0</v>
      </c>
      <c r="AJ227" s="60" t="n">
        <f aca="false">IF(ISNUMBER(L227),L227,E227*P1_LOG+F227*P2_LOG+G227*P3_LOG)+IF(ISNUMBER(M227),M227,AA227*P1_LOG+AB227*P2_LOG+AC227*P3_LOG)*AQ227</f>
        <v>0</v>
      </c>
      <c r="AK227" s="60" t="n">
        <f aca="false">AG227*COSTE_DEV</f>
        <v>0</v>
      </c>
      <c r="AL227" s="60" t="n">
        <f aca="false">AD227*P1_IVAN+AE227*P2_IVAN+AF227*IF($A227&lt;P3_DESDE,P3A_IVAN,P3_IVAN)-AG227*IVA_DEV</f>
        <v>0</v>
      </c>
      <c r="AM227" s="60" t="n">
        <f aca="false">N227*(1+RECARGO_ADS)</f>
        <v>0</v>
      </c>
      <c r="AN227" s="58" t="n">
        <f aca="false">IF(ISNUMBER(L227),E227+F227+G227+AA227+AB227+AC227,0)</f>
        <v>0</v>
      </c>
      <c r="AO227" s="60" t="n">
        <f aca="false">P227*COMISION</f>
        <v>0</v>
      </c>
      <c r="AP227" s="58" t="n">
        <f aca="false">MIN(N(K227),Q227)</f>
        <v>0</v>
      </c>
      <c r="AQ227" s="61" t="n">
        <f aca="false">IF(Q227&gt;0,((Q227-AP227)*AT227+AP227*TASA_INC)/Q227,AT227)</f>
        <v>0.659887072235414</v>
      </c>
      <c r="AR227" s="58" t="n">
        <f aca="false">IF($A227&lt;FECHA_EXPORT,NETWORKDAYS($A227+1,FECHA_EXPORT,FESTIVOS),0)</f>
        <v>0</v>
      </c>
      <c r="AS227" s="61" t="n">
        <f aca="false">IF(AR227&gt;=5,1,INDEX(CDF_INC,1,AR227+1))</f>
        <v>0.14</v>
      </c>
      <c r="AT227" s="61" t="n">
        <f aca="false">TASA_USADA+(TASA_INC-TASA_USADA)*Q_INC*(1-AS227)/(1-Q_INC*AS227)</f>
        <v>0.659887072235414</v>
      </c>
    </row>
    <row r="228" customFormat="false" ht="15" hidden="false" customHeight="false" outlineLevel="0" collapsed="false">
      <c r="A228" s="53" t="n">
        <v>46522</v>
      </c>
      <c r="B228" s="54"/>
      <c r="C228" s="54"/>
      <c r="D228" s="54"/>
      <c r="E228" s="54"/>
      <c r="F228" s="54"/>
      <c r="G228" s="54"/>
      <c r="H228" s="54"/>
      <c r="I228" s="54"/>
      <c r="J228" s="54"/>
      <c r="K228" s="54"/>
      <c r="L228" s="55"/>
      <c r="M228" s="55"/>
      <c r="N228" s="55"/>
      <c r="O228" s="56"/>
      <c r="P228" s="31" t="n">
        <f aca="false">B228+C228+D228</f>
        <v>0</v>
      </c>
      <c r="Q228" s="31" t="n">
        <f aca="false">AA228+AB228+AC228</f>
        <v>0</v>
      </c>
      <c r="R228" s="32" t="n">
        <f aca="false">B228*P1_PVP+C228*P2_PVP+D228*IF($A228&lt;P3_DESDE,P3A_PVP,P3_PVP)</f>
        <v>0</v>
      </c>
      <c r="S228" s="32" t="str">
        <f aca="false">IF(P228&gt;0,R228/P228,"")</f>
        <v/>
      </c>
      <c r="T228" s="32" t="str">
        <f aca="false">IF(P228&gt;0,N228/P228,"")</f>
        <v/>
      </c>
      <c r="U228" s="57" t="str">
        <f aca="false">IF(N228&gt;0,R228/N228,"")</f>
        <v/>
      </c>
      <c r="V228" s="34" t="str">
        <f aca="false">IF(E228+F228+G228+H228+I228+J228&gt;0,(E228+F228+G228)/(E228+F228+G228+H228+I228+J228),"")</f>
        <v/>
      </c>
      <c r="W228" s="33" t="n">
        <f aca="false">E228*(P1_PVP-P1_CPROD)+F228*(P2_PVP-P2_CPROD)+G228*(IF($A228&lt;P3_DESDE,P3A_PVP,P3_PVP)-IF($A228&lt;P3_DESDE,P3A_CPROD,P3_CPROD))-IF(ISNUMBER(L228),L228,E228*P1_LOG+F228*P2_LOG+G228*P3_LOG)</f>
        <v>0</v>
      </c>
      <c r="X228" s="33" t="n">
        <f aca="false">W228-(E228*P1_IVAN+F228*P2_IVAN+G228*IF($A228&lt;P3_DESDE,P3A_IVAN,P3_IVAN))-(H228+I228+J228)*(COSTE_DEV-IVA_DEV)-AM228-AO228</f>
        <v>0</v>
      </c>
      <c r="Y228" s="33" t="n">
        <f aca="false">AH228-AI228-AJ228-AK228-AL228-AM228-AO228</f>
        <v>0</v>
      </c>
      <c r="AA228" s="58" t="n">
        <f aca="false">MAX(0,B228-E228-H228)</f>
        <v>0</v>
      </c>
      <c r="AB228" s="58" t="n">
        <f aca="false">MAX(0,C228-F228-I228)</f>
        <v>0</v>
      </c>
      <c r="AC228" s="58" t="n">
        <f aca="false">MAX(0,D228-G228-J228)</f>
        <v>0</v>
      </c>
      <c r="AD228" s="59" t="n">
        <f aca="false">E228+AA228*AQ228</f>
        <v>0</v>
      </c>
      <c r="AE228" s="59" t="n">
        <f aca="false">F228+AB228*AQ228</f>
        <v>0</v>
      </c>
      <c r="AF228" s="59" t="n">
        <f aca="false">G228+AC228*AQ228</f>
        <v>0</v>
      </c>
      <c r="AG228" s="59" t="n">
        <f aca="false">H228+I228+J228+(AA228+AB228+AC228)*(1-AQ228)</f>
        <v>0</v>
      </c>
      <c r="AH228" s="60" t="n">
        <f aca="false">AD228*P1_PVP+AE228*P2_PVP+AF228*IF($A228&lt;P3_DESDE,P3A_PVP,P3_PVP)</f>
        <v>0</v>
      </c>
      <c r="AI228" s="60" t="n">
        <f aca="false">AD228*P1_CPROD+AE228*P2_CPROD+AF228*IF($A228&lt;P3_DESDE,P3A_CPROD,P3_CPROD)</f>
        <v>0</v>
      </c>
      <c r="AJ228" s="60" t="n">
        <f aca="false">IF(ISNUMBER(L228),L228,E228*P1_LOG+F228*P2_LOG+G228*P3_LOG)+IF(ISNUMBER(M228),M228,AA228*P1_LOG+AB228*P2_LOG+AC228*P3_LOG)*AQ228</f>
        <v>0</v>
      </c>
      <c r="AK228" s="60" t="n">
        <f aca="false">AG228*COSTE_DEV</f>
        <v>0</v>
      </c>
      <c r="AL228" s="60" t="n">
        <f aca="false">AD228*P1_IVAN+AE228*P2_IVAN+AF228*IF($A228&lt;P3_DESDE,P3A_IVAN,P3_IVAN)-AG228*IVA_DEV</f>
        <v>0</v>
      </c>
      <c r="AM228" s="60" t="n">
        <f aca="false">N228*(1+RECARGO_ADS)</f>
        <v>0</v>
      </c>
      <c r="AN228" s="58" t="n">
        <f aca="false">IF(ISNUMBER(L228),E228+F228+G228+AA228+AB228+AC228,0)</f>
        <v>0</v>
      </c>
      <c r="AO228" s="60" t="n">
        <f aca="false">P228*COMISION</f>
        <v>0</v>
      </c>
      <c r="AP228" s="58" t="n">
        <f aca="false">MIN(N(K228),Q228)</f>
        <v>0</v>
      </c>
      <c r="AQ228" s="61" t="n">
        <f aca="false">IF(Q228&gt;0,((Q228-AP228)*AT228+AP228*TASA_INC)/Q228,AT228)</f>
        <v>0.659887072235414</v>
      </c>
      <c r="AR228" s="58" t="n">
        <f aca="false">IF($A228&lt;FECHA_EXPORT,NETWORKDAYS($A228+1,FECHA_EXPORT,FESTIVOS),0)</f>
        <v>0</v>
      </c>
      <c r="AS228" s="61" t="n">
        <f aca="false">IF(AR228&gt;=5,1,INDEX(CDF_INC,1,AR228+1))</f>
        <v>0.14</v>
      </c>
      <c r="AT228" s="61" t="n">
        <f aca="false">TASA_USADA+(TASA_INC-TASA_USADA)*Q_INC*(1-AS228)/(1-Q_INC*AS228)</f>
        <v>0.659887072235414</v>
      </c>
    </row>
    <row r="229" customFormat="false" ht="15" hidden="false" customHeight="false" outlineLevel="0" collapsed="false">
      <c r="A229" s="53" t="n">
        <v>46523</v>
      </c>
      <c r="B229" s="54"/>
      <c r="C229" s="54"/>
      <c r="D229" s="54"/>
      <c r="E229" s="54"/>
      <c r="F229" s="54"/>
      <c r="G229" s="54"/>
      <c r="H229" s="54"/>
      <c r="I229" s="54"/>
      <c r="J229" s="54"/>
      <c r="K229" s="54"/>
      <c r="L229" s="55"/>
      <c r="M229" s="55"/>
      <c r="N229" s="55"/>
      <c r="O229" s="56"/>
      <c r="P229" s="31" t="n">
        <f aca="false">B229+C229+D229</f>
        <v>0</v>
      </c>
      <c r="Q229" s="31" t="n">
        <f aca="false">AA229+AB229+AC229</f>
        <v>0</v>
      </c>
      <c r="R229" s="32" t="n">
        <f aca="false">B229*P1_PVP+C229*P2_PVP+D229*IF($A229&lt;P3_DESDE,P3A_PVP,P3_PVP)</f>
        <v>0</v>
      </c>
      <c r="S229" s="32" t="str">
        <f aca="false">IF(P229&gt;0,R229/P229,"")</f>
        <v/>
      </c>
      <c r="T229" s="32" t="str">
        <f aca="false">IF(P229&gt;0,N229/P229,"")</f>
        <v/>
      </c>
      <c r="U229" s="57" t="str">
        <f aca="false">IF(N229&gt;0,R229/N229,"")</f>
        <v/>
      </c>
      <c r="V229" s="34" t="str">
        <f aca="false">IF(E229+F229+G229+H229+I229+J229&gt;0,(E229+F229+G229)/(E229+F229+G229+H229+I229+J229),"")</f>
        <v/>
      </c>
      <c r="W229" s="33" t="n">
        <f aca="false">E229*(P1_PVP-P1_CPROD)+F229*(P2_PVP-P2_CPROD)+G229*(IF($A229&lt;P3_DESDE,P3A_PVP,P3_PVP)-IF($A229&lt;P3_DESDE,P3A_CPROD,P3_CPROD))-IF(ISNUMBER(L229),L229,E229*P1_LOG+F229*P2_LOG+G229*P3_LOG)</f>
        <v>0</v>
      </c>
      <c r="X229" s="33" t="n">
        <f aca="false">W229-(E229*P1_IVAN+F229*P2_IVAN+G229*IF($A229&lt;P3_DESDE,P3A_IVAN,P3_IVAN))-(H229+I229+J229)*(COSTE_DEV-IVA_DEV)-AM229-AO229</f>
        <v>0</v>
      </c>
      <c r="Y229" s="33" t="n">
        <f aca="false">AH229-AI229-AJ229-AK229-AL229-AM229-AO229</f>
        <v>0</v>
      </c>
      <c r="AA229" s="58" t="n">
        <f aca="false">MAX(0,B229-E229-H229)</f>
        <v>0</v>
      </c>
      <c r="AB229" s="58" t="n">
        <f aca="false">MAX(0,C229-F229-I229)</f>
        <v>0</v>
      </c>
      <c r="AC229" s="58" t="n">
        <f aca="false">MAX(0,D229-G229-J229)</f>
        <v>0</v>
      </c>
      <c r="AD229" s="59" t="n">
        <f aca="false">E229+AA229*AQ229</f>
        <v>0</v>
      </c>
      <c r="AE229" s="59" t="n">
        <f aca="false">F229+AB229*AQ229</f>
        <v>0</v>
      </c>
      <c r="AF229" s="59" t="n">
        <f aca="false">G229+AC229*AQ229</f>
        <v>0</v>
      </c>
      <c r="AG229" s="59" t="n">
        <f aca="false">H229+I229+J229+(AA229+AB229+AC229)*(1-AQ229)</f>
        <v>0</v>
      </c>
      <c r="AH229" s="60" t="n">
        <f aca="false">AD229*P1_PVP+AE229*P2_PVP+AF229*IF($A229&lt;P3_DESDE,P3A_PVP,P3_PVP)</f>
        <v>0</v>
      </c>
      <c r="AI229" s="60" t="n">
        <f aca="false">AD229*P1_CPROD+AE229*P2_CPROD+AF229*IF($A229&lt;P3_DESDE,P3A_CPROD,P3_CPROD)</f>
        <v>0</v>
      </c>
      <c r="AJ229" s="60" t="n">
        <f aca="false">IF(ISNUMBER(L229),L229,E229*P1_LOG+F229*P2_LOG+G229*P3_LOG)+IF(ISNUMBER(M229),M229,AA229*P1_LOG+AB229*P2_LOG+AC229*P3_LOG)*AQ229</f>
        <v>0</v>
      </c>
      <c r="AK229" s="60" t="n">
        <f aca="false">AG229*COSTE_DEV</f>
        <v>0</v>
      </c>
      <c r="AL229" s="60" t="n">
        <f aca="false">AD229*P1_IVAN+AE229*P2_IVAN+AF229*IF($A229&lt;P3_DESDE,P3A_IVAN,P3_IVAN)-AG229*IVA_DEV</f>
        <v>0</v>
      </c>
      <c r="AM229" s="60" t="n">
        <f aca="false">N229*(1+RECARGO_ADS)</f>
        <v>0</v>
      </c>
      <c r="AN229" s="58" t="n">
        <f aca="false">IF(ISNUMBER(L229),E229+F229+G229+AA229+AB229+AC229,0)</f>
        <v>0</v>
      </c>
      <c r="AO229" s="60" t="n">
        <f aca="false">P229*COMISION</f>
        <v>0</v>
      </c>
      <c r="AP229" s="58" t="n">
        <f aca="false">MIN(N(K229),Q229)</f>
        <v>0</v>
      </c>
      <c r="AQ229" s="61" t="n">
        <f aca="false">IF(Q229&gt;0,((Q229-AP229)*AT229+AP229*TASA_INC)/Q229,AT229)</f>
        <v>0.659887072235414</v>
      </c>
      <c r="AR229" s="58" t="n">
        <f aca="false">IF($A229&lt;FECHA_EXPORT,NETWORKDAYS($A229+1,FECHA_EXPORT,FESTIVOS),0)</f>
        <v>0</v>
      </c>
      <c r="AS229" s="61" t="n">
        <f aca="false">IF(AR229&gt;=5,1,INDEX(CDF_INC,1,AR229+1))</f>
        <v>0.14</v>
      </c>
      <c r="AT229" s="61" t="n">
        <f aca="false">TASA_USADA+(TASA_INC-TASA_USADA)*Q_INC*(1-AS229)/(1-Q_INC*AS229)</f>
        <v>0.659887072235414</v>
      </c>
    </row>
    <row r="230" customFormat="false" ht="15" hidden="false" customHeight="false" outlineLevel="0" collapsed="false">
      <c r="A230" s="53" t="n">
        <v>46524</v>
      </c>
      <c r="B230" s="54"/>
      <c r="C230" s="54"/>
      <c r="D230" s="54"/>
      <c r="E230" s="54"/>
      <c r="F230" s="54"/>
      <c r="G230" s="54"/>
      <c r="H230" s="54"/>
      <c r="I230" s="54"/>
      <c r="J230" s="54"/>
      <c r="K230" s="54"/>
      <c r="L230" s="55"/>
      <c r="M230" s="55"/>
      <c r="N230" s="55"/>
      <c r="O230" s="56"/>
      <c r="P230" s="31" t="n">
        <f aca="false">B230+C230+D230</f>
        <v>0</v>
      </c>
      <c r="Q230" s="31" t="n">
        <f aca="false">AA230+AB230+AC230</f>
        <v>0</v>
      </c>
      <c r="R230" s="32" t="n">
        <f aca="false">B230*P1_PVP+C230*P2_PVP+D230*IF($A230&lt;P3_DESDE,P3A_PVP,P3_PVP)</f>
        <v>0</v>
      </c>
      <c r="S230" s="32" t="str">
        <f aca="false">IF(P230&gt;0,R230/P230,"")</f>
        <v/>
      </c>
      <c r="T230" s="32" t="str">
        <f aca="false">IF(P230&gt;0,N230/P230,"")</f>
        <v/>
      </c>
      <c r="U230" s="57" t="str">
        <f aca="false">IF(N230&gt;0,R230/N230,"")</f>
        <v/>
      </c>
      <c r="V230" s="34" t="str">
        <f aca="false">IF(E230+F230+G230+H230+I230+J230&gt;0,(E230+F230+G230)/(E230+F230+G230+H230+I230+J230),"")</f>
        <v/>
      </c>
      <c r="W230" s="33" t="n">
        <f aca="false">E230*(P1_PVP-P1_CPROD)+F230*(P2_PVP-P2_CPROD)+G230*(IF($A230&lt;P3_DESDE,P3A_PVP,P3_PVP)-IF($A230&lt;P3_DESDE,P3A_CPROD,P3_CPROD))-IF(ISNUMBER(L230),L230,E230*P1_LOG+F230*P2_LOG+G230*P3_LOG)</f>
        <v>0</v>
      </c>
      <c r="X230" s="33" t="n">
        <f aca="false">W230-(E230*P1_IVAN+F230*P2_IVAN+G230*IF($A230&lt;P3_DESDE,P3A_IVAN,P3_IVAN))-(H230+I230+J230)*(COSTE_DEV-IVA_DEV)-AM230-AO230</f>
        <v>0</v>
      </c>
      <c r="Y230" s="33" t="n">
        <f aca="false">AH230-AI230-AJ230-AK230-AL230-AM230-AO230</f>
        <v>0</v>
      </c>
      <c r="AA230" s="58" t="n">
        <f aca="false">MAX(0,B230-E230-H230)</f>
        <v>0</v>
      </c>
      <c r="AB230" s="58" t="n">
        <f aca="false">MAX(0,C230-F230-I230)</f>
        <v>0</v>
      </c>
      <c r="AC230" s="58" t="n">
        <f aca="false">MAX(0,D230-G230-J230)</f>
        <v>0</v>
      </c>
      <c r="AD230" s="59" t="n">
        <f aca="false">E230+AA230*AQ230</f>
        <v>0</v>
      </c>
      <c r="AE230" s="59" t="n">
        <f aca="false">F230+AB230*AQ230</f>
        <v>0</v>
      </c>
      <c r="AF230" s="59" t="n">
        <f aca="false">G230+AC230*AQ230</f>
        <v>0</v>
      </c>
      <c r="AG230" s="59" t="n">
        <f aca="false">H230+I230+J230+(AA230+AB230+AC230)*(1-AQ230)</f>
        <v>0</v>
      </c>
      <c r="AH230" s="60" t="n">
        <f aca="false">AD230*P1_PVP+AE230*P2_PVP+AF230*IF($A230&lt;P3_DESDE,P3A_PVP,P3_PVP)</f>
        <v>0</v>
      </c>
      <c r="AI230" s="60" t="n">
        <f aca="false">AD230*P1_CPROD+AE230*P2_CPROD+AF230*IF($A230&lt;P3_DESDE,P3A_CPROD,P3_CPROD)</f>
        <v>0</v>
      </c>
      <c r="AJ230" s="60" t="n">
        <f aca="false">IF(ISNUMBER(L230),L230,E230*P1_LOG+F230*P2_LOG+G230*P3_LOG)+IF(ISNUMBER(M230),M230,AA230*P1_LOG+AB230*P2_LOG+AC230*P3_LOG)*AQ230</f>
        <v>0</v>
      </c>
      <c r="AK230" s="60" t="n">
        <f aca="false">AG230*COSTE_DEV</f>
        <v>0</v>
      </c>
      <c r="AL230" s="60" t="n">
        <f aca="false">AD230*P1_IVAN+AE230*P2_IVAN+AF230*IF($A230&lt;P3_DESDE,P3A_IVAN,P3_IVAN)-AG230*IVA_DEV</f>
        <v>0</v>
      </c>
      <c r="AM230" s="60" t="n">
        <f aca="false">N230*(1+RECARGO_ADS)</f>
        <v>0</v>
      </c>
      <c r="AN230" s="58" t="n">
        <f aca="false">IF(ISNUMBER(L230),E230+F230+G230+AA230+AB230+AC230,0)</f>
        <v>0</v>
      </c>
      <c r="AO230" s="60" t="n">
        <f aca="false">P230*COMISION</f>
        <v>0</v>
      </c>
      <c r="AP230" s="58" t="n">
        <f aca="false">MIN(N(K230),Q230)</f>
        <v>0</v>
      </c>
      <c r="AQ230" s="61" t="n">
        <f aca="false">IF(Q230&gt;0,((Q230-AP230)*AT230+AP230*TASA_INC)/Q230,AT230)</f>
        <v>0.659887072235414</v>
      </c>
      <c r="AR230" s="58" t="n">
        <f aca="false">IF($A230&lt;FECHA_EXPORT,NETWORKDAYS($A230+1,FECHA_EXPORT,FESTIVOS),0)</f>
        <v>0</v>
      </c>
      <c r="AS230" s="61" t="n">
        <f aca="false">IF(AR230&gt;=5,1,INDEX(CDF_INC,1,AR230+1))</f>
        <v>0.14</v>
      </c>
      <c r="AT230" s="61" t="n">
        <f aca="false">TASA_USADA+(TASA_INC-TASA_USADA)*Q_INC*(1-AS230)/(1-Q_INC*AS230)</f>
        <v>0.659887072235414</v>
      </c>
    </row>
    <row r="231" customFormat="false" ht="15" hidden="false" customHeight="false" outlineLevel="0" collapsed="false">
      <c r="A231" s="53" t="n">
        <v>46525</v>
      </c>
      <c r="B231" s="54"/>
      <c r="C231" s="54"/>
      <c r="D231" s="54"/>
      <c r="E231" s="54"/>
      <c r="F231" s="54"/>
      <c r="G231" s="54"/>
      <c r="H231" s="54"/>
      <c r="I231" s="54"/>
      <c r="J231" s="54"/>
      <c r="K231" s="54"/>
      <c r="L231" s="55"/>
      <c r="M231" s="55"/>
      <c r="N231" s="55"/>
      <c r="O231" s="56"/>
      <c r="P231" s="31" t="n">
        <f aca="false">B231+C231+D231</f>
        <v>0</v>
      </c>
      <c r="Q231" s="31" t="n">
        <f aca="false">AA231+AB231+AC231</f>
        <v>0</v>
      </c>
      <c r="R231" s="32" t="n">
        <f aca="false">B231*P1_PVP+C231*P2_PVP+D231*IF($A231&lt;P3_DESDE,P3A_PVP,P3_PVP)</f>
        <v>0</v>
      </c>
      <c r="S231" s="32" t="str">
        <f aca="false">IF(P231&gt;0,R231/P231,"")</f>
        <v/>
      </c>
      <c r="T231" s="32" t="str">
        <f aca="false">IF(P231&gt;0,N231/P231,"")</f>
        <v/>
      </c>
      <c r="U231" s="57" t="str">
        <f aca="false">IF(N231&gt;0,R231/N231,"")</f>
        <v/>
      </c>
      <c r="V231" s="34" t="str">
        <f aca="false">IF(E231+F231+G231+H231+I231+J231&gt;0,(E231+F231+G231)/(E231+F231+G231+H231+I231+J231),"")</f>
        <v/>
      </c>
      <c r="W231" s="33" t="n">
        <f aca="false">E231*(P1_PVP-P1_CPROD)+F231*(P2_PVP-P2_CPROD)+G231*(IF($A231&lt;P3_DESDE,P3A_PVP,P3_PVP)-IF($A231&lt;P3_DESDE,P3A_CPROD,P3_CPROD))-IF(ISNUMBER(L231),L231,E231*P1_LOG+F231*P2_LOG+G231*P3_LOG)</f>
        <v>0</v>
      </c>
      <c r="X231" s="33" t="n">
        <f aca="false">W231-(E231*P1_IVAN+F231*P2_IVAN+G231*IF($A231&lt;P3_DESDE,P3A_IVAN,P3_IVAN))-(H231+I231+J231)*(COSTE_DEV-IVA_DEV)-AM231-AO231</f>
        <v>0</v>
      </c>
      <c r="Y231" s="33" t="n">
        <f aca="false">AH231-AI231-AJ231-AK231-AL231-AM231-AO231</f>
        <v>0</v>
      </c>
      <c r="AA231" s="58" t="n">
        <f aca="false">MAX(0,B231-E231-H231)</f>
        <v>0</v>
      </c>
      <c r="AB231" s="58" t="n">
        <f aca="false">MAX(0,C231-F231-I231)</f>
        <v>0</v>
      </c>
      <c r="AC231" s="58" t="n">
        <f aca="false">MAX(0,D231-G231-J231)</f>
        <v>0</v>
      </c>
      <c r="AD231" s="59" t="n">
        <f aca="false">E231+AA231*AQ231</f>
        <v>0</v>
      </c>
      <c r="AE231" s="59" t="n">
        <f aca="false">F231+AB231*AQ231</f>
        <v>0</v>
      </c>
      <c r="AF231" s="59" t="n">
        <f aca="false">G231+AC231*AQ231</f>
        <v>0</v>
      </c>
      <c r="AG231" s="59" t="n">
        <f aca="false">H231+I231+J231+(AA231+AB231+AC231)*(1-AQ231)</f>
        <v>0</v>
      </c>
      <c r="AH231" s="60" t="n">
        <f aca="false">AD231*P1_PVP+AE231*P2_PVP+AF231*IF($A231&lt;P3_DESDE,P3A_PVP,P3_PVP)</f>
        <v>0</v>
      </c>
      <c r="AI231" s="60" t="n">
        <f aca="false">AD231*P1_CPROD+AE231*P2_CPROD+AF231*IF($A231&lt;P3_DESDE,P3A_CPROD,P3_CPROD)</f>
        <v>0</v>
      </c>
      <c r="AJ231" s="60" t="n">
        <f aca="false">IF(ISNUMBER(L231),L231,E231*P1_LOG+F231*P2_LOG+G231*P3_LOG)+IF(ISNUMBER(M231),M231,AA231*P1_LOG+AB231*P2_LOG+AC231*P3_LOG)*AQ231</f>
        <v>0</v>
      </c>
      <c r="AK231" s="60" t="n">
        <f aca="false">AG231*COSTE_DEV</f>
        <v>0</v>
      </c>
      <c r="AL231" s="60" t="n">
        <f aca="false">AD231*P1_IVAN+AE231*P2_IVAN+AF231*IF($A231&lt;P3_DESDE,P3A_IVAN,P3_IVAN)-AG231*IVA_DEV</f>
        <v>0</v>
      </c>
      <c r="AM231" s="60" t="n">
        <f aca="false">N231*(1+RECARGO_ADS)</f>
        <v>0</v>
      </c>
      <c r="AN231" s="58" t="n">
        <f aca="false">IF(ISNUMBER(L231),E231+F231+G231+AA231+AB231+AC231,0)</f>
        <v>0</v>
      </c>
      <c r="AO231" s="60" t="n">
        <f aca="false">P231*COMISION</f>
        <v>0</v>
      </c>
      <c r="AP231" s="58" t="n">
        <f aca="false">MIN(N(K231),Q231)</f>
        <v>0</v>
      </c>
      <c r="AQ231" s="61" t="n">
        <f aca="false">IF(Q231&gt;0,((Q231-AP231)*AT231+AP231*TASA_INC)/Q231,AT231)</f>
        <v>0.659887072235414</v>
      </c>
      <c r="AR231" s="58" t="n">
        <f aca="false">IF($A231&lt;FECHA_EXPORT,NETWORKDAYS($A231+1,FECHA_EXPORT,FESTIVOS),0)</f>
        <v>0</v>
      </c>
      <c r="AS231" s="61" t="n">
        <f aca="false">IF(AR231&gt;=5,1,INDEX(CDF_INC,1,AR231+1))</f>
        <v>0.14</v>
      </c>
      <c r="AT231" s="61" t="n">
        <f aca="false">TASA_USADA+(TASA_INC-TASA_USADA)*Q_INC*(1-AS231)/(1-Q_INC*AS231)</f>
        <v>0.659887072235414</v>
      </c>
    </row>
    <row r="232" customFormat="false" ht="15" hidden="false" customHeight="false" outlineLevel="0" collapsed="false">
      <c r="A232" s="53" t="n">
        <v>46526</v>
      </c>
      <c r="B232" s="54"/>
      <c r="C232" s="54"/>
      <c r="D232" s="54"/>
      <c r="E232" s="54"/>
      <c r="F232" s="54"/>
      <c r="G232" s="54"/>
      <c r="H232" s="54"/>
      <c r="I232" s="54"/>
      <c r="J232" s="54"/>
      <c r="K232" s="54"/>
      <c r="L232" s="55"/>
      <c r="M232" s="55"/>
      <c r="N232" s="55"/>
      <c r="O232" s="56"/>
      <c r="P232" s="31" t="n">
        <f aca="false">B232+C232+D232</f>
        <v>0</v>
      </c>
      <c r="Q232" s="31" t="n">
        <f aca="false">AA232+AB232+AC232</f>
        <v>0</v>
      </c>
      <c r="R232" s="32" t="n">
        <f aca="false">B232*P1_PVP+C232*P2_PVP+D232*IF($A232&lt;P3_DESDE,P3A_PVP,P3_PVP)</f>
        <v>0</v>
      </c>
      <c r="S232" s="32" t="str">
        <f aca="false">IF(P232&gt;0,R232/P232,"")</f>
        <v/>
      </c>
      <c r="T232" s="32" t="str">
        <f aca="false">IF(P232&gt;0,N232/P232,"")</f>
        <v/>
      </c>
      <c r="U232" s="57" t="str">
        <f aca="false">IF(N232&gt;0,R232/N232,"")</f>
        <v/>
      </c>
      <c r="V232" s="34" t="str">
        <f aca="false">IF(E232+F232+G232+H232+I232+J232&gt;0,(E232+F232+G232)/(E232+F232+G232+H232+I232+J232),"")</f>
        <v/>
      </c>
      <c r="W232" s="33" t="n">
        <f aca="false">E232*(P1_PVP-P1_CPROD)+F232*(P2_PVP-P2_CPROD)+G232*(IF($A232&lt;P3_DESDE,P3A_PVP,P3_PVP)-IF($A232&lt;P3_DESDE,P3A_CPROD,P3_CPROD))-IF(ISNUMBER(L232),L232,E232*P1_LOG+F232*P2_LOG+G232*P3_LOG)</f>
        <v>0</v>
      </c>
      <c r="X232" s="33" t="n">
        <f aca="false">W232-(E232*P1_IVAN+F232*P2_IVAN+G232*IF($A232&lt;P3_DESDE,P3A_IVAN,P3_IVAN))-(H232+I232+J232)*(COSTE_DEV-IVA_DEV)-AM232-AO232</f>
        <v>0</v>
      </c>
      <c r="Y232" s="33" t="n">
        <f aca="false">AH232-AI232-AJ232-AK232-AL232-AM232-AO232</f>
        <v>0</v>
      </c>
      <c r="AA232" s="58" t="n">
        <f aca="false">MAX(0,B232-E232-H232)</f>
        <v>0</v>
      </c>
      <c r="AB232" s="58" t="n">
        <f aca="false">MAX(0,C232-F232-I232)</f>
        <v>0</v>
      </c>
      <c r="AC232" s="58" t="n">
        <f aca="false">MAX(0,D232-G232-J232)</f>
        <v>0</v>
      </c>
      <c r="AD232" s="59" t="n">
        <f aca="false">E232+AA232*AQ232</f>
        <v>0</v>
      </c>
      <c r="AE232" s="59" t="n">
        <f aca="false">F232+AB232*AQ232</f>
        <v>0</v>
      </c>
      <c r="AF232" s="59" t="n">
        <f aca="false">G232+AC232*AQ232</f>
        <v>0</v>
      </c>
      <c r="AG232" s="59" t="n">
        <f aca="false">H232+I232+J232+(AA232+AB232+AC232)*(1-AQ232)</f>
        <v>0</v>
      </c>
      <c r="AH232" s="60" t="n">
        <f aca="false">AD232*P1_PVP+AE232*P2_PVP+AF232*IF($A232&lt;P3_DESDE,P3A_PVP,P3_PVP)</f>
        <v>0</v>
      </c>
      <c r="AI232" s="60" t="n">
        <f aca="false">AD232*P1_CPROD+AE232*P2_CPROD+AF232*IF($A232&lt;P3_DESDE,P3A_CPROD,P3_CPROD)</f>
        <v>0</v>
      </c>
      <c r="AJ232" s="60" t="n">
        <f aca="false">IF(ISNUMBER(L232),L232,E232*P1_LOG+F232*P2_LOG+G232*P3_LOG)+IF(ISNUMBER(M232),M232,AA232*P1_LOG+AB232*P2_LOG+AC232*P3_LOG)*AQ232</f>
        <v>0</v>
      </c>
      <c r="AK232" s="60" t="n">
        <f aca="false">AG232*COSTE_DEV</f>
        <v>0</v>
      </c>
      <c r="AL232" s="60" t="n">
        <f aca="false">AD232*P1_IVAN+AE232*P2_IVAN+AF232*IF($A232&lt;P3_DESDE,P3A_IVAN,P3_IVAN)-AG232*IVA_DEV</f>
        <v>0</v>
      </c>
      <c r="AM232" s="60" t="n">
        <f aca="false">N232*(1+RECARGO_ADS)</f>
        <v>0</v>
      </c>
      <c r="AN232" s="58" t="n">
        <f aca="false">IF(ISNUMBER(L232),E232+F232+G232+AA232+AB232+AC232,0)</f>
        <v>0</v>
      </c>
      <c r="AO232" s="60" t="n">
        <f aca="false">P232*COMISION</f>
        <v>0</v>
      </c>
      <c r="AP232" s="58" t="n">
        <f aca="false">MIN(N(K232),Q232)</f>
        <v>0</v>
      </c>
      <c r="AQ232" s="61" t="n">
        <f aca="false">IF(Q232&gt;0,((Q232-AP232)*AT232+AP232*TASA_INC)/Q232,AT232)</f>
        <v>0.659887072235414</v>
      </c>
      <c r="AR232" s="58" t="n">
        <f aca="false">IF($A232&lt;FECHA_EXPORT,NETWORKDAYS($A232+1,FECHA_EXPORT,FESTIVOS),0)</f>
        <v>0</v>
      </c>
      <c r="AS232" s="61" t="n">
        <f aca="false">IF(AR232&gt;=5,1,INDEX(CDF_INC,1,AR232+1))</f>
        <v>0.14</v>
      </c>
      <c r="AT232" s="61" t="n">
        <f aca="false">TASA_USADA+(TASA_INC-TASA_USADA)*Q_INC*(1-AS232)/(1-Q_INC*AS232)</f>
        <v>0.659887072235414</v>
      </c>
    </row>
    <row r="233" customFormat="false" ht="15" hidden="false" customHeight="false" outlineLevel="0" collapsed="false">
      <c r="A233" s="53" t="n">
        <v>46527</v>
      </c>
      <c r="B233" s="54"/>
      <c r="C233" s="54"/>
      <c r="D233" s="54"/>
      <c r="E233" s="54"/>
      <c r="F233" s="54"/>
      <c r="G233" s="54"/>
      <c r="H233" s="54"/>
      <c r="I233" s="54"/>
      <c r="J233" s="54"/>
      <c r="K233" s="54"/>
      <c r="L233" s="55"/>
      <c r="M233" s="55"/>
      <c r="N233" s="55"/>
      <c r="O233" s="56"/>
      <c r="P233" s="31" t="n">
        <f aca="false">B233+C233+D233</f>
        <v>0</v>
      </c>
      <c r="Q233" s="31" t="n">
        <f aca="false">AA233+AB233+AC233</f>
        <v>0</v>
      </c>
      <c r="R233" s="32" t="n">
        <f aca="false">B233*P1_PVP+C233*P2_PVP+D233*IF($A233&lt;P3_DESDE,P3A_PVP,P3_PVP)</f>
        <v>0</v>
      </c>
      <c r="S233" s="32" t="str">
        <f aca="false">IF(P233&gt;0,R233/P233,"")</f>
        <v/>
      </c>
      <c r="T233" s="32" t="str">
        <f aca="false">IF(P233&gt;0,N233/P233,"")</f>
        <v/>
      </c>
      <c r="U233" s="57" t="str">
        <f aca="false">IF(N233&gt;0,R233/N233,"")</f>
        <v/>
      </c>
      <c r="V233" s="34" t="str">
        <f aca="false">IF(E233+F233+G233+H233+I233+J233&gt;0,(E233+F233+G233)/(E233+F233+G233+H233+I233+J233),"")</f>
        <v/>
      </c>
      <c r="W233" s="33" t="n">
        <f aca="false">E233*(P1_PVP-P1_CPROD)+F233*(P2_PVP-P2_CPROD)+G233*(IF($A233&lt;P3_DESDE,P3A_PVP,P3_PVP)-IF($A233&lt;P3_DESDE,P3A_CPROD,P3_CPROD))-IF(ISNUMBER(L233),L233,E233*P1_LOG+F233*P2_LOG+G233*P3_LOG)</f>
        <v>0</v>
      </c>
      <c r="X233" s="33" t="n">
        <f aca="false">W233-(E233*P1_IVAN+F233*P2_IVAN+G233*IF($A233&lt;P3_DESDE,P3A_IVAN,P3_IVAN))-(H233+I233+J233)*(COSTE_DEV-IVA_DEV)-AM233-AO233</f>
        <v>0</v>
      </c>
      <c r="Y233" s="33" t="n">
        <f aca="false">AH233-AI233-AJ233-AK233-AL233-AM233-AO233</f>
        <v>0</v>
      </c>
      <c r="AA233" s="58" t="n">
        <f aca="false">MAX(0,B233-E233-H233)</f>
        <v>0</v>
      </c>
      <c r="AB233" s="58" t="n">
        <f aca="false">MAX(0,C233-F233-I233)</f>
        <v>0</v>
      </c>
      <c r="AC233" s="58" t="n">
        <f aca="false">MAX(0,D233-G233-J233)</f>
        <v>0</v>
      </c>
      <c r="AD233" s="59" t="n">
        <f aca="false">E233+AA233*AQ233</f>
        <v>0</v>
      </c>
      <c r="AE233" s="59" t="n">
        <f aca="false">F233+AB233*AQ233</f>
        <v>0</v>
      </c>
      <c r="AF233" s="59" t="n">
        <f aca="false">G233+AC233*AQ233</f>
        <v>0</v>
      </c>
      <c r="AG233" s="59" t="n">
        <f aca="false">H233+I233+J233+(AA233+AB233+AC233)*(1-AQ233)</f>
        <v>0</v>
      </c>
      <c r="AH233" s="60" t="n">
        <f aca="false">AD233*P1_PVP+AE233*P2_PVP+AF233*IF($A233&lt;P3_DESDE,P3A_PVP,P3_PVP)</f>
        <v>0</v>
      </c>
      <c r="AI233" s="60" t="n">
        <f aca="false">AD233*P1_CPROD+AE233*P2_CPROD+AF233*IF($A233&lt;P3_DESDE,P3A_CPROD,P3_CPROD)</f>
        <v>0</v>
      </c>
      <c r="AJ233" s="60" t="n">
        <f aca="false">IF(ISNUMBER(L233),L233,E233*P1_LOG+F233*P2_LOG+G233*P3_LOG)+IF(ISNUMBER(M233),M233,AA233*P1_LOG+AB233*P2_LOG+AC233*P3_LOG)*AQ233</f>
        <v>0</v>
      </c>
      <c r="AK233" s="60" t="n">
        <f aca="false">AG233*COSTE_DEV</f>
        <v>0</v>
      </c>
      <c r="AL233" s="60" t="n">
        <f aca="false">AD233*P1_IVAN+AE233*P2_IVAN+AF233*IF($A233&lt;P3_DESDE,P3A_IVAN,P3_IVAN)-AG233*IVA_DEV</f>
        <v>0</v>
      </c>
      <c r="AM233" s="60" t="n">
        <f aca="false">N233*(1+RECARGO_ADS)</f>
        <v>0</v>
      </c>
      <c r="AN233" s="58" t="n">
        <f aca="false">IF(ISNUMBER(L233),E233+F233+G233+AA233+AB233+AC233,0)</f>
        <v>0</v>
      </c>
      <c r="AO233" s="60" t="n">
        <f aca="false">P233*COMISION</f>
        <v>0</v>
      </c>
      <c r="AP233" s="58" t="n">
        <f aca="false">MIN(N(K233),Q233)</f>
        <v>0</v>
      </c>
      <c r="AQ233" s="61" t="n">
        <f aca="false">IF(Q233&gt;0,((Q233-AP233)*AT233+AP233*TASA_INC)/Q233,AT233)</f>
        <v>0.659887072235414</v>
      </c>
      <c r="AR233" s="58" t="n">
        <f aca="false">IF($A233&lt;FECHA_EXPORT,NETWORKDAYS($A233+1,FECHA_EXPORT,FESTIVOS),0)</f>
        <v>0</v>
      </c>
      <c r="AS233" s="61" t="n">
        <f aca="false">IF(AR233&gt;=5,1,INDEX(CDF_INC,1,AR233+1))</f>
        <v>0.14</v>
      </c>
      <c r="AT233" s="61" t="n">
        <f aca="false">TASA_USADA+(TASA_INC-TASA_USADA)*Q_INC*(1-AS233)/(1-Q_INC*AS233)</f>
        <v>0.659887072235414</v>
      </c>
    </row>
    <row r="234" customFormat="false" ht="15" hidden="false" customHeight="false" outlineLevel="0" collapsed="false">
      <c r="A234" s="53" t="n">
        <v>46528</v>
      </c>
      <c r="B234" s="54"/>
      <c r="C234" s="54"/>
      <c r="D234" s="54"/>
      <c r="E234" s="54"/>
      <c r="F234" s="54"/>
      <c r="G234" s="54"/>
      <c r="H234" s="54"/>
      <c r="I234" s="54"/>
      <c r="J234" s="54"/>
      <c r="K234" s="54"/>
      <c r="L234" s="55"/>
      <c r="M234" s="55"/>
      <c r="N234" s="55"/>
      <c r="O234" s="56"/>
      <c r="P234" s="31" t="n">
        <f aca="false">B234+C234+D234</f>
        <v>0</v>
      </c>
      <c r="Q234" s="31" t="n">
        <f aca="false">AA234+AB234+AC234</f>
        <v>0</v>
      </c>
      <c r="R234" s="32" t="n">
        <f aca="false">B234*P1_PVP+C234*P2_PVP+D234*IF($A234&lt;P3_DESDE,P3A_PVP,P3_PVP)</f>
        <v>0</v>
      </c>
      <c r="S234" s="32" t="str">
        <f aca="false">IF(P234&gt;0,R234/P234,"")</f>
        <v/>
      </c>
      <c r="T234" s="32" t="str">
        <f aca="false">IF(P234&gt;0,N234/P234,"")</f>
        <v/>
      </c>
      <c r="U234" s="57" t="str">
        <f aca="false">IF(N234&gt;0,R234/N234,"")</f>
        <v/>
      </c>
      <c r="V234" s="34" t="str">
        <f aca="false">IF(E234+F234+G234+H234+I234+J234&gt;0,(E234+F234+G234)/(E234+F234+G234+H234+I234+J234),"")</f>
        <v/>
      </c>
      <c r="W234" s="33" t="n">
        <f aca="false">E234*(P1_PVP-P1_CPROD)+F234*(P2_PVP-P2_CPROD)+G234*(IF($A234&lt;P3_DESDE,P3A_PVP,P3_PVP)-IF($A234&lt;P3_DESDE,P3A_CPROD,P3_CPROD))-IF(ISNUMBER(L234),L234,E234*P1_LOG+F234*P2_LOG+G234*P3_LOG)</f>
        <v>0</v>
      </c>
      <c r="X234" s="33" t="n">
        <f aca="false">W234-(E234*P1_IVAN+F234*P2_IVAN+G234*IF($A234&lt;P3_DESDE,P3A_IVAN,P3_IVAN))-(H234+I234+J234)*(COSTE_DEV-IVA_DEV)-AM234-AO234</f>
        <v>0</v>
      </c>
      <c r="Y234" s="33" t="n">
        <f aca="false">AH234-AI234-AJ234-AK234-AL234-AM234-AO234</f>
        <v>0</v>
      </c>
      <c r="AA234" s="58" t="n">
        <f aca="false">MAX(0,B234-E234-H234)</f>
        <v>0</v>
      </c>
      <c r="AB234" s="58" t="n">
        <f aca="false">MAX(0,C234-F234-I234)</f>
        <v>0</v>
      </c>
      <c r="AC234" s="58" t="n">
        <f aca="false">MAX(0,D234-G234-J234)</f>
        <v>0</v>
      </c>
      <c r="AD234" s="59" t="n">
        <f aca="false">E234+AA234*AQ234</f>
        <v>0</v>
      </c>
      <c r="AE234" s="59" t="n">
        <f aca="false">F234+AB234*AQ234</f>
        <v>0</v>
      </c>
      <c r="AF234" s="59" t="n">
        <f aca="false">G234+AC234*AQ234</f>
        <v>0</v>
      </c>
      <c r="AG234" s="59" t="n">
        <f aca="false">H234+I234+J234+(AA234+AB234+AC234)*(1-AQ234)</f>
        <v>0</v>
      </c>
      <c r="AH234" s="60" t="n">
        <f aca="false">AD234*P1_PVP+AE234*P2_PVP+AF234*IF($A234&lt;P3_DESDE,P3A_PVP,P3_PVP)</f>
        <v>0</v>
      </c>
      <c r="AI234" s="60" t="n">
        <f aca="false">AD234*P1_CPROD+AE234*P2_CPROD+AF234*IF($A234&lt;P3_DESDE,P3A_CPROD,P3_CPROD)</f>
        <v>0</v>
      </c>
      <c r="AJ234" s="60" t="n">
        <f aca="false">IF(ISNUMBER(L234),L234,E234*P1_LOG+F234*P2_LOG+G234*P3_LOG)+IF(ISNUMBER(M234),M234,AA234*P1_LOG+AB234*P2_LOG+AC234*P3_LOG)*AQ234</f>
        <v>0</v>
      </c>
      <c r="AK234" s="60" t="n">
        <f aca="false">AG234*COSTE_DEV</f>
        <v>0</v>
      </c>
      <c r="AL234" s="60" t="n">
        <f aca="false">AD234*P1_IVAN+AE234*P2_IVAN+AF234*IF($A234&lt;P3_DESDE,P3A_IVAN,P3_IVAN)-AG234*IVA_DEV</f>
        <v>0</v>
      </c>
      <c r="AM234" s="60" t="n">
        <f aca="false">N234*(1+RECARGO_ADS)</f>
        <v>0</v>
      </c>
      <c r="AN234" s="58" t="n">
        <f aca="false">IF(ISNUMBER(L234),E234+F234+G234+AA234+AB234+AC234,0)</f>
        <v>0</v>
      </c>
      <c r="AO234" s="60" t="n">
        <f aca="false">P234*COMISION</f>
        <v>0</v>
      </c>
      <c r="AP234" s="58" t="n">
        <f aca="false">MIN(N(K234),Q234)</f>
        <v>0</v>
      </c>
      <c r="AQ234" s="61" t="n">
        <f aca="false">IF(Q234&gt;0,((Q234-AP234)*AT234+AP234*TASA_INC)/Q234,AT234)</f>
        <v>0.659887072235414</v>
      </c>
      <c r="AR234" s="58" t="n">
        <f aca="false">IF($A234&lt;FECHA_EXPORT,NETWORKDAYS($A234+1,FECHA_EXPORT,FESTIVOS),0)</f>
        <v>0</v>
      </c>
      <c r="AS234" s="61" t="n">
        <f aca="false">IF(AR234&gt;=5,1,INDEX(CDF_INC,1,AR234+1))</f>
        <v>0.14</v>
      </c>
      <c r="AT234" s="61" t="n">
        <f aca="false">TASA_USADA+(TASA_INC-TASA_USADA)*Q_INC*(1-AS234)/(1-Q_INC*AS234)</f>
        <v>0.659887072235414</v>
      </c>
    </row>
    <row r="235" customFormat="false" ht="15" hidden="false" customHeight="false" outlineLevel="0" collapsed="false">
      <c r="A235" s="53" t="n">
        <v>46529</v>
      </c>
      <c r="B235" s="54"/>
      <c r="C235" s="54"/>
      <c r="D235" s="54"/>
      <c r="E235" s="54"/>
      <c r="F235" s="54"/>
      <c r="G235" s="54"/>
      <c r="H235" s="54"/>
      <c r="I235" s="54"/>
      <c r="J235" s="54"/>
      <c r="K235" s="54"/>
      <c r="L235" s="55"/>
      <c r="M235" s="55"/>
      <c r="N235" s="55"/>
      <c r="O235" s="56"/>
      <c r="P235" s="31" t="n">
        <f aca="false">B235+C235+D235</f>
        <v>0</v>
      </c>
      <c r="Q235" s="31" t="n">
        <f aca="false">AA235+AB235+AC235</f>
        <v>0</v>
      </c>
      <c r="R235" s="32" t="n">
        <f aca="false">B235*P1_PVP+C235*P2_PVP+D235*IF($A235&lt;P3_DESDE,P3A_PVP,P3_PVP)</f>
        <v>0</v>
      </c>
      <c r="S235" s="32" t="str">
        <f aca="false">IF(P235&gt;0,R235/P235,"")</f>
        <v/>
      </c>
      <c r="T235" s="32" t="str">
        <f aca="false">IF(P235&gt;0,N235/P235,"")</f>
        <v/>
      </c>
      <c r="U235" s="57" t="str">
        <f aca="false">IF(N235&gt;0,R235/N235,"")</f>
        <v/>
      </c>
      <c r="V235" s="34" t="str">
        <f aca="false">IF(E235+F235+G235+H235+I235+J235&gt;0,(E235+F235+G235)/(E235+F235+G235+H235+I235+J235),"")</f>
        <v/>
      </c>
      <c r="W235" s="33" t="n">
        <f aca="false">E235*(P1_PVP-P1_CPROD)+F235*(P2_PVP-P2_CPROD)+G235*(IF($A235&lt;P3_DESDE,P3A_PVP,P3_PVP)-IF($A235&lt;P3_DESDE,P3A_CPROD,P3_CPROD))-IF(ISNUMBER(L235),L235,E235*P1_LOG+F235*P2_LOG+G235*P3_LOG)</f>
        <v>0</v>
      </c>
      <c r="X235" s="33" t="n">
        <f aca="false">W235-(E235*P1_IVAN+F235*P2_IVAN+G235*IF($A235&lt;P3_DESDE,P3A_IVAN,P3_IVAN))-(H235+I235+J235)*(COSTE_DEV-IVA_DEV)-AM235-AO235</f>
        <v>0</v>
      </c>
      <c r="Y235" s="33" t="n">
        <f aca="false">AH235-AI235-AJ235-AK235-AL235-AM235-AO235</f>
        <v>0</v>
      </c>
      <c r="AA235" s="58" t="n">
        <f aca="false">MAX(0,B235-E235-H235)</f>
        <v>0</v>
      </c>
      <c r="AB235" s="58" t="n">
        <f aca="false">MAX(0,C235-F235-I235)</f>
        <v>0</v>
      </c>
      <c r="AC235" s="58" t="n">
        <f aca="false">MAX(0,D235-G235-J235)</f>
        <v>0</v>
      </c>
      <c r="AD235" s="59" t="n">
        <f aca="false">E235+AA235*AQ235</f>
        <v>0</v>
      </c>
      <c r="AE235" s="59" t="n">
        <f aca="false">F235+AB235*AQ235</f>
        <v>0</v>
      </c>
      <c r="AF235" s="59" t="n">
        <f aca="false">G235+AC235*AQ235</f>
        <v>0</v>
      </c>
      <c r="AG235" s="59" t="n">
        <f aca="false">H235+I235+J235+(AA235+AB235+AC235)*(1-AQ235)</f>
        <v>0</v>
      </c>
      <c r="AH235" s="60" t="n">
        <f aca="false">AD235*P1_PVP+AE235*P2_PVP+AF235*IF($A235&lt;P3_DESDE,P3A_PVP,P3_PVP)</f>
        <v>0</v>
      </c>
      <c r="AI235" s="60" t="n">
        <f aca="false">AD235*P1_CPROD+AE235*P2_CPROD+AF235*IF($A235&lt;P3_DESDE,P3A_CPROD,P3_CPROD)</f>
        <v>0</v>
      </c>
      <c r="AJ235" s="60" t="n">
        <f aca="false">IF(ISNUMBER(L235),L235,E235*P1_LOG+F235*P2_LOG+G235*P3_LOG)+IF(ISNUMBER(M235),M235,AA235*P1_LOG+AB235*P2_LOG+AC235*P3_LOG)*AQ235</f>
        <v>0</v>
      </c>
      <c r="AK235" s="60" t="n">
        <f aca="false">AG235*COSTE_DEV</f>
        <v>0</v>
      </c>
      <c r="AL235" s="60" t="n">
        <f aca="false">AD235*P1_IVAN+AE235*P2_IVAN+AF235*IF($A235&lt;P3_DESDE,P3A_IVAN,P3_IVAN)-AG235*IVA_DEV</f>
        <v>0</v>
      </c>
      <c r="AM235" s="60" t="n">
        <f aca="false">N235*(1+RECARGO_ADS)</f>
        <v>0</v>
      </c>
      <c r="AN235" s="58" t="n">
        <f aca="false">IF(ISNUMBER(L235),E235+F235+G235+AA235+AB235+AC235,0)</f>
        <v>0</v>
      </c>
      <c r="AO235" s="60" t="n">
        <f aca="false">P235*COMISION</f>
        <v>0</v>
      </c>
      <c r="AP235" s="58" t="n">
        <f aca="false">MIN(N(K235),Q235)</f>
        <v>0</v>
      </c>
      <c r="AQ235" s="61" t="n">
        <f aca="false">IF(Q235&gt;0,((Q235-AP235)*AT235+AP235*TASA_INC)/Q235,AT235)</f>
        <v>0.659887072235414</v>
      </c>
      <c r="AR235" s="58" t="n">
        <f aca="false">IF($A235&lt;FECHA_EXPORT,NETWORKDAYS($A235+1,FECHA_EXPORT,FESTIVOS),0)</f>
        <v>0</v>
      </c>
      <c r="AS235" s="61" t="n">
        <f aca="false">IF(AR235&gt;=5,1,INDEX(CDF_INC,1,AR235+1))</f>
        <v>0.14</v>
      </c>
      <c r="AT235" s="61" t="n">
        <f aca="false">TASA_USADA+(TASA_INC-TASA_USADA)*Q_INC*(1-AS235)/(1-Q_INC*AS235)</f>
        <v>0.659887072235414</v>
      </c>
    </row>
    <row r="236" customFormat="false" ht="15" hidden="false" customHeight="false" outlineLevel="0" collapsed="false">
      <c r="A236" s="53" t="n">
        <v>46530</v>
      </c>
      <c r="B236" s="54"/>
      <c r="C236" s="54"/>
      <c r="D236" s="54"/>
      <c r="E236" s="54"/>
      <c r="F236" s="54"/>
      <c r="G236" s="54"/>
      <c r="H236" s="54"/>
      <c r="I236" s="54"/>
      <c r="J236" s="54"/>
      <c r="K236" s="54"/>
      <c r="L236" s="55"/>
      <c r="M236" s="55"/>
      <c r="N236" s="55"/>
      <c r="O236" s="56"/>
      <c r="P236" s="31" t="n">
        <f aca="false">B236+C236+D236</f>
        <v>0</v>
      </c>
      <c r="Q236" s="31" t="n">
        <f aca="false">AA236+AB236+AC236</f>
        <v>0</v>
      </c>
      <c r="R236" s="32" t="n">
        <f aca="false">B236*P1_PVP+C236*P2_PVP+D236*IF($A236&lt;P3_DESDE,P3A_PVP,P3_PVP)</f>
        <v>0</v>
      </c>
      <c r="S236" s="32" t="str">
        <f aca="false">IF(P236&gt;0,R236/P236,"")</f>
        <v/>
      </c>
      <c r="T236" s="32" t="str">
        <f aca="false">IF(P236&gt;0,N236/P236,"")</f>
        <v/>
      </c>
      <c r="U236" s="57" t="str">
        <f aca="false">IF(N236&gt;0,R236/N236,"")</f>
        <v/>
      </c>
      <c r="V236" s="34" t="str">
        <f aca="false">IF(E236+F236+G236+H236+I236+J236&gt;0,(E236+F236+G236)/(E236+F236+G236+H236+I236+J236),"")</f>
        <v/>
      </c>
      <c r="W236" s="33" t="n">
        <f aca="false">E236*(P1_PVP-P1_CPROD)+F236*(P2_PVP-P2_CPROD)+G236*(IF($A236&lt;P3_DESDE,P3A_PVP,P3_PVP)-IF($A236&lt;P3_DESDE,P3A_CPROD,P3_CPROD))-IF(ISNUMBER(L236),L236,E236*P1_LOG+F236*P2_LOG+G236*P3_LOG)</f>
        <v>0</v>
      </c>
      <c r="X236" s="33" t="n">
        <f aca="false">W236-(E236*P1_IVAN+F236*P2_IVAN+G236*IF($A236&lt;P3_DESDE,P3A_IVAN,P3_IVAN))-(H236+I236+J236)*(COSTE_DEV-IVA_DEV)-AM236-AO236</f>
        <v>0</v>
      </c>
      <c r="Y236" s="33" t="n">
        <f aca="false">AH236-AI236-AJ236-AK236-AL236-AM236-AO236</f>
        <v>0</v>
      </c>
      <c r="AA236" s="58" t="n">
        <f aca="false">MAX(0,B236-E236-H236)</f>
        <v>0</v>
      </c>
      <c r="AB236" s="58" t="n">
        <f aca="false">MAX(0,C236-F236-I236)</f>
        <v>0</v>
      </c>
      <c r="AC236" s="58" t="n">
        <f aca="false">MAX(0,D236-G236-J236)</f>
        <v>0</v>
      </c>
      <c r="AD236" s="59" t="n">
        <f aca="false">E236+AA236*AQ236</f>
        <v>0</v>
      </c>
      <c r="AE236" s="59" t="n">
        <f aca="false">F236+AB236*AQ236</f>
        <v>0</v>
      </c>
      <c r="AF236" s="59" t="n">
        <f aca="false">G236+AC236*AQ236</f>
        <v>0</v>
      </c>
      <c r="AG236" s="59" t="n">
        <f aca="false">H236+I236+J236+(AA236+AB236+AC236)*(1-AQ236)</f>
        <v>0</v>
      </c>
      <c r="AH236" s="60" t="n">
        <f aca="false">AD236*P1_PVP+AE236*P2_PVP+AF236*IF($A236&lt;P3_DESDE,P3A_PVP,P3_PVP)</f>
        <v>0</v>
      </c>
      <c r="AI236" s="60" t="n">
        <f aca="false">AD236*P1_CPROD+AE236*P2_CPROD+AF236*IF($A236&lt;P3_DESDE,P3A_CPROD,P3_CPROD)</f>
        <v>0</v>
      </c>
      <c r="AJ236" s="60" t="n">
        <f aca="false">IF(ISNUMBER(L236),L236,E236*P1_LOG+F236*P2_LOG+G236*P3_LOG)+IF(ISNUMBER(M236),M236,AA236*P1_LOG+AB236*P2_LOG+AC236*P3_LOG)*AQ236</f>
        <v>0</v>
      </c>
      <c r="AK236" s="60" t="n">
        <f aca="false">AG236*COSTE_DEV</f>
        <v>0</v>
      </c>
      <c r="AL236" s="60" t="n">
        <f aca="false">AD236*P1_IVAN+AE236*P2_IVAN+AF236*IF($A236&lt;P3_DESDE,P3A_IVAN,P3_IVAN)-AG236*IVA_DEV</f>
        <v>0</v>
      </c>
      <c r="AM236" s="60" t="n">
        <f aca="false">N236*(1+RECARGO_ADS)</f>
        <v>0</v>
      </c>
      <c r="AN236" s="58" t="n">
        <f aca="false">IF(ISNUMBER(L236),E236+F236+G236+AA236+AB236+AC236,0)</f>
        <v>0</v>
      </c>
      <c r="AO236" s="60" t="n">
        <f aca="false">P236*COMISION</f>
        <v>0</v>
      </c>
      <c r="AP236" s="58" t="n">
        <f aca="false">MIN(N(K236),Q236)</f>
        <v>0</v>
      </c>
      <c r="AQ236" s="61" t="n">
        <f aca="false">IF(Q236&gt;0,((Q236-AP236)*AT236+AP236*TASA_INC)/Q236,AT236)</f>
        <v>0.659887072235414</v>
      </c>
      <c r="AR236" s="58" t="n">
        <f aca="false">IF($A236&lt;FECHA_EXPORT,NETWORKDAYS($A236+1,FECHA_EXPORT,FESTIVOS),0)</f>
        <v>0</v>
      </c>
      <c r="AS236" s="61" t="n">
        <f aca="false">IF(AR236&gt;=5,1,INDEX(CDF_INC,1,AR236+1))</f>
        <v>0.14</v>
      </c>
      <c r="AT236" s="61" t="n">
        <f aca="false">TASA_USADA+(TASA_INC-TASA_USADA)*Q_INC*(1-AS236)/(1-Q_INC*AS236)</f>
        <v>0.659887072235414</v>
      </c>
    </row>
    <row r="237" customFormat="false" ht="15" hidden="false" customHeight="false" outlineLevel="0" collapsed="false">
      <c r="A237" s="53" t="n">
        <v>46531</v>
      </c>
      <c r="B237" s="54"/>
      <c r="C237" s="54"/>
      <c r="D237" s="54"/>
      <c r="E237" s="54"/>
      <c r="F237" s="54"/>
      <c r="G237" s="54"/>
      <c r="H237" s="54"/>
      <c r="I237" s="54"/>
      <c r="J237" s="54"/>
      <c r="K237" s="54"/>
      <c r="L237" s="55"/>
      <c r="M237" s="55"/>
      <c r="N237" s="55"/>
      <c r="O237" s="56"/>
      <c r="P237" s="31" t="n">
        <f aca="false">B237+C237+D237</f>
        <v>0</v>
      </c>
      <c r="Q237" s="31" t="n">
        <f aca="false">AA237+AB237+AC237</f>
        <v>0</v>
      </c>
      <c r="R237" s="32" t="n">
        <f aca="false">B237*P1_PVP+C237*P2_PVP+D237*IF($A237&lt;P3_DESDE,P3A_PVP,P3_PVP)</f>
        <v>0</v>
      </c>
      <c r="S237" s="32" t="str">
        <f aca="false">IF(P237&gt;0,R237/P237,"")</f>
        <v/>
      </c>
      <c r="T237" s="32" t="str">
        <f aca="false">IF(P237&gt;0,N237/P237,"")</f>
        <v/>
      </c>
      <c r="U237" s="57" t="str">
        <f aca="false">IF(N237&gt;0,R237/N237,"")</f>
        <v/>
      </c>
      <c r="V237" s="34" t="str">
        <f aca="false">IF(E237+F237+G237+H237+I237+J237&gt;0,(E237+F237+G237)/(E237+F237+G237+H237+I237+J237),"")</f>
        <v/>
      </c>
      <c r="W237" s="33" t="n">
        <f aca="false">E237*(P1_PVP-P1_CPROD)+F237*(P2_PVP-P2_CPROD)+G237*(IF($A237&lt;P3_DESDE,P3A_PVP,P3_PVP)-IF($A237&lt;P3_DESDE,P3A_CPROD,P3_CPROD))-IF(ISNUMBER(L237),L237,E237*P1_LOG+F237*P2_LOG+G237*P3_LOG)</f>
        <v>0</v>
      </c>
      <c r="X237" s="33" t="n">
        <f aca="false">W237-(E237*P1_IVAN+F237*P2_IVAN+G237*IF($A237&lt;P3_DESDE,P3A_IVAN,P3_IVAN))-(H237+I237+J237)*(COSTE_DEV-IVA_DEV)-AM237-AO237</f>
        <v>0</v>
      </c>
      <c r="Y237" s="33" t="n">
        <f aca="false">AH237-AI237-AJ237-AK237-AL237-AM237-AO237</f>
        <v>0</v>
      </c>
      <c r="AA237" s="58" t="n">
        <f aca="false">MAX(0,B237-E237-H237)</f>
        <v>0</v>
      </c>
      <c r="AB237" s="58" t="n">
        <f aca="false">MAX(0,C237-F237-I237)</f>
        <v>0</v>
      </c>
      <c r="AC237" s="58" t="n">
        <f aca="false">MAX(0,D237-G237-J237)</f>
        <v>0</v>
      </c>
      <c r="AD237" s="59" t="n">
        <f aca="false">E237+AA237*AQ237</f>
        <v>0</v>
      </c>
      <c r="AE237" s="59" t="n">
        <f aca="false">F237+AB237*AQ237</f>
        <v>0</v>
      </c>
      <c r="AF237" s="59" t="n">
        <f aca="false">G237+AC237*AQ237</f>
        <v>0</v>
      </c>
      <c r="AG237" s="59" t="n">
        <f aca="false">H237+I237+J237+(AA237+AB237+AC237)*(1-AQ237)</f>
        <v>0</v>
      </c>
      <c r="AH237" s="60" t="n">
        <f aca="false">AD237*P1_PVP+AE237*P2_PVP+AF237*IF($A237&lt;P3_DESDE,P3A_PVP,P3_PVP)</f>
        <v>0</v>
      </c>
      <c r="AI237" s="60" t="n">
        <f aca="false">AD237*P1_CPROD+AE237*P2_CPROD+AF237*IF($A237&lt;P3_DESDE,P3A_CPROD,P3_CPROD)</f>
        <v>0</v>
      </c>
      <c r="AJ237" s="60" t="n">
        <f aca="false">IF(ISNUMBER(L237),L237,E237*P1_LOG+F237*P2_LOG+G237*P3_LOG)+IF(ISNUMBER(M237),M237,AA237*P1_LOG+AB237*P2_LOG+AC237*P3_LOG)*AQ237</f>
        <v>0</v>
      </c>
      <c r="AK237" s="60" t="n">
        <f aca="false">AG237*COSTE_DEV</f>
        <v>0</v>
      </c>
      <c r="AL237" s="60" t="n">
        <f aca="false">AD237*P1_IVAN+AE237*P2_IVAN+AF237*IF($A237&lt;P3_DESDE,P3A_IVAN,P3_IVAN)-AG237*IVA_DEV</f>
        <v>0</v>
      </c>
      <c r="AM237" s="60" t="n">
        <f aca="false">N237*(1+RECARGO_ADS)</f>
        <v>0</v>
      </c>
      <c r="AN237" s="58" t="n">
        <f aca="false">IF(ISNUMBER(L237),E237+F237+G237+AA237+AB237+AC237,0)</f>
        <v>0</v>
      </c>
      <c r="AO237" s="60" t="n">
        <f aca="false">P237*COMISION</f>
        <v>0</v>
      </c>
      <c r="AP237" s="58" t="n">
        <f aca="false">MIN(N(K237),Q237)</f>
        <v>0</v>
      </c>
      <c r="AQ237" s="61" t="n">
        <f aca="false">IF(Q237&gt;0,((Q237-AP237)*AT237+AP237*TASA_INC)/Q237,AT237)</f>
        <v>0.659887072235414</v>
      </c>
      <c r="AR237" s="58" t="n">
        <f aca="false">IF($A237&lt;FECHA_EXPORT,NETWORKDAYS($A237+1,FECHA_EXPORT,FESTIVOS),0)</f>
        <v>0</v>
      </c>
      <c r="AS237" s="61" t="n">
        <f aca="false">IF(AR237&gt;=5,1,INDEX(CDF_INC,1,AR237+1))</f>
        <v>0.14</v>
      </c>
      <c r="AT237" s="61" t="n">
        <f aca="false">TASA_USADA+(TASA_INC-TASA_USADA)*Q_INC*(1-AS237)/(1-Q_INC*AS237)</f>
        <v>0.659887072235414</v>
      </c>
    </row>
    <row r="238" customFormat="false" ht="15" hidden="false" customHeight="false" outlineLevel="0" collapsed="false">
      <c r="A238" s="53" t="n">
        <v>46532</v>
      </c>
      <c r="B238" s="54"/>
      <c r="C238" s="54"/>
      <c r="D238" s="54"/>
      <c r="E238" s="54"/>
      <c r="F238" s="54"/>
      <c r="G238" s="54"/>
      <c r="H238" s="54"/>
      <c r="I238" s="54"/>
      <c r="J238" s="54"/>
      <c r="K238" s="54"/>
      <c r="L238" s="55"/>
      <c r="M238" s="55"/>
      <c r="N238" s="55"/>
      <c r="O238" s="56"/>
      <c r="P238" s="31" t="n">
        <f aca="false">B238+C238+D238</f>
        <v>0</v>
      </c>
      <c r="Q238" s="31" t="n">
        <f aca="false">AA238+AB238+AC238</f>
        <v>0</v>
      </c>
      <c r="R238" s="32" t="n">
        <f aca="false">B238*P1_PVP+C238*P2_PVP+D238*IF($A238&lt;P3_DESDE,P3A_PVP,P3_PVP)</f>
        <v>0</v>
      </c>
      <c r="S238" s="32" t="str">
        <f aca="false">IF(P238&gt;0,R238/P238,"")</f>
        <v/>
      </c>
      <c r="T238" s="32" t="str">
        <f aca="false">IF(P238&gt;0,N238/P238,"")</f>
        <v/>
      </c>
      <c r="U238" s="57" t="str">
        <f aca="false">IF(N238&gt;0,R238/N238,"")</f>
        <v/>
      </c>
      <c r="V238" s="34" t="str">
        <f aca="false">IF(E238+F238+G238+H238+I238+J238&gt;0,(E238+F238+G238)/(E238+F238+G238+H238+I238+J238),"")</f>
        <v/>
      </c>
      <c r="W238" s="33" t="n">
        <f aca="false">E238*(P1_PVP-P1_CPROD)+F238*(P2_PVP-P2_CPROD)+G238*(IF($A238&lt;P3_DESDE,P3A_PVP,P3_PVP)-IF($A238&lt;P3_DESDE,P3A_CPROD,P3_CPROD))-IF(ISNUMBER(L238),L238,E238*P1_LOG+F238*P2_LOG+G238*P3_LOG)</f>
        <v>0</v>
      </c>
      <c r="X238" s="33" t="n">
        <f aca="false">W238-(E238*P1_IVAN+F238*P2_IVAN+G238*IF($A238&lt;P3_DESDE,P3A_IVAN,P3_IVAN))-(H238+I238+J238)*(COSTE_DEV-IVA_DEV)-AM238-AO238</f>
        <v>0</v>
      </c>
      <c r="Y238" s="33" t="n">
        <f aca="false">AH238-AI238-AJ238-AK238-AL238-AM238-AO238</f>
        <v>0</v>
      </c>
      <c r="AA238" s="58" t="n">
        <f aca="false">MAX(0,B238-E238-H238)</f>
        <v>0</v>
      </c>
      <c r="AB238" s="58" t="n">
        <f aca="false">MAX(0,C238-F238-I238)</f>
        <v>0</v>
      </c>
      <c r="AC238" s="58" t="n">
        <f aca="false">MAX(0,D238-G238-J238)</f>
        <v>0</v>
      </c>
      <c r="AD238" s="59" t="n">
        <f aca="false">E238+AA238*AQ238</f>
        <v>0</v>
      </c>
      <c r="AE238" s="59" t="n">
        <f aca="false">F238+AB238*AQ238</f>
        <v>0</v>
      </c>
      <c r="AF238" s="59" t="n">
        <f aca="false">G238+AC238*AQ238</f>
        <v>0</v>
      </c>
      <c r="AG238" s="59" t="n">
        <f aca="false">H238+I238+J238+(AA238+AB238+AC238)*(1-AQ238)</f>
        <v>0</v>
      </c>
      <c r="AH238" s="60" t="n">
        <f aca="false">AD238*P1_PVP+AE238*P2_PVP+AF238*IF($A238&lt;P3_DESDE,P3A_PVP,P3_PVP)</f>
        <v>0</v>
      </c>
      <c r="AI238" s="60" t="n">
        <f aca="false">AD238*P1_CPROD+AE238*P2_CPROD+AF238*IF($A238&lt;P3_DESDE,P3A_CPROD,P3_CPROD)</f>
        <v>0</v>
      </c>
      <c r="AJ238" s="60" t="n">
        <f aca="false">IF(ISNUMBER(L238),L238,E238*P1_LOG+F238*P2_LOG+G238*P3_LOG)+IF(ISNUMBER(M238),M238,AA238*P1_LOG+AB238*P2_LOG+AC238*P3_LOG)*AQ238</f>
        <v>0</v>
      </c>
      <c r="AK238" s="60" t="n">
        <f aca="false">AG238*COSTE_DEV</f>
        <v>0</v>
      </c>
      <c r="AL238" s="60" t="n">
        <f aca="false">AD238*P1_IVAN+AE238*P2_IVAN+AF238*IF($A238&lt;P3_DESDE,P3A_IVAN,P3_IVAN)-AG238*IVA_DEV</f>
        <v>0</v>
      </c>
      <c r="AM238" s="60" t="n">
        <f aca="false">N238*(1+RECARGO_ADS)</f>
        <v>0</v>
      </c>
      <c r="AN238" s="58" t="n">
        <f aca="false">IF(ISNUMBER(L238),E238+F238+G238+AA238+AB238+AC238,0)</f>
        <v>0</v>
      </c>
      <c r="AO238" s="60" t="n">
        <f aca="false">P238*COMISION</f>
        <v>0</v>
      </c>
      <c r="AP238" s="58" t="n">
        <f aca="false">MIN(N(K238),Q238)</f>
        <v>0</v>
      </c>
      <c r="AQ238" s="61" t="n">
        <f aca="false">IF(Q238&gt;0,((Q238-AP238)*AT238+AP238*TASA_INC)/Q238,AT238)</f>
        <v>0.659887072235414</v>
      </c>
      <c r="AR238" s="58" t="n">
        <f aca="false">IF($A238&lt;FECHA_EXPORT,NETWORKDAYS($A238+1,FECHA_EXPORT,FESTIVOS),0)</f>
        <v>0</v>
      </c>
      <c r="AS238" s="61" t="n">
        <f aca="false">IF(AR238&gt;=5,1,INDEX(CDF_INC,1,AR238+1))</f>
        <v>0.14</v>
      </c>
      <c r="AT238" s="61" t="n">
        <f aca="false">TASA_USADA+(TASA_INC-TASA_USADA)*Q_INC*(1-AS238)/(1-Q_INC*AS238)</f>
        <v>0.659887072235414</v>
      </c>
    </row>
    <row r="239" customFormat="false" ht="15" hidden="false" customHeight="false" outlineLevel="0" collapsed="false">
      <c r="A239" s="53" t="n">
        <v>46533</v>
      </c>
      <c r="B239" s="54"/>
      <c r="C239" s="54"/>
      <c r="D239" s="54"/>
      <c r="E239" s="54"/>
      <c r="F239" s="54"/>
      <c r="G239" s="54"/>
      <c r="H239" s="54"/>
      <c r="I239" s="54"/>
      <c r="J239" s="54"/>
      <c r="K239" s="54"/>
      <c r="L239" s="55"/>
      <c r="M239" s="55"/>
      <c r="N239" s="55"/>
      <c r="O239" s="56"/>
      <c r="P239" s="31" t="n">
        <f aca="false">B239+C239+D239</f>
        <v>0</v>
      </c>
      <c r="Q239" s="31" t="n">
        <f aca="false">AA239+AB239+AC239</f>
        <v>0</v>
      </c>
      <c r="R239" s="32" t="n">
        <f aca="false">B239*P1_PVP+C239*P2_PVP+D239*IF($A239&lt;P3_DESDE,P3A_PVP,P3_PVP)</f>
        <v>0</v>
      </c>
      <c r="S239" s="32" t="str">
        <f aca="false">IF(P239&gt;0,R239/P239,"")</f>
        <v/>
      </c>
      <c r="T239" s="32" t="str">
        <f aca="false">IF(P239&gt;0,N239/P239,"")</f>
        <v/>
      </c>
      <c r="U239" s="57" t="str">
        <f aca="false">IF(N239&gt;0,R239/N239,"")</f>
        <v/>
      </c>
      <c r="V239" s="34" t="str">
        <f aca="false">IF(E239+F239+G239+H239+I239+J239&gt;0,(E239+F239+G239)/(E239+F239+G239+H239+I239+J239),"")</f>
        <v/>
      </c>
      <c r="W239" s="33" t="n">
        <f aca="false">E239*(P1_PVP-P1_CPROD)+F239*(P2_PVP-P2_CPROD)+G239*(IF($A239&lt;P3_DESDE,P3A_PVP,P3_PVP)-IF($A239&lt;P3_DESDE,P3A_CPROD,P3_CPROD))-IF(ISNUMBER(L239),L239,E239*P1_LOG+F239*P2_LOG+G239*P3_LOG)</f>
        <v>0</v>
      </c>
      <c r="X239" s="33" t="n">
        <f aca="false">W239-(E239*P1_IVAN+F239*P2_IVAN+G239*IF($A239&lt;P3_DESDE,P3A_IVAN,P3_IVAN))-(H239+I239+J239)*(COSTE_DEV-IVA_DEV)-AM239-AO239</f>
        <v>0</v>
      </c>
      <c r="Y239" s="33" t="n">
        <f aca="false">AH239-AI239-AJ239-AK239-AL239-AM239-AO239</f>
        <v>0</v>
      </c>
      <c r="AA239" s="58" t="n">
        <f aca="false">MAX(0,B239-E239-H239)</f>
        <v>0</v>
      </c>
      <c r="AB239" s="58" t="n">
        <f aca="false">MAX(0,C239-F239-I239)</f>
        <v>0</v>
      </c>
      <c r="AC239" s="58" t="n">
        <f aca="false">MAX(0,D239-G239-J239)</f>
        <v>0</v>
      </c>
      <c r="AD239" s="59" t="n">
        <f aca="false">E239+AA239*AQ239</f>
        <v>0</v>
      </c>
      <c r="AE239" s="59" t="n">
        <f aca="false">F239+AB239*AQ239</f>
        <v>0</v>
      </c>
      <c r="AF239" s="59" t="n">
        <f aca="false">G239+AC239*AQ239</f>
        <v>0</v>
      </c>
      <c r="AG239" s="59" t="n">
        <f aca="false">H239+I239+J239+(AA239+AB239+AC239)*(1-AQ239)</f>
        <v>0</v>
      </c>
      <c r="AH239" s="60" t="n">
        <f aca="false">AD239*P1_PVP+AE239*P2_PVP+AF239*IF($A239&lt;P3_DESDE,P3A_PVP,P3_PVP)</f>
        <v>0</v>
      </c>
      <c r="AI239" s="60" t="n">
        <f aca="false">AD239*P1_CPROD+AE239*P2_CPROD+AF239*IF($A239&lt;P3_DESDE,P3A_CPROD,P3_CPROD)</f>
        <v>0</v>
      </c>
      <c r="AJ239" s="60" t="n">
        <f aca="false">IF(ISNUMBER(L239),L239,E239*P1_LOG+F239*P2_LOG+G239*P3_LOG)+IF(ISNUMBER(M239),M239,AA239*P1_LOG+AB239*P2_LOG+AC239*P3_LOG)*AQ239</f>
        <v>0</v>
      </c>
      <c r="AK239" s="60" t="n">
        <f aca="false">AG239*COSTE_DEV</f>
        <v>0</v>
      </c>
      <c r="AL239" s="60" t="n">
        <f aca="false">AD239*P1_IVAN+AE239*P2_IVAN+AF239*IF($A239&lt;P3_DESDE,P3A_IVAN,P3_IVAN)-AG239*IVA_DEV</f>
        <v>0</v>
      </c>
      <c r="AM239" s="60" t="n">
        <f aca="false">N239*(1+RECARGO_ADS)</f>
        <v>0</v>
      </c>
      <c r="AN239" s="58" t="n">
        <f aca="false">IF(ISNUMBER(L239),E239+F239+G239+AA239+AB239+AC239,0)</f>
        <v>0</v>
      </c>
      <c r="AO239" s="60" t="n">
        <f aca="false">P239*COMISION</f>
        <v>0</v>
      </c>
      <c r="AP239" s="58" t="n">
        <f aca="false">MIN(N(K239),Q239)</f>
        <v>0</v>
      </c>
      <c r="AQ239" s="61" t="n">
        <f aca="false">IF(Q239&gt;0,((Q239-AP239)*AT239+AP239*TASA_INC)/Q239,AT239)</f>
        <v>0.659887072235414</v>
      </c>
      <c r="AR239" s="58" t="n">
        <f aca="false">IF($A239&lt;FECHA_EXPORT,NETWORKDAYS($A239+1,FECHA_EXPORT,FESTIVOS),0)</f>
        <v>0</v>
      </c>
      <c r="AS239" s="61" t="n">
        <f aca="false">IF(AR239&gt;=5,1,INDEX(CDF_INC,1,AR239+1))</f>
        <v>0.14</v>
      </c>
      <c r="AT239" s="61" t="n">
        <f aca="false">TASA_USADA+(TASA_INC-TASA_USADA)*Q_INC*(1-AS239)/(1-Q_INC*AS239)</f>
        <v>0.659887072235414</v>
      </c>
    </row>
    <row r="240" customFormat="false" ht="15" hidden="false" customHeight="false" outlineLevel="0" collapsed="false">
      <c r="A240" s="53" t="n">
        <v>46534</v>
      </c>
      <c r="B240" s="54"/>
      <c r="C240" s="54"/>
      <c r="D240" s="54"/>
      <c r="E240" s="54"/>
      <c r="F240" s="54"/>
      <c r="G240" s="54"/>
      <c r="H240" s="54"/>
      <c r="I240" s="54"/>
      <c r="J240" s="54"/>
      <c r="K240" s="54"/>
      <c r="L240" s="55"/>
      <c r="M240" s="55"/>
      <c r="N240" s="55"/>
      <c r="O240" s="56"/>
      <c r="P240" s="31" t="n">
        <f aca="false">B240+C240+D240</f>
        <v>0</v>
      </c>
      <c r="Q240" s="31" t="n">
        <f aca="false">AA240+AB240+AC240</f>
        <v>0</v>
      </c>
      <c r="R240" s="32" t="n">
        <f aca="false">B240*P1_PVP+C240*P2_PVP+D240*IF($A240&lt;P3_DESDE,P3A_PVP,P3_PVP)</f>
        <v>0</v>
      </c>
      <c r="S240" s="32" t="str">
        <f aca="false">IF(P240&gt;0,R240/P240,"")</f>
        <v/>
      </c>
      <c r="T240" s="32" t="str">
        <f aca="false">IF(P240&gt;0,N240/P240,"")</f>
        <v/>
      </c>
      <c r="U240" s="57" t="str">
        <f aca="false">IF(N240&gt;0,R240/N240,"")</f>
        <v/>
      </c>
      <c r="V240" s="34" t="str">
        <f aca="false">IF(E240+F240+G240+H240+I240+J240&gt;0,(E240+F240+G240)/(E240+F240+G240+H240+I240+J240),"")</f>
        <v/>
      </c>
      <c r="W240" s="33" t="n">
        <f aca="false">E240*(P1_PVP-P1_CPROD)+F240*(P2_PVP-P2_CPROD)+G240*(IF($A240&lt;P3_DESDE,P3A_PVP,P3_PVP)-IF($A240&lt;P3_DESDE,P3A_CPROD,P3_CPROD))-IF(ISNUMBER(L240),L240,E240*P1_LOG+F240*P2_LOG+G240*P3_LOG)</f>
        <v>0</v>
      </c>
      <c r="X240" s="33" t="n">
        <f aca="false">W240-(E240*P1_IVAN+F240*P2_IVAN+G240*IF($A240&lt;P3_DESDE,P3A_IVAN,P3_IVAN))-(H240+I240+J240)*(COSTE_DEV-IVA_DEV)-AM240-AO240</f>
        <v>0</v>
      </c>
      <c r="Y240" s="33" t="n">
        <f aca="false">AH240-AI240-AJ240-AK240-AL240-AM240-AO240</f>
        <v>0</v>
      </c>
      <c r="AA240" s="58" t="n">
        <f aca="false">MAX(0,B240-E240-H240)</f>
        <v>0</v>
      </c>
      <c r="AB240" s="58" t="n">
        <f aca="false">MAX(0,C240-F240-I240)</f>
        <v>0</v>
      </c>
      <c r="AC240" s="58" t="n">
        <f aca="false">MAX(0,D240-G240-J240)</f>
        <v>0</v>
      </c>
      <c r="AD240" s="59" t="n">
        <f aca="false">E240+AA240*AQ240</f>
        <v>0</v>
      </c>
      <c r="AE240" s="59" t="n">
        <f aca="false">F240+AB240*AQ240</f>
        <v>0</v>
      </c>
      <c r="AF240" s="59" t="n">
        <f aca="false">G240+AC240*AQ240</f>
        <v>0</v>
      </c>
      <c r="AG240" s="59" t="n">
        <f aca="false">H240+I240+J240+(AA240+AB240+AC240)*(1-AQ240)</f>
        <v>0</v>
      </c>
      <c r="AH240" s="60" t="n">
        <f aca="false">AD240*P1_PVP+AE240*P2_PVP+AF240*IF($A240&lt;P3_DESDE,P3A_PVP,P3_PVP)</f>
        <v>0</v>
      </c>
      <c r="AI240" s="60" t="n">
        <f aca="false">AD240*P1_CPROD+AE240*P2_CPROD+AF240*IF($A240&lt;P3_DESDE,P3A_CPROD,P3_CPROD)</f>
        <v>0</v>
      </c>
      <c r="AJ240" s="60" t="n">
        <f aca="false">IF(ISNUMBER(L240),L240,E240*P1_LOG+F240*P2_LOG+G240*P3_LOG)+IF(ISNUMBER(M240),M240,AA240*P1_LOG+AB240*P2_LOG+AC240*P3_LOG)*AQ240</f>
        <v>0</v>
      </c>
      <c r="AK240" s="60" t="n">
        <f aca="false">AG240*COSTE_DEV</f>
        <v>0</v>
      </c>
      <c r="AL240" s="60" t="n">
        <f aca="false">AD240*P1_IVAN+AE240*P2_IVAN+AF240*IF($A240&lt;P3_DESDE,P3A_IVAN,P3_IVAN)-AG240*IVA_DEV</f>
        <v>0</v>
      </c>
      <c r="AM240" s="60" t="n">
        <f aca="false">N240*(1+RECARGO_ADS)</f>
        <v>0</v>
      </c>
      <c r="AN240" s="58" t="n">
        <f aca="false">IF(ISNUMBER(L240),E240+F240+G240+AA240+AB240+AC240,0)</f>
        <v>0</v>
      </c>
      <c r="AO240" s="60" t="n">
        <f aca="false">P240*COMISION</f>
        <v>0</v>
      </c>
      <c r="AP240" s="58" t="n">
        <f aca="false">MIN(N(K240),Q240)</f>
        <v>0</v>
      </c>
      <c r="AQ240" s="61" t="n">
        <f aca="false">IF(Q240&gt;0,((Q240-AP240)*AT240+AP240*TASA_INC)/Q240,AT240)</f>
        <v>0.659887072235414</v>
      </c>
      <c r="AR240" s="58" t="n">
        <f aca="false">IF($A240&lt;FECHA_EXPORT,NETWORKDAYS($A240+1,FECHA_EXPORT,FESTIVOS),0)</f>
        <v>0</v>
      </c>
      <c r="AS240" s="61" t="n">
        <f aca="false">IF(AR240&gt;=5,1,INDEX(CDF_INC,1,AR240+1))</f>
        <v>0.14</v>
      </c>
      <c r="AT240" s="61" t="n">
        <f aca="false">TASA_USADA+(TASA_INC-TASA_USADA)*Q_INC*(1-AS240)/(1-Q_INC*AS240)</f>
        <v>0.659887072235414</v>
      </c>
    </row>
    <row r="241" customFormat="false" ht="15" hidden="false" customHeight="false" outlineLevel="0" collapsed="false">
      <c r="A241" s="53" t="n">
        <v>46535</v>
      </c>
      <c r="B241" s="54"/>
      <c r="C241" s="54"/>
      <c r="D241" s="54"/>
      <c r="E241" s="54"/>
      <c r="F241" s="54"/>
      <c r="G241" s="54"/>
      <c r="H241" s="54"/>
      <c r="I241" s="54"/>
      <c r="J241" s="54"/>
      <c r="K241" s="54"/>
      <c r="L241" s="55"/>
      <c r="M241" s="55"/>
      <c r="N241" s="55"/>
      <c r="O241" s="56"/>
      <c r="P241" s="31" t="n">
        <f aca="false">B241+C241+D241</f>
        <v>0</v>
      </c>
      <c r="Q241" s="31" t="n">
        <f aca="false">AA241+AB241+AC241</f>
        <v>0</v>
      </c>
      <c r="R241" s="32" t="n">
        <f aca="false">B241*P1_PVP+C241*P2_PVP+D241*IF($A241&lt;P3_DESDE,P3A_PVP,P3_PVP)</f>
        <v>0</v>
      </c>
      <c r="S241" s="32" t="str">
        <f aca="false">IF(P241&gt;0,R241/P241,"")</f>
        <v/>
      </c>
      <c r="T241" s="32" t="str">
        <f aca="false">IF(P241&gt;0,N241/P241,"")</f>
        <v/>
      </c>
      <c r="U241" s="57" t="str">
        <f aca="false">IF(N241&gt;0,R241/N241,"")</f>
        <v/>
      </c>
      <c r="V241" s="34" t="str">
        <f aca="false">IF(E241+F241+G241+H241+I241+J241&gt;0,(E241+F241+G241)/(E241+F241+G241+H241+I241+J241),"")</f>
        <v/>
      </c>
      <c r="W241" s="33" t="n">
        <f aca="false">E241*(P1_PVP-P1_CPROD)+F241*(P2_PVP-P2_CPROD)+G241*(IF($A241&lt;P3_DESDE,P3A_PVP,P3_PVP)-IF($A241&lt;P3_DESDE,P3A_CPROD,P3_CPROD))-IF(ISNUMBER(L241),L241,E241*P1_LOG+F241*P2_LOG+G241*P3_LOG)</f>
        <v>0</v>
      </c>
      <c r="X241" s="33" t="n">
        <f aca="false">W241-(E241*P1_IVAN+F241*P2_IVAN+G241*IF($A241&lt;P3_DESDE,P3A_IVAN,P3_IVAN))-(H241+I241+J241)*(COSTE_DEV-IVA_DEV)-AM241-AO241</f>
        <v>0</v>
      </c>
      <c r="Y241" s="33" t="n">
        <f aca="false">AH241-AI241-AJ241-AK241-AL241-AM241-AO241</f>
        <v>0</v>
      </c>
      <c r="AA241" s="58" t="n">
        <f aca="false">MAX(0,B241-E241-H241)</f>
        <v>0</v>
      </c>
      <c r="AB241" s="58" t="n">
        <f aca="false">MAX(0,C241-F241-I241)</f>
        <v>0</v>
      </c>
      <c r="AC241" s="58" t="n">
        <f aca="false">MAX(0,D241-G241-J241)</f>
        <v>0</v>
      </c>
      <c r="AD241" s="59" t="n">
        <f aca="false">E241+AA241*AQ241</f>
        <v>0</v>
      </c>
      <c r="AE241" s="59" t="n">
        <f aca="false">F241+AB241*AQ241</f>
        <v>0</v>
      </c>
      <c r="AF241" s="59" t="n">
        <f aca="false">G241+AC241*AQ241</f>
        <v>0</v>
      </c>
      <c r="AG241" s="59" t="n">
        <f aca="false">H241+I241+J241+(AA241+AB241+AC241)*(1-AQ241)</f>
        <v>0</v>
      </c>
      <c r="AH241" s="60" t="n">
        <f aca="false">AD241*P1_PVP+AE241*P2_PVP+AF241*IF($A241&lt;P3_DESDE,P3A_PVP,P3_PVP)</f>
        <v>0</v>
      </c>
      <c r="AI241" s="60" t="n">
        <f aca="false">AD241*P1_CPROD+AE241*P2_CPROD+AF241*IF($A241&lt;P3_DESDE,P3A_CPROD,P3_CPROD)</f>
        <v>0</v>
      </c>
      <c r="AJ241" s="60" t="n">
        <f aca="false">IF(ISNUMBER(L241),L241,E241*P1_LOG+F241*P2_LOG+G241*P3_LOG)+IF(ISNUMBER(M241),M241,AA241*P1_LOG+AB241*P2_LOG+AC241*P3_LOG)*AQ241</f>
        <v>0</v>
      </c>
      <c r="AK241" s="60" t="n">
        <f aca="false">AG241*COSTE_DEV</f>
        <v>0</v>
      </c>
      <c r="AL241" s="60" t="n">
        <f aca="false">AD241*P1_IVAN+AE241*P2_IVAN+AF241*IF($A241&lt;P3_DESDE,P3A_IVAN,P3_IVAN)-AG241*IVA_DEV</f>
        <v>0</v>
      </c>
      <c r="AM241" s="60" t="n">
        <f aca="false">N241*(1+RECARGO_ADS)</f>
        <v>0</v>
      </c>
      <c r="AN241" s="58" t="n">
        <f aca="false">IF(ISNUMBER(L241),E241+F241+G241+AA241+AB241+AC241,0)</f>
        <v>0</v>
      </c>
      <c r="AO241" s="60" t="n">
        <f aca="false">P241*COMISION</f>
        <v>0</v>
      </c>
      <c r="AP241" s="58" t="n">
        <f aca="false">MIN(N(K241),Q241)</f>
        <v>0</v>
      </c>
      <c r="AQ241" s="61" t="n">
        <f aca="false">IF(Q241&gt;0,((Q241-AP241)*AT241+AP241*TASA_INC)/Q241,AT241)</f>
        <v>0.659887072235414</v>
      </c>
      <c r="AR241" s="58" t="n">
        <f aca="false">IF($A241&lt;FECHA_EXPORT,NETWORKDAYS($A241+1,FECHA_EXPORT,FESTIVOS),0)</f>
        <v>0</v>
      </c>
      <c r="AS241" s="61" t="n">
        <f aca="false">IF(AR241&gt;=5,1,INDEX(CDF_INC,1,AR241+1))</f>
        <v>0.14</v>
      </c>
      <c r="AT241" s="61" t="n">
        <f aca="false">TASA_USADA+(TASA_INC-TASA_USADA)*Q_INC*(1-AS241)/(1-Q_INC*AS241)</f>
        <v>0.659887072235414</v>
      </c>
    </row>
    <row r="242" customFormat="false" ht="15" hidden="false" customHeight="false" outlineLevel="0" collapsed="false">
      <c r="A242" s="53" t="n">
        <v>46536</v>
      </c>
      <c r="B242" s="54"/>
      <c r="C242" s="54"/>
      <c r="D242" s="54"/>
      <c r="E242" s="54"/>
      <c r="F242" s="54"/>
      <c r="G242" s="54"/>
      <c r="H242" s="54"/>
      <c r="I242" s="54"/>
      <c r="J242" s="54"/>
      <c r="K242" s="54"/>
      <c r="L242" s="55"/>
      <c r="M242" s="55"/>
      <c r="N242" s="55"/>
      <c r="O242" s="56"/>
      <c r="P242" s="31" t="n">
        <f aca="false">B242+C242+D242</f>
        <v>0</v>
      </c>
      <c r="Q242" s="31" t="n">
        <f aca="false">AA242+AB242+AC242</f>
        <v>0</v>
      </c>
      <c r="R242" s="32" t="n">
        <f aca="false">B242*P1_PVP+C242*P2_PVP+D242*IF($A242&lt;P3_DESDE,P3A_PVP,P3_PVP)</f>
        <v>0</v>
      </c>
      <c r="S242" s="32" t="str">
        <f aca="false">IF(P242&gt;0,R242/P242,"")</f>
        <v/>
      </c>
      <c r="T242" s="32" t="str">
        <f aca="false">IF(P242&gt;0,N242/P242,"")</f>
        <v/>
      </c>
      <c r="U242" s="57" t="str">
        <f aca="false">IF(N242&gt;0,R242/N242,"")</f>
        <v/>
      </c>
      <c r="V242" s="34" t="str">
        <f aca="false">IF(E242+F242+G242+H242+I242+J242&gt;0,(E242+F242+G242)/(E242+F242+G242+H242+I242+J242),"")</f>
        <v/>
      </c>
      <c r="W242" s="33" t="n">
        <f aca="false">E242*(P1_PVP-P1_CPROD)+F242*(P2_PVP-P2_CPROD)+G242*(IF($A242&lt;P3_DESDE,P3A_PVP,P3_PVP)-IF($A242&lt;P3_DESDE,P3A_CPROD,P3_CPROD))-IF(ISNUMBER(L242),L242,E242*P1_LOG+F242*P2_LOG+G242*P3_LOG)</f>
        <v>0</v>
      </c>
      <c r="X242" s="33" t="n">
        <f aca="false">W242-(E242*P1_IVAN+F242*P2_IVAN+G242*IF($A242&lt;P3_DESDE,P3A_IVAN,P3_IVAN))-(H242+I242+J242)*(COSTE_DEV-IVA_DEV)-AM242-AO242</f>
        <v>0</v>
      </c>
      <c r="Y242" s="33" t="n">
        <f aca="false">AH242-AI242-AJ242-AK242-AL242-AM242-AO242</f>
        <v>0</v>
      </c>
      <c r="AA242" s="58" t="n">
        <f aca="false">MAX(0,B242-E242-H242)</f>
        <v>0</v>
      </c>
      <c r="AB242" s="58" t="n">
        <f aca="false">MAX(0,C242-F242-I242)</f>
        <v>0</v>
      </c>
      <c r="AC242" s="58" t="n">
        <f aca="false">MAX(0,D242-G242-J242)</f>
        <v>0</v>
      </c>
      <c r="AD242" s="59" t="n">
        <f aca="false">E242+AA242*AQ242</f>
        <v>0</v>
      </c>
      <c r="AE242" s="59" t="n">
        <f aca="false">F242+AB242*AQ242</f>
        <v>0</v>
      </c>
      <c r="AF242" s="59" t="n">
        <f aca="false">G242+AC242*AQ242</f>
        <v>0</v>
      </c>
      <c r="AG242" s="59" t="n">
        <f aca="false">H242+I242+J242+(AA242+AB242+AC242)*(1-AQ242)</f>
        <v>0</v>
      </c>
      <c r="AH242" s="60" t="n">
        <f aca="false">AD242*P1_PVP+AE242*P2_PVP+AF242*IF($A242&lt;P3_DESDE,P3A_PVP,P3_PVP)</f>
        <v>0</v>
      </c>
      <c r="AI242" s="60" t="n">
        <f aca="false">AD242*P1_CPROD+AE242*P2_CPROD+AF242*IF($A242&lt;P3_DESDE,P3A_CPROD,P3_CPROD)</f>
        <v>0</v>
      </c>
      <c r="AJ242" s="60" t="n">
        <f aca="false">IF(ISNUMBER(L242),L242,E242*P1_LOG+F242*P2_LOG+G242*P3_LOG)+IF(ISNUMBER(M242),M242,AA242*P1_LOG+AB242*P2_LOG+AC242*P3_LOG)*AQ242</f>
        <v>0</v>
      </c>
      <c r="AK242" s="60" t="n">
        <f aca="false">AG242*COSTE_DEV</f>
        <v>0</v>
      </c>
      <c r="AL242" s="60" t="n">
        <f aca="false">AD242*P1_IVAN+AE242*P2_IVAN+AF242*IF($A242&lt;P3_DESDE,P3A_IVAN,P3_IVAN)-AG242*IVA_DEV</f>
        <v>0</v>
      </c>
      <c r="AM242" s="60" t="n">
        <f aca="false">N242*(1+RECARGO_ADS)</f>
        <v>0</v>
      </c>
      <c r="AN242" s="58" t="n">
        <f aca="false">IF(ISNUMBER(L242),E242+F242+G242+AA242+AB242+AC242,0)</f>
        <v>0</v>
      </c>
      <c r="AO242" s="60" t="n">
        <f aca="false">P242*COMISION</f>
        <v>0</v>
      </c>
      <c r="AP242" s="58" t="n">
        <f aca="false">MIN(N(K242),Q242)</f>
        <v>0</v>
      </c>
      <c r="AQ242" s="61" t="n">
        <f aca="false">IF(Q242&gt;0,((Q242-AP242)*AT242+AP242*TASA_INC)/Q242,AT242)</f>
        <v>0.659887072235414</v>
      </c>
      <c r="AR242" s="58" t="n">
        <f aca="false">IF($A242&lt;FECHA_EXPORT,NETWORKDAYS($A242+1,FECHA_EXPORT,FESTIVOS),0)</f>
        <v>0</v>
      </c>
      <c r="AS242" s="61" t="n">
        <f aca="false">IF(AR242&gt;=5,1,INDEX(CDF_INC,1,AR242+1))</f>
        <v>0.14</v>
      </c>
      <c r="AT242" s="61" t="n">
        <f aca="false">TASA_USADA+(TASA_INC-TASA_USADA)*Q_INC*(1-AS242)/(1-Q_INC*AS242)</f>
        <v>0.659887072235414</v>
      </c>
    </row>
    <row r="243" customFormat="false" ht="15" hidden="false" customHeight="false" outlineLevel="0" collapsed="false">
      <c r="A243" s="53" t="n">
        <v>46537</v>
      </c>
      <c r="B243" s="54"/>
      <c r="C243" s="54"/>
      <c r="D243" s="54"/>
      <c r="E243" s="54"/>
      <c r="F243" s="54"/>
      <c r="G243" s="54"/>
      <c r="H243" s="54"/>
      <c r="I243" s="54"/>
      <c r="J243" s="54"/>
      <c r="K243" s="54"/>
      <c r="L243" s="55"/>
      <c r="M243" s="55"/>
      <c r="N243" s="55"/>
      <c r="O243" s="56"/>
      <c r="P243" s="31" t="n">
        <f aca="false">B243+C243+D243</f>
        <v>0</v>
      </c>
      <c r="Q243" s="31" t="n">
        <f aca="false">AA243+AB243+AC243</f>
        <v>0</v>
      </c>
      <c r="R243" s="32" t="n">
        <f aca="false">B243*P1_PVP+C243*P2_PVP+D243*IF($A243&lt;P3_DESDE,P3A_PVP,P3_PVP)</f>
        <v>0</v>
      </c>
      <c r="S243" s="32" t="str">
        <f aca="false">IF(P243&gt;0,R243/P243,"")</f>
        <v/>
      </c>
      <c r="T243" s="32" t="str">
        <f aca="false">IF(P243&gt;0,N243/P243,"")</f>
        <v/>
      </c>
      <c r="U243" s="57" t="str">
        <f aca="false">IF(N243&gt;0,R243/N243,"")</f>
        <v/>
      </c>
      <c r="V243" s="34" t="str">
        <f aca="false">IF(E243+F243+G243+H243+I243+J243&gt;0,(E243+F243+G243)/(E243+F243+G243+H243+I243+J243),"")</f>
        <v/>
      </c>
      <c r="W243" s="33" t="n">
        <f aca="false">E243*(P1_PVP-P1_CPROD)+F243*(P2_PVP-P2_CPROD)+G243*(IF($A243&lt;P3_DESDE,P3A_PVP,P3_PVP)-IF($A243&lt;P3_DESDE,P3A_CPROD,P3_CPROD))-IF(ISNUMBER(L243),L243,E243*P1_LOG+F243*P2_LOG+G243*P3_LOG)</f>
        <v>0</v>
      </c>
      <c r="X243" s="33" t="n">
        <f aca="false">W243-(E243*P1_IVAN+F243*P2_IVAN+G243*IF($A243&lt;P3_DESDE,P3A_IVAN,P3_IVAN))-(H243+I243+J243)*(COSTE_DEV-IVA_DEV)-AM243-AO243</f>
        <v>0</v>
      </c>
      <c r="Y243" s="33" t="n">
        <f aca="false">AH243-AI243-AJ243-AK243-AL243-AM243-AO243</f>
        <v>0</v>
      </c>
      <c r="AA243" s="58" t="n">
        <f aca="false">MAX(0,B243-E243-H243)</f>
        <v>0</v>
      </c>
      <c r="AB243" s="58" t="n">
        <f aca="false">MAX(0,C243-F243-I243)</f>
        <v>0</v>
      </c>
      <c r="AC243" s="58" t="n">
        <f aca="false">MAX(0,D243-G243-J243)</f>
        <v>0</v>
      </c>
      <c r="AD243" s="59" t="n">
        <f aca="false">E243+AA243*AQ243</f>
        <v>0</v>
      </c>
      <c r="AE243" s="59" t="n">
        <f aca="false">F243+AB243*AQ243</f>
        <v>0</v>
      </c>
      <c r="AF243" s="59" t="n">
        <f aca="false">G243+AC243*AQ243</f>
        <v>0</v>
      </c>
      <c r="AG243" s="59" t="n">
        <f aca="false">H243+I243+J243+(AA243+AB243+AC243)*(1-AQ243)</f>
        <v>0</v>
      </c>
      <c r="AH243" s="60" t="n">
        <f aca="false">AD243*P1_PVP+AE243*P2_PVP+AF243*IF($A243&lt;P3_DESDE,P3A_PVP,P3_PVP)</f>
        <v>0</v>
      </c>
      <c r="AI243" s="60" t="n">
        <f aca="false">AD243*P1_CPROD+AE243*P2_CPROD+AF243*IF($A243&lt;P3_DESDE,P3A_CPROD,P3_CPROD)</f>
        <v>0</v>
      </c>
      <c r="AJ243" s="60" t="n">
        <f aca="false">IF(ISNUMBER(L243),L243,E243*P1_LOG+F243*P2_LOG+G243*P3_LOG)+IF(ISNUMBER(M243),M243,AA243*P1_LOG+AB243*P2_LOG+AC243*P3_LOG)*AQ243</f>
        <v>0</v>
      </c>
      <c r="AK243" s="60" t="n">
        <f aca="false">AG243*COSTE_DEV</f>
        <v>0</v>
      </c>
      <c r="AL243" s="60" t="n">
        <f aca="false">AD243*P1_IVAN+AE243*P2_IVAN+AF243*IF($A243&lt;P3_DESDE,P3A_IVAN,P3_IVAN)-AG243*IVA_DEV</f>
        <v>0</v>
      </c>
      <c r="AM243" s="60" t="n">
        <f aca="false">N243*(1+RECARGO_ADS)</f>
        <v>0</v>
      </c>
      <c r="AN243" s="58" t="n">
        <f aca="false">IF(ISNUMBER(L243),E243+F243+G243+AA243+AB243+AC243,0)</f>
        <v>0</v>
      </c>
      <c r="AO243" s="60" t="n">
        <f aca="false">P243*COMISION</f>
        <v>0</v>
      </c>
      <c r="AP243" s="58" t="n">
        <f aca="false">MIN(N(K243),Q243)</f>
        <v>0</v>
      </c>
      <c r="AQ243" s="61" t="n">
        <f aca="false">IF(Q243&gt;0,((Q243-AP243)*AT243+AP243*TASA_INC)/Q243,AT243)</f>
        <v>0.659887072235414</v>
      </c>
      <c r="AR243" s="58" t="n">
        <f aca="false">IF($A243&lt;FECHA_EXPORT,NETWORKDAYS($A243+1,FECHA_EXPORT,FESTIVOS),0)</f>
        <v>0</v>
      </c>
      <c r="AS243" s="61" t="n">
        <f aca="false">IF(AR243&gt;=5,1,INDEX(CDF_INC,1,AR243+1))</f>
        <v>0.14</v>
      </c>
      <c r="AT243" s="61" t="n">
        <f aca="false">TASA_USADA+(TASA_INC-TASA_USADA)*Q_INC*(1-AS243)/(1-Q_INC*AS243)</f>
        <v>0.659887072235414</v>
      </c>
    </row>
    <row r="244" customFormat="false" ht="15" hidden="false" customHeight="false" outlineLevel="0" collapsed="false">
      <c r="A244" s="53" t="n">
        <v>46538</v>
      </c>
      <c r="B244" s="54"/>
      <c r="C244" s="54"/>
      <c r="D244" s="54"/>
      <c r="E244" s="54"/>
      <c r="F244" s="54"/>
      <c r="G244" s="54"/>
      <c r="H244" s="54"/>
      <c r="I244" s="54"/>
      <c r="J244" s="54"/>
      <c r="K244" s="54"/>
      <c r="L244" s="55"/>
      <c r="M244" s="55"/>
      <c r="N244" s="55"/>
      <c r="O244" s="56"/>
      <c r="P244" s="31" t="n">
        <f aca="false">B244+C244+D244</f>
        <v>0</v>
      </c>
      <c r="Q244" s="31" t="n">
        <f aca="false">AA244+AB244+AC244</f>
        <v>0</v>
      </c>
      <c r="R244" s="32" t="n">
        <f aca="false">B244*P1_PVP+C244*P2_PVP+D244*IF($A244&lt;P3_DESDE,P3A_PVP,P3_PVP)</f>
        <v>0</v>
      </c>
      <c r="S244" s="32" t="str">
        <f aca="false">IF(P244&gt;0,R244/P244,"")</f>
        <v/>
      </c>
      <c r="T244" s="32" t="str">
        <f aca="false">IF(P244&gt;0,N244/P244,"")</f>
        <v/>
      </c>
      <c r="U244" s="57" t="str">
        <f aca="false">IF(N244&gt;0,R244/N244,"")</f>
        <v/>
      </c>
      <c r="V244" s="34" t="str">
        <f aca="false">IF(E244+F244+G244+H244+I244+J244&gt;0,(E244+F244+G244)/(E244+F244+G244+H244+I244+J244),"")</f>
        <v/>
      </c>
      <c r="W244" s="33" t="n">
        <f aca="false">E244*(P1_PVP-P1_CPROD)+F244*(P2_PVP-P2_CPROD)+G244*(IF($A244&lt;P3_DESDE,P3A_PVP,P3_PVP)-IF($A244&lt;P3_DESDE,P3A_CPROD,P3_CPROD))-IF(ISNUMBER(L244),L244,E244*P1_LOG+F244*P2_LOG+G244*P3_LOG)</f>
        <v>0</v>
      </c>
      <c r="X244" s="33" t="n">
        <f aca="false">W244-(E244*P1_IVAN+F244*P2_IVAN+G244*IF($A244&lt;P3_DESDE,P3A_IVAN,P3_IVAN))-(H244+I244+J244)*(COSTE_DEV-IVA_DEV)-AM244-AO244</f>
        <v>0</v>
      </c>
      <c r="Y244" s="33" t="n">
        <f aca="false">AH244-AI244-AJ244-AK244-AL244-AM244-AO244</f>
        <v>0</v>
      </c>
      <c r="AA244" s="58" t="n">
        <f aca="false">MAX(0,B244-E244-H244)</f>
        <v>0</v>
      </c>
      <c r="AB244" s="58" t="n">
        <f aca="false">MAX(0,C244-F244-I244)</f>
        <v>0</v>
      </c>
      <c r="AC244" s="58" t="n">
        <f aca="false">MAX(0,D244-G244-J244)</f>
        <v>0</v>
      </c>
      <c r="AD244" s="59" t="n">
        <f aca="false">E244+AA244*AQ244</f>
        <v>0</v>
      </c>
      <c r="AE244" s="59" t="n">
        <f aca="false">F244+AB244*AQ244</f>
        <v>0</v>
      </c>
      <c r="AF244" s="59" t="n">
        <f aca="false">G244+AC244*AQ244</f>
        <v>0</v>
      </c>
      <c r="AG244" s="59" t="n">
        <f aca="false">H244+I244+J244+(AA244+AB244+AC244)*(1-AQ244)</f>
        <v>0</v>
      </c>
      <c r="AH244" s="60" t="n">
        <f aca="false">AD244*P1_PVP+AE244*P2_PVP+AF244*IF($A244&lt;P3_DESDE,P3A_PVP,P3_PVP)</f>
        <v>0</v>
      </c>
      <c r="AI244" s="60" t="n">
        <f aca="false">AD244*P1_CPROD+AE244*P2_CPROD+AF244*IF($A244&lt;P3_DESDE,P3A_CPROD,P3_CPROD)</f>
        <v>0</v>
      </c>
      <c r="AJ244" s="60" t="n">
        <f aca="false">IF(ISNUMBER(L244),L244,E244*P1_LOG+F244*P2_LOG+G244*P3_LOG)+IF(ISNUMBER(M244),M244,AA244*P1_LOG+AB244*P2_LOG+AC244*P3_LOG)*AQ244</f>
        <v>0</v>
      </c>
      <c r="AK244" s="60" t="n">
        <f aca="false">AG244*COSTE_DEV</f>
        <v>0</v>
      </c>
      <c r="AL244" s="60" t="n">
        <f aca="false">AD244*P1_IVAN+AE244*P2_IVAN+AF244*IF($A244&lt;P3_DESDE,P3A_IVAN,P3_IVAN)-AG244*IVA_DEV</f>
        <v>0</v>
      </c>
      <c r="AM244" s="60" t="n">
        <f aca="false">N244*(1+RECARGO_ADS)</f>
        <v>0</v>
      </c>
      <c r="AN244" s="58" t="n">
        <f aca="false">IF(ISNUMBER(L244),E244+F244+G244+AA244+AB244+AC244,0)</f>
        <v>0</v>
      </c>
      <c r="AO244" s="60" t="n">
        <f aca="false">P244*COMISION</f>
        <v>0</v>
      </c>
      <c r="AP244" s="58" t="n">
        <f aca="false">MIN(N(K244),Q244)</f>
        <v>0</v>
      </c>
      <c r="AQ244" s="61" t="n">
        <f aca="false">IF(Q244&gt;0,((Q244-AP244)*AT244+AP244*TASA_INC)/Q244,AT244)</f>
        <v>0.659887072235414</v>
      </c>
      <c r="AR244" s="58" t="n">
        <f aca="false">IF($A244&lt;FECHA_EXPORT,NETWORKDAYS($A244+1,FECHA_EXPORT,FESTIVOS),0)</f>
        <v>0</v>
      </c>
      <c r="AS244" s="61" t="n">
        <f aca="false">IF(AR244&gt;=5,1,INDEX(CDF_INC,1,AR244+1))</f>
        <v>0.14</v>
      </c>
      <c r="AT244" s="61" t="n">
        <f aca="false">TASA_USADA+(TASA_INC-TASA_USADA)*Q_INC*(1-AS244)/(1-Q_INC*AS244)</f>
        <v>0.659887072235414</v>
      </c>
    </row>
    <row r="245" customFormat="false" ht="15" hidden="false" customHeight="false" outlineLevel="0" collapsed="false">
      <c r="A245" s="53" t="n">
        <v>46539</v>
      </c>
      <c r="B245" s="54"/>
      <c r="C245" s="54"/>
      <c r="D245" s="54"/>
      <c r="E245" s="54"/>
      <c r="F245" s="54"/>
      <c r="G245" s="54"/>
      <c r="H245" s="54"/>
      <c r="I245" s="54"/>
      <c r="J245" s="54"/>
      <c r="K245" s="54"/>
      <c r="L245" s="55"/>
      <c r="M245" s="55"/>
      <c r="N245" s="55"/>
      <c r="O245" s="56"/>
      <c r="P245" s="31" t="n">
        <f aca="false">B245+C245+D245</f>
        <v>0</v>
      </c>
      <c r="Q245" s="31" t="n">
        <f aca="false">AA245+AB245+AC245</f>
        <v>0</v>
      </c>
      <c r="R245" s="32" t="n">
        <f aca="false">B245*P1_PVP+C245*P2_PVP+D245*IF($A245&lt;P3_DESDE,P3A_PVP,P3_PVP)</f>
        <v>0</v>
      </c>
      <c r="S245" s="32" t="str">
        <f aca="false">IF(P245&gt;0,R245/P245,"")</f>
        <v/>
      </c>
      <c r="T245" s="32" t="str">
        <f aca="false">IF(P245&gt;0,N245/P245,"")</f>
        <v/>
      </c>
      <c r="U245" s="57" t="str">
        <f aca="false">IF(N245&gt;0,R245/N245,"")</f>
        <v/>
      </c>
      <c r="V245" s="34" t="str">
        <f aca="false">IF(E245+F245+G245+H245+I245+J245&gt;0,(E245+F245+G245)/(E245+F245+G245+H245+I245+J245),"")</f>
        <v/>
      </c>
      <c r="W245" s="33" t="n">
        <f aca="false">E245*(P1_PVP-P1_CPROD)+F245*(P2_PVP-P2_CPROD)+G245*(IF($A245&lt;P3_DESDE,P3A_PVP,P3_PVP)-IF($A245&lt;P3_DESDE,P3A_CPROD,P3_CPROD))-IF(ISNUMBER(L245),L245,E245*P1_LOG+F245*P2_LOG+G245*P3_LOG)</f>
        <v>0</v>
      </c>
      <c r="X245" s="33" t="n">
        <f aca="false">W245-(E245*P1_IVAN+F245*P2_IVAN+G245*IF($A245&lt;P3_DESDE,P3A_IVAN,P3_IVAN))-(H245+I245+J245)*(COSTE_DEV-IVA_DEV)-AM245-AO245</f>
        <v>0</v>
      </c>
      <c r="Y245" s="33" t="n">
        <f aca="false">AH245-AI245-AJ245-AK245-AL245-AM245-AO245</f>
        <v>0</v>
      </c>
      <c r="AA245" s="58" t="n">
        <f aca="false">MAX(0,B245-E245-H245)</f>
        <v>0</v>
      </c>
      <c r="AB245" s="58" t="n">
        <f aca="false">MAX(0,C245-F245-I245)</f>
        <v>0</v>
      </c>
      <c r="AC245" s="58" t="n">
        <f aca="false">MAX(0,D245-G245-J245)</f>
        <v>0</v>
      </c>
      <c r="AD245" s="59" t="n">
        <f aca="false">E245+AA245*AQ245</f>
        <v>0</v>
      </c>
      <c r="AE245" s="59" t="n">
        <f aca="false">F245+AB245*AQ245</f>
        <v>0</v>
      </c>
      <c r="AF245" s="59" t="n">
        <f aca="false">G245+AC245*AQ245</f>
        <v>0</v>
      </c>
      <c r="AG245" s="59" t="n">
        <f aca="false">H245+I245+J245+(AA245+AB245+AC245)*(1-AQ245)</f>
        <v>0</v>
      </c>
      <c r="AH245" s="60" t="n">
        <f aca="false">AD245*P1_PVP+AE245*P2_PVP+AF245*IF($A245&lt;P3_DESDE,P3A_PVP,P3_PVP)</f>
        <v>0</v>
      </c>
      <c r="AI245" s="60" t="n">
        <f aca="false">AD245*P1_CPROD+AE245*P2_CPROD+AF245*IF($A245&lt;P3_DESDE,P3A_CPROD,P3_CPROD)</f>
        <v>0</v>
      </c>
      <c r="AJ245" s="60" t="n">
        <f aca="false">IF(ISNUMBER(L245),L245,E245*P1_LOG+F245*P2_LOG+G245*P3_LOG)+IF(ISNUMBER(M245),M245,AA245*P1_LOG+AB245*P2_LOG+AC245*P3_LOG)*AQ245</f>
        <v>0</v>
      </c>
      <c r="AK245" s="60" t="n">
        <f aca="false">AG245*COSTE_DEV</f>
        <v>0</v>
      </c>
      <c r="AL245" s="60" t="n">
        <f aca="false">AD245*P1_IVAN+AE245*P2_IVAN+AF245*IF($A245&lt;P3_DESDE,P3A_IVAN,P3_IVAN)-AG245*IVA_DEV</f>
        <v>0</v>
      </c>
      <c r="AM245" s="60" t="n">
        <f aca="false">N245*(1+RECARGO_ADS)</f>
        <v>0</v>
      </c>
      <c r="AN245" s="58" t="n">
        <f aca="false">IF(ISNUMBER(L245),E245+F245+G245+AA245+AB245+AC245,0)</f>
        <v>0</v>
      </c>
      <c r="AO245" s="60" t="n">
        <f aca="false">P245*COMISION</f>
        <v>0</v>
      </c>
      <c r="AP245" s="58" t="n">
        <f aca="false">MIN(N(K245),Q245)</f>
        <v>0</v>
      </c>
      <c r="AQ245" s="61" t="n">
        <f aca="false">IF(Q245&gt;0,((Q245-AP245)*AT245+AP245*TASA_INC)/Q245,AT245)</f>
        <v>0.659887072235414</v>
      </c>
      <c r="AR245" s="58" t="n">
        <f aca="false">IF($A245&lt;FECHA_EXPORT,NETWORKDAYS($A245+1,FECHA_EXPORT,FESTIVOS),0)</f>
        <v>0</v>
      </c>
      <c r="AS245" s="61" t="n">
        <f aca="false">IF(AR245&gt;=5,1,INDEX(CDF_INC,1,AR245+1))</f>
        <v>0.14</v>
      </c>
      <c r="AT245" s="61" t="n">
        <f aca="false">TASA_USADA+(TASA_INC-TASA_USADA)*Q_INC*(1-AS245)/(1-Q_INC*AS245)</f>
        <v>0.659887072235414</v>
      </c>
    </row>
    <row r="246" customFormat="false" ht="15" hidden="false" customHeight="false" outlineLevel="0" collapsed="false">
      <c r="A246" s="53" t="n">
        <v>46540</v>
      </c>
      <c r="B246" s="54"/>
      <c r="C246" s="54"/>
      <c r="D246" s="54"/>
      <c r="E246" s="54"/>
      <c r="F246" s="54"/>
      <c r="G246" s="54"/>
      <c r="H246" s="54"/>
      <c r="I246" s="54"/>
      <c r="J246" s="54"/>
      <c r="K246" s="54"/>
      <c r="L246" s="55"/>
      <c r="M246" s="55"/>
      <c r="N246" s="55"/>
      <c r="O246" s="56"/>
      <c r="P246" s="31" t="n">
        <f aca="false">B246+C246+D246</f>
        <v>0</v>
      </c>
      <c r="Q246" s="31" t="n">
        <f aca="false">AA246+AB246+AC246</f>
        <v>0</v>
      </c>
      <c r="R246" s="32" t="n">
        <f aca="false">B246*P1_PVP+C246*P2_PVP+D246*IF($A246&lt;P3_DESDE,P3A_PVP,P3_PVP)</f>
        <v>0</v>
      </c>
      <c r="S246" s="32" t="str">
        <f aca="false">IF(P246&gt;0,R246/P246,"")</f>
        <v/>
      </c>
      <c r="T246" s="32" t="str">
        <f aca="false">IF(P246&gt;0,N246/P246,"")</f>
        <v/>
      </c>
      <c r="U246" s="57" t="str">
        <f aca="false">IF(N246&gt;0,R246/N246,"")</f>
        <v/>
      </c>
      <c r="V246" s="34" t="str">
        <f aca="false">IF(E246+F246+G246+H246+I246+J246&gt;0,(E246+F246+G246)/(E246+F246+G246+H246+I246+J246),"")</f>
        <v/>
      </c>
      <c r="W246" s="33" t="n">
        <f aca="false">E246*(P1_PVP-P1_CPROD)+F246*(P2_PVP-P2_CPROD)+G246*(IF($A246&lt;P3_DESDE,P3A_PVP,P3_PVP)-IF($A246&lt;P3_DESDE,P3A_CPROD,P3_CPROD))-IF(ISNUMBER(L246),L246,E246*P1_LOG+F246*P2_LOG+G246*P3_LOG)</f>
        <v>0</v>
      </c>
      <c r="X246" s="33" t="n">
        <f aca="false">W246-(E246*P1_IVAN+F246*P2_IVAN+G246*IF($A246&lt;P3_DESDE,P3A_IVAN,P3_IVAN))-(H246+I246+J246)*(COSTE_DEV-IVA_DEV)-AM246-AO246</f>
        <v>0</v>
      </c>
      <c r="Y246" s="33" t="n">
        <f aca="false">AH246-AI246-AJ246-AK246-AL246-AM246-AO246</f>
        <v>0</v>
      </c>
      <c r="AA246" s="58" t="n">
        <f aca="false">MAX(0,B246-E246-H246)</f>
        <v>0</v>
      </c>
      <c r="AB246" s="58" t="n">
        <f aca="false">MAX(0,C246-F246-I246)</f>
        <v>0</v>
      </c>
      <c r="AC246" s="58" t="n">
        <f aca="false">MAX(0,D246-G246-J246)</f>
        <v>0</v>
      </c>
      <c r="AD246" s="59" t="n">
        <f aca="false">E246+AA246*AQ246</f>
        <v>0</v>
      </c>
      <c r="AE246" s="59" t="n">
        <f aca="false">F246+AB246*AQ246</f>
        <v>0</v>
      </c>
      <c r="AF246" s="59" t="n">
        <f aca="false">G246+AC246*AQ246</f>
        <v>0</v>
      </c>
      <c r="AG246" s="59" t="n">
        <f aca="false">H246+I246+J246+(AA246+AB246+AC246)*(1-AQ246)</f>
        <v>0</v>
      </c>
      <c r="AH246" s="60" t="n">
        <f aca="false">AD246*P1_PVP+AE246*P2_PVP+AF246*IF($A246&lt;P3_DESDE,P3A_PVP,P3_PVP)</f>
        <v>0</v>
      </c>
      <c r="AI246" s="60" t="n">
        <f aca="false">AD246*P1_CPROD+AE246*P2_CPROD+AF246*IF($A246&lt;P3_DESDE,P3A_CPROD,P3_CPROD)</f>
        <v>0</v>
      </c>
      <c r="AJ246" s="60" t="n">
        <f aca="false">IF(ISNUMBER(L246),L246,E246*P1_LOG+F246*P2_LOG+G246*P3_LOG)+IF(ISNUMBER(M246),M246,AA246*P1_LOG+AB246*P2_LOG+AC246*P3_LOG)*AQ246</f>
        <v>0</v>
      </c>
      <c r="AK246" s="60" t="n">
        <f aca="false">AG246*COSTE_DEV</f>
        <v>0</v>
      </c>
      <c r="AL246" s="60" t="n">
        <f aca="false">AD246*P1_IVAN+AE246*P2_IVAN+AF246*IF($A246&lt;P3_DESDE,P3A_IVAN,P3_IVAN)-AG246*IVA_DEV</f>
        <v>0</v>
      </c>
      <c r="AM246" s="60" t="n">
        <f aca="false">N246*(1+RECARGO_ADS)</f>
        <v>0</v>
      </c>
      <c r="AN246" s="58" t="n">
        <f aca="false">IF(ISNUMBER(L246),E246+F246+G246+AA246+AB246+AC246,0)</f>
        <v>0</v>
      </c>
      <c r="AO246" s="60" t="n">
        <f aca="false">P246*COMISION</f>
        <v>0</v>
      </c>
      <c r="AP246" s="58" t="n">
        <f aca="false">MIN(N(K246),Q246)</f>
        <v>0</v>
      </c>
      <c r="AQ246" s="61" t="n">
        <f aca="false">IF(Q246&gt;0,((Q246-AP246)*AT246+AP246*TASA_INC)/Q246,AT246)</f>
        <v>0.659887072235414</v>
      </c>
      <c r="AR246" s="58" t="n">
        <f aca="false">IF($A246&lt;FECHA_EXPORT,NETWORKDAYS($A246+1,FECHA_EXPORT,FESTIVOS),0)</f>
        <v>0</v>
      </c>
      <c r="AS246" s="61" t="n">
        <f aca="false">IF(AR246&gt;=5,1,INDEX(CDF_INC,1,AR246+1))</f>
        <v>0.14</v>
      </c>
      <c r="AT246" s="61" t="n">
        <f aca="false">TASA_USADA+(TASA_INC-TASA_USADA)*Q_INC*(1-AS246)/(1-Q_INC*AS246)</f>
        <v>0.659887072235414</v>
      </c>
    </row>
    <row r="247" customFormat="false" ht="15" hidden="false" customHeight="false" outlineLevel="0" collapsed="false">
      <c r="A247" s="53" t="n">
        <v>46541</v>
      </c>
      <c r="B247" s="54"/>
      <c r="C247" s="54"/>
      <c r="D247" s="54"/>
      <c r="E247" s="54"/>
      <c r="F247" s="54"/>
      <c r="G247" s="54"/>
      <c r="H247" s="54"/>
      <c r="I247" s="54"/>
      <c r="J247" s="54"/>
      <c r="K247" s="54"/>
      <c r="L247" s="55"/>
      <c r="M247" s="55"/>
      <c r="N247" s="55"/>
      <c r="O247" s="56"/>
      <c r="P247" s="31" t="n">
        <f aca="false">B247+C247+D247</f>
        <v>0</v>
      </c>
      <c r="Q247" s="31" t="n">
        <f aca="false">AA247+AB247+AC247</f>
        <v>0</v>
      </c>
      <c r="R247" s="32" t="n">
        <f aca="false">B247*P1_PVP+C247*P2_PVP+D247*IF($A247&lt;P3_DESDE,P3A_PVP,P3_PVP)</f>
        <v>0</v>
      </c>
      <c r="S247" s="32" t="str">
        <f aca="false">IF(P247&gt;0,R247/P247,"")</f>
        <v/>
      </c>
      <c r="T247" s="32" t="str">
        <f aca="false">IF(P247&gt;0,N247/P247,"")</f>
        <v/>
      </c>
      <c r="U247" s="57" t="str">
        <f aca="false">IF(N247&gt;0,R247/N247,"")</f>
        <v/>
      </c>
      <c r="V247" s="34" t="str">
        <f aca="false">IF(E247+F247+G247+H247+I247+J247&gt;0,(E247+F247+G247)/(E247+F247+G247+H247+I247+J247),"")</f>
        <v/>
      </c>
      <c r="W247" s="33" t="n">
        <f aca="false">E247*(P1_PVP-P1_CPROD)+F247*(P2_PVP-P2_CPROD)+G247*(IF($A247&lt;P3_DESDE,P3A_PVP,P3_PVP)-IF($A247&lt;P3_DESDE,P3A_CPROD,P3_CPROD))-IF(ISNUMBER(L247),L247,E247*P1_LOG+F247*P2_LOG+G247*P3_LOG)</f>
        <v>0</v>
      </c>
      <c r="X247" s="33" t="n">
        <f aca="false">W247-(E247*P1_IVAN+F247*P2_IVAN+G247*IF($A247&lt;P3_DESDE,P3A_IVAN,P3_IVAN))-(H247+I247+J247)*(COSTE_DEV-IVA_DEV)-AM247-AO247</f>
        <v>0</v>
      </c>
      <c r="Y247" s="33" t="n">
        <f aca="false">AH247-AI247-AJ247-AK247-AL247-AM247-AO247</f>
        <v>0</v>
      </c>
      <c r="AA247" s="58" t="n">
        <f aca="false">MAX(0,B247-E247-H247)</f>
        <v>0</v>
      </c>
      <c r="AB247" s="58" t="n">
        <f aca="false">MAX(0,C247-F247-I247)</f>
        <v>0</v>
      </c>
      <c r="AC247" s="58" t="n">
        <f aca="false">MAX(0,D247-G247-J247)</f>
        <v>0</v>
      </c>
      <c r="AD247" s="59" t="n">
        <f aca="false">E247+AA247*AQ247</f>
        <v>0</v>
      </c>
      <c r="AE247" s="59" t="n">
        <f aca="false">F247+AB247*AQ247</f>
        <v>0</v>
      </c>
      <c r="AF247" s="59" t="n">
        <f aca="false">G247+AC247*AQ247</f>
        <v>0</v>
      </c>
      <c r="AG247" s="59" t="n">
        <f aca="false">H247+I247+J247+(AA247+AB247+AC247)*(1-AQ247)</f>
        <v>0</v>
      </c>
      <c r="AH247" s="60" t="n">
        <f aca="false">AD247*P1_PVP+AE247*P2_PVP+AF247*IF($A247&lt;P3_DESDE,P3A_PVP,P3_PVP)</f>
        <v>0</v>
      </c>
      <c r="AI247" s="60" t="n">
        <f aca="false">AD247*P1_CPROD+AE247*P2_CPROD+AF247*IF($A247&lt;P3_DESDE,P3A_CPROD,P3_CPROD)</f>
        <v>0</v>
      </c>
      <c r="AJ247" s="60" t="n">
        <f aca="false">IF(ISNUMBER(L247),L247,E247*P1_LOG+F247*P2_LOG+G247*P3_LOG)+IF(ISNUMBER(M247),M247,AA247*P1_LOG+AB247*P2_LOG+AC247*P3_LOG)*AQ247</f>
        <v>0</v>
      </c>
      <c r="AK247" s="60" t="n">
        <f aca="false">AG247*COSTE_DEV</f>
        <v>0</v>
      </c>
      <c r="AL247" s="60" t="n">
        <f aca="false">AD247*P1_IVAN+AE247*P2_IVAN+AF247*IF($A247&lt;P3_DESDE,P3A_IVAN,P3_IVAN)-AG247*IVA_DEV</f>
        <v>0</v>
      </c>
      <c r="AM247" s="60" t="n">
        <f aca="false">N247*(1+RECARGO_ADS)</f>
        <v>0</v>
      </c>
      <c r="AN247" s="58" t="n">
        <f aca="false">IF(ISNUMBER(L247),E247+F247+G247+AA247+AB247+AC247,0)</f>
        <v>0</v>
      </c>
      <c r="AO247" s="60" t="n">
        <f aca="false">P247*COMISION</f>
        <v>0</v>
      </c>
      <c r="AP247" s="58" t="n">
        <f aca="false">MIN(N(K247),Q247)</f>
        <v>0</v>
      </c>
      <c r="AQ247" s="61" t="n">
        <f aca="false">IF(Q247&gt;0,((Q247-AP247)*AT247+AP247*TASA_INC)/Q247,AT247)</f>
        <v>0.659887072235414</v>
      </c>
      <c r="AR247" s="58" t="n">
        <f aca="false">IF($A247&lt;FECHA_EXPORT,NETWORKDAYS($A247+1,FECHA_EXPORT,FESTIVOS),0)</f>
        <v>0</v>
      </c>
      <c r="AS247" s="61" t="n">
        <f aca="false">IF(AR247&gt;=5,1,INDEX(CDF_INC,1,AR247+1))</f>
        <v>0.14</v>
      </c>
      <c r="AT247" s="61" t="n">
        <f aca="false">TASA_USADA+(TASA_INC-TASA_USADA)*Q_INC*(1-AS247)/(1-Q_INC*AS247)</f>
        <v>0.659887072235414</v>
      </c>
    </row>
    <row r="248" customFormat="false" ht="15" hidden="false" customHeight="false" outlineLevel="0" collapsed="false">
      <c r="A248" s="53" t="n">
        <v>46542</v>
      </c>
      <c r="B248" s="54"/>
      <c r="C248" s="54"/>
      <c r="D248" s="54"/>
      <c r="E248" s="54"/>
      <c r="F248" s="54"/>
      <c r="G248" s="54"/>
      <c r="H248" s="54"/>
      <c r="I248" s="54"/>
      <c r="J248" s="54"/>
      <c r="K248" s="54"/>
      <c r="L248" s="55"/>
      <c r="M248" s="55"/>
      <c r="N248" s="55"/>
      <c r="O248" s="56"/>
      <c r="P248" s="31" t="n">
        <f aca="false">B248+C248+D248</f>
        <v>0</v>
      </c>
      <c r="Q248" s="31" t="n">
        <f aca="false">AA248+AB248+AC248</f>
        <v>0</v>
      </c>
      <c r="R248" s="32" t="n">
        <f aca="false">B248*P1_PVP+C248*P2_PVP+D248*IF($A248&lt;P3_DESDE,P3A_PVP,P3_PVP)</f>
        <v>0</v>
      </c>
      <c r="S248" s="32" t="str">
        <f aca="false">IF(P248&gt;0,R248/P248,"")</f>
        <v/>
      </c>
      <c r="T248" s="32" t="str">
        <f aca="false">IF(P248&gt;0,N248/P248,"")</f>
        <v/>
      </c>
      <c r="U248" s="57" t="str">
        <f aca="false">IF(N248&gt;0,R248/N248,"")</f>
        <v/>
      </c>
      <c r="V248" s="34" t="str">
        <f aca="false">IF(E248+F248+G248+H248+I248+J248&gt;0,(E248+F248+G248)/(E248+F248+G248+H248+I248+J248),"")</f>
        <v/>
      </c>
      <c r="W248" s="33" t="n">
        <f aca="false">E248*(P1_PVP-P1_CPROD)+F248*(P2_PVP-P2_CPROD)+G248*(IF($A248&lt;P3_DESDE,P3A_PVP,P3_PVP)-IF($A248&lt;P3_DESDE,P3A_CPROD,P3_CPROD))-IF(ISNUMBER(L248),L248,E248*P1_LOG+F248*P2_LOG+G248*P3_LOG)</f>
        <v>0</v>
      </c>
      <c r="X248" s="33" t="n">
        <f aca="false">W248-(E248*P1_IVAN+F248*P2_IVAN+G248*IF($A248&lt;P3_DESDE,P3A_IVAN,P3_IVAN))-(H248+I248+J248)*(COSTE_DEV-IVA_DEV)-AM248-AO248</f>
        <v>0</v>
      </c>
      <c r="Y248" s="33" t="n">
        <f aca="false">AH248-AI248-AJ248-AK248-AL248-AM248-AO248</f>
        <v>0</v>
      </c>
      <c r="AA248" s="58" t="n">
        <f aca="false">MAX(0,B248-E248-H248)</f>
        <v>0</v>
      </c>
      <c r="AB248" s="58" t="n">
        <f aca="false">MAX(0,C248-F248-I248)</f>
        <v>0</v>
      </c>
      <c r="AC248" s="58" t="n">
        <f aca="false">MAX(0,D248-G248-J248)</f>
        <v>0</v>
      </c>
      <c r="AD248" s="59" t="n">
        <f aca="false">E248+AA248*AQ248</f>
        <v>0</v>
      </c>
      <c r="AE248" s="59" t="n">
        <f aca="false">F248+AB248*AQ248</f>
        <v>0</v>
      </c>
      <c r="AF248" s="59" t="n">
        <f aca="false">G248+AC248*AQ248</f>
        <v>0</v>
      </c>
      <c r="AG248" s="59" t="n">
        <f aca="false">H248+I248+J248+(AA248+AB248+AC248)*(1-AQ248)</f>
        <v>0</v>
      </c>
      <c r="AH248" s="60" t="n">
        <f aca="false">AD248*P1_PVP+AE248*P2_PVP+AF248*IF($A248&lt;P3_DESDE,P3A_PVP,P3_PVP)</f>
        <v>0</v>
      </c>
      <c r="AI248" s="60" t="n">
        <f aca="false">AD248*P1_CPROD+AE248*P2_CPROD+AF248*IF($A248&lt;P3_DESDE,P3A_CPROD,P3_CPROD)</f>
        <v>0</v>
      </c>
      <c r="AJ248" s="60" t="n">
        <f aca="false">IF(ISNUMBER(L248),L248,E248*P1_LOG+F248*P2_LOG+G248*P3_LOG)+IF(ISNUMBER(M248),M248,AA248*P1_LOG+AB248*P2_LOG+AC248*P3_LOG)*AQ248</f>
        <v>0</v>
      </c>
      <c r="AK248" s="60" t="n">
        <f aca="false">AG248*COSTE_DEV</f>
        <v>0</v>
      </c>
      <c r="AL248" s="60" t="n">
        <f aca="false">AD248*P1_IVAN+AE248*P2_IVAN+AF248*IF($A248&lt;P3_DESDE,P3A_IVAN,P3_IVAN)-AG248*IVA_DEV</f>
        <v>0</v>
      </c>
      <c r="AM248" s="60" t="n">
        <f aca="false">N248*(1+RECARGO_ADS)</f>
        <v>0</v>
      </c>
      <c r="AN248" s="58" t="n">
        <f aca="false">IF(ISNUMBER(L248),E248+F248+G248+AA248+AB248+AC248,0)</f>
        <v>0</v>
      </c>
      <c r="AO248" s="60" t="n">
        <f aca="false">P248*COMISION</f>
        <v>0</v>
      </c>
      <c r="AP248" s="58" t="n">
        <f aca="false">MIN(N(K248),Q248)</f>
        <v>0</v>
      </c>
      <c r="AQ248" s="61" t="n">
        <f aca="false">IF(Q248&gt;0,((Q248-AP248)*AT248+AP248*TASA_INC)/Q248,AT248)</f>
        <v>0.659887072235414</v>
      </c>
      <c r="AR248" s="58" t="n">
        <f aca="false">IF($A248&lt;FECHA_EXPORT,NETWORKDAYS($A248+1,FECHA_EXPORT,FESTIVOS),0)</f>
        <v>0</v>
      </c>
      <c r="AS248" s="61" t="n">
        <f aca="false">IF(AR248&gt;=5,1,INDEX(CDF_INC,1,AR248+1))</f>
        <v>0.14</v>
      </c>
      <c r="AT248" s="61" t="n">
        <f aca="false">TASA_USADA+(TASA_INC-TASA_USADA)*Q_INC*(1-AS248)/(1-Q_INC*AS248)</f>
        <v>0.659887072235414</v>
      </c>
    </row>
    <row r="249" customFormat="false" ht="15" hidden="false" customHeight="false" outlineLevel="0" collapsed="false">
      <c r="A249" s="53" t="n">
        <v>46543</v>
      </c>
      <c r="B249" s="54"/>
      <c r="C249" s="54"/>
      <c r="D249" s="54"/>
      <c r="E249" s="54"/>
      <c r="F249" s="54"/>
      <c r="G249" s="54"/>
      <c r="H249" s="54"/>
      <c r="I249" s="54"/>
      <c r="J249" s="54"/>
      <c r="K249" s="54"/>
      <c r="L249" s="55"/>
      <c r="M249" s="55"/>
      <c r="N249" s="55"/>
      <c r="O249" s="56"/>
      <c r="P249" s="31" t="n">
        <f aca="false">B249+C249+D249</f>
        <v>0</v>
      </c>
      <c r="Q249" s="31" t="n">
        <f aca="false">AA249+AB249+AC249</f>
        <v>0</v>
      </c>
      <c r="R249" s="32" t="n">
        <f aca="false">B249*P1_PVP+C249*P2_PVP+D249*IF($A249&lt;P3_DESDE,P3A_PVP,P3_PVP)</f>
        <v>0</v>
      </c>
      <c r="S249" s="32" t="str">
        <f aca="false">IF(P249&gt;0,R249/P249,"")</f>
        <v/>
      </c>
      <c r="T249" s="32" t="str">
        <f aca="false">IF(P249&gt;0,N249/P249,"")</f>
        <v/>
      </c>
      <c r="U249" s="57" t="str">
        <f aca="false">IF(N249&gt;0,R249/N249,"")</f>
        <v/>
      </c>
      <c r="V249" s="34" t="str">
        <f aca="false">IF(E249+F249+G249+H249+I249+J249&gt;0,(E249+F249+G249)/(E249+F249+G249+H249+I249+J249),"")</f>
        <v/>
      </c>
      <c r="W249" s="33" t="n">
        <f aca="false">E249*(P1_PVP-P1_CPROD)+F249*(P2_PVP-P2_CPROD)+G249*(IF($A249&lt;P3_DESDE,P3A_PVP,P3_PVP)-IF($A249&lt;P3_DESDE,P3A_CPROD,P3_CPROD))-IF(ISNUMBER(L249),L249,E249*P1_LOG+F249*P2_LOG+G249*P3_LOG)</f>
        <v>0</v>
      </c>
      <c r="X249" s="33" t="n">
        <f aca="false">W249-(E249*P1_IVAN+F249*P2_IVAN+G249*IF($A249&lt;P3_DESDE,P3A_IVAN,P3_IVAN))-(H249+I249+J249)*(COSTE_DEV-IVA_DEV)-AM249-AO249</f>
        <v>0</v>
      </c>
      <c r="Y249" s="33" t="n">
        <f aca="false">AH249-AI249-AJ249-AK249-AL249-AM249-AO249</f>
        <v>0</v>
      </c>
      <c r="AA249" s="58" t="n">
        <f aca="false">MAX(0,B249-E249-H249)</f>
        <v>0</v>
      </c>
      <c r="AB249" s="58" t="n">
        <f aca="false">MAX(0,C249-F249-I249)</f>
        <v>0</v>
      </c>
      <c r="AC249" s="58" t="n">
        <f aca="false">MAX(0,D249-G249-J249)</f>
        <v>0</v>
      </c>
      <c r="AD249" s="59" t="n">
        <f aca="false">E249+AA249*AQ249</f>
        <v>0</v>
      </c>
      <c r="AE249" s="59" t="n">
        <f aca="false">F249+AB249*AQ249</f>
        <v>0</v>
      </c>
      <c r="AF249" s="59" t="n">
        <f aca="false">G249+AC249*AQ249</f>
        <v>0</v>
      </c>
      <c r="AG249" s="59" t="n">
        <f aca="false">H249+I249+J249+(AA249+AB249+AC249)*(1-AQ249)</f>
        <v>0</v>
      </c>
      <c r="AH249" s="60" t="n">
        <f aca="false">AD249*P1_PVP+AE249*P2_PVP+AF249*IF($A249&lt;P3_DESDE,P3A_PVP,P3_PVP)</f>
        <v>0</v>
      </c>
      <c r="AI249" s="60" t="n">
        <f aca="false">AD249*P1_CPROD+AE249*P2_CPROD+AF249*IF($A249&lt;P3_DESDE,P3A_CPROD,P3_CPROD)</f>
        <v>0</v>
      </c>
      <c r="AJ249" s="60" t="n">
        <f aca="false">IF(ISNUMBER(L249),L249,E249*P1_LOG+F249*P2_LOG+G249*P3_LOG)+IF(ISNUMBER(M249),M249,AA249*P1_LOG+AB249*P2_LOG+AC249*P3_LOG)*AQ249</f>
        <v>0</v>
      </c>
      <c r="AK249" s="60" t="n">
        <f aca="false">AG249*COSTE_DEV</f>
        <v>0</v>
      </c>
      <c r="AL249" s="60" t="n">
        <f aca="false">AD249*P1_IVAN+AE249*P2_IVAN+AF249*IF($A249&lt;P3_DESDE,P3A_IVAN,P3_IVAN)-AG249*IVA_DEV</f>
        <v>0</v>
      </c>
      <c r="AM249" s="60" t="n">
        <f aca="false">N249*(1+RECARGO_ADS)</f>
        <v>0</v>
      </c>
      <c r="AN249" s="58" t="n">
        <f aca="false">IF(ISNUMBER(L249),E249+F249+G249+AA249+AB249+AC249,0)</f>
        <v>0</v>
      </c>
      <c r="AO249" s="60" t="n">
        <f aca="false">P249*COMISION</f>
        <v>0</v>
      </c>
      <c r="AP249" s="58" t="n">
        <f aca="false">MIN(N(K249),Q249)</f>
        <v>0</v>
      </c>
      <c r="AQ249" s="61" t="n">
        <f aca="false">IF(Q249&gt;0,((Q249-AP249)*AT249+AP249*TASA_INC)/Q249,AT249)</f>
        <v>0.659887072235414</v>
      </c>
      <c r="AR249" s="58" t="n">
        <f aca="false">IF($A249&lt;FECHA_EXPORT,NETWORKDAYS($A249+1,FECHA_EXPORT,FESTIVOS),0)</f>
        <v>0</v>
      </c>
      <c r="AS249" s="61" t="n">
        <f aca="false">IF(AR249&gt;=5,1,INDEX(CDF_INC,1,AR249+1))</f>
        <v>0.14</v>
      </c>
      <c r="AT249" s="61" t="n">
        <f aca="false">TASA_USADA+(TASA_INC-TASA_USADA)*Q_INC*(1-AS249)/(1-Q_INC*AS249)</f>
        <v>0.659887072235414</v>
      </c>
    </row>
    <row r="250" customFormat="false" ht="15" hidden="false" customHeight="false" outlineLevel="0" collapsed="false">
      <c r="A250" s="53" t="n">
        <v>46544</v>
      </c>
      <c r="B250" s="54"/>
      <c r="C250" s="54"/>
      <c r="D250" s="54"/>
      <c r="E250" s="54"/>
      <c r="F250" s="54"/>
      <c r="G250" s="54"/>
      <c r="H250" s="54"/>
      <c r="I250" s="54"/>
      <c r="J250" s="54"/>
      <c r="K250" s="54"/>
      <c r="L250" s="55"/>
      <c r="M250" s="55"/>
      <c r="N250" s="55"/>
      <c r="O250" s="56"/>
      <c r="P250" s="31" t="n">
        <f aca="false">B250+C250+D250</f>
        <v>0</v>
      </c>
      <c r="Q250" s="31" t="n">
        <f aca="false">AA250+AB250+AC250</f>
        <v>0</v>
      </c>
      <c r="R250" s="32" t="n">
        <f aca="false">B250*P1_PVP+C250*P2_PVP+D250*IF($A250&lt;P3_DESDE,P3A_PVP,P3_PVP)</f>
        <v>0</v>
      </c>
      <c r="S250" s="32" t="str">
        <f aca="false">IF(P250&gt;0,R250/P250,"")</f>
        <v/>
      </c>
      <c r="T250" s="32" t="str">
        <f aca="false">IF(P250&gt;0,N250/P250,"")</f>
        <v/>
      </c>
      <c r="U250" s="57" t="str">
        <f aca="false">IF(N250&gt;0,R250/N250,"")</f>
        <v/>
      </c>
      <c r="V250" s="34" t="str">
        <f aca="false">IF(E250+F250+G250+H250+I250+J250&gt;0,(E250+F250+G250)/(E250+F250+G250+H250+I250+J250),"")</f>
        <v/>
      </c>
      <c r="W250" s="33" t="n">
        <f aca="false">E250*(P1_PVP-P1_CPROD)+F250*(P2_PVP-P2_CPROD)+G250*(IF($A250&lt;P3_DESDE,P3A_PVP,P3_PVP)-IF($A250&lt;P3_DESDE,P3A_CPROD,P3_CPROD))-IF(ISNUMBER(L250),L250,E250*P1_LOG+F250*P2_LOG+G250*P3_LOG)</f>
        <v>0</v>
      </c>
      <c r="X250" s="33" t="n">
        <f aca="false">W250-(E250*P1_IVAN+F250*P2_IVAN+G250*IF($A250&lt;P3_DESDE,P3A_IVAN,P3_IVAN))-(H250+I250+J250)*(COSTE_DEV-IVA_DEV)-AM250-AO250</f>
        <v>0</v>
      </c>
      <c r="Y250" s="33" t="n">
        <f aca="false">AH250-AI250-AJ250-AK250-AL250-AM250-AO250</f>
        <v>0</v>
      </c>
      <c r="AA250" s="58" t="n">
        <f aca="false">MAX(0,B250-E250-H250)</f>
        <v>0</v>
      </c>
      <c r="AB250" s="58" t="n">
        <f aca="false">MAX(0,C250-F250-I250)</f>
        <v>0</v>
      </c>
      <c r="AC250" s="58" t="n">
        <f aca="false">MAX(0,D250-G250-J250)</f>
        <v>0</v>
      </c>
      <c r="AD250" s="59" t="n">
        <f aca="false">E250+AA250*AQ250</f>
        <v>0</v>
      </c>
      <c r="AE250" s="59" t="n">
        <f aca="false">F250+AB250*AQ250</f>
        <v>0</v>
      </c>
      <c r="AF250" s="59" t="n">
        <f aca="false">G250+AC250*AQ250</f>
        <v>0</v>
      </c>
      <c r="AG250" s="59" t="n">
        <f aca="false">H250+I250+J250+(AA250+AB250+AC250)*(1-AQ250)</f>
        <v>0</v>
      </c>
      <c r="AH250" s="60" t="n">
        <f aca="false">AD250*P1_PVP+AE250*P2_PVP+AF250*IF($A250&lt;P3_DESDE,P3A_PVP,P3_PVP)</f>
        <v>0</v>
      </c>
      <c r="AI250" s="60" t="n">
        <f aca="false">AD250*P1_CPROD+AE250*P2_CPROD+AF250*IF($A250&lt;P3_DESDE,P3A_CPROD,P3_CPROD)</f>
        <v>0</v>
      </c>
      <c r="AJ250" s="60" t="n">
        <f aca="false">IF(ISNUMBER(L250),L250,E250*P1_LOG+F250*P2_LOG+G250*P3_LOG)+IF(ISNUMBER(M250),M250,AA250*P1_LOG+AB250*P2_LOG+AC250*P3_LOG)*AQ250</f>
        <v>0</v>
      </c>
      <c r="AK250" s="60" t="n">
        <f aca="false">AG250*COSTE_DEV</f>
        <v>0</v>
      </c>
      <c r="AL250" s="60" t="n">
        <f aca="false">AD250*P1_IVAN+AE250*P2_IVAN+AF250*IF($A250&lt;P3_DESDE,P3A_IVAN,P3_IVAN)-AG250*IVA_DEV</f>
        <v>0</v>
      </c>
      <c r="AM250" s="60" t="n">
        <f aca="false">N250*(1+RECARGO_ADS)</f>
        <v>0</v>
      </c>
      <c r="AN250" s="58" t="n">
        <f aca="false">IF(ISNUMBER(L250),E250+F250+G250+AA250+AB250+AC250,0)</f>
        <v>0</v>
      </c>
      <c r="AO250" s="60" t="n">
        <f aca="false">P250*COMISION</f>
        <v>0</v>
      </c>
      <c r="AP250" s="58" t="n">
        <f aca="false">MIN(N(K250),Q250)</f>
        <v>0</v>
      </c>
      <c r="AQ250" s="61" t="n">
        <f aca="false">IF(Q250&gt;0,((Q250-AP250)*AT250+AP250*TASA_INC)/Q250,AT250)</f>
        <v>0.659887072235414</v>
      </c>
      <c r="AR250" s="58" t="n">
        <f aca="false">IF($A250&lt;FECHA_EXPORT,NETWORKDAYS($A250+1,FECHA_EXPORT,FESTIVOS),0)</f>
        <v>0</v>
      </c>
      <c r="AS250" s="61" t="n">
        <f aca="false">IF(AR250&gt;=5,1,INDEX(CDF_INC,1,AR250+1))</f>
        <v>0.14</v>
      </c>
      <c r="AT250" s="61" t="n">
        <f aca="false">TASA_USADA+(TASA_INC-TASA_USADA)*Q_INC*(1-AS250)/(1-Q_INC*AS250)</f>
        <v>0.659887072235414</v>
      </c>
    </row>
    <row r="251" customFormat="false" ht="15" hidden="false" customHeight="false" outlineLevel="0" collapsed="false">
      <c r="A251" s="53" t="n">
        <v>46545</v>
      </c>
      <c r="B251" s="54"/>
      <c r="C251" s="54"/>
      <c r="D251" s="54"/>
      <c r="E251" s="54"/>
      <c r="F251" s="54"/>
      <c r="G251" s="54"/>
      <c r="H251" s="54"/>
      <c r="I251" s="54"/>
      <c r="J251" s="54"/>
      <c r="K251" s="54"/>
      <c r="L251" s="55"/>
      <c r="M251" s="55"/>
      <c r="N251" s="55"/>
      <c r="O251" s="56"/>
      <c r="P251" s="31" t="n">
        <f aca="false">B251+C251+D251</f>
        <v>0</v>
      </c>
      <c r="Q251" s="31" t="n">
        <f aca="false">AA251+AB251+AC251</f>
        <v>0</v>
      </c>
      <c r="R251" s="32" t="n">
        <f aca="false">B251*P1_PVP+C251*P2_PVP+D251*IF($A251&lt;P3_DESDE,P3A_PVP,P3_PVP)</f>
        <v>0</v>
      </c>
      <c r="S251" s="32" t="str">
        <f aca="false">IF(P251&gt;0,R251/P251,"")</f>
        <v/>
      </c>
      <c r="T251" s="32" t="str">
        <f aca="false">IF(P251&gt;0,N251/P251,"")</f>
        <v/>
      </c>
      <c r="U251" s="57" t="str">
        <f aca="false">IF(N251&gt;0,R251/N251,"")</f>
        <v/>
      </c>
      <c r="V251" s="34" t="str">
        <f aca="false">IF(E251+F251+G251+H251+I251+J251&gt;0,(E251+F251+G251)/(E251+F251+G251+H251+I251+J251),"")</f>
        <v/>
      </c>
      <c r="W251" s="33" t="n">
        <f aca="false">E251*(P1_PVP-P1_CPROD)+F251*(P2_PVP-P2_CPROD)+G251*(IF($A251&lt;P3_DESDE,P3A_PVP,P3_PVP)-IF($A251&lt;P3_DESDE,P3A_CPROD,P3_CPROD))-IF(ISNUMBER(L251),L251,E251*P1_LOG+F251*P2_LOG+G251*P3_LOG)</f>
        <v>0</v>
      </c>
      <c r="X251" s="33" t="n">
        <f aca="false">W251-(E251*P1_IVAN+F251*P2_IVAN+G251*IF($A251&lt;P3_DESDE,P3A_IVAN,P3_IVAN))-(H251+I251+J251)*(COSTE_DEV-IVA_DEV)-AM251-AO251</f>
        <v>0</v>
      </c>
      <c r="Y251" s="33" t="n">
        <f aca="false">AH251-AI251-AJ251-AK251-AL251-AM251-AO251</f>
        <v>0</v>
      </c>
      <c r="AA251" s="58" t="n">
        <f aca="false">MAX(0,B251-E251-H251)</f>
        <v>0</v>
      </c>
      <c r="AB251" s="58" t="n">
        <f aca="false">MAX(0,C251-F251-I251)</f>
        <v>0</v>
      </c>
      <c r="AC251" s="58" t="n">
        <f aca="false">MAX(0,D251-G251-J251)</f>
        <v>0</v>
      </c>
      <c r="AD251" s="59" t="n">
        <f aca="false">E251+AA251*AQ251</f>
        <v>0</v>
      </c>
      <c r="AE251" s="59" t="n">
        <f aca="false">F251+AB251*AQ251</f>
        <v>0</v>
      </c>
      <c r="AF251" s="59" t="n">
        <f aca="false">G251+AC251*AQ251</f>
        <v>0</v>
      </c>
      <c r="AG251" s="59" t="n">
        <f aca="false">H251+I251+J251+(AA251+AB251+AC251)*(1-AQ251)</f>
        <v>0</v>
      </c>
      <c r="AH251" s="60" t="n">
        <f aca="false">AD251*P1_PVP+AE251*P2_PVP+AF251*IF($A251&lt;P3_DESDE,P3A_PVP,P3_PVP)</f>
        <v>0</v>
      </c>
      <c r="AI251" s="60" t="n">
        <f aca="false">AD251*P1_CPROD+AE251*P2_CPROD+AF251*IF($A251&lt;P3_DESDE,P3A_CPROD,P3_CPROD)</f>
        <v>0</v>
      </c>
      <c r="AJ251" s="60" t="n">
        <f aca="false">IF(ISNUMBER(L251),L251,E251*P1_LOG+F251*P2_LOG+G251*P3_LOG)+IF(ISNUMBER(M251),M251,AA251*P1_LOG+AB251*P2_LOG+AC251*P3_LOG)*AQ251</f>
        <v>0</v>
      </c>
      <c r="AK251" s="60" t="n">
        <f aca="false">AG251*COSTE_DEV</f>
        <v>0</v>
      </c>
      <c r="AL251" s="60" t="n">
        <f aca="false">AD251*P1_IVAN+AE251*P2_IVAN+AF251*IF($A251&lt;P3_DESDE,P3A_IVAN,P3_IVAN)-AG251*IVA_DEV</f>
        <v>0</v>
      </c>
      <c r="AM251" s="60" t="n">
        <f aca="false">N251*(1+RECARGO_ADS)</f>
        <v>0</v>
      </c>
      <c r="AN251" s="58" t="n">
        <f aca="false">IF(ISNUMBER(L251),E251+F251+G251+AA251+AB251+AC251,0)</f>
        <v>0</v>
      </c>
      <c r="AO251" s="60" t="n">
        <f aca="false">P251*COMISION</f>
        <v>0</v>
      </c>
      <c r="AP251" s="58" t="n">
        <f aca="false">MIN(N(K251),Q251)</f>
        <v>0</v>
      </c>
      <c r="AQ251" s="61" t="n">
        <f aca="false">IF(Q251&gt;0,((Q251-AP251)*AT251+AP251*TASA_INC)/Q251,AT251)</f>
        <v>0.659887072235414</v>
      </c>
      <c r="AR251" s="58" t="n">
        <f aca="false">IF($A251&lt;FECHA_EXPORT,NETWORKDAYS($A251+1,FECHA_EXPORT,FESTIVOS),0)</f>
        <v>0</v>
      </c>
      <c r="AS251" s="61" t="n">
        <f aca="false">IF(AR251&gt;=5,1,INDEX(CDF_INC,1,AR251+1))</f>
        <v>0.14</v>
      </c>
      <c r="AT251" s="61" t="n">
        <f aca="false">TASA_USADA+(TASA_INC-TASA_USADA)*Q_INC*(1-AS251)/(1-Q_INC*AS251)</f>
        <v>0.659887072235414</v>
      </c>
    </row>
    <row r="252" customFormat="false" ht="15" hidden="false" customHeight="false" outlineLevel="0" collapsed="false">
      <c r="A252" s="53" t="n">
        <v>46546</v>
      </c>
      <c r="B252" s="54"/>
      <c r="C252" s="54"/>
      <c r="D252" s="54"/>
      <c r="E252" s="54"/>
      <c r="F252" s="54"/>
      <c r="G252" s="54"/>
      <c r="H252" s="54"/>
      <c r="I252" s="54"/>
      <c r="J252" s="54"/>
      <c r="K252" s="54"/>
      <c r="L252" s="55"/>
      <c r="M252" s="55"/>
      <c r="N252" s="55"/>
      <c r="O252" s="56"/>
      <c r="P252" s="31" t="n">
        <f aca="false">B252+C252+D252</f>
        <v>0</v>
      </c>
      <c r="Q252" s="31" t="n">
        <f aca="false">AA252+AB252+AC252</f>
        <v>0</v>
      </c>
      <c r="R252" s="32" t="n">
        <f aca="false">B252*P1_PVP+C252*P2_PVP+D252*IF($A252&lt;P3_DESDE,P3A_PVP,P3_PVP)</f>
        <v>0</v>
      </c>
      <c r="S252" s="32" t="str">
        <f aca="false">IF(P252&gt;0,R252/P252,"")</f>
        <v/>
      </c>
      <c r="T252" s="32" t="str">
        <f aca="false">IF(P252&gt;0,N252/P252,"")</f>
        <v/>
      </c>
      <c r="U252" s="57" t="str">
        <f aca="false">IF(N252&gt;0,R252/N252,"")</f>
        <v/>
      </c>
      <c r="V252" s="34" t="str">
        <f aca="false">IF(E252+F252+G252+H252+I252+J252&gt;0,(E252+F252+G252)/(E252+F252+G252+H252+I252+J252),"")</f>
        <v/>
      </c>
      <c r="W252" s="33" t="n">
        <f aca="false">E252*(P1_PVP-P1_CPROD)+F252*(P2_PVP-P2_CPROD)+G252*(IF($A252&lt;P3_DESDE,P3A_PVP,P3_PVP)-IF($A252&lt;P3_DESDE,P3A_CPROD,P3_CPROD))-IF(ISNUMBER(L252),L252,E252*P1_LOG+F252*P2_LOG+G252*P3_LOG)</f>
        <v>0</v>
      </c>
      <c r="X252" s="33" t="n">
        <f aca="false">W252-(E252*P1_IVAN+F252*P2_IVAN+G252*IF($A252&lt;P3_DESDE,P3A_IVAN,P3_IVAN))-(H252+I252+J252)*(COSTE_DEV-IVA_DEV)-AM252-AO252</f>
        <v>0</v>
      </c>
      <c r="Y252" s="33" t="n">
        <f aca="false">AH252-AI252-AJ252-AK252-AL252-AM252-AO252</f>
        <v>0</v>
      </c>
      <c r="AA252" s="58" t="n">
        <f aca="false">MAX(0,B252-E252-H252)</f>
        <v>0</v>
      </c>
      <c r="AB252" s="58" t="n">
        <f aca="false">MAX(0,C252-F252-I252)</f>
        <v>0</v>
      </c>
      <c r="AC252" s="58" t="n">
        <f aca="false">MAX(0,D252-G252-J252)</f>
        <v>0</v>
      </c>
      <c r="AD252" s="59" t="n">
        <f aca="false">E252+AA252*AQ252</f>
        <v>0</v>
      </c>
      <c r="AE252" s="59" t="n">
        <f aca="false">F252+AB252*AQ252</f>
        <v>0</v>
      </c>
      <c r="AF252" s="59" t="n">
        <f aca="false">G252+AC252*AQ252</f>
        <v>0</v>
      </c>
      <c r="AG252" s="59" t="n">
        <f aca="false">H252+I252+J252+(AA252+AB252+AC252)*(1-AQ252)</f>
        <v>0</v>
      </c>
      <c r="AH252" s="60" t="n">
        <f aca="false">AD252*P1_PVP+AE252*P2_PVP+AF252*IF($A252&lt;P3_DESDE,P3A_PVP,P3_PVP)</f>
        <v>0</v>
      </c>
      <c r="AI252" s="60" t="n">
        <f aca="false">AD252*P1_CPROD+AE252*P2_CPROD+AF252*IF($A252&lt;P3_DESDE,P3A_CPROD,P3_CPROD)</f>
        <v>0</v>
      </c>
      <c r="AJ252" s="60" t="n">
        <f aca="false">IF(ISNUMBER(L252),L252,E252*P1_LOG+F252*P2_LOG+G252*P3_LOG)+IF(ISNUMBER(M252),M252,AA252*P1_LOG+AB252*P2_LOG+AC252*P3_LOG)*AQ252</f>
        <v>0</v>
      </c>
      <c r="AK252" s="60" t="n">
        <f aca="false">AG252*COSTE_DEV</f>
        <v>0</v>
      </c>
      <c r="AL252" s="60" t="n">
        <f aca="false">AD252*P1_IVAN+AE252*P2_IVAN+AF252*IF($A252&lt;P3_DESDE,P3A_IVAN,P3_IVAN)-AG252*IVA_DEV</f>
        <v>0</v>
      </c>
      <c r="AM252" s="60" t="n">
        <f aca="false">N252*(1+RECARGO_ADS)</f>
        <v>0</v>
      </c>
      <c r="AN252" s="58" t="n">
        <f aca="false">IF(ISNUMBER(L252),E252+F252+G252+AA252+AB252+AC252,0)</f>
        <v>0</v>
      </c>
      <c r="AO252" s="60" t="n">
        <f aca="false">P252*COMISION</f>
        <v>0</v>
      </c>
      <c r="AP252" s="58" t="n">
        <f aca="false">MIN(N(K252),Q252)</f>
        <v>0</v>
      </c>
      <c r="AQ252" s="61" t="n">
        <f aca="false">IF(Q252&gt;0,((Q252-AP252)*AT252+AP252*TASA_INC)/Q252,AT252)</f>
        <v>0.659887072235414</v>
      </c>
      <c r="AR252" s="58" t="n">
        <f aca="false">IF($A252&lt;FECHA_EXPORT,NETWORKDAYS($A252+1,FECHA_EXPORT,FESTIVOS),0)</f>
        <v>0</v>
      </c>
      <c r="AS252" s="61" t="n">
        <f aca="false">IF(AR252&gt;=5,1,INDEX(CDF_INC,1,AR252+1))</f>
        <v>0.14</v>
      </c>
      <c r="AT252" s="61" t="n">
        <f aca="false">TASA_USADA+(TASA_INC-TASA_USADA)*Q_INC*(1-AS252)/(1-Q_INC*AS252)</f>
        <v>0.659887072235414</v>
      </c>
    </row>
    <row r="253" customFormat="false" ht="15" hidden="false" customHeight="false" outlineLevel="0" collapsed="false">
      <c r="A253" s="53" t="n">
        <v>46547</v>
      </c>
      <c r="B253" s="54"/>
      <c r="C253" s="54"/>
      <c r="D253" s="54"/>
      <c r="E253" s="54"/>
      <c r="F253" s="54"/>
      <c r="G253" s="54"/>
      <c r="H253" s="54"/>
      <c r="I253" s="54"/>
      <c r="J253" s="54"/>
      <c r="K253" s="54"/>
      <c r="L253" s="55"/>
      <c r="M253" s="55"/>
      <c r="N253" s="55"/>
      <c r="O253" s="56"/>
      <c r="P253" s="31" t="n">
        <f aca="false">B253+C253+D253</f>
        <v>0</v>
      </c>
      <c r="Q253" s="31" t="n">
        <f aca="false">AA253+AB253+AC253</f>
        <v>0</v>
      </c>
      <c r="R253" s="32" t="n">
        <f aca="false">B253*P1_PVP+C253*P2_PVP+D253*IF($A253&lt;P3_DESDE,P3A_PVP,P3_PVP)</f>
        <v>0</v>
      </c>
      <c r="S253" s="32" t="str">
        <f aca="false">IF(P253&gt;0,R253/P253,"")</f>
        <v/>
      </c>
      <c r="T253" s="32" t="str">
        <f aca="false">IF(P253&gt;0,N253/P253,"")</f>
        <v/>
      </c>
      <c r="U253" s="57" t="str">
        <f aca="false">IF(N253&gt;0,R253/N253,"")</f>
        <v/>
      </c>
      <c r="V253" s="34" t="str">
        <f aca="false">IF(E253+F253+G253+H253+I253+J253&gt;0,(E253+F253+G253)/(E253+F253+G253+H253+I253+J253),"")</f>
        <v/>
      </c>
      <c r="W253" s="33" t="n">
        <f aca="false">E253*(P1_PVP-P1_CPROD)+F253*(P2_PVP-P2_CPROD)+G253*(IF($A253&lt;P3_DESDE,P3A_PVP,P3_PVP)-IF($A253&lt;P3_DESDE,P3A_CPROD,P3_CPROD))-IF(ISNUMBER(L253),L253,E253*P1_LOG+F253*P2_LOG+G253*P3_LOG)</f>
        <v>0</v>
      </c>
      <c r="X253" s="33" t="n">
        <f aca="false">W253-(E253*P1_IVAN+F253*P2_IVAN+G253*IF($A253&lt;P3_DESDE,P3A_IVAN,P3_IVAN))-(H253+I253+J253)*(COSTE_DEV-IVA_DEV)-AM253-AO253</f>
        <v>0</v>
      </c>
      <c r="Y253" s="33" t="n">
        <f aca="false">AH253-AI253-AJ253-AK253-AL253-AM253-AO253</f>
        <v>0</v>
      </c>
      <c r="AA253" s="58" t="n">
        <f aca="false">MAX(0,B253-E253-H253)</f>
        <v>0</v>
      </c>
      <c r="AB253" s="58" t="n">
        <f aca="false">MAX(0,C253-F253-I253)</f>
        <v>0</v>
      </c>
      <c r="AC253" s="58" t="n">
        <f aca="false">MAX(0,D253-G253-J253)</f>
        <v>0</v>
      </c>
      <c r="AD253" s="59" t="n">
        <f aca="false">E253+AA253*AQ253</f>
        <v>0</v>
      </c>
      <c r="AE253" s="59" t="n">
        <f aca="false">F253+AB253*AQ253</f>
        <v>0</v>
      </c>
      <c r="AF253" s="59" t="n">
        <f aca="false">G253+AC253*AQ253</f>
        <v>0</v>
      </c>
      <c r="AG253" s="59" t="n">
        <f aca="false">H253+I253+J253+(AA253+AB253+AC253)*(1-AQ253)</f>
        <v>0</v>
      </c>
      <c r="AH253" s="60" t="n">
        <f aca="false">AD253*P1_PVP+AE253*P2_PVP+AF253*IF($A253&lt;P3_DESDE,P3A_PVP,P3_PVP)</f>
        <v>0</v>
      </c>
      <c r="AI253" s="60" t="n">
        <f aca="false">AD253*P1_CPROD+AE253*P2_CPROD+AF253*IF($A253&lt;P3_DESDE,P3A_CPROD,P3_CPROD)</f>
        <v>0</v>
      </c>
      <c r="AJ253" s="60" t="n">
        <f aca="false">IF(ISNUMBER(L253),L253,E253*P1_LOG+F253*P2_LOG+G253*P3_LOG)+IF(ISNUMBER(M253),M253,AA253*P1_LOG+AB253*P2_LOG+AC253*P3_LOG)*AQ253</f>
        <v>0</v>
      </c>
      <c r="AK253" s="60" t="n">
        <f aca="false">AG253*COSTE_DEV</f>
        <v>0</v>
      </c>
      <c r="AL253" s="60" t="n">
        <f aca="false">AD253*P1_IVAN+AE253*P2_IVAN+AF253*IF($A253&lt;P3_DESDE,P3A_IVAN,P3_IVAN)-AG253*IVA_DEV</f>
        <v>0</v>
      </c>
      <c r="AM253" s="60" t="n">
        <f aca="false">N253*(1+RECARGO_ADS)</f>
        <v>0</v>
      </c>
      <c r="AN253" s="58" t="n">
        <f aca="false">IF(ISNUMBER(L253),E253+F253+G253+AA253+AB253+AC253,0)</f>
        <v>0</v>
      </c>
      <c r="AO253" s="60" t="n">
        <f aca="false">P253*COMISION</f>
        <v>0</v>
      </c>
      <c r="AP253" s="58" t="n">
        <f aca="false">MIN(N(K253),Q253)</f>
        <v>0</v>
      </c>
      <c r="AQ253" s="61" t="n">
        <f aca="false">IF(Q253&gt;0,((Q253-AP253)*AT253+AP253*TASA_INC)/Q253,AT253)</f>
        <v>0.659887072235414</v>
      </c>
      <c r="AR253" s="58" t="n">
        <f aca="false">IF($A253&lt;FECHA_EXPORT,NETWORKDAYS($A253+1,FECHA_EXPORT,FESTIVOS),0)</f>
        <v>0</v>
      </c>
      <c r="AS253" s="61" t="n">
        <f aca="false">IF(AR253&gt;=5,1,INDEX(CDF_INC,1,AR253+1))</f>
        <v>0.14</v>
      </c>
      <c r="AT253" s="61" t="n">
        <f aca="false">TASA_USADA+(TASA_INC-TASA_USADA)*Q_INC*(1-AS253)/(1-Q_INC*AS253)</f>
        <v>0.659887072235414</v>
      </c>
    </row>
    <row r="254" customFormat="false" ht="15" hidden="false" customHeight="false" outlineLevel="0" collapsed="false">
      <c r="A254" s="53" t="n">
        <v>46548</v>
      </c>
      <c r="B254" s="54"/>
      <c r="C254" s="54"/>
      <c r="D254" s="54"/>
      <c r="E254" s="54"/>
      <c r="F254" s="54"/>
      <c r="G254" s="54"/>
      <c r="H254" s="54"/>
      <c r="I254" s="54"/>
      <c r="J254" s="54"/>
      <c r="K254" s="54"/>
      <c r="L254" s="55"/>
      <c r="M254" s="55"/>
      <c r="N254" s="55"/>
      <c r="O254" s="56"/>
      <c r="P254" s="31" t="n">
        <f aca="false">B254+C254+D254</f>
        <v>0</v>
      </c>
      <c r="Q254" s="31" t="n">
        <f aca="false">AA254+AB254+AC254</f>
        <v>0</v>
      </c>
      <c r="R254" s="32" t="n">
        <f aca="false">B254*P1_PVP+C254*P2_PVP+D254*IF($A254&lt;P3_DESDE,P3A_PVP,P3_PVP)</f>
        <v>0</v>
      </c>
      <c r="S254" s="32" t="str">
        <f aca="false">IF(P254&gt;0,R254/P254,"")</f>
        <v/>
      </c>
      <c r="T254" s="32" t="str">
        <f aca="false">IF(P254&gt;0,N254/P254,"")</f>
        <v/>
      </c>
      <c r="U254" s="57" t="str">
        <f aca="false">IF(N254&gt;0,R254/N254,"")</f>
        <v/>
      </c>
      <c r="V254" s="34" t="str">
        <f aca="false">IF(E254+F254+G254+H254+I254+J254&gt;0,(E254+F254+G254)/(E254+F254+G254+H254+I254+J254),"")</f>
        <v/>
      </c>
      <c r="W254" s="33" t="n">
        <f aca="false">E254*(P1_PVP-P1_CPROD)+F254*(P2_PVP-P2_CPROD)+G254*(IF($A254&lt;P3_DESDE,P3A_PVP,P3_PVP)-IF($A254&lt;P3_DESDE,P3A_CPROD,P3_CPROD))-IF(ISNUMBER(L254),L254,E254*P1_LOG+F254*P2_LOG+G254*P3_LOG)</f>
        <v>0</v>
      </c>
      <c r="X254" s="33" t="n">
        <f aca="false">W254-(E254*P1_IVAN+F254*P2_IVAN+G254*IF($A254&lt;P3_DESDE,P3A_IVAN,P3_IVAN))-(H254+I254+J254)*(COSTE_DEV-IVA_DEV)-AM254-AO254</f>
        <v>0</v>
      </c>
      <c r="Y254" s="33" t="n">
        <f aca="false">AH254-AI254-AJ254-AK254-AL254-AM254-AO254</f>
        <v>0</v>
      </c>
      <c r="AA254" s="58" t="n">
        <f aca="false">MAX(0,B254-E254-H254)</f>
        <v>0</v>
      </c>
      <c r="AB254" s="58" t="n">
        <f aca="false">MAX(0,C254-F254-I254)</f>
        <v>0</v>
      </c>
      <c r="AC254" s="58" t="n">
        <f aca="false">MAX(0,D254-G254-J254)</f>
        <v>0</v>
      </c>
      <c r="AD254" s="59" t="n">
        <f aca="false">E254+AA254*AQ254</f>
        <v>0</v>
      </c>
      <c r="AE254" s="59" t="n">
        <f aca="false">F254+AB254*AQ254</f>
        <v>0</v>
      </c>
      <c r="AF254" s="59" t="n">
        <f aca="false">G254+AC254*AQ254</f>
        <v>0</v>
      </c>
      <c r="AG254" s="59" t="n">
        <f aca="false">H254+I254+J254+(AA254+AB254+AC254)*(1-AQ254)</f>
        <v>0</v>
      </c>
      <c r="AH254" s="60" t="n">
        <f aca="false">AD254*P1_PVP+AE254*P2_PVP+AF254*IF($A254&lt;P3_DESDE,P3A_PVP,P3_PVP)</f>
        <v>0</v>
      </c>
      <c r="AI254" s="60" t="n">
        <f aca="false">AD254*P1_CPROD+AE254*P2_CPROD+AF254*IF($A254&lt;P3_DESDE,P3A_CPROD,P3_CPROD)</f>
        <v>0</v>
      </c>
      <c r="AJ254" s="60" t="n">
        <f aca="false">IF(ISNUMBER(L254),L254,E254*P1_LOG+F254*P2_LOG+G254*P3_LOG)+IF(ISNUMBER(M254),M254,AA254*P1_LOG+AB254*P2_LOG+AC254*P3_LOG)*AQ254</f>
        <v>0</v>
      </c>
      <c r="AK254" s="60" t="n">
        <f aca="false">AG254*COSTE_DEV</f>
        <v>0</v>
      </c>
      <c r="AL254" s="60" t="n">
        <f aca="false">AD254*P1_IVAN+AE254*P2_IVAN+AF254*IF($A254&lt;P3_DESDE,P3A_IVAN,P3_IVAN)-AG254*IVA_DEV</f>
        <v>0</v>
      </c>
      <c r="AM254" s="60" t="n">
        <f aca="false">N254*(1+RECARGO_ADS)</f>
        <v>0</v>
      </c>
      <c r="AN254" s="58" t="n">
        <f aca="false">IF(ISNUMBER(L254),E254+F254+G254+AA254+AB254+AC254,0)</f>
        <v>0</v>
      </c>
      <c r="AO254" s="60" t="n">
        <f aca="false">P254*COMISION</f>
        <v>0</v>
      </c>
      <c r="AP254" s="58" t="n">
        <f aca="false">MIN(N(K254),Q254)</f>
        <v>0</v>
      </c>
      <c r="AQ254" s="61" t="n">
        <f aca="false">IF(Q254&gt;0,((Q254-AP254)*AT254+AP254*TASA_INC)/Q254,AT254)</f>
        <v>0.659887072235414</v>
      </c>
      <c r="AR254" s="58" t="n">
        <f aca="false">IF($A254&lt;FECHA_EXPORT,NETWORKDAYS($A254+1,FECHA_EXPORT,FESTIVOS),0)</f>
        <v>0</v>
      </c>
      <c r="AS254" s="61" t="n">
        <f aca="false">IF(AR254&gt;=5,1,INDEX(CDF_INC,1,AR254+1))</f>
        <v>0.14</v>
      </c>
      <c r="AT254" s="61" t="n">
        <f aca="false">TASA_USADA+(TASA_INC-TASA_USADA)*Q_INC*(1-AS254)/(1-Q_INC*AS254)</f>
        <v>0.659887072235414</v>
      </c>
    </row>
    <row r="255" customFormat="false" ht="15" hidden="false" customHeight="false" outlineLevel="0" collapsed="false">
      <c r="A255" s="53" t="n">
        <v>46549</v>
      </c>
      <c r="B255" s="54"/>
      <c r="C255" s="54"/>
      <c r="D255" s="54"/>
      <c r="E255" s="54"/>
      <c r="F255" s="54"/>
      <c r="G255" s="54"/>
      <c r="H255" s="54"/>
      <c r="I255" s="54"/>
      <c r="J255" s="54"/>
      <c r="K255" s="54"/>
      <c r="L255" s="55"/>
      <c r="M255" s="55"/>
      <c r="N255" s="55"/>
      <c r="O255" s="56"/>
      <c r="P255" s="31" t="n">
        <f aca="false">B255+C255+D255</f>
        <v>0</v>
      </c>
      <c r="Q255" s="31" t="n">
        <f aca="false">AA255+AB255+AC255</f>
        <v>0</v>
      </c>
      <c r="R255" s="32" t="n">
        <f aca="false">B255*P1_PVP+C255*P2_PVP+D255*IF($A255&lt;P3_DESDE,P3A_PVP,P3_PVP)</f>
        <v>0</v>
      </c>
      <c r="S255" s="32" t="str">
        <f aca="false">IF(P255&gt;0,R255/P255,"")</f>
        <v/>
      </c>
      <c r="T255" s="32" t="str">
        <f aca="false">IF(P255&gt;0,N255/P255,"")</f>
        <v/>
      </c>
      <c r="U255" s="57" t="str">
        <f aca="false">IF(N255&gt;0,R255/N255,"")</f>
        <v/>
      </c>
      <c r="V255" s="34" t="str">
        <f aca="false">IF(E255+F255+G255+H255+I255+J255&gt;0,(E255+F255+G255)/(E255+F255+G255+H255+I255+J255),"")</f>
        <v/>
      </c>
      <c r="W255" s="33" t="n">
        <f aca="false">E255*(P1_PVP-P1_CPROD)+F255*(P2_PVP-P2_CPROD)+G255*(IF($A255&lt;P3_DESDE,P3A_PVP,P3_PVP)-IF($A255&lt;P3_DESDE,P3A_CPROD,P3_CPROD))-IF(ISNUMBER(L255),L255,E255*P1_LOG+F255*P2_LOG+G255*P3_LOG)</f>
        <v>0</v>
      </c>
      <c r="X255" s="33" t="n">
        <f aca="false">W255-(E255*P1_IVAN+F255*P2_IVAN+G255*IF($A255&lt;P3_DESDE,P3A_IVAN,P3_IVAN))-(H255+I255+J255)*(COSTE_DEV-IVA_DEV)-AM255-AO255</f>
        <v>0</v>
      </c>
      <c r="Y255" s="33" t="n">
        <f aca="false">AH255-AI255-AJ255-AK255-AL255-AM255-AO255</f>
        <v>0</v>
      </c>
      <c r="AA255" s="58" t="n">
        <f aca="false">MAX(0,B255-E255-H255)</f>
        <v>0</v>
      </c>
      <c r="AB255" s="58" t="n">
        <f aca="false">MAX(0,C255-F255-I255)</f>
        <v>0</v>
      </c>
      <c r="AC255" s="58" t="n">
        <f aca="false">MAX(0,D255-G255-J255)</f>
        <v>0</v>
      </c>
      <c r="AD255" s="59" t="n">
        <f aca="false">E255+AA255*AQ255</f>
        <v>0</v>
      </c>
      <c r="AE255" s="59" t="n">
        <f aca="false">F255+AB255*AQ255</f>
        <v>0</v>
      </c>
      <c r="AF255" s="59" t="n">
        <f aca="false">G255+AC255*AQ255</f>
        <v>0</v>
      </c>
      <c r="AG255" s="59" t="n">
        <f aca="false">H255+I255+J255+(AA255+AB255+AC255)*(1-AQ255)</f>
        <v>0</v>
      </c>
      <c r="AH255" s="60" t="n">
        <f aca="false">AD255*P1_PVP+AE255*P2_PVP+AF255*IF($A255&lt;P3_DESDE,P3A_PVP,P3_PVP)</f>
        <v>0</v>
      </c>
      <c r="AI255" s="60" t="n">
        <f aca="false">AD255*P1_CPROD+AE255*P2_CPROD+AF255*IF($A255&lt;P3_DESDE,P3A_CPROD,P3_CPROD)</f>
        <v>0</v>
      </c>
      <c r="AJ255" s="60" t="n">
        <f aca="false">IF(ISNUMBER(L255),L255,E255*P1_LOG+F255*P2_LOG+G255*P3_LOG)+IF(ISNUMBER(M255),M255,AA255*P1_LOG+AB255*P2_LOG+AC255*P3_LOG)*AQ255</f>
        <v>0</v>
      </c>
      <c r="AK255" s="60" t="n">
        <f aca="false">AG255*COSTE_DEV</f>
        <v>0</v>
      </c>
      <c r="AL255" s="60" t="n">
        <f aca="false">AD255*P1_IVAN+AE255*P2_IVAN+AF255*IF($A255&lt;P3_DESDE,P3A_IVAN,P3_IVAN)-AG255*IVA_DEV</f>
        <v>0</v>
      </c>
      <c r="AM255" s="60" t="n">
        <f aca="false">N255*(1+RECARGO_ADS)</f>
        <v>0</v>
      </c>
      <c r="AN255" s="58" t="n">
        <f aca="false">IF(ISNUMBER(L255),E255+F255+G255+AA255+AB255+AC255,0)</f>
        <v>0</v>
      </c>
      <c r="AO255" s="60" t="n">
        <f aca="false">P255*COMISION</f>
        <v>0</v>
      </c>
      <c r="AP255" s="58" t="n">
        <f aca="false">MIN(N(K255),Q255)</f>
        <v>0</v>
      </c>
      <c r="AQ255" s="61" t="n">
        <f aca="false">IF(Q255&gt;0,((Q255-AP255)*AT255+AP255*TASA_INC)/Q255,AT255)</f>
        <v>0.659887072235414</v>
      </c>
      <c r="AR255" s="58" t="n">
        <f aca="false">IF($A255&lt;FECHA_EXPORT,NETWORKDAYS($A255+1,FECHA_EXPORT,FESTIVOS),0)</f>
        <v>0</v>
      </c>
      <c r="AS255" s="61" t="n">
        <f aca="false">IF(AR255&gt;=5,1,INDEX(CDF_INC,1,AR255+1))</f>
        <v>0.14</v>
      </c>
      <c r="AT255" s="61" t="n">
        <f aca="false">TASA_USADA+(TASA_INC-TASA_USADA)*Q_INC*(1-AS255)/(1-Q_INC*AS255)</f>
        <v>0.659887072235414</v>
      </c>
    </row>
    <row r="256" customFormat="false" ht="15" hidden="false" customHeight="false" outlineLevel="0" collapsed="false">
      <c r="A256" s="53" t="n">
        <v>46550</v>
      </c>
      <c r="B256" s="54"/>
      <c r="C256" s="54"/>
      <c r="D256" s="54"/>
      <c r="E256" s="54"/>
      <c r="F256" s="54"/>
      <c r="G256" s="54"/>
      <c r="H256" s="54"/>
      <c r="I256" s="54"/>
      <c r="J256" s="54"/>
      <c r="K256" s="54"/>
      <c r="L256" s="55"/>
      <c r="M256" s="55"/>
      <c r="N256" s="55"/>
      <c r="O256" s="56"/>
      <c r="P256" s="31" t="n">
        <f aca="false">B256+C256+D256</f>
        <v>0</v>
      </c>
      <c r="Q256" s="31" t="n">
        <f aca="false">AA256+AB256+AC256</f>
        <v>0</v>
      </c>
      <c r="R256" s="32" t="n">
        <f aca="false">B256*P1_PVP+C256*P2_PVP+D256*IF($A256&lt;P3_DESDE,P3A_PVP,P3_PVP)</f>
        <v>0</v>
      </c>
      <c r="S256" s="32" t="str">
        <f aca="false">IF(P256&gt;0,R256/P256,"")</f>
        <v/>
      </c>
      <c r="T256" s="32" t="str">
        <f aca="false">IF(P256&gt;0,N256/P256,"")</f>
        <v/>
      </c>
      <c r="U256" s="57" t="str">
        <f aca="false">IF(N256&gt;0,R256/N256,"")</f>
        <v/>
      </c>
      <c r="V256" s="34" t="str">
        <f aca="false">IF(E256+F256+G256+H256+I256+J256&gt;0,(E256+F256+G256)/(E256+F256+G256+H256+I256+J256),"")</f>
        <v/>
      </c>
      <c r="W256" s="33" t="n">
        <f aca="false">E256*(P1_PVP-P1_CPROD)+F256*(P2_PVP-P2_CPROD)+G256*(IF($A256&lt;P3_DESDE,P3A_PVP,P3_PVP)-IF($A256&lt;P3_DESDE,P3A_CPROD,P3_CPROD))-IF(ISNUMBER(L256),L256,E256*P1_LOG+F256*P2_LOG+G256*P3_LOG)</f>
        <v>0</v>
      </c>
      <c r="X256" s="33" t="n">
        <f aca="false">W256-(E256*P1_IVAN+F256*P2_IVAN+G256*IF($A256&lt;P3_DESDE,P3A_IVAN,P3_IVAN))-(H256+I256+J256)*(COSTE_DEV-IVA_DEV)-AM256-AO256</f>
        <v>0</v>
      </c>
      <c r="Y256" s="33" t="n">
        <f aca="false">AH256-AI256-AJ256-AK256-AL256-AM256-AO256</f>
        <v>0</v>
      </c>
      <c r="AA256" s="58" t="n">
        <f aca="false">MAX(0,B256-E256-H256)</f>
        <v>0</v>
      </c>
      <c r="AB256" s="58" t="n">
        <f aca="false">MAX(0,C256-F256-I256)</f>
        <v>0</v>
      </c>
      <c r="AC256" s="58" t="n">
        <f aca="false">MAX(0,D256-G256-J256)</f>
        <v>0</v>
      </c>
      <c r="AD256" s="59" t="n">
        <f aca="false">E256+AA256*AQ256</f>
        <v>0</v>
      </c>
      <c r="AE256" s="59" t="n">
        <f aca="false">F256+AB256*AQ256</f>
        <v>0</v>
      </c>
      <c r="AF256" s="59" t="n">
        <f aca="false">G256+AC256*AQ256</f>
        <v>0</v>
      </c>
      <c r="AG256" s="59" t="n">
        <f aca="false">H256+I256+J256+(AA256+AB256+AC256)*(1-AQ256)</f>
        <v>0</v>
      </c>
      <c r="AH256" s="60" t="n">
        <f aca="false">AD256*P1_PVP+AE256*P2_PVP+AF256*IF($A256&lt;P3_DESDE,P3A_PVP,P3_PVP)</f>
        <v>0</v>
      </c>
      <c r="AI256" s="60" t="n">
        <f aca="false">AD256*P1_CPROD+AE256*P2_CPROD+AF256*IF($A256&lt;P3_DESDE,P3A_CPROD,P3_CPROD)</f>
        <v>0</v>
      </c>
      <c r="AJ256" s="60" t="n">
        <f aca="false">IF(ISNUMBER(L256),L256,E256*P1_LOG+F256*P2_LOG+G256*P3_LOG)+IF(ISNUMBER(M256),M256,AA256*P1_LOG+AB256*P2_LOG+AC256*P3_LOG)*AQ256</f>
        <v>0</v>
      </c>
      <c r="AK256" s="60" t="n">
        <f aca="false">AG256*COSTE_DEV</f>
        <v>0</v>
      </c>
      <c r="AL256" s="60" t="n">
        <f aca="false">AD256*P1_IVAN+AE256*P2_IVAN+AF256*IF($A256&lt;P3_DESDE,P3A_IVAN,P3_IVAN)-AG256*IVA_DEV</f>
        <v>0</v>
      </c>
      <c r="AM256" s="60" t="n">
        <f aca="false">N256*(1+RECARGO_ADS)</f>
        <v>0</v>
      </c>
      <c r="AN256" s="58" t="n">
        <f aca="false">IF(ISNUMBER(L256),E256+F256+G256+AA256+AB256+AC256,0)</f>
        <v>0</v>
      </c>
      <c r="AO256" s="60" t="n">
        <f aca="false">P256*COMISION</f>
        <v>0</v>
      </c>
      <c r="AP256" s="58" t="n">
        <f aca="false">MIN(N(K256),Q256)</f>
        <v>0</v>
      </c>
      <c r="AQ256" s="61" t="n">
        <f aca="false">IF(Q256&gt;0,((Q256-AP256)*AT256+AP256*TASA_INC)/Q256,AT256)</f>
        <v>0.659887072235414</v>
      </c>
      <c r="AR256" s="58" t="n">
        <f aca="false">IF($A256&lt;FECHA_EXPORT,NETWORKDAYS($A256+1,FECHA_EXPORT,FESTIVOS),0)</f>
        <v>0</v>
      </c>
      <c r="AS256" s="61" t="n">
        <f aca="false">IF(AR256&gt;=5,1,INDEX(CDF_INC,1,AR256+1))</f>
        <v>0.14</v>
      </c>
      <c r="AT256" s="61" t="n">
        <f aca="false">TASA_USADA+(TASA_INC-TASA_USADA)*Q_INC*(1-AS256)/(1-Q_INC*AS256)</f>
        <v>0.659887072235414</v>
      </c>
    </row>
    <row r="257" customFormat="false" ht="15" hidden="false" customHeight="false" outlineLevel="0" collapsed="false">
      <c r="A257" s="53" t="n">
        <v>46551</v>
      </c>
      <c r="B257" s="54"/>
      <c r="C257" s="54"/>
      <c r="D257" s="54"/>
      <c r="E257" s="54"/>
      <c r="F257" s="54"/>
      <c r="G257" s="54"/>
      <c r="H257" s="54"/>
      <c r="I257" s="54"/>
      <c r="J257" s="54"/>
      <c r="K257" s="54"/>
      <c r="L257" s="55"/>
      <c r="M257" s="55"/>
      <c r="N257" s="55"/>
      <c r="O257" s="56"/>
      <c r="P257" s="31" t="n">
        <f aca="false">B257+C257+D257</f>
        <v>0</v>
      </c>
      <c r="Q257" s="31" t="n">
        <f aca="false">AA257+AB257+AC257</f>
        <v>0</v>
      </c>
      <c r="R257" s="32" t="n">
        <f aca="false">B257*P1_PVP+C257*P2_PVP+D257*IF($A257&lt;P3_DESDE,P3A_PVP,P3_PVP)</f>
        <v>0</v>
      </c>
      <c r="S257" s="32" t="str">
        <f aca="false">IF(P257&gt;0,R257/P257,"")</f>
        <v/>
      </c>
      <c r="T257" s="32" t="str">
        <f aca="false">IF(P257&gt;0,N257/P257,"")</f>
        <v/>
      </c>
      <c r="U257" s="57" t="str">
        <f aca="false">IF(N257&gt;0,R257/N257,"")</f>
        <v/>
      </c>
      <c r="V257" s="34" t="str">
        <f aca="false">IF(E257+F257+G257+H257+I257+J257&gt;0,(E257+F257+G257)/(E257+F257+G257+H257+I257+J257),"")</f>
        <v/>
      </c>
      <c r="W257" s="33" t="n">
        <f aca="false">E257*(P1_PVP-P1_CPROD)+F257*(P2_PVP-P2_CPROD)+G257*(IF($A257&lt;P3_DESDE,P3A_PVP,P3_PVP)-IF($A257&lt;P3_DESDE,P3A_CPROD,P3_CPROD))-IF(ISNUMBER(L257),L257,E257*P1_LOG+F257*P2_LOG+G257*P3_LOG)</f>
        <v>0</v>
      </c>
      <c r="X257" s="33" t="n">
        <f aca="false">W257-(E257*P1_IVAN+F257*P2_IVAN+G257*IF($A257&lt;P3_DESDE,P3A_IVAN,P3_IVAN))-(H257+I257+J257)*(COSTE_DEV-IVA_DEV)-AM257-AO257</f>
        <v>0</v>
      </c>
      <c r="Y257" s="33" t="n">
        <f aca="false">AH257-AI257-AJ257-AK257-AL257-AM257-AO257</f>
        <v>0</v>
      </c>
      <c r="AA257" s="58" t="n">
        <f aca="false">MAX(0,B257-E257-H257)</f>
        <v>0</v>
      </c>
      <c r="AB257" s="58" t="n">
        <f aca="false">MAX(0,C257-F257-I257)</f>
        <v>0</v>
      </c>
      <c r="AC257" s="58" t="n">
        <f aca="false">MAX(0,D257-G257-J257)</f>
        <v>0</v>
      </c>
      <c r="AD257" s="59" t="n">
        <f aca="false">E257+AA257*AQ257</f>
        <v>0</v>
      </c>
      <c r="AE257" s="59" t="n">
        <f aca="false">F257+AB257*AQ257</f>
        <v>0</v>
      </c>
      <c r="AF257" s="59" t="n">
        <f aca="false">G257+AC257*AQ257</f>
        <v>0</v>
      </c>
      <c r="AG257" s="59" t="n">
        <f aca="false">H257+I257+J257+(AA257+AB257+AC257)*(1-AQ257)</f>
        <v>0</v>
      </c>
      <c r="AH257" s="60" t="n">
        <f aca="false">AD257*P1_PVP+AE257*P2_PVP+AF257*IF($A257&lt;P3_DESDE,P3A_PVP,P3_PVP)</f>
        <v>0</v>
      </c>
      <c r="AI257" s="60" t="n">
        <f aca="false">AD257*P1_CPROD+AE257*P2_CPROD+AF257*IF($A257&lt;P3_DESDE,P3A_CPROD,P3_CPROD)</f>
        <v>0</v>
      </c>
      <c r="AJ257" s="60" t="n">
        <f aca="false">IF(ISNUMBER(L257),L257,E257*P1_LOG+F257*P2_LOG+G257*P3_LOG)+IF(ISNUMBER(M257),M257,AA257*P1_LOG+AB257*P2_LOG+AC257*P3_LOG)*AQ257</f>
        <v>0</v>
      </c>
      <c r="AK257" s="60" t="n">
        <f aca="false">AG257*COSTE_DEV</f>
        <v>0</v>
      </c>
      <c r="AL257" s="60" t="n">
        <f aca="false">AD257*P1_IVAN+AE257*P2_IVAN+AF257*IF($A257&lt;P3_DESDE,P3A_IVAN,P3_IVAN)-AG257*IVA_DEV</f>
        <v>0</v>
      </c>
      <c r="AM257" s="60" t="n">
        <f aca="false">N257*(1+RECARGO_ADS)</f>
        <v>0</v>
      </c>
      <c r="AN257" s="58" t="n">
        <f aca="false">IF(ISNUMBER(L257),E257+F257+G257+AA257+AB257+AC257,0)</f>
        <v>0</v>
      </c>
      <c r="AO257" s="60" t="n">
        <f aca="false">P257*COMISION</f>
        <v>0</v>
      </c>
      <c r="AP257" s="58" t="n">
        <f aca="false">MIN(N(K257),Q257)</f>
        <v>0</v>
      </c>
      <c r="AQ257" s="61" t="n">
        <f aca="false">IF(Q257&gt;0,((Q257-AP257)*AT257+AP257*TASA_INC)/Q257,AT257)</f>
        <v>0.659887072235414</v>
      </c>
      <c r="AR257" s="58" t="n">
        <f aca="false">IF($A257&lt;FECHA_EXPORT,NETWORKDAYS($A257+1,FECHA_EXPORT,FESTIVOS),0)</f>
        <v>0</v>
      </c>
      <c r="AS257" s="61" t="n">
        <f aca="false">IF(AR257&gt;=5,1,INDEX(CDF_INC,1,AR257+1))</f>
        <v>0.14</v>
      </c>
      <c r="AT257" s="61" t="n">
        <f aca="false">TASA_USADA+(TASA_INC-TASA_USADA)*Q_INC*(1-AS257)/(1-Q_INC*AS257)</f>
        <v>0.659887072235414</v>
      </c>
    </row>
    <row r="258" customFormat="false" ht="15" hidden="false" customHeight="false" outlineLevel="0" collapsed="false">
      <c r="A258" s="53" t="n">
        <v>46552</v>
      </c>
      <c r="B258" s="54"/>
      <c r="C258" s="54"/>
      <c r="D258" s="54"/>
      <c r="E258" s="54"/>
      <c r="F258" s="54"/>
      <c r="G258" s="54"/>
      <c r="H258" s="54"/>
      <c r="I258" s="54"/>
      <c r="J258" s="54"/>
      <c r="K258" s="54"/>
      <c r="L258" s="55"/>
      <c r="M258" s="55"/>
      <c r="N258" s="55"/>
      <c r="O258" s="56"/>
      <c r="P258" s="31" t="n">
        <f aca="false">B258+C258+D258</f>
        <v>0</v>
      </c>
      <c r="Q258" s="31" t="n">
        <f aca="false">AA258+AB258+AC258</f>
        <v>0</v>
      </c>
      <c r="R258" s="32" t="n">
        <f aca="false">B258*P1_PVP+C258*P2_PVP+D258*IF($A258&lt;P3_DESDE,P3A_PVP,P3_PVP)</f>
        <v>0</v>
      </c>
      <c r="S258" s="32" t="str">
        <f aca="false">IF(P258&gt;0,R258/P258,"")</f>
        <v/>
      </c>
      <c r="T258" s="32" t="str">
        <f aca="false">IF(P258&gt;0,N258/P258,"")</f>
        <v/>
      </c>
      <c r="U258" s="57" t="str">
        <f aca="false">IF(N258&gt;0,R258/N258,"")</f>
        <v/>
      </c>
      <c r="V258" s="34" t="str">
        <f aca="false">IF(E258+F258+G258+H258+I258+J258&gt;0,(E258+F258+G258)/(E258+F258+G258+H258+I258+J258),"")</f>
        <v/>
      </c>
      <c r="W258" s="33" t="n">
        <f aca="false">E258*(P1_PVP-P1_CPROD)+F258*(P2_PVP-P2_CPROD)+G258*(IF($A258&lt;P3_DESDE,P3A_PVP,P3_PVP)-IF($A258&lt;P3_DESDE,P3A_CPROD,P3_CPROD))-IF(ISNUMBER(L258),L258,E258*P1_LOG+F258*P2_LOG+G258*P3_LOG)</f>
        <v>0</v>
      </c>
      <c r="X258" s="33" t="n">
        <f aca="false">W258-(E258*P1_IVAN+F258*P2_IVAN+G258*IF($A258&lt;P3_DESDE,P3A_IVAN,P3_IVAN))-(H258+I258+J258)*(COSTE_DEV-IVA_DEV)-AM258-AO258</f>
        <v>0</v>
      </c>
      <c r="Y258" s="33" t="n">
        <f aca="false">AH258-AI258-AJ258-AK258-AL258-AM258-AO258</f>
        <v>0</v>
      </c>
      <c r="AA258" s="58" t="n">
        <f aca="false">MAX(0,B258-E258-H258)</f>
        <v>0</v>
      </c>
      <c r="AB258" s="58" t="n">
        <f aca="false">MAX(0,C258-F258-I258)</f>
        <v>0</v>
      </c>
      <c r="AC258" s="58" t="n">
        <f aca="false">MAX(0,D258-G258-J258)</f>
        <v>0</v>
      </c>
      <c r="AD258" s="59" t="n">
        <f aca="false">E258+AA258*AQ258</f>
        <v>0</v>
      </c>
      <c r="AE258" s="59" t="n">
        <f aca="false">F258+AB258*AQ258</f>
        <v>0</v>
      </c>
      <c r="AF258" s="59" t="n">
        <f aca="false">G258+AC258*AQ258</f>
        <v>0</v>
      </c>
      <c r="AG258" s="59" t="n">
        <f aca="false">H258+I258+J258+(AA258+AB258+AC258)*(1-AQ258)</f>
        <v>0</v>
      </c>
      <c r="AH258" s="60" t="n">
        <f aca="false">AD258*P1_PVP+AE258*P2_PVP+AF258*IF($A258&lt;P3_DESDE,P3A_PVP,P3_PVP)</f>
        <v>0</v>
      </c>
      <c r="AI258" s="60" t="n">
        <f aca="false">AD258*P1_CPROD+AE258*P2_CPROD+AF258*IF($A258&lt;P3_DESDE,P3A_CPROD,P3_CPROD)</f>
        <v>0</v>
      </c>
      <c r="AJ258" s="60" t="n">
        <f aca="false">IF(ISNUMBER(L258),L258,E258*P1_LOG+F258*P2_LOG+G258*P3_LOG)+IF(ISNUMBER(M258),M258,AA258*P1_LOG+AB258*P2_LOG+AC258*P3_LOG)*AQ258</f>
        <v>0</v>
      </c>
      <c r="AK258" s="60" t="n">
        <f aca="false">AG258*COSTE_DEV</f>
        <v>0</v>
      </c>
      <c r="AL258" s="60" t="n">
        <f aca="false">AD258*P1_IVAN+AE258*P2_IVAN+AF258*IF($A258&lt;P3_DESDE,P3A_IVAN,P3_IVAN)-AG258*IVA_DEV</f>
        <v>0</v>
      </c>
      <c r="AM258" s="60" t="n">
        <f aca="false">N258*(1+RECARGO_ADS)</f>
        <v>0</v>
      </c>
      <c r="AN258" s="58" t="n">
        <f aca="false">IF(ISNUMBER(L258),E258+F258+G258+AA258+AB258+AC258,0)</f>
        <v>0</v>
      </c>
      <c r="AO258" s="60" t="n">
        <f aca="false">P258*COMISION</f>
        <v>0</v>
      </c>
      <c r="AP258" s="58" t="n">
        <f aca="false">MIN(N(K258),Q258)</f>
        <v>0</v>
      </c>
      <c r="AQ258" s="61" t="n">
        <f aca="false">IF(Q258&gt;0,((Q258-AP258)*AT258+AP258*TASA_INC)/Q258,AT258)</f>
        <v>0.659887072235414</v>
      </c>
      <c r="AR258" s="58" t="n">
        <f aca="false">IF($A258&lt;FECHA_EXPORT,NETWORKDAYS($A258+1,FECHA_EXPORT,FESTIVOS),0)</f>
        <v>0</v>
      </c>
      <c r="AS258" s="61" t="n">
        <f aca="false">IF(AR258&gt;=5,1,INDEX(CDF_INC,1,AR258+1))</f>
        <v>0.14</v>
      </c>
      <c r="AT258" s="61" t="n">
        <f aca="false">TASA_USADA+(TASA_INC-TASA_USADA)*Q_INC*(1-AS258)/(1-Q_INC*AS258)</f>
        <v>0.659887072235414</v>
      </c>
    </row>
    <row r="259" customFormat="false" ht="15" hidden="false" customHeight="false" outlineLevel="0" collapsed="false">
      <c r="A259" s="53" t="n">
        <v>46553</v>
      </c>
      <c r="B259" s="54"/>
      <c r="C259" s="54"/>
      <c r="D259" s="54"/>
      <c r="E259" s="54"/>
      <c r="F259" s="54"/>
      <c r="G259" s="54"/>
      <c r="H259" s="54"/>
      <c r="I259" s="54"/>
      <c r="J259" s="54"/>
      <c r="K259" s="54"/>
      <c r="L259" s="55"/>
      <c r="M259" s="55"/>
      <c r="N259" s="55"/>
      <c r="O259" s="56"/>
      <c r="P259" s="31" t="n">
        <f aca="false">B259+C259+D259</f>
        <v>0</v>
      </c>
      <c r="Q259" s="31" t="n">
        <f aca="false">AA259+AB259+AC259</f>
        <v>0</v>
      </c>
      <c r="R259" s="32" t="n">
        <f aca="false">B259*P1_PVP+C259*P2_PVP+D259*IF($A259&lt;P3_DESDE,P3A_PVP,P3_PVP)</f>
        <v>0</v>
      </c>
      <c r="S259" s="32" t="str">
        <f aca="false">IF(P259&gt;0,R259/P259,"")</f>
        <v/>
      </c>
      <c r="T259" s="32" t="str">
        <f aca="false">IF(P259&gt;0,N259/P259,"")</f>
        <v/>
      </c>
      <c r="U259" s="57" t="str">
        <f aca="false">IF(N259&gt;0,R259/N259,"")</f>
        <v/>
      </c>
      <c r="V259" s="34" t="str">
        <f aca="false">IF(E259+F259+G259+H259+I259+J259&gt;0,(E259+F259+G259)/(E259+F259+G259+H259+I259+J259),"")</f>
        <v/>
      </c>
      <c r="W259" s="33" t="n">
        <f aca="false">E259*(P1_PVP-P1_CPROD)+F259*(P2_PVP-P2_CPROD)+G259*(IF($A259&lt;P3_DESDE,P3A_PVP,P3_PVP)-IF($A259&lt;P3_DESDE,P3A_CPROD,P3_CPROD))-IF(ISNUMBER(L259),L259,E259*P1_LOG+F259*P2_LOG+G259*P3_LOG)</f>
        <v>0</v>
      </c>
      <c r="X259" s="33" t="n">
        <f aca="false">W259-(E259*P1_IVAN+F259*P2_IVAN+G259*IF($A259&lt;P3_DESDE,P3A_IVAN,P3_IVAN))-(H259+I259+J259)*(COSTE_DEV-IVA_DEV)-AM259-AO259</f>
        <v>0</v>
      </c>
      <c r="Y259" s="33" t="n">
        <f aca="false">AH259-AI259-AJ259-AK259-AL259-AM259-AO259</f>
        <v>0</v>
      </c>
      <c r="AA259" s="58" t="n">
        <f aca="false">MAX(0,B259-E259-H259)</f>
        <v>0</v>
      </c>
      <c r="AB259" s="58" t="n">
        <f aca="false">MAX(0,C259-F259-I259)</f>
        <v>0</v>
      </c>
      <c r="AC259" s="58" t="n">
        <f aca="false">MAX(0,D259-G259-J259)</f>
        <v>0</v>
      </c>
      <c r="AD259" s="59" t="n">
        <f aca="false">E259+AA259*AQ259</f>
        <v>0</v>
      </c>
      <c r="AE259" s="59" t="n">
        <f aca="false">F259+AB259*AQ259</f>
        <v>0</v>
      </c>
      <c r="AF259" s="59" t="n">
        <f aca="false">G259+AC259*AQ259</f>
        <v>0</v>
      </c>
      <c r="AG259" s="59" t="n">
        <f aca="false">H259+I259+J259+(AA259+AB259+AC259)*(1-AQ259)</f>
        <v>0</v>
      </c>
      <c r="AH259" s="60" t="n">
        <f aca="false">AD259*P1_PVP+AE259*P2_PVP+AF259*IF($A259&lt;P3_DESDE,P3A_PVP,P3_PVP)</f>
        <v>0</v>
      </c>
      <c r="AI259" s="60" t="n">
        <f aca="false">AD259*P1_CPROD+AE259*P2_CPROD+AF259*IF($A259&lt;P3_DESDE,P3A_CPROD,P3_CPROD)</f>
        <v>0</v>
      </c>
      <c r="AJ259" s="60" t="n">
        <f aca="false">IF(ISNUMBER(L259),L259,E259*P1_LOG+F259*P2_LOG+G259*P3_LOG)+IF(ISNUMBER(M259),M259,AA259*P1_LOG+AB259*P2_LOG+AC259*P3_LOG)*AQ259</f>
        <v>0</v>
      </c>
      <c r="AK259" s="60" t="n">
        <f aca="false">AG259*COSTE_DEV</f>
        <v>0</v>
      </c>
      <c r="AL259" s="60" t="n">
        <f aca="false">AD259*P1_IVAN+AE259*P2_IVAN+AF259*IF($A259&lt;P3_DESDE,P3A_IVAN,P3_IVAN)-AG259*IVA_DEV</f>
        <v>0</v>
      </c>
      <c r="AM259" s="60" t="n">
        <f aca="false">N259*(1+RECARGO_ADS)</f>
        <v>0</v>
      </c>
      <c r="AN259" s="58" t="n">
        <f aca="false">IF(ISNUMBER(L259),E259+F259+G259+AA259+AB259+AC259,0)</f>
        <v>0</v>
      </c>
      <c r="AO259" s="60" t="n">
        <f aca="false">P259*COMISION</f>
        <v>0</v>
      </c>
      <c r="AP259" s="58" t="n">
        <f aca="false">MIN(N(K259),Q259)</f>
        <v>0</v>
      </c>
      <c r="AQ259" s="61" t="n">
        <f aca="false">IF(Q259&gt;0,((Q259-AP259)*AT259+AP259*TASA_INC)/Q259,AT259)</f>
        <v>0.659887072235414</v>
      </c>
      <c r="AR259" s="58" t="n">
        <f aca="false">IF($A259&lt;FECHA_EXPORT,NETWORKDAYS($A259+1,FECHA_EXPORT,FESTIVOS),0)</f>
        <v>0</v>
      </c>
      <c r="AS259" s="61" t="n">
        <f aca="false">IF(AR259&gt;=5,1,INDEX(CDF_INC,1,AR259+1))</f>
        <v>0.14</v>
      </c>
      <c r="AT259" s="61" t="n">
        <f aca="false">TASA_USADA+(TASA_INC-TASA_USADA)*Q_INC*(1-AS259)/(1-Q_INC*AS259)</f>
        <v>0.659887072235414</v>
      </c>
    </row>
    <row r="260" customFormat="false" ht="15" hidden="false" customHeight="false" outlineLevel="0" collapsed="false">
      <c r="A260" s="53" t="n">
        <v>46554</v>
      </c>
      <c r="B260" s="54"/>
      <c r="C260" s="54"/>
      <c r="D260" s="54"/>
      <c r="E260" s="54"/>
      <c r="F260" s="54"/>
      <c r="G260" s="54"/>
      <c r="H260" s="54"/>
      <c r="I260" s="54"/>
      <c r="J260" s="54"/>
      <c r="K260" s="54"/>
      <c r="L260" s="55"/>
      <c r="M260" s="55"/>
      <c r="N260" s="55"/>
      <c r="O260" s="56"/>
      <c r="P260" s="31" t="n">
        <f aca="false">B260+C260+D260</f>
        <v>0</v>
      </c>
      <c r="Q260" s="31" t="n">
        <f aca="false">AA260+AB260+AC260</f>
        <v>0</v>
      </c>
      <c r="R260" s="32" t="n">
        <f aca="false">B260*P1_PVP+C260*P2_PVP+D260*IF($A260&lt;P3_DESDE,P3A_PVP,P3_PVP)</f>
        <v>0</v>
      </c>
      <c r="S260" s="32" t="str">
        <f aca="false">IF(P260&gt;0,R260/P260,"")</f>
        <v/>
      </c>
      <c r="T260" s="32" t="str">
        <f aca="false">IF(P260&gt;0,N260/P260,"")</f>
        <v/>
      </c>
      <c r="U260" s="57" t="str">
        <f aca="false">IF(N260&gt;0,R260/N260,"")</f>
        <v/>
      </c>
      <c r="V260" s="34" t="str">
        <f aca="false">IF(E260+F260+G260+H260+I260+J260&gt;0,(E260+F260+G260)/(E260+F260+G260+H260+I260+J260),"")</f>
        <v/>
      </c>
      <c r="W260" s="33" t="n">
        <f aca="false">E260*(P1_PVP-P1_CPROD)+F260*(P2_PVP-P2_CPROD)+G260*(IF($A260&lt;P3_DESDE,P3A_PVP,P3_PVP)-IF($A260&lt;P3_DESDE,P3A_CPROD,P3_CPROD))-IF(ISNUMBER(L260),L260,E260*P1_LOG+F260*P2_LOG+G260*P3_LOG)</f>
        <v>0</v>
      </c>
      <c r="X260" s="33" t="n">
        <f aca="false">W260-(E260*P1_IVAN+F260*P2_IVAN+G260*IF($A260&lt;P3_DESDE,P3A_IVAN,P3_IVAN))-(H260+I260+J260)*(COSTE_DEV-IVA_DEV)-AM260-AO260</f>
        <v>0</v>
      </c>
      <c r="Y260" s="33" t="n">
        <f aca="false">AH260-AI260-AJ260-AK260-AL260-AM260-AO260</f>
        <v>0</v>
      </c>
      <c r="AA260" s="58" t="n">
        <f aca="false">MAX(0,B260-E260-H260)</f>
        <v>0</v>
      </c>
      <c r="AB260" s="58" t="n">
        <f aca="false">MAX(0,C260-F260-I260)</f>
        <v>0</v>
      </c>
      <c r="AC260" s="58" t="n">
        <f aca="false">MAX(0,D260-G260-J260)</f>
        <v>0</v>
      </c>
      <c r="AD260" s="59" t="n">
        <f aca="false">E260+AA260*AQ260</f>
        <v>0</v>
      </c>
      <c r="AE260" s="59" t="n">
        <f aca="false">F260+AB260*AQ260</f>
        <v>0</v>
      </c>
      <c r="AF260" s="59" t="n">
        <f aca="false">G260+AC260*AQ260</f>
        <v>0</v>
      </c>
      <c r="AG260" s="59" t="n">
        <f aca="false">H260+I260+J260+(AA260+AB260+AC260)*(1-AQ260)</f>
        <v>0</v>
      </c>
      <c r="AH260" s="60" t="n">
        <f aca="false">AD260*P1_PVP+AE260*P2_PVP+AF260*IF($A260&lt;P3_DESDE,P3A_PVP,P3_PVP)</f>
        <v>0</v>
      </c>
      <c r="AI260" s="60" t="n">
        <f aca="false">AD260*P1_CPROD+AE260*P2_CPROD+AF260*IF($A260&lt;P3_DESDE,P3A_CPROD,P3_CPROD)</f>
        <v>0</v>
      </c>
      <c r="AJ260" s="60" t="n">
        <f aca="false">IF(ISNUMBER(L260),L260,E260*P1_LOG+F260*P2_LOG+G260*P3_LOG)+IF(ISNUMBER(M260),M260,AA260*P1_LOG+AB260*P2_LOG+AC260*P3_LOG)*AQ260</f>
        <v>0</v>
      </c>
      <c r="AK260" s="60" t="n">
        <f aca="false">AG260*COSTE_DEV</f>
        <v>0</v>
      </c>
      <c r="AL260" s="60" t="n">
        <f aca="false">AD260*P1_IVAN+AE260*P2_IVAN+AF260*IF($A260&lt;P3_DESDE,P3A_IVAN,P3_IVAN)-AG260*IVA_DEV</f>
        <v>0</v>
      </c>
      <c r="AM260" s="60" t="n">
        <f aca="false">N260*(1+RECARGO_ADS)</f>
        <v>0</v>
      </c>
      <c r="AN260" s="58" t="n">
        <f aca="false">IF(ISNUMBER(L260),E260+F260+G260+AA260+AB260+AC260,0)</f>
        <v>0</v>
      </c>
      <c r="AO260" s="60" t="n">
        <f aca="false">P260*COMISION</f>
        <v>0</v>
      </c>
      <c r="AP260" s="58" t="n">
        <f aca="false">MIN(N(K260),Q260)</f>
        <v>0</v>
      </c>
      <c r="AQ260" s="61" t="n">
        <f aca="false">IF(Q260&gt;0,((Q260-AP260)*AT260+AP260*TASA_INC)/Q260,AT260)</f>
        <v>0.659887072235414</v>
      </c>
      <c r="AR260" s="58" t="n">
        <f aca="false">IF($A260&lt;FECHA_EXPORT,NETWORKDAYS($A260+1,FECHA_EXPORT,FESTIVOS),0)</f>
        <v>0</v>
      </c>
      <c r="AS260" s="61" t="n">
        <f aca="false">IF(AR260&gt;=5,1,INDEX(CDF_INC,1,AR260+1))</f>
        <v>0.14</v>
      </c>
      <c r="AT260" s="61" t="n">
        <f aca="false">TASA_USADA+(TASA_INC-TASA_USADA)*Q_INC*(1-AS260)/(1-Q_INC*AS260)</f>
        <v>0.659887072235414</v>
      </c>
    </row>
    <row r="261" customFormat="false" ht="15" hidden="false" customHeight="false" outlineLevel="0" collapsed="false">
      <c r="A261" s="53" t="n">
        <v>46555</v>
      </c>
      <c r="B261" s="54"/>
      <c r="C261" s="54"/>
      <c r="D261" s="54"/>
      <c r="E261" s="54"/>
      <c r="F261" s="54"/>
      <c r="G261" s="54"/>
      <c r="H261" s="54"/>
      <c r="I261" s="54"/>
      <c r="J261" s="54"/>
      <c r="K261" s="54"/>
      <c r="L261" s="55"/>
      <c r="M261" s="55"/>
      <c r="N261" s="55"/>
      <c r="O261" s="56"/>
      <c r="P261" s="31" t="n">
        <f aca="false">B261+C261+D261</f>
        <v>0</v>
      </c>
      <c r="Q261" s="31" t="n">
        <f aca="false">AA261+AB261+AC261</f>
        <v>0</v>
      </c>
      <c r="R261" s="32" t="n">
        <f aca="false">B261*P1_PVP+C261*P2_PVP+D261*IF($A261&lt;P3_DESDE,P3A_PVP,P3_PVP)</f>
        <v>0</v>
      </c>
      <c r="S261" s="32" t="str">
        <f aca="false">IF(P261&gt;0,R261/P261,"")</f>
        <v/>
      </c>
      <c r="T261" s="32" t="str">
        <f aca="false">IF(P261&gt;0,N261/P261,"")</f>
        <v/>
      </c>
      <c r="U261" s="57" t="str">
        <f aca="false">IF(N261&gt;0,R261/N261,"")</f>
        <v/>
      </c>
      <c r="V261" s="34" t="str">
        <f aca="false">IF(E261+F261+G261+H261+I261+J261&gt;0,(E261+F261+G261)/(E261+F261+G261+H261+I261+J261),"")</f>
        <v/>
      </c>
      <c r="W261" s="33" t="n">
        <f aca="false">E261*(P1_PVP-P1_CPROD)+F261*(P2_PVP-P2_CPROD)+G261*(IF($A261&lt;P3_DESDE,P3A_PVP,P3_PVP)-IF($A261&lt;P3_DESDE,P3A_CPROD,P3_CPROD))-IF(ISNUMBER(L261),L261,E261*P1_LOG+F261*P2_LOG+G261*P3_LOG)</f>
        <v>0</v>
      </c>
      <c r="X261" s="33" t="n">
        <f aca="false">W261-(E261*P1_IVAN+F261*P2_IVAN+G261*IF($A261&lt;P3_DESDE,P3A_IVAN,P3_IVAN))-(H261+I261+J261)*(COSTE_DEV-IVA_DEV)-AM261-AO261</f>
        <v>0</v>
      </c>
      <c r="Y261" s="33" t="n">
        <f aca="false">AH261-AI261-AJ261-AK261-AL261-AM261-AO261</f>
        <v>0</v>
      </c>
      <c r="AA261" s="58" t="n">
        <f aca="false">MAX(0,B261-E261-H261)</f>
        <v>0</v>
      </c>
      <c r="AB261" s="58" t="n">
        <f aca="false">MAX(0,C261-F261-I261)</f>
        <v>0</v>
      </c>
      <c r="AC261" s="58" t="n">
        <f aca="false">MAX(0,D261-G261-J261)</f>
        <v>0</v>
      </c>
      <c r="AD261" s="59" t="n">
        <f aca="false">E261+AA261*AQ261</f>
        <v>0</v>
      </c>
      <c r="AE261" s="59" t="n">
        <f aca="false">F261+AB261*AQ261</f>
        <v>0</v>
      </c>
      <c r="AF261" s="59" t="n">
        <f aca="false">G261+AC261*AQ261</f>
        <v>0</v>
      </c>
      <c r="AG261" s="59" t="n">
        <f aca="false">H261+I261+J261+(AA261+AB261+AC261)*(1-AQ261)</f>
        <v>0</v>
      </c>
      <c r="AH261" s="60" t="n">
        <f aca="false">AD261*P1_PVP+AE261*P2_PVP+AF261*IF($A261&lt;P3_DESDE,P3A_PVP,P3_PVP)</f>
        <v>0</v>
      </c>
      <c r="AI261" s="60" t="n">
        <f aca="false">AD261*P1_CPROD+AE261*P2_CPROD+AF261*IF($A261&lt;P3_DESDE,P3A_CPROD,P3_CPROD)</f>
        <v>0</v>
      </c>
      <c r="AJ261" s="60" t="n">
        <f aca="false">IF(ISNUMBER(L261),L261,E261*P1_LOG+F261*P2_LOG+G261*P3_LOG)+IF(ISNUMBER(M261),M261,AA261*P1_LOG+AB261*P2_LOG+AC261*P3_LOG)*AQ261</f>
        <v>0</v>
      </c>
      <c r="AK261" s="60" t="n">
        <f aca="false">AG261*COSTE_DEV</f>
        <v>0</v>
      </c>
      <c r="AL261" s="60" t="n">
        <f aca="false">AD261*P1_IVAN+AE261*P2_IVAN+AF261*IF($A261&lt;P3_DESDE,P3A_IVAN,P3_IVAN)-AG261*IVA_DEV</f>
        <v>0</v>
      </c>
      <c r="AM261" s="60" t="n">
        <f aca="false">N261*(1+RECARGO_ADS)</f>
        <v>0</v>
      </c>
      <c r="AN261" s="58" t="n">
        <f aca="false">IF(ISNUMBER(L261),E261+F261+G261+AA261+AB261+AC261,0)</f>
        <v>0</v>
      </c>
      <c r="AO261" s="60" t="n">
        <f aca="false">P261*COMISION</f>
        <v>0</v>
      </c>
      <c r="AP261" s="58" t="n">
        <f aca="false">MIN(N(K261),Q261)</f>
        <v>0</v>
      </c>
      <c r="AQ261" s="61" t="n">
        <f aca="false">IF(Q261&gt;0,((Q261-AP261)*AT261+AP261*TASA_INC)/Q261,AT261)</f>
        <v>0.659887072235414</v>
      </c>
      <c r="AR261" s="58" t="n">
        <f aca="false">IF($A261&lt;FECHA_EXPORT,NETWORKDAYS($A261+1,FECHA_EXPORT,FESTIVOS),0)</f>
        <v>0</v>
      </c>
      <c r="AS261" s="61" t="n">
        <f aca="false">IF(AR261&gt;=5,1,INDEX(CDF_INC,1,AR261+1))</f>
        <v>0.14</v>
      </c>
      <c r="AT261" s="61" t="n">
        <f aca="false">TASA_USADA+(TASA_INC-TASA_USADA)*Q_INC*(1-AS261)/(1-Q_INC*AS261)</f>
        <v>0.659887072235414</v>
      </c>
    </row>
    <row r="262" customFormat="false" ht="15" hidden="false" customHeight="false" outlineLevel="0" collapsed="false">
      <c r="A262" s="53" t="n">
        <v>46556</v>
      </c>
      <c r="B262" s="54"/>
      <c r="C262" s="54"/>
      <c r="D262" s="54"/>
      <c r="E262" s="54"/>
      <c r="F262" s="54"/>
      <c r="G262" s="54"/>
      <c r="H262" s="54"/>
      <c r="I262" s="54"/>
      <c r="J262" s="54"/>
      <c r="K262" s="54"/>
      <c r="L262" s="55"/>
      <c r="M262" s="55"/>
      <c r="N262" s="55"/>
      <c r="O262" s="56"/>
      <c r="P262" s="31" t="n">
        <f aca="false">B262+C262+D262</f>
        <v>0</v>
      </c>
      <c r="Q262" s="31" t="n">
        <f aca="false">AA262+AB262+AC262</f>
        <v>0</v>
      </c>
      <c r="R262" s="32" t="n">
        <f aca="false">B262*P1_PVP+C262*P2_PVP+D262*IF($A262&lt;P3_DESDE,P3A_PVP,P3_PVP)</f>
        <v>0</v>
      </c>
      <c r="S262" s="32" t="str">
        <f aca="false">IF(P262&gt;0,R262/P262,"")</f>
        <v/>
      </c>
      <c r="T262" s="32" t="str">
        <f aca="false">IF(P262&gt;0,N262/P262,"")</f>
        <v/>
      </c>
      <c r="U262" s="57" t="str">
        <f aca="false">IF(N262&gt;0,R262/N262,"")</f>
        <v/>
      </c>
      <c r="V262" s="34" t="str">
        <f aca="false">IF(E262+F262+G262+H262+I262+J262&gt;0,(E262+F262+G262)/(E262+F262+G262+H262+I262+J262),"")</f>
        <v/>
      </c>
      <c r="W262" s="33" t="n">
        <f aca="false">E262*(P1_PVP-P1_CPROD)+F262*(P2_PVP-P2_CPROD)+G262*(IF($A262&lt;P3_DESDE,P3A_PVP,P3_PVP)-IF($A262&lt;P3_DESDE,P3A_CPROD,P3_CPROD))-IF(ISNUMBER(L262),L262,E262*P1_LOG+F262*P2_LOG+G262*P3_LOG)</f>
        <v>0</v>
      </c>
      <c r="X262" s="33" t="n">
        <f aca="false">W262-(E262*P1_IVAN+F262*P2_IVAN+G262*IF($A262&lt;P3_DESDE,P3A_IVAN,P3_IVAN))-(H262+I262+J262)*(COSTE_DEV-IVA_DEV)-AM262-AO262</f>
        <v>0</v>
      </c>
      <c r="Y262" s="33" t="n">
        <f aca="false">AH262-AI262-AJ262-AK262-AL262-AM262-AO262</f>
        <v>0</v>
      </c>
      <c r="AA262" s="58" t="n">
        <f aca="false">MAX(0,B262-E262-H262)</f>
        <v>0</v>
      </c>
      <c r="AB262" s="58" t="n">
        <f aca="false">MAX(0,C262-F262-I262)</f>
        <v>0</v>
      </c>
      <c r="AC262" s="58" t="n">
        <f aca="false">MAX(0,D262-G262-J262)</f>
        <v>0</v>
      </c>
      <c r="AD262" s="59" t="n">
        <f aca="false">E262+AA262*AQ262</f>
        <v>0</v>
      </c>
      <c r="AE262" s="59" t="n">
        <f aca="false">F262+AB262*AQ262</f>
        <v>0</v>
      </c>
      <c r="AF262" s="59" t="n">
        <f aca="false">G262+AC262*AQ262</f>
        <v>0</v>
      </c>
      <c r="AG262" s="59" t="n">
        <f aca="false">H262+I262+J262+(AA262+AB262+AC262)*(1-AQ262)</f>
        <v>0</v>
      </c>
      <c r="AH262" s="60" t="n">
        <f aca="false">AD262*P1_PVP+AE262*P2_PVP+AF262*IF($A262&lt;P3_DESDE,P3A_PVP,P3_PVP)</f>
        <v>0</v>
      </c>
      <c r="AI262" s="60" t="n">
        <f aca="false">AD262*P1_CPROD+AE262*P2_CPROD+AF262*IF($A262&lt;P3_DESDE,P3A_CPROD,P3_CPROD)</f>
        <v>0</v>
      </c>
      <c r="AJ262" s="60" t="n">
        <f aca="false">IF(ISNUMBER(L262),L262,E262*P1_LOG+F262*P2_LOG+G262*P3_LOG)+IF(ISNUMBER(M262),M262,AA262*P1_LOG+AB262*P2_LOG+AC262*P3_LOG)*AQ262</f>
        <v>0</v>
      </c>
      <c r="AK262" s="60" t="n">
        <f aca="false">AG262*COSTE_DEV</f>
        <v>0</v>
      </c>
      <c r="AL262" s="60" t="n">
        <f aca="false">AD262*P1_IVAN+AE262*P2_IVAN+AF262*IF($A262&lt;P3_DESDE,P3A_IVAN,P3_IVAN)-AG262*IVA_DEV</f>
        <v>0</v>
      </c>
      <c r="AM262" s="60" t="n">
        <f aca="false">N262*(1+RECARGO_ADS)</f>
        <v>0</v>
      </c>
      <c r="AN262" s="58" t="n">
        <f aca="false">IF(ISNUMBER(L262),E262+F262+G262+AA262+AB262+AC262,0)</f>
        <v>0</v>
      </c>
      <c r="AO262" s="60" t="n">
        <f aca="false">P262*COMISION</f>
        <v>0</v>
      </c>
      <c r="AP262" s="58" t="n">
        <f aca="false">MIN(N(K262),Q262)</f>
        <v>0</v>
      </c>
      <c r="AQ262" s="61" t="n">
        <f aca="false">IF(Q262&gt;0,((Q262-AP262)*AT262+AP262*TASA_INC)/Q262,AT262)</f>
        <v>0.659887072235414</v>
      </c>
      <c r="AR262" s="58" t="n">
        <f aca="false">IF($A262&lt;FECHA_EXPORT,NETWORKDAYS($A262+1,FECHA_EXPORT,FESTIVOS),0)</f>
        <v>0</v>
      </c>
      <c r="AS262" s="61" t="n">
        <f aca="false">IF(AR262&gt;=5,1,INDEX(CDF_INC,1,AR262+1))</f>
        <v>0.14</v>
      </c>
      <c r="AT262" s="61" t="n">
        <f aca="false">TASA_USADA+(TASA_INC-TASA_USADA)*Q_INC*(1-AS262)/(1-Q_INC*AS262)</f>
        <v>0.659887072235414</v>
      </c>
    </row>
    <row r="263" customFormat="false" ht="15" hidden="false" customHeight="false" outlineLevel="0" collapsed="false">
      <c r="A263" s="53" t="n">
        <v>46557</v>
      </c>
      <c r="B263" s="54"/>
      <c r="C263" s="54"/>
      <c r="D263" s="54"/>
      <c r="E263" s="54"/>
      <c r="F263" s="54"/>
      <c r="G263" s="54"/>
      <c r="H263" s="54"/>
      <c r="I263" s="54"/>
      <c r="J263" s="54"/>
      <c r="K263" s="54"/>
      <c r="L263" s="55"/>
      <c r="M263" s="55"/>
      <c r="N263" s="55"/>
      <c r="O263" s="56"/>
      <c r="P263" s="31" t="n">
        <f aca="false">B263+C263+D263</f>
        <v>0</v>
      </c>
      <c r="Q263" s="31" t="n">
        <f aca="false">AA263+AB263+AC263</f>
        <v>0</v>
      </c>
      <c r="R263" s="32" t="n">
        <f aca="false">B263*P1_PVP+C263*P2_PVP+D263*IF($A263&lt;P3_DESDE,P3A_PVP,P3_PVP)</f>
        <v>0</v>
      </c>
      <c r="S263" s="32" t="str">
        <f aca="false">IF(P263&gt;0,R263/P263,"")</f>
        <v/>
      </c>
      <c r="T263" s="32" t="str">
        <f aca="false">IF(P263&gt;0,N263/P263,"")</f>
        <v/>
      </c>
      <c r="U263" s="57" t="str">
        <f aca="false">IF(N263&gt;0,R263/N263,"")</f>
        <v/>
      </c>
      <c r="V263" s="34" t="str">
        <f aca="false">IF(E263+F263+G263+H263+I263+J263&gt;0,(E263+F263+G263)/(E263+F263+G263+H263+I263+J263),"")</f>
        <v/>
      </c>
      <c r="W263" s="33" t="n">
        <f aca="false">E263*(P1_PVP-P1_CPROD)+F263*(P2_PVP-P2_CPROD)+G263*(IF($A263&lt;P3_DESDE,P3A_PVP,P3_PVP)-IF($A263&lt;P3_DESDE,P3A_CPROD,P3_CPROD))-IF(ISNUMBER(L263),L263,E263*P1_LOG+F263*P2_LOG+G263*P3_LOG)</f>
        <v>0</v>
      </c>
      <c r="X263" s="33" t="n">
        <f aca="false">W263-(E263*P1_IVAN+F263*P2_IVAN+G263*IF($A263&lt;P3_DESDE,P3A_IVAN,P3_IVAN))-(H263+I263+J263)*(COSTE_DEV-IVA_DEV)-AM263-AO263</f>
        <v>0</v>
      </c>
      <c r="Y263" s="33" t="n">
        <f aca="false">AH263-AI263-AJ263-AK263-AL263-AM263-AO263</f>
        <v>0</v>
      </c>
      <c r="AA263" s="58" t="n">
        <f aca="false">MAX(0,B263-E263-H263)</f>
        <v>0</v>
      </c>
      <c r="AB263" s="58" t="n">
        <f aca="false">MAX(0,C263-F263-I263)</f>
        <v>0</v>
      </c>
      <c r="AC263" s="58" t="n">
        <f aca="false">MAX(0,D263-G263-J263)</f>
        <v>0</v>
      </c>
      <c r="AD263" s="59" t="n">
        <f aca="false">E263+AA263*AQ263</f>
        <v>0</v>
      </c>
      <c r="AE263" s="59" t="n">
        <f aca="false">F263+AB263*AQ263</f>
        <v>0</v>
      </c>
      <c r="AF263" s="59" t="n">
        <f aca="false">G263+AC263*AQ263</f>
        <v>0</v>
      </c>
      <c r="AG263" s="59" t="n">
        <f aca="false">H263+I263+J263+(AA263+AB263+AC263)*(1-AQ263)</f>
        <v>0</v>
      </c>
      <c r="AH263" s="60" t="n">
        <f aca="false">AD263*P1_PVP+AE263*P2_PVP+AF263*IF($A263&lt;P3_DESDE,P3A_PVP,P3_PVP)</f>
        <v>0</v>
      </c>
      <c r="AI263" s="60" t="n">
        <f aca="false">AD263*P1_CPROD+AE263*P2_CPROD+AF263*IF($A263&lt;P3_DESDE,P3A_CPROD,P3_CPROD)</f>
        <v>0</v>
      </c>
      <c r="AJ263" s="60" t="n">
        <f aca="false">IF(ISNUMBER(L263),L263,E263*P1_LOG+F263*P2_LOG+G263*P3_LOG)+IF(ISNUMBER(M263),M263,AA263*P1_LOG+AB263*P2_LOG+AC263*P3_LOG)*AQ263</f>
        <v>0</v>
      </c>
      <c r="AK263" s="60" t="n">
        <f aca="false">AG263*COSTE_DEV</f>
        <v>0</v>
      </c>
      <c r="AL263" s="60" t="n">
        <f aca="false">AD263*P1_IVAN+AE263*P2_IVAN+AF263*IF($A263&lt;P3_DESDE,P3A_IVAN,P3_IVAN)-AG263*IVA_DEV</f>
        <v>0</v>
      </c>
      <c r="AM263" s="60" t="n">
        <f aca="false">N263*(1+RECARGO_ADS)</f>
        <v>0</v>
      </c>
      <c r="AN263" s="58" t="n">
        <f aca="false">IF(ISNUMBER(L263),E263+F263+G263+AA263+AB263+AC263,0)</f>
        <v>0</v>
      </c>
      <c r="AO263" s="60" t="n">
        <f aca="false">P263*COMISION</f>
        <v>0</v>
      </c>
      <c r="AP263" s="58" t="n">
        <f aca="false">MIN(N(K263),Q263)</f>
        <v>0</v>
      </c>
      <c r="AQ263" s="61" t="n">
        <f aca="false">IF(Q263&gt;0,((Q263-AP263)*AT263+AP263*TASA_INC)/Q263,AT263)</f>
        <v>0.659887072235414</v>
      </c>
      <c r="AR263" s="58" t="n">
        <f aca="false">IF($A263&lt;FECHA_EXPORT,NETWORKDAYS($A263+1,FECHA_EXPORT,FESTIVOS),0)</f>
        <v>0</v>
      </c>
      <c r="AS263" s="61" t="n">
        <f aca="false">IF(AR263&gt;=5,1,INDEX(CDF_INC,1,AR263+1))</f>
        <v>0.14</v>
      </c>
      <c r="AT263" s="61" t="n">
        <f aca="false">TASA_USADA+(TASA_INC-TASA_USADA)*Q_INC*(1-AS263)/(1-Q_INC*AS263)</f>
        <v>0.659887072235414</v>
      </c>
    </row>
    <row r="264" customFormat="false" ht="15" hidden="false" customHeight="false" outlineLevel="0" collapsed="false">
      <c r="A264" s="53" t="n">
        <v>46558</v>
      </c>
      <c r="B264" s="54"/>
      <c r="C264" s="54"/>
      <c r="D264" s="54"/>
      <c r="E264" s="54"/>
      <c r="F264" s="54"/>
      <c r="G264" s="54"/>
      <c r="H264" s="54"/>
      <c r="I264" s="54"/>
      <c r="J264" s="54"/>
      <c r="K264" s="54"/>
      <c r="L264" s="55"/>
      <c r="M264" s="55"/>
      <c r="N264" s="55"/>
      <c r="O264" s="56"/>
      <c r="P264" s="31" t="n">
        <f aca="false">B264+C264+D264</f>
        <v>0</v>
      </c>
      <c r="Q264" s="31" t="n">
        <f aca="false">AA264+AB264+AC264</f>
        <v>0</v>
      </c>
      <c r="R264" s="32" t="n">
        <f aca="false">B264*P1_PVP+C264*P2_PVP+D264*IF($A264&lt;P3_DESDE,P3A_PVP,P3_PVP)</f>
        <v>0</v>
      </c>
      <c r="S264" s="32" t="str">
        <f aca="false">IF(P264&gt;0,R264/P264,"")</f>
        <v/>
      </c>
      <c r="T264" s="32" t="str">
        <f aca="false">IF(P264&gt;0,N264/P264,"")</f>
        <v/>
      </c>
      <c r="U264" s="57" t="str">
        <f aca="false">IF(N264&gt;0,R264/N264,"")</f>
        <v/>
      </c>
      <c r="V264" s="34" t="str">
        <f aca="false">IF(E264+F264+G264+H264+I264+J264&gt;0,(E264+F264+G264)/(E264+F264+G264+H264+I264+J264),"")</f>
        <v/>
      </c>
      <c r="W264" s="33" t="n">
        <f aca="false">E264*(P1_PVP-P1_CPROD)+F264*(P2_PVP-P2_CPROD)+G264*(IF($A264&lt;P3_DESDE,P3A_PVP,P3_PVP)-IF($A264&lt;P3_DESDE,P3A_CPROD,P3_CPROD))-IF(ISNUMBER(L264),L264,E264*P1_LOG+F264*P2_LOG+G264*P3_LOG)</f>
        <v>0</v>
      </c>
      <c r="X264" s="33" t="n">
        <f aca="false">W264-(E264*P1_IVAN+F264*P2_IVAN+G264*IF($A264&lt;P3_DESDE,P3A_IVAN,P3_IVAN))-(H264+I264+J264)*(COSTE_DEV-IVA_DEV)-AM264-AO264</f>
        <v>0</v>
      </c>
      <c r="Y264" s="33" t="n">
        <f aca="false">AH264-AI264-AJ264-AK264-AL264-AM264-AO264</f>
        <v>0</v>
      </c>
      <c r="AA264" s="58" t="n">
        <f aca="false">MAX(0,B264-E264-H264)</f>
        <v>0</v>
      </c>
      <c r="AB264" s="58" t="n">
        <f aca="false">MAX(0,C264-F264-I264)</f>
        <v>0</v>
      </c>
      <c r="AC264" s="58" t="n">
        <f aca="false">MAX(0,D264-G264-J264)</f>
        <v>0</v>
      </c>
      <c r="AD264" s="59" t="n">
        <f aca="false">E264+AA264*AQ264</f>
        <v>0</v>
      </c>
      <c r="AE264" s="59" t="n">
        <f aca="false">F264+AB264*AQ264</f>
        <v>0</v>
      </c>
      <c r="AF264" s="59" t="n">
        <f aca="false">G264+AC264*AQ264</f>
        <v>0</v>
      </c>
      <c r="AG264" s="59" t="n">
        <f aca="false">H264+I264+J264+(AA264+AB264+AC264)*(1-AQ264)</f>
        <v>0</v>
      </c>
      <c r="AH264" s="60" t="n">
        <f aca="false">AD264*P1_PVP+AE264*P2_PVP+AF264*IF($A264&lt;P3_DESDE,P3A_PVP,P3_PVP)</f>
        <v>0</v>
      </c>
      <c r="AI264" s="60" t="n">
        <f aca="false">AD264*P1_CPROD+AE264*P2_CPROD+AF264*IF($A264&lt;P3_DESDE,P3A_CPROD,P3_CPROD)</f>
        <v>0</v>
      </c>
      <c r="AJ264" s="60" t="n">
        <f aca="false">IF(ISNUMBER(L264),L264,E264*P1_LOG+F264*P2_LOG+G264*P3_LOG)+IF(ISNUMBER(M264),M264,AA264*P1_LOG+AB264*P2_LOG+AC264*P3_LOG)*AQ264</f>
        <v>0</v>
      </c>
      <c r="AK264" s="60" t="n">
        <f aca="false">AG264*COSTE_DEV</f>
        <v>0</v>
      </c>
      <c r="AL264" s="60" t="n">
        <f aca="false">AD264*P1_IVAN+AE264*P2_IVAN+AF264*IF($A264&lt;P3_DESDE,P3A_IVAN,P3_IVAN)-AG264*IVA_DEV</f>
        <v>0</v>
      </c>
      <c r="AM264" s="60" t="n">
        <f aca="false">N264*(1+RECARGO_ADS)</f>
        <v>0</v>
      </c>
      <c r="AN264" s="58" t="n">
        <f aca="false">IF(ISNUMBER(L264),E264+F264+G264+AA264+AB264+AC264,0)</f>
        <v>0</v>
      </c>
      <c r="AO264" s="60" t="n">
        <f aca="false">P264*COMISION</f>
        <v>0</v>
      </c>
      <c r="AP264" s="58" t="n">
        <f aca="false">MIN(N(K264),Q264)</f>
        <v>0</v>
      </c>
      <c r="AQ264" s="61" t="n">
        <f aca="false">IF(Q264&gt;0,((Q264-AP264)*AT264+AP264*TASA_INC)/Q264,AT264)</f>
        <v>0.659887072235414</v>
      </c>
      <c r="AR264" s="58" t="n">
        <f aca="false">IF($A264&lt;FECHA_EXPORT,NETWORKDAYS($A264+1,FECHA_EXPORT,FESTIVOS),0)</f>
        <v>0</v>
      </c>
      <c r="AS264" s="61" t="n">
        <f aca="false">IF(AR264&gt;=5,1,INDEX(CDF_INC,1,AR264+1))</f>
        <v>0.14</v>
      </c>
      <c r="AT264" s="61" t="n">
        <f aca="false">TASA_USADA+(TASA_INC-TASA_USADA)*Q_INC*(1-AS264)/(1-Q_INC*AS264)</f>
        <v>0.659887072235414</v>
      </c>
    </row>
    <row r="265" customFormat="false" ht="15" hidden="false" customHeight="false" outlineLevel="0" collapsed="false">
      <c r="A265" s="53" t="n">
        <v>46559</v>
      </c>
      <c r="B265" s="54"/>
      <c r="C265" s="54"/>
      <c r="D265" s="54"/>
      <c r="E265" s="54"/>
      <c r="F265" s="54"/>
      <c r="G265" s="54"/>
      <c r="H265" s="54"/>
      <c r="I265" s="54"/>
      <c r="J265" s="54"/>
      <c r="K265" s="54"/>
      <c r="L265" s="55"/>
      <c r="M265" s="55"/>
      <c r="N265" s="55"/>
      <c r="O265" s="56"/>
      <c r="P265" s="31" t="n">
        <f aca="false">B265+C265+D265</f>
        <v>0</v>
      </c>
      <c r="Q265" s="31" t="n">
        <f aca="false">AA265+AB265+AC265</f>
        <v>0</v>
      </c>
      <c r="R265" s="32" t="n">
        <f aca="false">B265*P1_PVP+C265*P2_PVP+D265*IF($A265&lt;P3_DESDE,P3A_PVP,P3_PVP)</f>
        <v>0</v>
      </c>
      <c r="S265" s="32" t="str">
        <f aca="false">IF(P265&gt;0,R265/P265,"")</f>
        <v/>
      </c>
      <c r="T265" s="32" t="str">
        <f aca="false">IF(P265&gt;0,N265/P265,"")</f>
        <v/>
      </c>
      <c r="U265" s="57" t="str">
        <f aca="false">IF(N265&gt;0,R265/N265,"")</f>
        <v/>
      </c>
      <c r="V265" s="34" t="str">
        <f aca="false">IF(E265+F265+G265+H265+I265+J265&gt;0,(E265+F265+G265)/(E265+F265+G265+H265+I265+J265),"")</f>
        <v/>
      </c>
      <c r="W265" s="33" t="n">
        <f aca="false">E265*(P1_PVP-P1_CPROD)+F265*(P2_PVP-P2_CPROD)+G265*(IF($A265&lt;P3_DESDE,P3A_PVP,P3_PVP)-IF($A265&lt;P3_DESDE,P3A_CPROD,P3_CPROD))-IF(ISNUMBER(L265),L265,E265*P1_LOG+F265*P2_LOG+G265*P3_LOG)</f>
        <v>0</v>
      </c>
      <c r="X265" s="33" t="n">
        <f aca="false">W265-(E265*P1_IVAN+F265*P2_IVAN+G265*IF($A265&lt;P3_DESDE,P3A_IVAN,P3_IVAN))-(H265+I265+J265)*(COSTE_DEV-IVA_DEV)-AM265-AO265</f>
        <v>0</v>
      </c>
      <c r="Y265" s="33" t="n">
        <f aca="false">AH265-AI265-AJ265-AK265-AL265-AM265-AO265</f>
        <v>0</v>
      </c>
      <c r="AA265" s="58" t="n">
        <f aca="false">MAX(0,B265-E265-H265)</f>
        <v>0</v>
      </c>
      <c r="AB265" s="58" t="n">
        <f aca="false">MAX(0,C265-F265-I265)</f>
        <v>0</v>
      </c>
      <c r="AC265" s="58" t="n">
        <f aca="false">MAX(0,D265-G265-J265)</f>
        <v>0</v>
      </c>
      <c r="AD265" s="59" t="n">
        <f aca="false">E265+AA265*AQ265</f>
        <v>0</v>
      </c>
      <c r="AE265" s="59" t="n">
        <f aca="false">F265+AB265*AQ265</f>
        <v>0</v>
      </c>
      <c r="AF265" s="59" t="n">
        <f aca="false">G265+AC265*AQ265</f>
        <v>0</v>
      </c>
      <c r="AG265" s="59" t="n">
        <f aca="false">H265+I265+J265+(AA265+AB265+AC265)*(1-AQ265)</f>
        <v>0</v>
      </c>
      <c r="AH265" s="60" t="n">
        <f aca="false">AD265*P1_PVP+AE265*P2_PVP+AF265*IF($A265&lt;P3_DESDE,P3A_PVP,P3_PVP)</f>
        <v>0</v>
      </c>
      <c r="AI265" s="60" t="n">
        <f aca="false">AD265*P1_CPROD+AE265*P2_CPROD+AF265*IF($A265&lt;P3_DESDE,P3A_CPROD,P3_CPROD)</f>
        <v>0</v>
      </c>
      <c r="AJ265" s="60" t="n">
        <f aca="false">IF(ISNUMBER(L265),L265,E265*P1_LOG+F265*P2_LOG+G265*P3_LOG)+IF(ISNUMBER(M265),M265,AA265*P1_LOG+AB265*P2_LOG+AC265*P3_LOG)*AQ265</f>
        <v>0</v>
      </c>
      <c r="AK265" s="60" t="n">
        <f aca="false">AG265*COSTE_DEV</f>
        <v>0</v>
      </c>
      <c r="AL265" s="60" t="n">
        <f aca="false">AD265*P1_IVAN+AE265*P2_IVAN+AF265*IF($A265&lt;P3_DESDE,P3A_IVAN,P3_IVAN)-AG265*IVA_DEV</f>
        <v>0</v>
      </c>
      <c r="AM265" s="60" t="n">
        <f aca="false">N265*(1+RECARGO_ADS)</f>
        <v>0</v>
      </c>
      <c r="AN265" s="58" t="n">
        <f aca="false">IF(ISNUMBER(L265),E265+F265+G265+AA265+AB265+AC265,0)</f>
        <v>0</v>
      </c>
      <c r="AO265" s="60" t="n">
        <f aca="false">P265*COMISION</f>
        <v>0</v>
      </c>
      <c r="AP265" s="58" t="n">
        <f aca="false">MIN(N(K265),Q265)</f>
        <v>0</v>
      </c>
      <c r="AQ265" s="61" t="n">
        <f aca="false">IF(Q265&gt;0,((Q265-AP265)*AT265+AP265*TASA_INC)/Q265,AT265)</f>
        <v>0.659887072235414</v>
      </c>
      <c r="AR265" s="58" t="n">
        <f aca="false">IF($A265&lt;FECHA_EXPORT,NETWORKDAYS($A265+1,FECHA_EXPORT,FESTIVOS),0)</f>
        <v>0</v>
      </c>
      <c r="AS265" s="61" t="n">
        <f aca="false">IF(AR265&gt;=5,1,INDEX(CDF_INC,1,AR265+1))</f>
        <v>0.14</v>
      </c>
      <c r="AT265" s="61" t="n">
        <f aca="false">TASA_USADA+(TASA_INC-TASA_USADA)*Q_INC*(1-AS265)/(1-Q_INC*AS265)</f>
        <v>0.659887072235414</v>
      </c>
    </row>
    <row r="266" customFormat="false" ht="15" hidden="false" customHeight="false" outlineLevel="0" collapsed="false">
      <c r="A266" s="53" t="n">
        <v>46560</v>
      </c>
      <c r="B266" s="54"/>
      <c r="C266" s="54"/>
      <c r="D266" s="54"/>
      <c r="E266" s="54"/>
      <c r="F266" s="54"/>
      <c r="G266" s="54"/>
      <c r="H266" s="54"/>
      <c r="I266" s="54"/>
      <c r="J266" s="54"/>
      <c r="K266" s="54"/>
      <c r="L266" s="55"/>
      <c r="M266" s="55"/>
      <c r="N266" s="55"/>
      <c r="O266" s="56"/>
      <c r="P266" s="31" t="n">
        <f aca="false">B266+C266+D266</f>
        <v>0</v>
      </c>
      <c r="Q266" s="31" t="n">
        <f aca="false">AA266+AB266+AC266</f>
        <v>0</v>
      </c>
      <c r="R266" s="32" t="n">
        <f aca="false">B266*P1_PVP+C266*P2_PVP+D266*IF($A266&lt;P3_DESDE,P3A_PVP,P3_PVP)</f>
        <v>0</v>
      </c>
      <c r="S266" s="32" t="str">
        <f aca="false">IF(P266&gt;0,R266/P266,"")</f>
        <v/>
      </c>
      <c r="T266" s="32" t="str">
        <f aca="false">IF(P266&gt;0,N266/P266,"")</f>
        <v/>
      </c>
      <c r="U266" s="57" t="str">
        <f aca="false">IF(N266&gt;0,R266/N266,"")</f>
        <v/>
      </c>
      <c r="V266" s="34" t="str">
        <f aca="false">IF(E266+F266+G266+H266+I266+J266&gt;0,(E266+F266+G266)/(E266+F266+G266+H266+I266+J266),"")</f>
        <v/>
      </c>
      <c r="W266" s="33" t="n">
        <f aca="false">E266*(P1_PVP-P1_CPROD)+F266*(P2_PVP-P2_CPROD)+G266*(IF($A266&lt;P3_DESDE,P3A_PVP,P3_PVP)-IF($A266&lt;P3_DESDE,P3A_CPROD,P3_CPROD))-IF(ISNUMBER(L266),L266,E266*P1_LOG+F266*P2_LOG+G266*P3_LOG)</f>
        <v>0</v>
      </c>
      <c r="X266" s="33" t="n">
        <f aca="false">W266-(E266*P1_IVAN+F266*P2_IVAN+G266*IF($A266&lt;P3_DESDE,P3A_IVAN,P3_IVAN))-(H266+I266+J266)*(COSTE_DEV-IVA_DEV)-AM266-AO266</f>
        <v>0</v>
      </c>
      <c r="Y266" s="33" t="n">
        <f aca="false">AH266-AI266-AJ266-AK266-AL266-AM266-AO266</f>
        <v>0</v>
      </c>
      <c r="AA266" s="58" t="n">
        <f aca="false">MAX(0,B266-E266-H266)</f>
        <v>0</v>
      </c>
      <c r="AB266" s="58" t="n">
        <f aca="false">MAX(0,C266-F266-I266)</f>
        <v>0</v>
      </c>
      <c r="AC266" s="58" t="n">
        <f aca="false">MAX(0,D266-G266-J266)</f>
        <v>0</v>
      </c>
      <c r="AD266" s="59" t="n">
        <f aca="false">E266+AA266*AQ266</f>
        <v>0</v>
      </c>
      <c r="AE266" s="59" t="n">
        <f aca="false">F266+AB266*AQ266</f>
        <v>0</v>
      </c>
      <c r="AF266" s="59" t="n">
        <f aca="false">G266+AC266*AQ266</f>
        <v>0</v>
      </c>
      <c r="AG266" s="59" t="n">
        <f aca="false">H266+I266+J266+(AA266+AB266+AC266)*(1-AQ266)</f>
        <v>0</v>
      </c>
      <c r="AH266" s="60" t="n">
        <f aca="false">AD266*P1_PVP+AE266*P2_PVP+AF266*IF($A266&lt;P3_DESDE,P3A_PVP,P3_PVP)</f>
        <v>0</v>
      </c>
      <c r="AI266" s="60" t="n">
        <f aca="false">AD266*P1_CPROD+AE266*P2_CPROD+AF266*IF($A266&lt;P3_DESDE,P3A_CPROD,P3_CPROD)</f>
        <v>0</v>
      </c>
      <c r="AJ266" s="60" t="n">
        <f aca="false">IF(ISNUMBER(L266),L266,E266*P1_LOG+F266*P2_LOG+G266*P3_LOG)+IF(ISNUMBER(M266),M266,AA266*P1_LOG+AB266*P2_LOG+AC266*P3_LOG)*AQ266</f>
        <v>0</v>
      </c>
      <c r="AK266" s="60" t="n">
        <f aca="false">AG266*COSTE_DEV</f>
        <v>0</v>
      </c>
      <c r="AL266" s="60" t="n">
        <f aca="false">AD266*P1_IVAN+AE266*P2_IVAN+AF266*IF($A266&lt;P3_DESDE,P3A_IVAN,P3_IVAN)-AG266*IVA_DEV</f>
        <v>0</v>
      </c>
      <c r="AM266" s="60" t="n">
        <f aca="false">N266*(1+RECARGO_ADS)</f>
        <v>0</v>
      </c>
      <c r="AN266" s="58" t="n">
        <f aca="false">IF(ISNUMBER(L266),E266+F266+G266+AA266+AB266+AC266,0)</f>
        <v>0</v>
      </c>
      <c r="AO266" s="60" t="n">
        <f aca="false">P266*COMISION</f>
        <v>0</v>
      </c>
      <c r="AP266" s="58" t="n">
        <f aca="false">MIN(N(K266),Q266)</f>
        <v>0</v>
      </c>
      <c r="AQ266" s="61" t="n">
        <f aca="false">IF(Q266&gt;0,((Q266-AP266)*AT266+AP266*TASA_INC)/Q266,AT266)</f>
        <v>0.659887072235414</v>
      </c>
      <c r="AR266" s="58" t="n">
        <f aca="false">IF($A266&lt;FECHA_EXPORT,NETWORKDAYS($A266+1,FECHA_EXPORT,FESTIVOS),0)</f>
        <v>0</v>
      </c>
      <c r="AS266" s="61" t="n">
        <f aca="false">IF(AR266&gt;=5,1,INDEX(CDF_INC,1,AR266+1))</f>
        <v>0.14</v>
      </c>
      <c r="AT266" s="61" t="n">
        <f aca="false">TASA_USADA+(TASA_INC-TASA_USADA)*Q_INC*(1-AS266)/(1-Q_INC*AS266)</f>
        <v>0.659887072235414</v>
      </c>
    </row>
    <row r="267" customFormat="false" ht="15" hidden="false" customHeight="false" outlineLevel="0" collapsed="false">
      <c r="A267" s="53" t="n">
        <v>46561</v>
      </c>
      <c r="B267" s="54"/>
      <c r="C267" s="54"/>
      <c r="D267" s="54"/>
      <c r="E267" s="54"/>
      <c r="F267" s="54"/>
      <c r="G267" s="54"/>
      <c r="H267" s="54"/>
      <c r="I267" s="54"/>
      <c r="J267" s="54"/>
      <c r="K267" s="54"/>
      <c r="L267" s="55"/>
      <c r="M267" s="55"/>
      <c r="N267" s="55"/>
      <c r="O267" s="56"/>
      <c r="P267" s="31" t="n">
        <f aca="false">B267+C267+D267</f>
        <v>0</v>
      </c>
      <c r="Q267" s="31" t="n">
        <f aca="false">AA267+AB267+AC267</f>
        <v>0</v>
      </c>
      <c r="R267" s="32" t="n">
        <f aca="false">B267*P1_PVP+C267*P2_PVP+D267*IF($A267&lt;P3_DESDE,P3A_PVP,P3_PVP)</f>
        <v>0</v>
      </c>
      <c r="S267" s="32" t="str">
        <f aca="false">IF(P267&gt;0,R267/P267,"")</f>
        <v/>
      </c>
      <c r="T267" s="32" t="str">
        <f aca="false">IF(P267&gt;0,N267/P267,"")</f>
        <v/>
      </c>
      <c r="U267" s="57" t="str">
        <f aca="false">IF(N267&gt;0,R267/N267,"")</f>
        <v/>
      </c>
      <c r="V267" s="34" t="str">
        <f aca="false">IF(E267+F267+G267+H267+I267+J267&gt;0,(E267+F267+G267)/(E267+F267+G267+H267+I267+J267),"")</f>
        <v/>
      </c>
      <c r="W267" s="33" t="n">
        <f aca="false">E267*(P1_PVP-P1_CPROD)+F267*(P2_PVP-P2_CPROD)+G267*(IF($A267&lt;P3_DESDE,P3A_PVP,P3_PVP)-IF($A267&lt;P3_DESDE,P3A_CPROD,P3_CPROD))-IF(ISNUMBER(L267),L267,E267*P1_LOG+F267*P2_LOG+G267*P3_LOG)</f>
        <v>0</v>
      </c>
      <c r="X267" s="33" t="n">
        <f aca="false">W267-(E267*P1_IVAN+F267*P2_IVAN+G267*IF($A267&lt;P3_DESDE,P3A_IVAN,P3_IVAN))-(H267+I267+J267)*(COSTE_DEV-IVA_DEV)-AM267-AO267</f>
        <v>0</v>
      </c>
      <c r="Y267" s="33" t="n">
        <f aca="false">AH267-AI267-AJ267-AK267-AL267-AM267-AO267</f>
        <v>0</v>
      </c>
      <c r="AA267" s="58" t="n">
        <f aca="false">MAX(0,B267-E267-H267)</f>
        <v>0</v>
      </c>
      <c r="AB267" s="58" t="n">
        <f aca="false">MAX(0,C267-F267-I267)</f>
        <v>0</v>
      </c>
      <c r="AC267" s="58" t="n">
        <f aca="false">MAX(0,D267-G267-J267)</f>
        <v>0</v>
      </c>
      <c r="AD267" s="59" t="n">
        <f aca="false">E267+AA267*AQ267</f>
        <v>0</v>
      </c>
      <c r="AE267" s="59" t="n">
        <f aca="false">F267+AB267*AQ267</f>
        <v>0</v>
      </c>
      <c r="AF267" s="59" t="n">
        <f aca="false">G267+AC267*AQ267</f>
        <v>0</v>
      </c>
      <c r="AG267" s="59" t="n">
        <f aca="false">H267+I267+J267+(AA267+AB267+AC267)*(1-AQ267)</f>
        <v>0</v>
      </c>
      <c r="AH267" s="60" t="n">
        <f aca="false">AD267*P1_PVP+AE267*P2_PVP+AF267*IF($A267&lt;P3_DESDE,P3A_PVP,P3_PVP)</f>
        <v>0</v>
      </c>
      <c r="AI267" s="60" t="n">
        <f aca="false">AD267*P1_CPROD+AE267*P2_CPROD+AF267*IF($A267&lt;P3_DESDE,P3A_CPROD,P3_CPROD)</f>
        <v>0</v>
      </c>
      <c r="AJ267" s="60" t="n">
        <f aca="false">IF(ISNUMBER(L267),L267,E267*P1_LOG+F267*P2_LOG+G267*P3_LOG)+IF(ISNUMBER(M267),M267,AA267*P1_LOG+AB267*P2_LOG+AC267*P3_LOG)*AQ267</f>
        <v>0</v>
      </c>
      <c r="AK267" s="60" t="n">
        <f aca="false">AG267*COSTE_DEV</f>
        <v>0</v>
      </c>
      <c r="AL267" s="60" t="n">
        <f aca="false">AD267*P1_IVAN+AE267*P2_IVAN+AF267*IF($A267&lt;P3_DESDE,P3A_IVAN,P3_IVAN)-AG267*IVA_DEV</f>
        <v>0</v>
      </c>
      <c r="AM267" s="60" t="n">
        <f aca="false">N267*(1+RECARGO_ADS)</f>
        <v>0</v>
      </c>
      <c r="AN267" s="58" t="n">
        <f aca="false">IF(ISNUMBER(L267),E267+F267+G267+AA267+AB267+AC267,0)</f>
        <v>0</v>
      </c>
      <c r="AO267" s="60" t="n">
        <f aca="false">P267*COMISION</f>
        <v>0</v>
      </c>
      <c r="AP267" s="58" t="n">
        <f aca="false">MIN(N(K267),Q267)</f>
        <v>0</v>
      </c>
      <c r="AQ267" s="61" t="n">
        <f aca="false">IF(Q267&gt;0,((Q267-AP267)*AT267+AP267*TASA_INC)/Q267,AT267)</f>
        <v>0.659887072235414</v>
      </c>
      <c r="AR267" s="58" t="n">
        <f aca="false">IF($A267&lt;FECHA_EXPORT,NETWORKDAYS($A267+1,FECHA_EXPORT,FESTIVOS),0)</f>
        <v>0</v>
      </c>
      <c r="AS267" s="61" t="n">
        <f aca="false">IF(AR267&gt;=5,1,INDEX(CDF_INC,1,AR267+1))</f>
        <v>0.14</v>
      </c>
      <c r="AT267" s="61" t="n">
        <f aca="false">TASA_USADA+(TASA_INC-TASA_USADA)*Q_INC*(1-AS267)/(1-Q_INC*AS267)</f>
        <v>0.659887072235414</v>
      </c>
    </row>
    <row r="268" customFormat="false" ht="15" hidden="false" customHeight="false" outlineLevel="0" collapsed="false">
      <c r="A268" s="53" t="n">
        <v>46562</v>
      </c>
      <c r="B268" s="54"/>
      <c r="C268" s="54"/>
      <c r="D268" s="54"/>
      <c r="E268" s="54"/>
      <c r="F268" s="54"/>
      <c r="G268" s="54"/>
      <c r="H268" s="54"/>
      <c r="I268" s="54"/>
      <c r="J268" s="54"/>
      <c r="K268" s="54"/>
      <c r="L268" s="55"/>
      <c r="M268" s="55"/>
      <c r="N268" s="55"/>
      <c r="O268" s="56"/>
      <c r="P268" s="31" t="n">
        <f aca="false">B268+C268+D268</f>
        <v>0</v>
      </c>
      <c r="Q268" s="31" t="n">
        <f aca="false">AA268+AB268+AC268</f>
        <v>0</v>
      </c>
      <c r="R268" s="32" t="n">
        <f aca="false">B268*P1_PVP+C268*P2_PVP+D268*IF($A268&lt;P3_DESDE,P3A_PVP,P3_PVP)</f>
        <v>0</v>
      </c>
      <c r="S268" s="32" t="str">
        <f aca="false">IF(P268&gt;0,R268/P268,"")</f>
        <v/>
      </c>
      <c r="T268" s="32" t="str">
        <f aca="false">IF(P268&gt;0,N268/P268,"")</f>
        <v/>
      </c>
      <c r="U268" s="57" t="str">
        <f aca="false">IF(N268&gt;0,R268/N268,"")</f>
        <v/>
      </c>
      <c r="V268" s="34" t="str">
        <f aca="false">IF(E268+F268+G268+H268+I268+J268&gt;0,(E268+F268+G268)/(E268+F268+G268+H268+I268+J268),"")</f>
        <v/>
      </c>
      <c r="W268" s="33" t="n">
        <f aca="false">E268*(P1_PVP-P1_CPROD)+F268*(P2_PVP-P2_CPROD)+G268*(IF($A268&lt;P3_DESDE,P3A_PVP,P3_PVP)-IF($A268&lt;P3_DESDE,P3A_CPROD,P3_CPROD))-IF(ISNUMBER(L268),L268,E268*P1_LOG+F268*P2_LOG+G268*P3_LOG)</f>
        <v>0</v>
      </c>
      <c r="X268" s="33" t="n">
        <f aca="false">W268-(E268*P1_IVAN+F268*P2_IVAN+G268*IF($A268&lt;P3_DESDE,P3A_IVAN,P3_IVAN))-(H268+I268+J268)*(COSTE_DEV-IVA_DEV)-AM268-AO268</f>
        <v>0</v>
      </c>
      <c r="Y268" s="33" t="n">
        <f aca="false">AH268-AI268-AJ268-AK268-AL268-AM268-AO268</f>
        <v>0</v>
      </c>
      <c r="AA268" s="58" t="n">
        <f aca="false">MAX(0,B268-E268-H268)</f>
        <v>0</v>
      </c>
      <c r="AB268" s="58" t="n">
        <f aca="false">MAX(0,C268-F268-I268)</f>
        <v>0</v>
      </c>
      <c r="AC268" s="58" t="n">
        <f aca="false">MAX(0,D268-G268-J268)</f>
        <v>0</v>
      </c>
      <c r="AD268" s="59" t="n">
        <f aca="false">E268+AA268*AQ268</f>
        <v>0</v>
      </c>
      <c r="AE268" s="59" t="n">
        <f aca="false">F268+AB268*AQ268</f>
        <v>0</v>
      </c>
      <c r="AF268" s="59" t="n">
        <f aca="false">G268+AC268*AQ268</f>
        <v>0</v>
      </c>
      <c r="AG268" s="59" t="n">
        <f aca="false">H268+I268+J268+(AA268+AB268+AC268)*(1-AQ268)</f>
        <v>0</v>
      </c>
      <c r="AH268" s="60" t="n">
        <f aca="false">AD268*P1_PVP+AE268*P2_PVP+AF268*IF($A268&lt;P3_DESDE,P3A_PVP,P3_PVP)</f>
        <v>0</v>
      </c>
      <c r="AI268" s="60" t="n">
        <f aca="false">AD268*P1_CPROD+AE268*P2_CPROD+AF268*IF($A268&lt;P3_DESDE,P3A_CPROD,P3_CPROD)</f>
        <v>0</v>
      </c>
      <c r="AJ268" s="60" t="n">
        <f aca="false">IF(ISNUMBER(L268),L268,E268*P1_LOG+F268*P2_LOG+G268*P3_LOG)+IF(ISNUMBER(M268),M268,AA268*P1_LOG+AB268*P2_LOG+AC268*P3_LOG)*AQ268</f>
        <v>0</v>
      </c>
      <c r="AK268" s="60" t="n">
        <f aca="false">AG268*COSTE_DEV</f>
        <v>0</v>
      </c>
      <c r="AL268" s="60" t="n">
        <f aca="false">AD268*P1_IVAN+AE268*P2_IVAN+AF268*IF($A268&lt;P3_DESDE,P3A_IVAN,P3_IVAN)-AG268*IVA_DEV</f>
        <v>0</v>
      </c>
      <c r="AM268" s="60" t="n">
        <f aca="false">N268*(1+RECARGO_ADS)</f>
        <v>0</v>
      </c>
      <c r="AN268" s="58" t="n">
        <f aca="false">IF(ISNUMBER(L268),E268+F268+G268+AA268+AB268+AC268,0)</f>
        <v>0</v>
      </c>
      <c r="AO268" s="60" t="n">
        <f aca="false">P268*COMISION</f>
        <v>0</v>
      </c>
      <c r="AP268" s="58" t="n">
        <f aca="false">MIN(N(K268),Q268)</f>
        <v>0</v>
      </c>
      <c r="AQ268" s="61" t="n">
        <f aca="false">IF(Q268&gt;0,((Q268-AP268)*AT268+AP268*TASA_INC)/Q268,AT268)</f>
        <v>0.659887072235414</v>
      </c>
      <c r="AR268" s="58" t="n">
        <f aca="false">IF($A268&lt;FECHA_EXPORT,NETWORKDAYS($A268+1,FECHA_EXPORT,FESTIVOS),0)</f>
        <v>0</v>
      </c>
      <c r="AS268" s="61" t="n">
        <f aca="false">IF(AR268&gt;=5,1,INDEX(CDF_INC,1,AR268+1))</f>
        <v>0.14</v>
      </c>
      <c r="AT268" s="61" t="n">
        <f aca="false">TASA_USADA+(TASA_INC-TASA_USADA)*Q_INC*(1-AS268)/(1-Q_INC*AS268)</f>
        <v>0.659887072235414</v>
      </c>
    </row>
    <row r="269" customFormat="false" ht="15" hidden="false" customHeight="false" outlineLevel="0" collapsed="false">
      <c r="A269" s="53" t="n">
        <v>46563</v>
      </c>
      <c r="B269" s="54"/>
      <c r="C269" s="54"/>
      <c r="D269" s="54"/>
      <c r="E269" s="54"/>
      <c r="F269" s="54"/>
      <c r="G269" s="54"/>
      <c r="H269" s="54"/>
      <c r="I269" s="54"/>
      <c r="J269" s="54"/>
      <c r="K269" s="54"/>
      <c r="L269" s="55"/>
      <c r="M269" s="55"/>
      <c r="N269" s="55"/>
      <c r="O269" s="56"/>
      <c r="P269" s="31" t="n">
        <f aca="false">B269+C269+D269</f>
        <v>0</v>
      </c>
      <c r="Q269" s="31" t="n">
        <f aca="false">AA269+AB269+AC269</f>
        <v>0</v>
      </c>
      <c r="R269" s="32" t="n">
        <f aca="false">B269*P1_PVP+C269*P2_PVP+D269*IF($A269&lt;P3_DESDE,P3A_PVP,P3_PVP)</f>
        <v>0</v>
      </c>
      <c r="S269" s="32" t="str">
        <f aca="false">IF(P269&gt;0,R269/P269,"")</f>
        <v/>
      </c>
      <c r="T269" s="32" t="str">
        <f aca="false">IF(P269&gt;0,N269/P269,"")</f>
        <v/>
      </c>
      <c r="U269" s="57" t="str">
        <f aca="false">IF(N269&gt;0,R269/N269,"")</f>
        <v/>
      </c>
      <c r="V269" s="34" t="str">
        <f aca="false">IF(E269+F269+G269+H269+I269+J269&gt;0,(E269+F269+G269)/(E269+F269+G269+H269+I269+J269),"")</f>
        <v/>
      </c>
      <c r="W269" s="33" t="n">
        <f aca="false">E269*(P1_PVP-P1_CPROD)+F269*(P2_PVP-P2_CPROD)+G269*(IF($A269&lt;P3_DESDE,P3A_PVP,P3_PVP)-IF($A269&lt;P3_DESDE,P3A_CPROD,P3_CPROD))-IF(ISNUMBER(L269),L269,E269*P1_LOG+F269*P2_LOG+G269*P3_LOG)</f>
        <v>0</v>
      </c>
      <c r="X269" s="33" t="n">
        <f aca="false">W269-(E269*P1_IVAN+F269*P2_IVAN+G269*IF($A269&lt;P3_DESDE,P3A_IVAN,P3_IVAN))-(H269+I269+J269)*(COSTE_DEV-IVA_DEV)-AM269-AO269</f>
        <v>0</v>
      </c>
      <c r="Y269" s="33" t="n">
        <f aca="false">AH269-AI269-AJ269-AK269-AL269-AM269-AO269</f>
        <v>0</v>
      </c>
      <c r="AA269" s="58" t="n">
        <f aca="false">MAX(0,B269-E269-H269)</f>
        <v>0</v>
      </c>
      <c r="AB269" s="58" t="n">
        <f aca="false">MAX(0,C269-F269-I269)</f>
        <v>0</v>
      </c>
      <c r="AC269" s="58" t="n">
        <f aca="false">MAX(0,D269-G269-J269)</f>
        <v>0</v>
      </c>
      <c r="AD269" s="59" t="n">
        <f aca="false">E269+AA269*AQ269</f>
        <v>0</v>
      </c>
      <c r="AE269" s="59" t="n">
        <f aca="false">F269+AB269*AQ269</f>
        <v>0</v>
      </c>
      <c r="AF269" s="59" t="n">
        <f aca="false">G269+AC269*AQ269</f>
        <v>0</v>
      </c>
      <c r="AG269" s="59" t="n">
        <f aca="false">H269+I269+J269+(AA269+AB269+AC269)*(1-AQ269)</f>
        <v>0</v>
      </c>
      <c r="AH269" s="60" t="n">
        <f aca="false">AD269*P1_PVP+AE269*P2_PVP+AF269*IF($A269&lt;P3_DESDE,P3A_PVP,P3_PVP)</f>
        <v>0</v>
      </c>
      <c r="AI269" s="60" t="n">
        <f aca="false">AD269*P1_CPROD+AE269*P2_CPROD+AF269*IF($A269&lt;P3_DESDE,P3A_CPROD,P3_CPROD)</f>
        <v>0</v>
      </c>
      <c r="AJ269" s="60" t="n">
        <f aca="false">IF(ISNUMBER(L269),L269,E269*P1_LOG+F269*P2_LOG+G269*P3_LOG)+IF(ISNUMBER(M269),M269,AA269*P1_LOG+AB269*P2_LOG+AC269*P3_LOG)*AQ269</f>
        <v>0</v>
      </c>
      <c r="AK269" s="60" t="n">
        <f aca="false">AG269*COSTE_DEV</f>
        <v>0</v>
      </c>
      <c r="AL269" s="60" t="n">
        <f aca="false">AD269*P1_IVAN+AE269*P2_IVAN+AF269*IF($A269&lt;P3_DESDE,P3A_IVAN,P3_IVAN)-AG269*IVA_DEV</f>
        <v>0</v>
      </c>
      <c r="AM269" s="60" t="n">
        <f aca="false">N269*(1+RECARGO_ADS)</f>
        <v>0</v>
      </c>
      <c r="AN269" s="58" t="n">
        <f aca="false">IF(ISNUMBER(L269),E269+F269+G269+AA269+AB269+AC269,0)</f>
        <v>0</v>
      </c>
      <c r="AO269" s="60" t="n">
        <f aca="false">P269*COMISION</f>
        <v>0</v>
      </c>
      <c r="AP269" s="58" t="n">
        <f aca="false">MIN(N(K269),Q269)</f>
        <v>0</v>
      </c>
      <c r="AQ269" s="61" t="n">
        <f aca="false">IF(Q269&gt;0,((Q269-AP269)*AT269+AP269*TASA_INC)/Q269,AT269)</f>
        <v>0.659887072235414</v>
      </c>
      <c r="AR269" s="58" t="n">
        <f aca="false">IF($A269&lt;FECHA_EXPORT,NETWORKDAYS($A269+1,FECHA_EXPORT,FESTIVOS),0)</f>
        <v>0</v>
      </c>
      <c r="AS269" s="61" t="n">
        <f aca="false">IF(AR269&gt;=5,1,INDEX(CDF_INC,1,AR269+1))</f>
        <v>0.14</v>
      </c>
      <c r="AT269" s="61" t="n">
        <f aca="false">TASA_USADA+(TASA_INC-TASA_USADA)*Q_INC*(1-AS269)/(1-Q_INC*AS269)</f>
        <v>0.659887072235414</v>
      </c>
    </row>
    <row r="270" customFormat="false" ht="15" hidden="false" customHeight="false" outlineLevel="0" collapsed="false">
      <c r="A270" s="53" t="n">
        <v>46564</v>
      </c>
      <c r="B270" s="54"/>
      <c r="C270" s="54"/>
      <c r="D270" s="54"/>
      <c r="E270" s="54"/>
      <c r="F270" s="54"/>
      <c r="G270" s="54"/>
      <c r="H270" s="54"/>
      <c r="I270" s="54"/>
      <c r="J270" s="54"/>
      <c r="K270" s="54"/>
      <c r="L270" s="55"/>
      <c r="M270" s="55"/>
      <c r="N270" s="55"/>
      <c r="O270" s="56"/>
      <c r="P270" s="31" t="n">
        <f aca="false">B270+C270+D270</f>
        <v>0</v>
      </c>
      <c r="Q270" s="31" t="n">
        <f aca="false">AA270+AB270+AC270</f>
        <v>0</v>
      </c>
      <c r="R270" s="32" t="n">
        <f aca="false">B270*P1_PVP+C270*P2_PVP+D270*IF($A270&lt;P3_DESDE,P3A_PVP,P3_PVP)</f>
        <v>0</v>
      </c>
      <c r="S270" s="32" t="str">
        <f aca="false">IF(P270&gt;0,R270/P270,"")</f>
        <v/>
      </c>
      <c r="T270" s="32" t="str">
        <f aca="false">IF(P270&gt;0,N270/P270,"")</f>
        <v/>
      </c>
      <c r="U270" s="57" t="str">
        <f aca="false">IF(N270&gt;0,R270/N270,"")</f>
        <v/>
      </c>
      <c r="V270" s="34" t="str">
        <f aca="false">IF(E270+F270+G270+H270+I270+J270&gt;0,(E270+F270+G270)/(E270+F270+G270+H270+I270+J270),"")</f>
        <v/>
      </c>
      <c r="W270" s="33" t="n">
        <f aca="false">E270*(P1_PVP-P1_CPROD)+F270*(P2_PVP-P2_CPROD)+G270*(IF($A270&lt;P3_DESDE,P3A_PVP,P3_PVP)-IF($A270&lt;P3_DESDE,P3A_CPROD,P3_CPROD))-IF(ISNUMBER(L270),L270,E270*P1_LOG+F270*P2_LOG+G270*P3_LOG)</f>
        <v>0</v>
      </c>
      <c r="X270" s="33" t="n">
        <f aca="false">W270-(E270*P1_IVAN+F270*P2_IVAN+G270*IF($A270&lt;P3_DESDE,P3A_IVAN,P3_IVAN))-(H270+I270+J270)*(COSTE_DEV-IVA_DEV)-AM270-AO270</f>
        <v>0</v>
      </c>
      <c r="Y270" s="33" t="n">
        <f aca="false">AH270-AI270-AJ270-AK270-AL270-AM270-AO270</f>
        <v>0</v>
      </c>
      <c r="AA270" s="58" t="n">
        <f aca="false">MAX(0,B270-E270-H270)</f>
        <v>0</v>
      </c>
      <c r="AB270" s="58" t="n">
        <f aca="false">MAX(0,C270-F270-I270)</f>
        <v>0</v>
      </c>
      <c r="AC270" s="58" t="n">
        <f aca="false">MAX(0,D270-G270-J270)</f>
        <v>0</v>
      </c>
      <c r="AD270" s="59" t="n">
        <f aca="false">E270+AA270*AQ270</f>
        <v>0</v>
      </c>
      <c r="AE270" s="59" t="n">
        <f aca="false">F270+AB270*AQ270</f>
        <v>0</v>
      </c>
      <c r="AF270" s="59" t="n">
        <f aca="false">G270+AC270*AQ270</f>
        <v>0</v>
      </c>
      <c r="AG270" s="59" t="n">
        <f aca="false">H270+I270+J270+(AA270+AB270+AC270)*(1-AQ270)</f>
        <v>0</v>
      </c>
      <c r="AH270" s="60" t="n">
        <f aca="false">AD270*P1_PVP+AE270*P2_PVP+AF270*IF($A270&lt;P3_DESDE,P3A_PVP,P3_PVP)</f>
        <v>0</v>
      </c>
      <c r="AI270" s="60" t="n">
        <f aca="false">AD270*P1_CPROD+AE270*P2_CPROD+AF270*IF($A270&lt;P3_DESDE,P3A_CPROD,P3_CPROD)</f>
        <v>0</v>
      </c>
      <c r="AJ270" s="60" t="n">
        <f aca="false">IF(ISNUMBER(L270),L270,E270*P1_LOG+F270*P2_LOG+G270*P3_LOG)+IF(ISNUMBER(M270),M270,AA270*P1_LOG+AB270*P2_LOG+AC270*P3_LOG)*AQ270</f>
        <v>0</v>
      </c>
      <c r="AK270" s="60" t="n">
        <f aca="false">AG270*COSTE_DEV</f>
        <v>0</v>
      </c>
      <c r="AL270" s="60" t="n">
        <f aca="false">AD270*P1_IVAN+AE270*P2_IVAN+AF270*IF($A270&lt;P3_DESDE,P3A_IVAN,P3_IVAN)-AG270*IVA_DEV</f>
        <v>0</v>
      </c>
      <c r="AM270" s="60" t="n">
        <f aca="false">N270*(1+RECARGO_ADS)</f>
        <v>0</v>
      </c>
      <c r="AN270" s="58" t="n">
        <f aca="false">IF(ISNUMBER(L270),E270+F270+G270+AA270+AB270+AC270,0)</f>
        <v>0</v>
      </c>
      <c r="AO270" s="60" t="n">
        <f aca="false">P270*COMISION</f>
        <v>0</v>
      </c>
      <c r="AP270" s="58" t="n">
        <f aca="false">MIN(N(K270),Q270)</f>
        <v>0</v>
      </c>
      <c r="AQ270" s="61" t="n">
        <f aca="false">IF(Q270&gt;0,((Q270-AP270)*AT270+AP270*TASA_INC)/Q270,AT270)</f>
        <v>0.659887072235414</v>
      </c>
      <c r="AR270" s="58" t="n">
        <f aca="false">IF($A270&lt;FECHA_EXPORT,NETWORKDAYS($A270+1,FECHA_EXPORT,FESTIVOS),0)</f>
        <v>0</v>
      </c>
      <c r="AS270" s="61" t="n">
        <f aca="false">IF(AR270&gt;=5,1,INDEX(CDF_INC,1,AR270+1))</f>
        <v>0.14</v>
      </c>
      <c r="AT270" s="61" t="n">
        <f aca="false">TASA_USADA+(TASA_INC-TASA_USADA)*Q_INC*(1-AS270)/(1-Q_INC*AS270)</f>
        <v>0.659887072235414</v>
      </c>
    </row>
    <row r="271" customFormat="false" ht="15" hidden="false" customHeight="false" outlineLevel="0" collapsed="false">
      <c r="A271" s="53" t="n">
        <v>46565</v>
      </c>
      <c r="B271" s="54"/>
      <c r="C271" s="54"/>
      <c r="D271" s="54"/>
      <c r="E271" s="54"/>
      <c r="F271" s="54"/>
      <c r="G271" s="54"/>
      <c r="H271" s="54"/>
      <c r="I271" s="54"/>
      <c r="J271" s="54"/>
      <c r="K271" s="54"/>
      <c r="L271" s="55"/>
      <c r="M271" s="55"/>
      <c r="N271" s="55"/>
      <c r="O271" s="56"/>
      <c r="P271" s="31" t="n">
        <f aca="false">B271+C271+D271</f>
        <v>0</v>
      </c>
      <c r="Q271" s="31" t="n">
        <f aca="false">AA271+AB271+AC271</f>
        <v>0</v>
      </c>
      <c r="R271" s="32" t="n">
        <f aca="false">B271*P1_PVP+C271*P2_PVP+D271*IF($A271&lt;P3_DESDE,P3A_PVP,P3_PVP)</f>
        <v>0</v>
      </c>
      <c r="S271" s="32" t="str">
        <f aca="false">IF(P271&gt;0,R271/P271,"")</f>
        <v/>
      </c>
      <c r="T271" s="32" t="str">
        <f aca="false">IF(P271&gt;0,N271/P271,"")</f>
        <v/>
      </c>
      <c r="U271" s="57" t="str">
        <f aca="false">IF(N271&gt;0,R271/N271,"")</f>
        <v/>
      </c>
      <c r="V271" s="34" t="str">
        <f aca="false">IF(E271+F271+G271+H271+I271+J271&gt;0,(E271+F271+G271)/(E271+F271+G271+H271+I271+J271),"")</f>
        <v/>
      </c>
      <c r="W271" s="33" t="n">
        <f aca="false">E271*(P1_PVP-P1_CPROD)+F271*(P2_PVP-P2_CPROD)+G271*(IF($A271&lt;P3_DESDE,P3A_PVP,P3_PVP)-IF($A271&lt;P3_DESDE,P3A_CPROD,P3_CPROD))-IF(ISNUMBER(L271),L271,E271*P1_LOG+F271*P2_LOG+G271*P3_LOG)</f>
        <v>0</v>
      </c>
      <c r="X271" s="33" t="n">
        <f aca="false">W271-(E271*P1_IVAN+F271*P2_IVAN+G271*IF($A271&lt;P3_DESDE,P3A_IVAN,P3_IVAN))-(H271+I271+J271)*(COSTE_DEV-IVA_DEV)-AM271-AO271</f>
        <v>0</v>
      </c>
      <c r="Y271" s="33" t="n">
        <f aca="false">AH271-AI271-AJ271-AK271-AL271-AM271-AO271</f>
        <v>0</v>
      </c>
      <c r="AA271" s="58" t="n">
        <f aca="false">MAX(0,B271-E271-H271)</f>
        <v>0</v>
      </c>
      <c r="AB271" s="58" t="n">
        <f aca="false">MAX(0,C271-F271-I271)</f>
        <v>0</v>
      </c>
      <c r="AC271" s="58" t="n">
        <f aca="false">MAX(0,D271-G271-J271)</f>
        <v>0</v>
      </c>
      <c r="AD271" s="59" t="n">
        <f aca="false">E271+AA271*AQ271</f>
        <v>0</v>
      </c>
      <c r="AE271" s="59" t="n">
        <f aca="false">F271+AB271*AQ271</f>
        <v>0</v>
      </c>
      <c r="AF271" s="59" t="n">
        <f aca="false">G271+AC271*AQ271</f>
        <v>0</v>
      </c>
      <c r="AG271" s="59" t="n">
        <f aca="false">H271+I271+J271+(AA271+AB271+AC271)*(1-AQ271)</f>
        <v>0</v>
      </c>
      <c r="AH271" s="60" t="n">
        <f aca="false">AD271*P1_PVP+AE271*P2_PVP+AF271*IF($A271&lt;P3_DESDE,P3A_PVP,P3_PVP)</f>
        <v>0</v>
      </c>
      <c r="AI271" s="60" t="n">
        <f aca="false">AD271*P1_CPROD+AE271*P2_CPROD+AF271*IF($A271&lt;P3_DESDE,P3A_CPROD,P3_CPROD)</f>
        <v>0</v>
      </c>
      <c r="AJ271" s="60" t="n">
        <f aca="false">IF(ISNUMBER(L271),L271,E271*P1_LOG+F271*P2_LOG+G271*P3_LOG)+IF(ISNUMBER(M271),M271,AA271*P1_LOG+AB271*P2_LOG+AC271*P3_LOG)*AQ271</f>
        <v>0</v>
      </c>
      <c r="AK271" s="60" t="n">
        <f aca="false">AG271*COSTE_DEV</f>
        <v>0</v>
      </c>
      <c r="AL271" s="60" t="n">
        <f aca="false">AD271*P1_IVAN+AE271*P2_IVAN+AF271*IF($A271&lt;P3_DESDE,P3A_IVAN,P3_IVAN)-AG271*IVA_DEV</f>
        <v>0</v>
      </c>
      <c r="AM271" s="60" t="n">
        <f aca="false">N271*(1+RECARGO_ADS)</f>
        <v>0</v>
      </c>
      <c r="AN271" s="58" t="n">
        <f aca="false">IF(ISNUMBER(L271),E271+F271+G271+AA271+AB271+AC271,0)</f>
        <v>0</v>
      </c>
      <c r="AO271" s="60" t="n">
        <f aca="false">P271*COMISION</f>
        <v>0</v>
      </c>
      <c r="AP271" s="58" t="n">
        <f aca="false">MIN(N(K271),Q271)</f>
        <v>0</v>
      </c>
      <c r="AQ271" s="61" t="n">
        <f aca="false">IF(Q271&gt;0,((Q271-AP271)*AT271+AP271*TASA_INC)/Q271,AT271)</f>
        <v>0.659887072235414</v>
      </c>
      <c r="AR271" s="58" t="n">
        <f aca="false">IF($A271&lt;FECHA_EXPORT,NETWORKDAYS($A271+1,FECHA_EXPORT,FESTIVOS),0)</f>
        <v>0</v>
      </c>
      <c r="AS271" s="61" t="n">
        <f aca="false">IF(AR271&gt;=5,1,INDEX(CDF_INC,1,AR271+1))</f>
        <v>0.14</v>
      </c>
      <c r="AT271" s="61" t="n">
        <f aca="false">TASA_USADA+(TASA_INC-TASA_USADA)*Q_INC*(1-AS271)/(1-Q_INC*AS271)</f>
        <v>0.659887072235414</v>
      </c>
    </row>
    <row r="272" customFormat="false" ht="15" hidden="false" customHeight="false" outlineLevel="0" collapsed="false">
      <c r="A272" s="53" t="n">
        <v>46566</v>
      </c>
      <c r="B272" s="54"/>
      <c r="C272" s="54"/>
      <c r="D272" s="54"/>
      <c r="E272" s="54"/>
      <c r="F272" s="54"/>
      <c r="G272" s="54"/>
      <c r="H272" s="54"/>
      <c r="I272" s="54"/>
      <c r="J272" s="54"/>
      <c r="K272" s="54"/>
      <c r="L272" s="55"/>
      <c r="M272" s="55"/>
      <c r="N272" s="55"/>
      <c r="O272" s="56"/>
      <c r="P272" s="31" t="n">
        <f aca="false">B272+C272+D272</f>
        <v>0</v>
      </c>
      <c r="Q272" s="31" t="n">
        <f aca="false">AA272+AB272+AC272</f>
        <v>0</v>
      </c>
      <c r="R272" s="32" t="n">
        <f aca="false">B272*P1_PVP+C272*P2_PVP+D272*IF($A272&lt;P3_DESDE,P3A_PVP,P3_PVP)</f>
        <v>0</v>
      </c>
      <c r="S272" s="32" t="str">
        <f aca="false">IF(P272&gt;0,R272/P272,"")</f>
        <v/>
      </c>
      <c r="T272" s="32" t="str">
        <f aca="false">IF(P272&gt;0,N272/P272,"")</f>
        <v/>
      </c>
      <c r="U272" s="57" t="str">
        <f aca="false">IF(N272&gt;0,R272/N272,"")</f>
        <v/>
      </c>
      <c r="V272" s="34" t="str">
        <f aca="false">IF(E272+F272+G272+H272+I272+J272&gt;0,(E272+F272+G272)/(E272+F272+G272+H272+I272+J272),"")</f>
        <v/>
      </c>
      <c r="W272" s="33" t="n">
        <f aca="false">E272*(P1_PVP-P1_CPROD)+F272*(P2_PVP-P2_CPROD)+G272*(IF($A272&lt;P3_DESDE,P3A_PVP,P3_PVP)-IF($A272&lt;P3_DESDE,P3A_CPROD,P3_CPROD))-IF(ISNUMBER(L272),L272,E272*P1_LOG+F272*P2_LOG+G272*P3_LOG)</f>
        <v>0</v>
      </c>
      <c r="X272" s="33" t="n">
        <f aca="false">W272-(E272*P1_IVAN+F272*P2_IVAN+G272*IF($A272&lt;P3_DESDE,P3A_IVAN,P3_IVAN))-(H272+I272+J272)*(COSTE_DEV-IVA_DEV)-AM272-AO272</f>
        <v>0</v>
      </c>
      <c r="Y272" s="33" t="n">
        <f aca="false">AH272-AI272-AJ272-AK272-AL272-AM272-AO272</f>
        <v>0</v>
      </c>
      <c r="AA272" s="58" t="n">
        <f aca="false">MAX(0,B272-E272-H272)</f>
        <v>0</v>
      </c>
      <c r="AB272" s="58" t="n">
        <f aca="false">MAX(0,C272-F272-I272)</f>
        <v>0</v>
      </c>
      <c r="AC272" s="58" t="n">
        <f aca="false">MAX(0,D272-G272-J272)</f>
        <v>0</v>
      </c>
      <c r="AD272" s="59" t="n">
        <f aca="false">E272+AA272*AQ272</f>
        <v>0</v>
      </c>
      <c r="AE272" s="59" t="n">
        <f aca="false">F272+AB272*AQ272</f>
        <v>0</v>
      </c>
      <c r="AF272" s="59" t="n">
        <f aca="false">G272+AC272*AQ272</f>
        <v>0</v>
      </c>
      <c r="AG272" s="59" t="n">
        <f aca="false">H272+I272+J272+(AA272+AB272+AC272)*(1-AQ272)</f>
        <v>0</v>
      </c>
      <c r="AH272" s="60" t="n">
        <f aca="false">AD272*P1_PVP+AE272*P2_PVP+AF272*IF($A272&lt;P3_DESDE,P3A_PVP,P3_PVP)</f>
        <v>0</v>
      </c>
      <c r="AI272" s="60" t="n">
        <f aca="false">AD272*P1_CPROD+AE272*P2_CPROD+AF272*IF($A272&lt;P3_DESDE,P3A_CPROD,P3_CPROD)</f>
        <v>0</v>
      </c>
      <c r="AJ272" s="60" t="n">
        <f aca="false">IF(ISNUMBER(L272),L272,E272*P1_LOG+F272*P2_LOG+G272*P3_LOG)+IF(ISNUMBER(M272),M272,AA272*P1_LOG+AB272*P2_LOG+AC272*P3_LOG)*AQ272</f>
        <v>0</v>
      </c>
      <c r="AK272" s="60" t="n">
        <f aca="false">AG272*COSTE_DEV</f>
        <v>0</v>
      </c>
      <c r="AL272" s="60" t="n">
        <f aca="false">AD272*P1_IVAN+AE272*P2_IVAN+AF272*IF($A272&lt;P3_DESDE,P3A_IVAN,P3_IVAN)-AG272*IVA_DEV</f>
        <v>0</v>
      </c>
      <c r="AM272" s="60" t="n">
        <f aca="false">N272*(1+RECARGO_ADS)</f>
        <v>0</v>
      </c>
      <c r="AN272" s="58" t="n">
        <f aca="false">IF(ISNUMBER(L272),E272+F272+G272+AA272+AB272+AC272,0)</f>
        <v>0</v>
      </c>
      <c r="AO272" s="60" t="n">
        <f aca="false">P272*COMISION</f>
        <v>0</v>
      </c>
      <c r="AP272" s="58" t="n">
        <f aca="false">MIN(N(K272),Q272)</f>
        <v>0</v>
      </c>
      <c r="AQ272" s="61" t="n">
        <f aca="false">IF(Q272&gt;0,((Q272-AP272)*AT272+AP272*TASA_INC)/Q272,AT272)</f>
        <v>0.659887072235414</v>
      </c>
      <c r="AR272" s="58" t="n">
        <f aca="false">IF($A272&lt;FECHA_EXPORT,NETWORKDAYS($A272+1,FECHA_EXPORT,FESTIVOS),0)</f>
        <v>0</v>
      </c>
      <c r="AS272" s="61" t="n">
        <f aca="false">IF(AR272&gt;=5,1,INDEX(CDF_INC,1,AR272+1))</f>
        <v>0.14</v>
      </c>
      <c r="AT272" s="61" t="n">
        <f aca="false">TASA_USADA+(TASA_INC-TASA_USADA)*Q_INC*(1-AS272)/(1-Q_INC*AS272)</f>
        <v>0.659887072235414</v>
      </c>
    </row>
    <row r="273" customFormat="false" ht="15" hidden="false" customHeight="false" outlineLevel="0" collapsed="false">
      <c r="A273" s="53" t="n">
        <v>46567</v>
      </c>
      <c r="B273" s="54"/>
      <c r="C273" s="54"/>
      <c r="D273" s="54"/>
      <c r="E273" s="54"/>
      <c r="F273" s="54"/>
      <c r="G273" s="54"/>
      <c r="H273" s="54"/>
      <c r="I273" s="54"/>
      <c r="J273" s="54"/>
      <c r="K273" s="54"/>
      <c r="L273" s="55"/>
      <c r="M273" s="55"/>
      <c r="N273" s="55"/>
      <c r="O273" s="56"/>
      <c r="P273" s="31" t="n">
        <f aca="false">B273+C273+D273</f>
        <v>0</v>
      </c>
      <c r="Q273" s="31" t="n">
        <f aca="false">AA273+AB273+AC273</f>
        <v>0</v>
      </c>
      <c r="R273" s="32" t="n">
        <f aca="false">B273*P1_PVP+C273*P2_PVP+D273*IF($A273&lt;P3_DESDE,P3A_PVP,P3_PVP)</f>
        <v>0</v>
      </c>
      <c r="S273" s="32" t="str">
        <f aca="false">IF(P273&gt;0,R273/P273,"")</f>
        <v/>
      </c>
      <c r="T273" s="32" t="str">
        <f aca="false">IF(P273&gt;0,N273/P273,"")</f>
        <v/>
      </c>
      <c r="U273" s="57" t="str">
        <f aca="false">IF(N273&gt;0,R273/N273,"")</f>
        <v/>
      </c>
      <c r="V273" s="34" t="str">
        <f aca="false">IF(E273+F273+G273+H273+I273+J273&gt;0,(E273+F273+G273)/(E273+F273+G273+H273+I273+J273),"")</f>
        <v/>
      </c>
      <c r="W273" s="33" t="n">
        <f aca="false">E273*(P1_PVP-P1_CPROD)+F273*(P2_PVP-P2_CPROD)+G273*(IF($A273&lt;P3_DESDE,P3A_PVP,P3_PVP)-IF($A273&lt;P3_DESDE,P3A_CPROD,P3_CPROD))-IF(ISNUMBER(L273),L273,E273*P1_LOG+F273*P2_LOG+G273*P3_LOG)</f>
        <v>0</v>
      </c>
      <c r="X273" s="33" t="n">
        <f aca="false">W273-(E273*P1_IVAN+F273*P2_IVAN+G273*IF($A273&lt;P3_DESDE,P3A_IVAN,P3_IVAN))-(H273+I273+J273)*(COSTE_DEV-IVA_DEV)-AM273-AO273</f>
        <v>0</v>
      </c>
      <c r="Y273" s="33" t="n">
        <f aca="false">AH273-AI273-AJ273-AK273-AL273-AM273-AO273</f>
        <v>0</v>
      </c>
      <c r="AA273" s="58" t="n">
        <f aca="false">MAX(0,B273-E273-H273)</f>
        <v>0</v>
      </c>
      <c r="AB273" s="58" t="n">
        <f aca="false">MAX(0,C273-F273-I273)</f>
        <v>0</v>
      </c>
      <c r="AC273" s="58" t="n">
        <f aca="false">MAX(0,D273-G273-J273)</f>
        <v>0</v>
      </c>
      <c r="AD273" s="59" t="n">
        <f aca="false">E273+AA273*AQ273</f>
        <v>0</v>
      </c>
      <c r="AE273" s="59" t="n">
        <f aca="false">F273+AB273*AQ273</f>
        <v>0</v>
      </c>
      <c r="AF273" s="59" t="n">
        <f aca="false">G273+AC273*AQ273</f>
        <v>0</v>
      </c>
      <c r="AG273" s="59" t="n">
        <f aca="false">H273+I273+J273+(AA273+AB273+AC273)*(1-AQ273)</f>
        <v>0</v>
      </c>
      <c r="AH273" s="60" t="n">
        <f aca="false">AD273*P1_PVP+AE273*P2_PVP+AF273*IF($A273&lt;P3_DESDE,P3A_PVP,P3_PVP)</f>
        <v>0</v>
      </c>
      <c r="AI273" s="60" t="n">
        <f aca="false">AD273*P1_CPROD+AE273*P2_CPROD+AF273*IF($A273&lt;P3_DESDE,P3A_CPROD,P3_CPROD)</f>
        <v>0</v>
      </c>
      <c r="AJ273" s="60" t="n">
        <f aca="false">IF(ISNUMBER(L273),L273,E273*P1_LOG+F273*P2_LOG+G273*P3_LOG)+IF(ISNUMBER(M273),M273,AA273*P1_LOG+AB273*P2_LOG+AC273*P3_LOG)*AQ273</f>
        <v>0</v>
      </c>
      <c r="AK273" s="60" t="n">
        <f aca="false">AG273*COSTE_DEV</f>
        <v>0</v>
      </c>
      <c r="AL273" s="60" t="n">
        <f aca="false">AD273*P1_IVAN+AE273*P2_IVAN+AF273*IF($A273&lt;P3_DESDE,P3A_IVAN,P3_IVAN)-AG273*IVA_DEV</f>
        <v>0</v>
      </c>
      <c r="AM273" s="60" t="n">
        <f aca="false">N273*(1+RECARGO_ADS)</f>
        <v>0</v>
      </c>
      <c r="AN273" s="58" t="n">
        <f aca="false">IF(ISNUMBER(L273),E273+F273+G273+AA273+AB273+AC273,0)</f>
        <v>0</v>
      </c>
      <c r="AO273" s="60" t="n">
        <f aca="false">P273*COMISION</f>
        <v>0</v>
      </c>
      <c r="AP273" s="58" t="n">
        <f aca="false">MIN(N(K273),Q273)</f>
        <v>0</v>
      </c>
      <c r="AQ273" s="61" t="n">
        <f aca="false">IF(Q273&gt;0,((Q273-AP273)*AT273+AP273*TASA_INC)/Q273,AT273)</f>
        <v>0.659887072235414</v>
      </c>
      <c r="AR273" s="58" t="n">
        <f aca="false">IF($A273&lt;FECHA_EXPORT,NETWORKDAYS($A273+1,FECHA_EXPORT,FESTIVOS),0)</f>
        <v>0</v>
      </c>
      <c r="AS273" s="61" t="n">
        <f aca="false">IF(AR273&gt;=5,1,INDEX(CDF_INC,1,AR273+1))</f>
        <v>0.14</v>
      </c>
      <c r="AT273" s="61" t="n">
        <f aca="false">TASA_USADA+(TASA_INC-TASA_USADA)*Q_INC*(1-AS273)/(1-Q_INC*AS273)</f>
        <v>0.659887072235414</v>
      </c>
    </row>
    <row r="274" customFormat="false" ht="15" hidden="false" customHeight="false" outlineLevel="0" collapsed="false">
      <c r="A274" s="53" t="n">
        <v>46568</v>
      </c>
      <c r="B274" s="54"/>
      <c r="C274" s="54"/>
      <c r="D274" s="54"/>
      <c r="E274" s="54"/>
      <c r="F274" s="54"/>
      <c r="G274" s="54"/>
      <c r="H274" s="54"/>
      <c r="I274" s="54"/>
      <c r="J274" s="54"/>
      <c r="K274" s="54"/>
      <c r="L274" s="55"/>
      <c r="M274" s="55"/>
      <c r="N274" s="55"/>
      <c r="O274" s="56"/>
      <c r="P274" s="31" t="n">
        <f aca="false">B274+C274+D274</f>
        <v>0</v>
      </c>
      <c r="Q274" s="31" t="n">
        <f aca="false">AA274+AB274+AC274</f>
        <v>0</v>
      </c>
      <c r="R274" s="32" t="n">
        <f aca="false">B274*P1_PVP+C274*P2_PVP+D274*IF($A274&lt;P3_DESDE,P3A_PVP,P3_PVP)</f>
        <v>0</v>
      </c>
      <c r="S274" s="32" t="str">
        <f aca="false">IF(P274&gt;0,R274/P274,"")</f>
        <v/>
      </c>
      <c r="T274" s="32" t="str">
        <f aca="false">IF(P274&gt;0,N274/P274,"")</f>
        <v/>
      </c>
      <c r="U274" s="57" t="str">
        <f aca="false">IF(N274&gt;0,R274/N274,"")</f>
        <v/>
      </c>
      <c r="V274" s="34" t="str">
        <f aca="false">IF(E274+F274+G274+H274+I274+J274&gt;0,(E274+F274+G274)/(E274+F274+G274+H274+I274+J274),"")</f>
        <v/>
      </c>
      <c r="W274" s="33" t="n">
        <f aca="false">E274*(P1_PVP-P1_CPROD)+F274*(P2_PVP-P2_CPROD)+G274*(IF($A274&lt;P3_DESDE,P3A_PVP,P3_PVP)-IF($A274&lt;P3_DESDE,P3A_CPROD,P3_CPROD))-IF(ISNUMBER(L274),L274,E274*P1_LOG+F274*P2_LOG+G274*P3_LOG)</f>
        <v>0</v>
      </c>
      <c r="X274" s="33" t="n">
        <f aca="false">W274-(E274*P1_IVAN+F274*P2_IVAN+G274*IF($A274&lt;P3_DESDE,P3A_IVAN,P3_IVAN))-(H274+I274+J274)*(COSTE_DEV-IVA_DEV)-AM274-AO274</f>
        <v>0</v>
      </c>
      <c r="Y274" s="33" t="n">
        <f aca="false">AH274-AI274-AJ274-AK274-AL274-AM274-AO274</f>
        <v>0</v>
      </c>
      <c r="AA274" s="58" t="n">
        <f aca="false">MAX(0,B274-E274-H274)</f>
        <v>0</v>
      </c>
      <c r="AB274" s="58" t="n">
        <f aca="false">MAX(0,C274-F274-I274)</f>
        <v>0</v>
      </c>
      <c r="AC274" s="58" t="n">
        <f aca="false">MAX(0,D274-G274-J274)</f>
        <v>0</v>
      </c>
      <c r="AD274" s="59" t="n">
        <f aca="false">E274+AA274*AQ274</f>
        <v>0</v>
      </c>
      <c r="AE274" s="59" t="n">
        <f aca="false">F274+AB274*AQ274</f>
        <v>0</v>
      </c>
      <c r="AF274" s="59" t="n">
        <f aca="false">G274+AC274*AQ274</f>
        <v>0</v>
      </c>
      <c r="AG274" s="59" t="n">
        <f aca="false">H274+I274+J274+(AA274+AB274+AC274)*(1-AQ274)</f>
        <v>0</v>
      </c>
      <c r="AH274" s="60" t="n">
        <f aca="false">AD274*P1_PVP+AE274*P2_PVP+AF274*IF($A274&lt;P3_DESDE,P3A_PVP,P3_PVP)</f>
        <v>0</v>
      </c>
      <c r="AI274" s="60" t="n">
        <f aca="false">AD274*P1_CPROD+AE274*P2_CPROD+AF274*IF($A274&lt;P3_DESDE,P3A_CPROD,P3_CPROD)</f>
        <v>0</v>
      </c>
      <c r="AJ274" s="60" t="n">
        <f aca="false">IF(ISNUMBER(L274),L274,E274*P1_LOG+F274*P2_LOG+G274*P3_LOG)+IF(ISNUMBER(M274),M274,AA274*P1_LOG+AB274*P2_LOG+AC274*P3_LOG)*AQ274</f>
        <v>0</v>
      </c>
      <c r="AK274" s="60" t="n">
        <f aca="false">AG274*COSTE_DEV</f>
        <v>0</v>
      </c>
      <c r="AL274" s="60" t="n">
        <f aca="false">AD274*P1_IVAN+AE274*P2_IVAN+AF274*IF($A274&lt;P3_DESDE,P3A_IVAN,P3_IVAN)-AG274*IVA_DEV</f>
        <v>0</v>
      </c>
      <c r="AM274" s="60" t="n">
        <f aca="false">N274*(1+RECARGO_ADS)</f>
        <v>0</v>
      </c>
      <c r="AN274" s="58" t="n">
        <f aca="false">IF(ISNUMBER(L274),E274+F274+G274+AA274+AB274+AC274,0)</f>
        <v>0</v>
      </c>
      <c r="AO274" s="60" t="n">
        <f aca="false">P274*COMISION</f>
        <v>0</v>
      </c>
      <c r="AP274" s="58" t="n">
        <f aca="false">MIN(N(K274),Q274)</f>
        <v>0</v>
      </c>
      <c r="AQ274" s="61" t="n">
        <f aca="false">IF(Q274&gt;0,((Q274-AP274)*AT274+AP274*TASA_INC)/Q274,AT274)</f>
        <v>0.659887072235414</v>
      </c>
      <c r="AR274" s="58" t="n">
        <f aca="false">IF($A274&lt;FECHA_EXPORT,NETWORKDAYS($A274+1,FECHA_EXPORT,FESTIVOS),0)</f>
        <v>0</v>
      </c>
      <c r="AS274" s="61" t="n">
        <f aca="false">IF(AR274&gt;=5,1,INDEX(CDF_INC,1,AR274+1))</f>
        <v>0.14</v>
      </c>
      <c r="AT274" s="61" t="n">
        <f aca="false">TASA_USADA+(TASA_INC-TASA_USADA)*Q_INC*(1-AS274)/(1-Q_INC*AS274)</f>
        <v>0.659887072235414</v>
      </c>
    </row>
    <row r="275" customFormat="false" ht="15" hidden="false" customHeight="false" outlineLevel="0" collapsed="false">
      <c r="A275" s="53" t="n">
        <v>46569</v>
      </c>
      <c r="B275" s="54"/>
      <c r="C275" s="54"/>
      <c r="D275" s="54"/>
      <c r="E275" s="54"/>
      <c r="F275" s="54"/>
      <c r="G275" s="54"/>
      <c r="H275" s="54"/>
      <c r="I275" s="54"/>
      <c r="J275" s="54"/>
      <c r="K275" s="54"/>
      <c r="L275" s="55"/>
      <c r="M275" s="55"/>
      <c r="N275" s="55"/>
      <c r="O275" s="56"/>
      <c r="P275" s="31" t="n">
        <f aca="false">B275+C275+D275</f>
        <v>0</v>
      </c>
      <c r="Q275" s="31" t="n">
        <f aca="false">AA275+AB275+AC275</f>
        <v>0</v>
      </c>
      <c r="R275" s="32" t="n">
        <f aca="false">B275*P1_PVP+C275*P2_PVP+D275*IF($A275&lt;P3_DESDE,P3A_PVP,P3_PVP)</f>
        <v>0</v>
      </c>
      <c r="S275" s="32" t="str">
        <f aca="false">IF(P275&gt;0,R275/P275,"")</f>
        <v/>
      </c>
      <c r="T275" s="32" t="str">
        <f aca="false">IF(P275&gt;0,N275/P275,"")</f>
        <v/>
      </c>
      <c r="U275" s="57" t="str">
        <f aca="false">IF(N275&gt;0,R275/N275,"")</f>
        <v/>
      </c>
      <c r="V275" s="34" t="str">
        <f aca="false">IF(E275+F275+G275+H275+I275+J275&gt;0,(E275+F275+G275)/(E275+F275+G275+H275+I275+J275),"")</f>
        <v/>
      </c>
      <c r="W275" s="33" t="n">
        <f aca="false">E275*(P1_PVP-P1_CPROD)+F275*(P2_PVP-P2_CPROD)+G275*(IF($A275&lt;P3_DESDE,P3A_PVP,P3_PVP)-IF($A275&lt;P3_DESDE,P3A_CPROD,P3_CPROD))-IF(ISNUMBER(L275),L275,E275*P1_LOG+F275*P2_LOG+G275*P3_LOG)</f>
        <v>0</v>
      </c>
      <c r="X275" s="33" t="n">
        <f aca="false">W275-(E275*P1_IVAN+F275*P2_IVAN+G275*IF($A275&lt;P3_DESDE,P3A_IVAN,P3_IVAN))-(H275+I275+J275)*(COSTE_DEV-IVA_DEV)-AM275-AO275</f>
        <v>0</v>
      </c>
      <c r="Y275" s="33" t="n">
        <f aca="false">AH275-AI275-AJ275-AK275-AL275-AM275-AO275</f>
        <v>0</v>
      </c>
      <c r="AA275" s="58" t="n">
        <f aca="false">MAX(0,B275-E275-H275)</f>
        <v>0</v>
      </c>
      <c r="AB275" s="58" t="n">
        <f aca="false">MAX(0,C275-F275-I275)</f>
        <v>0</v>
      </c>
      <c r="AC275" s="58" t="n">
        <f aca="false">MAX(0,D275-G275-J275)</f>
        <v>0</v>
      </c>
      <c r="AD275" s="59" t="n">
        <f aca="false">E275+AA275*AQ275</f>
        <v>0</v>
      </c>
      <c r="AE275" s="59" t="n">
        <f aca="false">F275+AB275*AQ275</f>
        <v>0</v>
      </c>
      <c r="AF275" s="59" t="n">
        <f aca="false">G275+AC275*AQ275</f>
        <v>0</v>
      </c>
      <c r="AG275" s="59" t="n">
        <f aca="false">H275+I275+J275+(AA275+AB275+AC275)*(1-AQ275)</f>
        <v>0</v>
      </c>
      <c r="AH275" s="60" t="n">
        <f aca="false">AD275*P1_PVP+AE275*P2_PVP+AF275*IF($A275&lt;P3_DESDE,P3A_PVP,P3_PVP)</f>
        <v>0</v>
      </c>
      <c r="AI275" s="60" t="n">
        <f aca="false">AD275*P1_CPROD+AE275*P2_CPROD+AF275*IF($A275&lt;P3_DESDE,P3A_CPROD,P3_CPROD)</f>
        <v>0</v>
      </c>
      <c r="AJ275" s="60" t="n">
        <f aca="false">IF(ISNUMBER(L275),L275,E275*P1_LOG+F275*P2_LOG+G275*P3_LOG)+IF(ISNUMBER(M275),M275,AA275*P1_LOG+AB275*P2_LOG+AC275*P3_LOG)*AQ275</f>
        <v>0</v>
      </c>
      <c r="AK275" s="60" t="n">
        <f aca="false">AG275*COSTE_DEV</f>
        <v>0</v>
      </c>
      <c r="AL275" s="60" t="n">
        <f aca="false">AD275*P1_IVAN+AE275*P2_IVAN+AF275*IF($A275&lt;P3_DESDE,P3A_IVAN,P3_IVAN)-AG275*IVA_DEV</f>
        <v>0</v>
      </c>
      <c r="AM275" s="60" t="n">
        <f aca="false">N275*(1+RECARGO_ADS)</f>
        <v>0</v>
      </c>
      <c r="AN275" s="58" t="n">
        <f aca="false">IF(ISNUMBER(L275),E275+F275+G275+AA275+AB275+AC275,0)</f>
        <v>0</v>
      </c>
      <c r="AO275" s="60" t="n">
        <f aca="false">P275*COMISION</f>
        <v>0</v>
      </c>
      <c r="AP275" s="58" t="n">
        <f aca="false">MIN(N(K275),Q275)</f>
        <v>0</v>
      </c>
      <c r="AQ275" s="61" t="n">
        <f aca="false">IF(Q275&gt;0,((Q275-AP275)*AT275+AP275*TASA_INC)/Q275,AT275)</f>
        <v>0.659887072235414</v>
      </c>
      <c r="AR275" s="58" t="n">
        <f aca="false">IF($A275&lt;FECHA_EXPORT,NETWORKDAYS($A275+1,FECHA_EXPORT,FESTIVOS),0)</f>
        <v>0</v>
      </c>
      <c r="AS275" s="61" t="n">
        <f aca="false">IF(AR275&gt;=5,1,INDEX(CDF_INC,1,AR275+1))</f>
        <v>0.14</v>
      </c>
      <c r="AT275" s="61" t="n">
        <f aca="false">TASA_USADA+(TASA_INC-TASA_USADA)*Q_INC*(1-AS275)/(1-Q_INC*AS275)</f>
        <v>0.659887072235414</v>
      </c>
    </row>
    <row r="276" customFormat="false" ht="15" hidden="false" customHeight="false" outlineLevel="0" collapsed="false">
      <c r="A276" s="53" t="n">
        <v>46570</v>
      </c>
      <c r="B276" s="54"/>
      <c r="C276" s="54"/>
      <c r="D276" s="54"/>
      <c r="E276" s="54"/>
      <c r="F276" s="54"/>
      <c r="G276" s="54"/>
      <c r="H276" s="54"/>
      <c r="I276" s="54"/>
      <c r="J276" s="54"/>
      <c r="K276" s="54"/>
      <c r="L276" s="55"/>
      <c r="M276" s="55"/>
      <c r="N276" s="55"/>
      <c r="O276" s="56"/>
      <c r="P276" s="31" t="n">
        <f aca="false">B276+C276+D276</f>
        <v>0</v>
      </c>
      <c r="Q276" s="31" t="n">
        <f aca="false">AA276+AB276+AC276</f>
        <v>0</v>
      </c>
      <c r="R276" s="32" t="n">
        <f aca="false">B276*P1_PVP+C276*P2_PVP+D276*IF($A276&lt;P3_DESDE,P3A_PVP,P3_PVP)</f>
        <v>0</v>
      </c>
      <c r="S276" s="32" t="str">
        <f aca="false">IF(P276&gt;0,R276/P276,"")</f>
        <v/>
      </c>
      <c r="T276" s="32" t="str">
        <f aca="false">IF(P276&gt;0,N276/P276,"")</f>
        <v/>
      </c>
      <c r="U276" s="57" t="str">
        <f aca="false">IF(N276&gt;0,R276/N276,"")</f>
        <v/>
      </c>
      <c r="V276" s="34" t="str">
        <f aca="false">IF(E276+F276+G276+H276+I276+J276&gt;0,(E276+F276+G276)/(E276+F276+G276+H276+I276+J276),"")</f>
        <v/>
      </c>
      <c r="W276" s="33" t="n">
        <f aca="false">E276*(P1_PVP-P1_CPROD)+F276*(P2_PVP-P2_CPROD)+G276*(IF($A276&lt;P3_DESDE,P3A_PVP,P3_PVP)-IF($A276&lt;P3_DESDE,P3A_CPROD,P3_CPROD))-IF(ISNUMBER(L276),L276,E276*P1_LOG+F276*P2_LOG+G276*P3_LOG)</f>
        <v>0</v>
      </c>
      <c r="X276" s="33" t="n">
        <f aca="false">W276-(E276*P1_IVAN+F276*P2_IVAN+G276*IF($A276&lt;P3_DESDE,P3A_IVAN,P3_IVAN))-(H276+I276+J276)*(COSTE_DEV-IVA_DEV)-AM276-AO276</f>
        <v>0</v>
      </c>
      <c r="Y276" s="33" t="n">
        <f aca="false">AH276-AI276-AJ276-AK276-AL276-AM276-AO276</f>
        <v>0</v>
      </c>
      <c r="AA276" s="58" t="n">
        <f aca="false">MAX(0,B276-E276-H276)</f>
        <v>0</v>
      </c>
      <c r="AB276" s="58" t="n">
        <f aca="false">MAX(0,C276-F276-I276)</f>
        <v>0</v>
      </c>
      <c r="AC276" s="58" t="n">
        <f aca="false">MAX(0,D276-G276-J276)</f>
        <v>0</v>
      </c>
      <c r="AD276" s="59" t="n">
        <f aca="false">E276+AA276*AQ276</f>
        <v>0</v>
      </c>
      <c r="AE276" s="59" t="n">
        <f aca="false">F276+AB276*AQ276</f>
        <v>0</v>
      </c>
      <c r="AF276" s="59" t="n">
        <f aca="false">G276+AC276*AQ276</f>
        <v>0</v>
      </c>
      <c r="AG276" s="59" t="n">
        <f aca="false">H276+I276+J276+(AA276+AB276+AC276)*(1-AQ276)</f>
        <v>0</v>
      </c>
      <c r="AH276" s="60" t="n">
        <f aca="false">AD276*P1_PVP+AE276*P2_PVP+AF276*IF($A276&lt;P3_DESDE,P3A_PVP,P3_PVP)</f>
        <v>0</v>
      </c>
      <c r="AI276" s="60" t="n">
        <f aca="false">AD276*P1_CPROD+AE276*P2_CPROD+AF276*IF($A276&lt;P3_DESDE,P3A_CPROD,P3_CPROD)</f>
        <v>0</v>
      </c>
      <c r="AJ276" s="60" t="n">
        <f aca="false">IF(ISNUMBER(L276),L276,E276*P1_LOG+F276*P2_LOG+G276*P3_LOG)+IF(ISNUMBER(M276),M276,AA276*P1_LOG+AB276*P2_LOG+AC276*P3_LOG)*AQ276</f>
        <v>0</v>
      </c>
      <c r="AK276" s="60" t="n">
        <f aca="false">AG276*COSTE_DEV</f>
        <v>0</v>
      </c>
      <c r="AL276" s="60" t="n">
        <f aca="false">AD276*P1_IVAN+AE276*P2_IVAN+AF276*IF($A276&lt;P3_DESDE,P3A_IVAN,P3_IVAN)-AG276*IVA_DEV</f>
        <v>0</v>
      </c>
      <c r="AM276" s="60" t="n">
        <f aca="false">N276*(1+RECARGO_ADS)</f>
        <v>0</v>
      </c>
      <c r="AN276" s="58" t="n">
        <f aca="false">IF(ISNUMBER(L276),E276+F276+G276+AA276+AB276+AC276,0)</f>
        <v>0</v>
      </c>
      <c r="AO276" s="60" t="n">
        <f aca="false">P276*COMISION</f>
        <v>0</v>
      </c>
      <c r="AP276" s="58" t="n">
        <f aca="false">MIN(N(K276),Q276)</f>
        <v>0</v>
      </c>
      <c r="AQ276" s="61" t="n">
        <f aca="false">IF(Q276&gt;0,((Q276-AP276)*AT276+AP276*TASA_INC)/Q276,AT276)</f>
        <v>0.659887072235414</v>
      </c>
      <c r="AR276" s="58" t="n">
        <f aca="false">IF($A276&lt;FECHA_EXPORT,NETWORKDAYS($A276+1,FECHA_EXPORT,FESTIVOS),0)</f>
        <v>0</v>
      </c>
      <c r="AS276" s="61" t="n">
        <f aca="false">IF(AR276&gt;=5,1,INDEX(CDF_INC,1,AR276+1))</f>
        <v>0.14</v>
      </c>
      <c r="AT276" s="61" t="n">
        <f aca="false">TASA_USADA+(TASA_INC-TASA_USADA)*Q_INC*(1-AS276)/(1-Q_INC*AS276)</f>
        <v>0.659887072235414</v>
      </c>
    </row>
    <row r="277" customFormat="false" ht="15" hidden="false" customHeight="false" outlineLevel="0" collapsed="false">
      <c r="A277" s="53" t="n">
        <v>46571</v>
      </c>
      <c r="B277" s="54"/>
      <c r="C277" s="54"/>
      <c r="D277" s="54"/>
      <c r="E277" s="54"/>
      <c r="F277" s="54"/>
      <c r="G277" s="54"/>
      <c r="H277" s="54"/>
      <c r="I277" s="54"/>
      <c r="J277" s="54"/>
      <c r="K277" s="54"/>
      <c r="L277" s="55"/>
      <c r="M277" s="55"/>
      <c r="N277" s="55"/>
      <c r="O277" s="56"/>
      <c r="P277" s="31" t="n">
        <f aca="false">B277+C277+D277</f>
        <v>0</v>
      </c>
      <c r="Q277" s="31" t="n">
        <f aca="false">AA277+AB277+AC277</f>
        <v>0</v>
      </c>
      <c r="R277" s="32" t="n">
        <f aca="false">B277*P1_PVP+C277*P2_PVP+D277*IF($A277&lt;P3_DESDE,P3A_PVP,P3_PVP)</f>
        <v>0</v>
      </c>
      <c r="S277" s="32" t="str">
        <f aca="false">IF(P277&gt;0,R277/P277,"")</f>
        <v/>
      </c>
      <c r="T277" s="32" t="str">
        <f aca="false">IF(P277&gt;0,N277/P277,"")</f>
        <v/>
      </c>
      <c r="U277" s="57" t="str">
        <f aca="false">IF(N277&gt;0,R277/N277,"")</f>
        <v/>
      </c>
      <c r="V277" s="34" t="str">
        <f aca="false">IF(E277+F277+G277+H277+I277+J277&gt;0,(E277+F277+G277)/(E277+F277+G277+H277+I277+J277),"")</f>
        <v/>
      </c>
      <c r="W277" s="33" t="n">
        <f aca="false">E277*(P1_PVP-P1_CPROD)+F277*(P2_PVP-P2_CPROD)+G277*(IF($A277&lt;P3_DESDE,P3A_PVP,P3_PVP)-IF($A277&lt;P3_DESDE,P3A_CPROD,P3_CPROD))-IF(ISNUMBER(L277),L277,E277*P1_LOG+F277*P2_LOG+G277*P3_LOG)</f>
        <v>0</v>
      </c>
      <c r="X277" s="33" t="n">
        <f aca="false">W277-(E277*P1_IVAN+F277*P2_IVAN+G277*IF($A277&lt;P3_DESDE,P3A_IVAN,P3_IVAN))-(H277+I277+J277)*(COSTE_DEV-IVA_DEV)-AM277-AO277</f>
        <v>0</v>
      </c>
      <c r="Y277" s="33" t="n">
        <f aca="false">AH277-AI277-AJ277-AK277-AL277-AM277-AO277</f>
        <v>0</v>
      </c>
      <c r="AA277" s="58" t="n">
        <f aca="false">MAX(0,B277-E277-H277)</f>
        <v>0</v>
      </c>
      <c r="AB277" s="58" t="n">
        <f aca="false">MAX(0,C277-F277-I277)</f>
        <v>0</v>
      </c>
      <c r="AC277" s="58" t="n">
        <f aca="false">MAX(0,D277-G277-J277)</f>
        <v>0</v>
      </c>
      <c r="AD277" s="59" t="n">
        <f aca="false">E277+AA277*AQ277</f>
        <v>0</v>
      </c>
      <c r="AE277" s="59" t="n">
        <f aca="false">F277+AB277*AQ277</f>
        <v>0</v>
      </c>
      <c r="AF277" s="59" t="n">
        <f aca="false">G277+AC277*AQ277</f>
        <v>0</v>
      </c>
      <c r="AG277" s="59" t="n">
        <f aca="false">H277+I277+J277+(AA277+AB277+AC277)*(1-AQ277)</f>
        <v>0</v>
      </c>
      <c r="AH277" s="60" t="n">
        <f aca="false">AD277*P1_PVP+AE277*P2_PVP+AF277*IF($A277&lt;P3_DESDE,P3A_PVP,P3_PVP)</f>
        <v>0</v>
      </c>
      <c r="AI277" s="60" t="n">
        <f aca="false">AD277*P1_CPROD+AE277*P2_CPROD+AF277*IF($A277&lt;P3_DESDE,P3A_CPROD,P3_CPROD)</f>
        <v>0</v>
      </c>
      <c r="AJ277" s="60" t="n">
        <f aca="false">IF(ISNUMBER(L277),L277,E277*P1_LOG+F277*P2_LOG+G277*P3_LOG)+IF(ISNUMBER(M277),M277,AA277*P1_LOG+AB277*P2_LOG+AC277*P3_LOG)*AQ277</f>
        <v>0</v>
      </c>
      <c r="AK277" s="60" t="n">
        <f aca="false">AG277*COSTE_DEV</f>
        <v>0</v>
      </c>
      <c r="AL277" s="60" t="n">
        <f aca="false">AD277*P1_IVAN+AE277*P2_IVAN+AF277*IF($A277&lt;P3_DESDE,P3A_IVAN,P3_IVAN)-AG277*IVA_DEV</f>
        <v>0</v>
      </c>
      <c r="AM277" s="60" t="n">
        <f aca="false">N277*(1+RECARGO_ADS)</f>
        <v>0</v>
      </c>
      <c r="AN277" s="58" t="n">
        <f aca="false">IF(ISNUMBER(L277),E277+F277+G277+AA277+AB277+AC277,0)</f>
        <v>0</v>
      </c>
      <c r="AO277" s="60" t="n">
        <f aca="false">P277*COMISION</f>
        <v>0</v>
      </c>
      <c r="AP277" s="58" t="n">
        <f aca="false">MIN(N(K277),Q277)</f>
        <v>0</v>
      </c>
      <c r="AQ277" s="61" t="n">
        <f aca="false">IF(Q277&gt;0,((Q277-AP277)*AT277+AP277*TASA_INC)/Q277,AT277)</f>
        <v>0.659887072235414</v>
      </c>
      <c r="AR277" s="58" t="n">
        <f aca="false">IF($A277&lt;FECHA_EXPORT,NETWORKDAYS($A277+1,FECHA_EXPORT,FESTIVOS),0)</f>
        <v>0</v>
      </c>
      <c r="AS277" s="61" t="n">
        <f aca="false">IF(AR277&gt;=5,1,INDEX(CDF_INC,1,AR277+1))</f>
        <v>0.14</v>
      </c>
      <c r="AT277" s="61" t="n">
        <f aca="false">TASA_USADA+(TASA_INC-TASA_USADA)*Q_INC*(1-AS277)/(1-Q_INC*AS277)</f>
        <v>0.659887072235414</v>
      </c>
    </row>
    <row r="278" customFormat="false" ht="15" hidden="false" customHeight="false" outlineLevel="0" collapsed="false">
      <c r="A278" s="53" t="n">
        <v>46572</v>
      </c>
      <c r="B278" s="54"/>
      <c r="C278" s="54"/>
      <c r="D278" s="54"/>
      <c r="E278" s="54"/>
      <c r="F278" s="54"/>
      <c r="G278" s="54"/>
      <c r="H278" s="54"/>
      <c r="I278" s="54"/>
      <c r="J278" s="54"/>
      <c r="K278" s="54"/>
      <c r="L278" s="55"/>
      <c r="M278" s="55"/>
      <c r="N278" s="55"/>
      <c r="O278" s="56"/>
      <c r="P278" s="31" t="n">
        <f aca="false">B278+C278+D278</f>
        <v>0</v>
      </c>
      <c r="Q278" s="31" t="n">
        <f aca="false">AA278+AB278+AC278</f>
        <v>0</v>
      </c>
      <c r="R278" s="32" t="n">
        <f aca="false">B278*P1_PVP+C278*P2_PVP+D278*IF($A278&lt;P3_DESDE,P3A_PVP,P3_PVP)</f>
        <v>0</v>
      </c>
      <c r="S278" s="32" t="str">
        <f aca="false">IF(P278&gt;0,R278/P278,"")</f>
        <v/>
      </c>
      <c r="T278" s="32" t="str">
        <f aca="false">IF(P278&gt;0,N278/P278,"")</f>
        <v/>
      </c>
      <c r="U278" s="57" t="str">
        <f aca="false">IF(N278&gt;0,R278/N278,"")</f>
        <v/>
      </c>
      <c r="V278" s="34" t="str">
        <f aca="false">IF(E278+F278+G278+H278+I278+J278&gt;0,(E278+F278+G278)/(E278+F278+G278+H278+I278+J278),"")</f>
        <v/>
      </c>
      <c r="W278" s="33" t="n">
        <f aca="false">E278*(P1_PVP-P1_CPROD)+F278*(P2_PVP-P2_CPROD)+G278*(IF($A278&lt;P3_DESDE,P3A_PVP,P3_PVP)-IF($A278&lt;P3_DESDE,P3A_CPROD,P3_CPROD))-IF(ISNUMBER(L278),L278,E278*P1_LOG+F278*P2_LOG+G278*P3_LOG)</f>
        <v>0</v>
      </c>
      <c r="X278" s="33" t="n">
        <f aca="false">W278-(E278*P1_IVAN+F278*P2_IVAN+G278*IF($A278&lt;P3_DESDE,P3A_IVAN,P3_IVAN))-(H278+I278+J278)*(COSTE_DEV-IVA_DEV)-AM278-AO278</f>
        <v>0</v>
      </c>
      <c r="Y278" s="33" t="n">
        <f aca="false">AH278-AI278-AJ278-AK278-AL278-AM278-AO278</f>
        <v>0</v>
      </c>
      <c r="AA278" s="58" t="n">
        <f aca="false">MAX(0,B278-E278-H278)</f>
        <v>0</v>
      </c>
      <c r="AB278" s="58" t="n">
        <f aca="false">MAX(0,C278-F278-I278)</f>
        <v>0</v>
      </c>
      <c r="AC278" s="58" t="n">
        <f aca="false">MAX(0,D278-G278-J278)</f>
        <v>0</v>
      </c>
      <c r="AD278" s="59" t="n">
        <f aca="false">E278+AA278*AQ278</f>
        <v>0</v>
      </c>
      <c r="AE278" s="59" t="n">
        <f aca="false">F278+AB278*AQ278</f>
        <v>0</v>
      </c>
      <c r="AF278" s="59" t="n">
        <f aca="false">G278+AC278*AQ278</f>
        <v>0</v>
      </c>
      <c r="AG278" s="59" t="n">
        <f aca="false">H278+I278+J278+(AA278+AB278+AC278)*(1-AQ278)</f>
        <v>0</v>
      </c>
      <c r="AH278" s="60" t="n">
        <f aca="false">AD278*P1_PVP+AE278*P2_PVP+AF278*IF($A278&lt;P3_DESDE,P3A_PVP,P3_PVP)</f>
        <v>0</v>
      </c>
      <c r="AI278" s="60" t="n">
        <f aca="false">AD278*P1_CPROD+AE278*P2_CPROD+AF278*IF($A278&lt;P3_DESDE,P3A_CPROD,P3_CPROD)</f>
        <v>0</v>
      </c>
      <c r="AJ278" s="60" t="n">
        <f aca="false">IF(ISNUMBER(L278),L278,E278*P1_LOG+F278*P2_LOG+G278*P3_LOG)+IF(ISNUMBER(M278),M278,AA278*P1_LOG+AB278*P2_LOG+AC278*P3_LOG)*AQ278</f>
        <v>0</v>
      </c>
      <c r="AK278" s="60" t="n">
        <f aca="false">AG278*COSTE_DEV</f>
        <v>0</v>
      </c>
      <c r="AL278" s="60" t="n">
        <f aca="false">AD278*P1_IVAN+AE278*P2_IVAN+AF278*IF($A278&lt;P3_DESDE,P3A_IVAN,P3_IVAN)-AG278*IVA_DEV</f>
        <v>0</v>
      </c>
      <c r="AM278" s="60" t="n">
        <f aca="false">N278*(1+RECARGO_ADS)</f>
        <v>0</v>
      </c>
      <c r="AN278" s="58" t="n">
        <f aca="false">IF(ISNUMBER(L278),E278+F278+G278+AA278+AB278+AC278,0)</f>
        <v>0</v>
      </c>
      <c r="AO278" s="60" t="n">
        <f aca="false">P278*COMISION</f>
        <v>0</v>
      </c>
      <c r="AP278" s="58" t="n">
        <f aca="false">MIN(N(K278),Q278)</f>
        <v>0</v>
      </c>
      <c r="AQ278" s="61" t="n">
        <f aca="false">IF(Q278&gt;0,((Q278-AP278)*AT278+AP278*TASA_INC)/Q278,AT278)</f>
        <v>0.659887072235414</v>
      </c>
      <c r="AR278" s="58" t="n">
        <f aca="false">IF($A278&lt;FECHA_EXPORT,NETWORKDAYS($A278+1,FECHA_EXPORT,FESTIVOS),0)</f>
        <v>0</v>
      </c>
      <c r="AS278" s="61" t="n">
        <f aca="false">IF(AR278&gt;=5,1,INDEX(CDF_INC,1,AR278+1))</f>
        <v>0.14</v>
      </c>
      <c r="AT278" s="61" t="n">
        <f aca="false">TASA_USADA+(TASA_INC-TASA_USADA)*Q_INC*(1-AS278)/(1-Q_INC*AS278)</f>
        <v>0.659887072235414</v>
      </c>
    </row>
    <row r="279" customFormat="false" ht="15" hidden="false" customHeight="false" outlineLevel="0" collapsed="false">
      <c r="A279" s="53" t="n">
        <v>46573</v>
      </c>
      <c r="B279" s="54"/>
      <c r="C279" s="54"/>
      <c r="D279" s="54"/>
      <c r="E279" s="54"/>
      <c r="F279" s="54"/>
      <c r="G279" s="54"/>
      <c r="H279" s="54"/>
      <c r="I279" s="54"/>
      <c r="J279" s="54"/>
      <c r="K279" s="54"/>
      <c r="L279" s="55"/>
      <c r="M279" s="55"/>
      <c r="N279" s="55"/>
      <c r="O279" s="56"/>
      <c r="P279" s="31" t="n">
        <f aca="false">B279+C279+D279</f>
        <v>0</v>
      </c>
      <c r="Q279" s="31" t="n">
        <f aca="false">AA279+AB279+AC279</f>
        <v>0</v>
      </c>
      <c r="R279" s="32" t="n">
        <f aca="false">B279*P1_PVP+C279*P2_PVP+D279*IF($A279&lt;P3_DESDE,P3A_PVP,P3_PVP)</f>
        <v>0</v>
      </c>
      <c r="S279" s="32" t="str">
        <f aca="false">IF(P279&gt;0,R279/P279,"")</f>
        <v/>
      </c>
      <c r="T279" s="32" t="str">
        <f aca="false">IF(P279&gt;0,N279/P279,"")</f>
        <v/>
      </c>
      <c r="U279" s="57" t="str">
        <f aca="false">IF(N279&gt;0,R279/N279,"")</f>
        <v/>
      </c>
      <c r="V279" s="34" t="str">
        <f aca="false">IF(E279+F279+G279+H279+I279+J279&gt;0,(E279+F279+G279)/(E279+F279+G279+H279+I279+J279),"")</f>
        <v/>
      </c>
      <c r="W279" s="33" t="n">
        <f aca="false">E279*(P1_PVP-P1_CPROD)+F279*(P2_PVP-P2_CPROD)+G279*(IF($A279&lt;P3_DESDE,P3A_PVP,P3_PVP)-IF($A279&lt;P3_DESDE,P3A_CPROD,P3_CPROD))-IF(ISNUMBER(L279),L279,E279*P1_LOG+F279*P2_LOG+G279*P3_LOG)</f>
        <v>0</v>
      </c>
      <c r="X279" s="33" t="n">
        <f aca="false">W279-(E279*P1_IVAN+F279*P2_IVAN+G279*IF($A279&lt;P3_DESDE,P3A_IVAN,P3_IVAN))-(H279+I279+J279)*(COSTE_DEV-IVA_DEV)-AM279-AO279</f>
        <v>0</v>
      </c>
      <c r="Y279" s="33" t="n">
        <f aca="false">AH279-AI279-AJ279-AK279-AL279-AM279-AO279</f>
        <v>0</v>
      </c>
      <c r="AA279" s="58" t="n">
        <f aca="false">MAX(0,B279-E279-H279)</f>
        <v>0</v>
      </c>
      <c r="AB279" s="58" t="n">
        <f aca="false">MAX(0,C279-F279-I279)</f>
        <v>0</v>
      </c>
      <c r="AC279" s="58" t="n">
        <f aca="false">MAX(0,D279-G279-J279)</f>
        <v>0</v>
      </c>
      <c r="AD279" s="59" t="n">
        <f aca="false">E279+AA279*AQ279</f>
        <v>0</v>
      </c>
      <c r="AE279" s="59" t="n">
        <f aca="false">F279+AB279*AQ279</f>
        <v>0</v>
      </c>
      <c r="AF279" s="59" t="n">
        <f aca="false">G279+AC279*AQ279</f>
        <v>0</v>
      </c>
      <c r="AG279" s="59" t="n">
        <f aca="false">H279+I279+J279+(AA279+AB279+AC279)*(1-AQ279)</f>
        <v>0</v>
      </c>
      <c r="AH279" s="60" t="n">
        <f aca="false">AD279*P1_PVP+AE279*P2_PVP+AF279*IF($A279&lt;P3_DESDE,P3A_PVP,P3_PVP)</f>
        <v>0</v>
      </c>
      <c r="AI279" s="60" t="n">
        <f aca="false">AD279*P1_CPROD+AE279*P2_CPROD+AF279*IF($A279&lt;P3_DESDE,P3A_CPROD,P3_CPROD)</f>
        <v>0</v>
      </c>
      <c r="AJ279" s="60" t="n">
        <f aca="false">IF(ISNUMBER(L279),L279,E279*P1_LOG+F279*P2_LOG+G279*P3_LOG)+IF(ISNUMBER(M279),M279,AA279*P1_LOG+AB279*P2_LOG+AC279*P3_LOG)*AQ279</f>
        <v>0</v>
      </c>
      <c r="AK279" s="60" t="n">
        <f aca="false">AG279*COSTE_DEV</f>
        <v>0</v>
      </c>
      <c r="AL279" s="60" t="n">
        <f aca="false">AD279*P1_IVAN+AE279*P2_IVAN+AF279*IF($A279&lt;P3_DESDE,P3A_IVAN,P3_IVAN)-AG279*IVA_DEV</f>
        <v>0</v>
      </c>
      <c r="AM279" s="60" t="n">
        <f aca="false">N279*(1+RECARGO_ADS)</f>
        <v>0</v>
      </c>
      <c r="AN279" s="58" t="n">
        <f aca="false">IF(ISNUMBER(L279),E279+F279+G279+AA279+AB279+AC279,0)</f>
        <v>0</v>
      </c>
      <c r="AO279" s="60" t="n">
        <f aca="false">P279*COMISION</f>
        <v>0</v>
      </c>
      <c r="AP279" s="58" t="n">
        <f aca="false">MIN(N(K279),Q279)</f>
        <v>0</v>
      </c>
      <c r="AQ279" s="61" t="n">
        <f aca="false">IF(Q279&gt;0,((Q279-AP279)*AT279+AP279*TASA_INC)/Q279,AT279)</f>
        <v>0.659887072235414</v>
      </c>
      <c r="AR279" s="58" t="n">
        <f aca="false">IF($A279&lt;FECHA_EXPORT,NETWORKDAYS($A279+1,FECHA_EXPORT,FESTIVOS),0)</f>
        <v>0</v>
      </c>
      <c r="AS279" s="61" t="n">
        <f aca="false">IF(AR279&gt;=5,1,INDEX(CDF_INC,1,AR279+1))</f>
        <v>0.14</v>
      </c>
      <c r="AT279" s="61" t="n">
        <f aca="false">TASA_USADA+(TASA_INC-TASA_USADA)*Q_INC*(1-AS279)/(1-Q_INC*AS279)</f>
        <v>0.659887072235414</v>
      </c>
    </row>
    <row r="280" customFormat="false" ht="15" hidden="false" customHeight="false" outlineLevel="0" collapsed="false">
      <c r="A280" s="53" t="n">
        <v>46574</v>
      </c>
      <c r="B280" s="54"/>
      <c r="C280" s="54"/>
      <c r="D280" s="54"/>
      <c r="E280" s="54"/>
      <c r="F280" s="54"/>
      <c r="G280" s="54"/>
      <c r="H280" s="54"/>
      <c r="I280" s="54"/>
      <c r="J280" s="54"/>
      <c r="K280" s="54"/>
      <c r="L280" s="55"/>
      <c r="M280" s="55"/>
      <c r="N280" s="55"/>
      <c r="O280" s="56"/>
      <c r="P280" s="31" t="n">
        <f aca="false">B280+C280+D280</f>
        <v>0</v>
      </c>
      <c r="Q280" s="31" t="n">
        <f aca="false">AA280+AB280+AC280</f>
        <v>0</v>
      </c>
      <c r="R280" s="32" t="n">
        <f aca="false">B280*P1_PVP+C280*P2_PVP+D280*IF($A280&lt;P3_DESDE,P3A_PVP,P3_PVP)</f>
        <v>0</v>
      </c>
      <c r="S280" s="32" t="str">
        <f aca="false">IF(P280&gt;0,R280/P280,"")</f>
        <v/>
      </c>
      <c r="T280" s="32" t="str">
        <f aca="false">IF(P280&gt;0,N280/P280,"")</f>
        <v/>
      </c>
      <c r="U280" s="57" t="str">
        <f aca="false">IF(N280&gt;0,R280/N280,"")</f>
        <v/>
      </c>
      <c r="V280" s="34" t="str">
        <f aca="false">IF(E280+F280+G280+H280+I280+J280&gt;0,(E280+F280+G280)/(E280+F280+G280+H280+I280+J280),"")</f>
        <v/>
      </c>
      <c r="W280" s="33" t="n">
        <f aca="false">E280*(P1_PVP-P1_CPROD)+F280*(P2_PVP-P2_CPROD)+G280*(IF($A280&lt;P3_DESDE,P3A_PVP,P3_PVP)-IF($A280&lt;P3_DESDE,P3A_CPROD,P3_CPROD))-IF(ISNUMBER(L280),L280,E280*P1_LOG+F280*P2_LOG+G280*P3_LOG)</f>
        <v>0</v>
      </c>
      <c r="X280" s="33" t="n">
        <f aca="false">W280-(E280*P1_IVAN+F280*P2_IVAN+G280*IF($A280&lt;P3_DESDE,P3A_IVAN,P3_IVAN))-(H280+I280+J280)*(COSTE_DEV-IVA_DEV)-AM280-AO280</f>
        <v>0</v>
      </c>
      <c r="Y280" s="33" t="n">
        <f aca="false">AH280-AI280-AJ280-AK280-AL280-AM280-AO280</f>
        <v>0</v>
      </c>
      <c r="AA280" s="58" t="n">
        <f aca="false">MAX(0,B280-E280-H280)</f>
        <v>0</v>
      </c>
      <c r="AB280" s="58" t="n">
        <f aca="false">MAX(0,C280-F280-I280)</f>
        <v>0</v>
      </c>
      <c r="AC280" s="58" t="n">
        <f aca="false">MAX(0,D280-G280-J280)</f>
        <v>0</v>
      </c>
      <c r="AD280" s="59" t="n">
        <f aca="false">E280+AA280*AQ280</f>
        <v>0</v>
      </c>
      <c r="AE280" s="59" t="n">
        <f aca="false">F280+AB280*AQ280</f>
        <v>0</v>
      </c>
      <c r="AF280" s="59" t="n">
        <f aca="false">G280+AC280*AQ280</f>
        <v>0</v>
      </c>
      <c r="AG280" s="59" t="n">
        <f aca="false">H280+I280+J280+(AA280+AB280+AC280)*(1-AQ280)</f>
        <v>0</v>
      </c>
      <c r="AH280" s="60" t="n">
        <f aca="false">AD280*P1_PVP+AE280*P2_PVP+AF280*IF($A280&lt;P3_DESDE,P3A_PVP,P3_PVP)</f>
        <v>0</v>
      </c>
      <c r="AI280" s="60" t="n">
        <f aca="false">AD280*P1_CPROD+AE280*P2_CPROD+AF280*IF($A280&lt;P3_DESDE,P3A_CPROD,P3_CPROD)</f>
        <v>0</v>
      </c>
      <c r="AJ280" s="60" t="n">
        <f aca="false">IF(ISNUMBER(L280),L280,E280*P1_LOG+F280*P2_LOG+G280*P3_LOG)+IF(ISNUMBER(M280),M280,AA280*P1_LOG+AB280*P2_LOG+AC280*P3_LOG)*AQ280</f>
        <v>0</v>
      </c>
      <c r="AK280" s="60" t="n">
        <f aca="false">AG280*COSTE_DEV</f>
        <v>0</v>
      </c>
      <c r="AL280" s="60" t="n">
        <f aca="false">AD280*P1_IVAN+AE280*P2_IVAN+AF280*IF($A280&lt;P3_DESDE,P3A_IVAN,P3_IVAN)-AG280*IVA_DEV</f>
        <v>0</v>
      </c>
      <c r="AM280" s="60" t="n">
        <f aca="false">N280*(1+RECARGO_ADS)</f>
        <v>0</v>
      </c>
      <c r="AN280" s="58" t="n">
        <f aca="false">IF(ISNUMBER(L280),E280+F280+G280+AA280+AB280+AC280,0)</f>
        <v>0</v>
      </c>
      <c r="AO280" s="60" t="n">
        <f aca="false">P280*COMISION</f>
        <v>0</v>
      </c>
      <c r="AP280" s="58" t="n">
        <f aca="false">MIN(N(K280),Q280)</f>
        <v>0</v>
      </c>
      <c r="AQ280" s="61" t="n">
        <f aca="false">IF(Q280&gt;0,((Q280-AP280)*AT280+AP280*TASA_INC)/Q280,AT280)</f>
        <v>0.659887072235414</v>
      </c>
      <c r="AR280" s="58" t="n">
        <f aca="false">IF($A280&lt;FECHA_EXPORT,NETWORKDAYS($A280+1,FECHA_EXPORT,FESTIVOS),0)</f>
        <v>0</v>
      </c>
      <c r="AS280" s="61" t="n">
        <f aca="false">IF(AR280&gt;=5,1,INDEX(CDF_INC,1,AR280+1))</f>
        <v>0.14</v>
      </c>
      <c r="AT280" s="61" t="n">
        <f aca="false">TASA_USADA+(TASA_INC-TASA_USADA)*Q_INC*(1-AS280)/(1-Q_INC*AS280)</f>
        <v>0.659887072235414</v>
      </c>
    </row>
    <row r="281" customFormat="false" ht="15" hidden="false" customHeight="false" outlineLevel="0" collapsed="false">
      <c r="A281" s="53" t="n">
        <v>46575</v>
      </c>
      <c r="B281" s="54"/>
      <c r="C281" s="54"/>
      <c r="D281" s="54"/>
      <c r="E281" s="54"/>
      <c r="F281" s="54"/>
      <c r="G281" s="54"/>
      <c r="H281" s="54"/>
      <c r="I281" s="54"/>
      <c r="J281" s="54"/>
      <c r="K281" s="54"/>
      <c r="L281" s="55"/>
      <c r="M281" s="55"/>
      <c r="N281" s="55"/>
      <c r="O281" s="56"/>
      <c r="P281" s="31" t="n">
        <f aca="false">B281+C281+D281</f>
        <v>0</v>
      </c>
      <c r="Q281" s="31" t="n">
        <f aca="false">AA281+AB281+AC281</f>
        <v>0</v>
      </c>
      <c r="R281" s="32" t="n">
        <f aca="false">B281*P1_PVP+C281*P2_PVP+D281*IF($A281&lt;P3_DESDE,P3A_PVP,P3_PVP)</f>
        <v>0</v>
      </c>
      <c r="S281" s="32" t="str">
        <f aca="false">IF(P281&gt;0,R281/P281,"")</f>
        <v/>
      </c>
      <c r="T281" s="32" t="str">
        <f aca="false">IF(P281&gt;0,N281/P281,"")</f>
        <v/>
      </c>
      <c r="U281" s="57" t="str">
        <f aca="false">IF(N281&gt;0,R281/N281,"")</f>
        <v/>
      </c>
      <c r="V281" s="34" t="str">
        <f aca="false">IF(E281+F281+G281+H281+I281+J281&gt;0,(E281+F281+G281)/(E281+F281+G281+H281+I281+J281),"")</f>
        <v/>
      </c>
      <c r="W281" s="33" t="n">
        <f aca="false">E281*(P1_PVP-P1_CPROD)+F281*(P2_PVP-P2_CPROD)+G281*(IF($A281&lt;P3_DESDE,P3A_PVP,P3_PVP)-IF($A281&lt;P3_DESDE,P3A_CPROD,P3_CPROD))-IF(ISNUMBER(L281),L281,E281*P1_LOG+F281*P2_LOG+G281*P3_LOG)</f>
        <v>0</v>
      </c>
      <c r="X281" s="33" t="n">
        <f aca="false">W281-(E281*P1_IVAN+F281*P2_IVAN+G281*IF($A281&lt;P3_DESDE,P3A_IVAN,P3_IVAN))-(H281+I281+J281)*(COSTE_DEV-IVA_DEV)-AM281-AO281</f>
        <v>0</v>
      </c>
      <c r="Y281" s="33" t="n">
        <f aca="false">AH281-AI281-AJ281-AK281-AL281-AM281-AO281</f>
        <v>0</v>
      </c>
      <c r="AA281" s="58" t="n">
        <f aca="false">MAX(0,B281-E281-H281)</f>
        <v>0</v>
      </c>
      <c r="AB281" s="58" t="n">
        <f aca="false">MAX(0,C281-F281-I281)</f>
        <v>0</v>
      </c>
      <c r="AC281" s="58" t="n">
        <f aca="false">MAX(0,D281-G281-J281)</f>
        <v>0</v>
      </c>
      <c r="AD281" s="59" t="n">
        <f aca="false">E281+AA281*AQ281</f>
        <v>0</v>
      </c>
      <c r="AE281" s="59" t="n">
        <f aca="false">F281+AB281*AQ281</f>
        <v>0</v>
      </c>
      <c r="AF281" s="59" t="n">
        <f aca="false">G281+AC281*AQ281</f>
        <v>0</v>
      </c>
      <c r="AG281" s="59" t="n">
        <f aca="false">H281+I281+J281+(AA281+AB281+AC281)*(1-AQ281)</f>
        <v>0</v>
      </c>
      <c r="AH281" s="60" t="n">
        <f aca="false">AD281*P1_PVP+AE281*P2_PVP+AF281*IF($A281&lt;P3_DESDE,P3A_PVP,P3_PVP)</f>
        <v>0</v>
      </c>
      <c r="AI281" s="60" t="n">
        <f aca="false">AD281*P1_CPROD+AE281*P2_CPROD+AF281*IF($A281&lt;P3_DESDE,P3A_CPROD,P3_CPROD)</f>
        <v>0</v>
      </c>
      <c r="AJ281" s="60" t="n">
        <f aca="false">IF(ISNUMBER(L281),L281,E281*P1_LOG+F281*P2_LOG+G281*P3_LOG)+IF(ISNUMBER(M281),M281,AA281*P1_LOG+AB281*P2_LOG+AC281*P3_LOG)*AQ281</f>
        <v>0</v>
      </c>
      <c r="AK281" s="60" t="n">
        <f aca="false">AG281*COSTE_DEV</f>
        <v>0</v>
      </c>
      <c r="AL281" s="60" t="n">
        <f aca="false">AD281*P1_IVAN+AE281*P2_IVAN+AF281*IF($A281&lt;P3_DESDE,P3A_IVAN,P3_IVAN)-AG281*IVA_DEV</f>
        <v>0</v>
      </c>
      <c r="AM281" s="60" t="n">
        <f aca="false">N281*(1+RECARGO_ADS)</f>
        <v>0</v>
      </c>
      <c r="AN281" s="58" t="n">
        <f aca="false">IF(ISNUMBER(L281),E281+F281+G281+AA281+AB281+AC281,0)</f>
        <v>0</v>
      </c>
      <c r="AO281" s="60" t="n">
        <f aca="false">P281*COMISION</f>
        <v>0</v>
      </c>
      <c r="AP281" s="58" t="n">
        <f aca="false">MIN(N(K281),Q281)</f>
        <v>0</v>
      </c>
      <c r="AQ281" s="61" t="n">
        <f aca="false">IF(Q281&gt;0,((Q281-AP281)*AT281+AP281*TASA_INC)/Q281,AT281)</f>
        <v>0.659887072235414</v>
      </c>
      <c r="AR281" s="58" t="n">
        <f aca="false">IF($A281&lt;FECHA_EXPORT,NETWORKDAYS($A281+1,FECHA_EXPORT,FESTIVOS),0)</f>
        <v>0</v>
      </c>
      <c r="AS281" s="61" t="n">
        <f aca="false">IF(AR281&gt;=5,1,INDEX(CDF_INC,1,AR281+1))</f>
        <v>0.14</v>
      </c>
      <c r="AT281" s="61" t="n">
        <f aca="false">TASA_USADA+(TASA_INC-TASA_USADA)*Q_INC*(1-AS281)/(1-Q_INC*AS281)</f>
        <v>0.659887072235414</v>
      </c>
    </row>
    <row r="282" customFormat="false" ht="15" hidden="false" customHeight="false" outlineLevel="0" collapsed="false">
      <c r="A282" s="53" t="n">
        <v>46576</v>
      </c>
      <c r="B282" s="54"/>
      <c r="C282" s="54"/>
      <c r="D282" s="54"/>
      <c r="E282" s="54"/>
      <c r="F282" s="54"/>
      <c r="G282" s="54"/>
      <c r="H282" s="54"/>
      <c r="I282" s="54"/>
      <c r="J282" s="54"/>
      <c r="K282" s="54"/>
      <c r="L282" s="55"/>
      <c r="M282" s="55"/>
      <c r="N282" s="55"/>
      <c r="O282" s="56"/>
      <c r="P282" s="31" t="n">
        <f aca="false">B282+C282+D282</f>
        <v>0</v>
      </c>
      <c r="Q282" s="31" t="n">
        <f aca="false">AA282+AB282+AC282</f>
        <v>0</v>
      </c>
      <c r="R282" s="32" t="n">
        <f aca="false">B282*P1_PVP+C282*P2_PVP+D282*IF($A282&lt;P3_DESDE,P3A_PVP,P3_PVP)</f>
        <v>0</v>
      </c>
      <c r="S282" s="32" t="str">
        <f aca="false">IF(P282&gt;0,R282/P282,"")</f>
        <v/>
      </c>
      <c r="T282" s="32" t="str">
        <f aca="false">IF(P282&gt;0,N282/P282,"")</f>
        <v/>
      </c>
      <c r="U282" s="57" t="str">
        <f aca="false">IF(N282&gt;0,R282/N282,"")</f>
        <v/>
      </c>
      <c r="V282" s="34" t="str">
        <f aca="false">IF(E282+F282+G282+H282+I282+J282&gt;0,(E282+F282+G282)/(E282+F282+G282+H282+I282+J282),"")</f>
        <v/>
      </c>
      <c r="W282" s="33" t="n">
        <f aca="false">E282*(P1_PVP-P1_CPROD)+F282*(P2_PVP-P2_CPROD)+G282*(IF($A282&lt;P3_DESDE,P3A_PVP,P3_PVP)-IF($A282&lt;P3_DESDE,P3A_CPROD,P3_CPROD))-IF(ISNUMBER(L282),L282,E282*P1_LOG+F282*P2_LOG+G282*P3_LOG)</f>
        <v>0</v>
      </c>
      <c r="X282" s="33" t="n">
        <f aca="false">W282-(E282*P1_IVAN+F282*P2_IVAN+G282*IF($A282&lt;P3_DESDE,P3A_IVAN,P3_IVAN))-(H282+I282+J282)*(COSTE_DEV-IVA_DEV)-AM282-AO282</f>
        <v>0</v>
      </c>
      <c r="Y282" s="33" t="n">
        <f aca="false">AH282-AI282-AJ282-AK282-AL282-AM282-AO282</f>
        <v>0</v>
      </c>
      <c r="AA282" s="58" t="n">
        <f aca="false">MAX(0,B282-E282-H282)</f>
        <v>0</v>
      </c>
      <c r="AB282" s="58" t="n">
        <f aca="false">MAX(0,C282-F282-I282)</f>
        <v>0</v>
      </c>
      <c r="AC282" s="58" t="n">
        <f aca="false">MAX(0,D282-G282-J282)</f>
        <v>0</v>
      </c>
      <c r="AD282" s="59" t="n">
        <f aca="false">E282+AA282*AQ282</f>
        <v>0</v>
      </c>
      <c r="AE282" s="59" t="n">
        <f aca="false">F282+AB282*AQ282</f>
        <v>0</v>
      </c>
      <c r="AF282" s="59" t="n">
        <f aca="false">G282+AC282*AQ282</f>
        <v>0</v>
      </c>
      <c r="AG282" s="59" t="n">
        <f aca="false">H282+I282+J282+(AA282+AB282+AC282)*(1-AQ282)</f>
        <v>0</v>
      </c>
      <c r="AH282" s="60" t="n">
        <f aca="false">AD282*P1_PVP+AE282*P2_PVP+AF282*IF($A282&lt;P3_DESDE,P3A_PVP,P3_PVP)</f>
        <v>0</v>
      </c>
      <c r="AI282" s="60" t="n">
        <f aca="false">AD282*P1_CPROD+AE282*P2_CPROD+AF282*IF($A282&lt;P3_DESDE,P3A_CPROD,P3_CPROD)</f>
        <v>0</v>
      </c>
      <c r="AJ282" s="60" t="n">
        <f aca="false">IF(ISNUMBER(L282),L282,E282*P1_LOG+F282*P2_LOG+G282*P3_LOG)+IF(ISNUMBER(M282),M282,AA282*P1_LOG+AB282*P2_LOG+AC282*P3_LOG)*AQ282</f>
        <v>0</v>
      </c>
      <c r="AK282" s="60" t="n">
        <f aca="false">AG282*COSTE_DEV</f>
        <v>0</v>
      </c>
      <c r="AL282" s="60" t="n">
        <f aca="false">AD282*P1_IVAN+AE282*P2_IVAN+AF282*IF($A282&lt;P3_DESDE,P3A_IVAN,P3_IVAN)-AG282*IVA_DEV</f>
        <v>0</v>
      </c>
      <c r="AM282" s="60" t="n">
        <f aca="false">N282*(1+RECARGO_ADS)</f>
        <v>0</v>
      </c>
      <c r="AN282" s="58" t="n">
        <f aca="false">IF(ISNUMBER(L282),E282+F282+G282+AA282+AB282+AC282,0)</f>
        <v>0</v>
      </c>
      <c r="AO282" s="60" t="n">
        <f aca="false">P282*COMISION</f>
        <v>0</v>
      </c>
      <c r="AP282" s="58" t="n">
        <f aca="false">MIN(N(K282),Q282)</f>
        <v>0</v>
      </c>
      <c r="AQ282" s="61" t="n">
        <f aca="false">IF(Q282&gt;0,((Q282-AP282)*AT282+AP282*TASA_INC)/Q282,AT282)</f>
        <v>0.659887072235414</v>
      </c>
      <c r="AR282" s="58" t="n">
        <f aca="false">IF($A282&lt;FECHA_EXPORT,NETWORKDAYS($A282+1,FECHA_EXPORT,FESTIVOS),0)</f>
        <v>0</v>
      </c>
      <c r="AS282" s="61" t="n">
        <f aca="false">IF(AR282&gt;=5,1,INDEX(CDF_INC,1,AR282+1))</f>
        <v>0.14</v>
      </c>
      <c r="AT282" s="61" t="n">
        <f aca="false">TASA_USADA+(TASA_INC-TASA_USADA)*Q_INC*(1-AS282)/(1-Q_INC*AS282)</f>
        <v>0.659887072235414</v>
      </c>
    </row>
    <row r="283" customFormat="false" ht="15" hidden="false" customHeight="false" outlineLevel="0" collapsed="false">
      <c r="A283" s="53" t="n">
        <v>46577</v>
      </c>
      <c r="B283" s="54"/>
      <c r="C283" s="54"/>
      <c r="D283" s="54"/>
      <c r="E283" s="54"/>
      <c r="F283" s="54"/>
      <c r="G283" s="54"/>
      <c r="H283" s="54"/>
      <c r="I283" s="54"/>
      <c r="J283" s="54"/>
      <c r="K283" s="54"/>
      <c r="L283" s="55"/>
      <c r="M283" s="55"/>
      <c r="N283" s="55"/>
      <c r="O283" s="56"/>
      <c r="P283" s="31" t="n">
        <f aca="false">B283+C283+D283</f>
        <v>0</v>
      </c>
      <c r="Q283" s="31" t="n">
        <f aca="false">AA283+AB283+AC283</f>
        <v>0</v>
      </c>
      <c r="R283" s="32" t="n">
        <f aca="false">B283*P1_PVP+C283*P2_PVP+D283*IF($A283&lt;P3_DESDE,P3A_PVP,P3_PVP)</f>
        <v>0</v>
      </c>
      <c r="S283" s="32" t="str">
        <f aca="false">IF(P283&gt;0,R283/P283,"")</f>
        <v/>
      </c>
      <c r="T283" s="32" t="str">
        <f aca="false">IF(P283&gt;0,N283/P283,"")</f>
        <v/>
      </c>
      <c r="U283" s="57" t="str">
        <f aca="false">IF(N283&gt;0,R283/N283,"")</f>
        <v/>
      </c>
      <c r="V283" s="34" t="str">
        <f aca="false">IF(E283+F283+G283+H283+I283+J283&gt;0,(E283+F283+G283)/(E283+F283+G283+H283+I283+J283),"")</f>
        <v/>
      </c>
      <c r="W283" s="33" t="n">
        <f aca="false">E283*(P1_PVP-P1_CPROD)+F283*(P2_PVP-P2_CPROD)+G283*(IF($A283&lt;P3_DESDE,P3A_PVP,P3_PVP)-IF($A283&lt;P3_DESDE,P3A_CPROD,P3_CPROD))-IF(ISNUMBER(L283),L283,E283*P1_LOG+F283*P2_LOG+G283*P3_LOG)</f>
        <v>0</v>
      </c>
      <c r="X283" s="33" t="n">
        <f aca="false">W283-(E283*P1_IVAN+F283*P2_IVAN+G283*IF($A283&lt;P3_DESDE,P3A_IVAN,P3_IVAN))-(H283+I283+J283)*(COSTE_DEV-IVA_DEV)-AM283-AO283</f>
        <v>0</v>
      </c>
      <c r="Y283" s="33" t="n">
        <f aca="false">AH283-AI283-AJ283-AK283-AL283-AM283-AO283</f>
        <v>0</v>
      </c>
      <c r="AA283" s="58" t="n">
        <f aca="false">MAX(0,B283-E283-H283)</f>
        <v>0</v>
      </c>
      <c r="AB283" s="58" t="n">
        <f aca="false">MAX(0,C283-F283-I283)</f>
        <v>0</v>
      </c>
      <c r="AC283" s="58" t="n">
        <f aca="false">MAX(0,D283-G283-J283)</f>
        <v>0</v>
      </c>
      <c r="AD283" s="59" t="n">
        <f aca="false">E283+AA283*AQ283</f>
        <v>0</v>
      </c>
      <c r="AE283" s="59" t="n">
        <f aca="false">F283+AB283*AQ283</f>
        <v>0</v>
      </c>
      <c r="AF283" s="59" t="n">
        <f aca="false">G283+AC283*AQ283</f>
        <v>0</v>
      </c>
      <c r="AG283" s="59" t="n">
        <f aca="false">H283+I283+J283+(AA283+AB283+AC283)*(1-AQ283)</f>
        <v>0</v>
      </c>
      <c r="AH283" s="60" t="n">
        <f aca="false">AD283*P1_PVP+AE283*P2_PVP+AF283*IF($A283&lt;P3_DESDE,P3A_PVP,P3_PVP)</f>
        <v>0</v>
      </c>
      <c r="AI283" s="60" t="n">
        <f aca="false">AD283*P1_CPROD+AE283*P2_CPROD+AF283*IF($A283&lt;P3_DESDE,P3A_CPROD,P3_CPROD)</f>
        <v>0</v>
      </c>
      <c r="AJ283" s="60" t="n">
        <f aca="false">IF(ISNUMBER(L283),L283,E283*P1_LOG+F283*P2_LOG+G283*P3_LOG)+IF(ISNUMBER(M283),M283,AA283*P1_LOG+AB283*P2_LOG+AC283*P3_LOG)*AQ283</f>
        <v>0</v>
      </c>
      <c r="AK283" s="60" t="n">
        <f aca="false">AG283*COSTE_DEV</f>
        <v>0</v>
      </c>
      <c r="AL283" s="60" t="n">
        <f aca="false">AD283*P1_IVAN+AE283*P2_IVAN+AF283*IF($A283&lt;P3_DESDE,P3A_IVAN,P3_IVAN)-AG283*IVA_DEV</f>
        <v>0</v>
      </c>
      <c r="AM283" s="60" t="n">
        <f aca="false">N283*(1+RECARGO_ADS)</f>
        <v>0</v>
      </c>
      <c r="AN283" s="58" t="n">
        <f aca="false">IF(ISNUMBER(L283),E283+F283+G283+AA283+AB283+AC283,0)</f>
        <v>0</v>
      </c>
      <c r="AO283" s="60" t="n">
        <f aca="false">P283*COMISION</f>
        <v>0</v>
      </c>
      <c r="AP283" s="58" t="n">
        <f aca="false">MIN(N(K283),Q283)</f>
        <v>0</v>
      </c>
      <c r="AQ283" s="61" t="n">
        <f aca="false">IF(Q283&gt;0,((Q283-AP283)*AT283+AP283*TASA_INC)/Q283,AT283)</f>
        <v>0.659887072235414</v>
      </c>
      <c r="AR283" s="58" t="n">
        <f aca="false">IF($A283&lt;FECHA_EXPORT,NETWORKDAYS($A283+1,FECHA_EXPORT,FESTIVOS),0)</f>
        <v>0</v>
      </c>
      <c r="AS283" s="61" t="n">
        <f aca="false">IF(AR283&gt;=5,1,INDEX(CDF_INC,1,AR283+1))</f>
        <v>0.14</v>
      </c>
      <c r="AT283" s="61" t="n">
        <f aca="false">TASA_USADA+(TASA_INC-TASA_USADA)*Q_INC*(1-AS283)/(1-Q_INC*AS283)</f>
        <v>0.659887072235414</v>
      </c>
    </row>
    <row r="284" customFormat="false" ht="15" hidden="false" customHeight="false" outlineLevel="0" collapsed="false">
      <c r="A284" s="53" t="n">
        <v>46578</v>
      </c>
      <c r="B284" s="54"/>
      <c r="C284" s="54"/>
      <c r="D284" s="54"/>
      <c r="E284" s="54"/>
      <c r="F284" s="54"/>
      <c r="G284" s="54"/>
      <c r="H284" s="54"/>
      <c r="I284" s="54"/>
      <c r="J284" s="54"/>
      <c r="K284" s="54"/>
      <c r="L284" s="55"/>
      <c r="M284" s="55"/>
      <c r="N284" s="55"/>
      <c r="O284" s="56"/>
      <c r="P284" s="31" t="n">
        <f aca="false">B284+C284+D284</f>
        <v>0</v>
      </c>
      <c r="Q284" s="31" t="n">
        <f aca="false">AA284+AB284+AC284</f>
        <v>0</v>
      </c>
      <c r="R284" s="32" t="n">
        <f aca="false">B284*P1_PVP+C284*P2_PVP+D284*IF($A284&lt;P3_DESDE,P3A_PVP,P3_PVP)</f>
        <v>0</v>
      </c>
      <c r="S284" s="32" t="str">
        <f aca="false">IF(P284&gt;0,R284/P284,"")</f>
        <v/>
      </c>
      <c r="T284" s="32" t="str">
        <f aca="false">IF(P284&gt;0,N284/P284,"")</f>
        <v/>
      </c>
      <c r="U284" s="57" t="str">
        <f aca="false">IF(N284&gt;0,R284/N284,"")</f>
        <v/>
      </c>
      <c r="V284" s="34" t="str">
        <f aca="false">IF(E284+F284+G284+H284+I284+J284&gt;0,(E284+F284+G284)/(E284+F284+G284+H284+I284+J284),"")</f>
        <v/>
      </c>
      <c r="W284" s="33" t="n">
        <f aca="false">E284*(P1_PVP-P1_CPROD)+F284*(P2_PVP-P2_CPROD)+G284*(IF($A284&lt;P3_DESDE,P3A_PVP,P3_PVP)-IF($A284&lt;P3_DESDE,P3A_CPROD,P3_CPROD))-IF(ISNUMBER(L284),L284,E284*P1_LOG+F284*P2_LOG+G284*P3_LOG)</f>
        <v>0</v>
      </c>
      <c r="X284" s="33" t="n">
        <f aca="false">W284-(E284*P1_IVAN+F284*P2_IVAN+G284*IF($A284&lt;P3_DESDE,P3A_IVAN,P3_IVAN))-(H284+I284+J284)*(COSTE_DEV-IVA_DEV)-AM284-AO284</f>
        <v>0</v>
      </c>
      <c r="Y284" s="33" t="n">
        <f aca="false">AH284-AI284-AJ284-AK284-AL284-AM284-AO284</f>
        <v>0</v>
      </c>
      <c r="AA284" s="58" t="n">
        <f aca="false">MAX(0,B284-E284-H284)</f>
        <v>0</v>
      </c>
      <c r="AB284" s="58" t="n">
        <f aca="false">MAX(0,C284-F284-I284)</f>
        <v>0</v>
      </c>
      <c r="AC284" s="58" t="n">
        <f aca="false">MAX(0,D284-G284-J284)</f>
        <v>0</v>
      </c>
      <c r="AD284" s="59" t="n">
        <f aca="false">E284+AA284*AQ284</f>
        <v>0</v>
      </c>
      <c r="AE284" s="59" t="n">
        <f aca="false">F284+AB284*AQ284</f>
        <v>0</v>
      </c>
      <c r="AF284" s="59" t="n">
        <f aca="false">G284+AC284*AQ284</f>
        <v>0</v>
      </c>
      <c r="AG284" s="59" t="n">
        <f aca="false">H284+I284+J284+(AA284+AB284+AC284)*(1-AQ284)</f>
        <v>0</v>
      </c>
      <c r="AH284" s="60" t="n">
        <f aca="false">AD284*P1_PVP+AE284*P2_PVP+AF284*IF($A284&lt;P3_DESDE,P3A_PVP,P3_PVP)</f>
        <v>0</v>
      </c>
      <c r="AI284" s="60" t="n">
        <f aca="false">AD284*P1_CPROD+AE284*P2_CPROD+AF284*IF($A284&lt;P3_DESDE,P3A_CPROD,P3_CPROD)</f>
        <v>0</v>
      </c>
      <c r="AJ284" s="60" t="n">
        <f aca="false">IF(ISNUMBER(L284),L284,E284*P1_LOG+F284*P2_LOG+G284*P3_LOG)+IF(ISNUMBER(M284),M284,AA284*P1_LOG+AB284*P2_LOG+AC284*P3_LOG)*AQ284</f>
        <v>0</v>
      </c>
      <c r="AK284" s="60" t="n">
        <f aca="false">AG284*COSTE_DEV</f>
        <v>0</v>
      </c>
      <c r="AL284" s="60" t="n">
        <f aca="false">AD284*P1_IVAN+AE284*P2_IVAN+AF284*IF($A284&lt;P3_DESDE,P3A_IVAN,P3_IVAN)-AG284*IVA_DEV</f>
        <v>0</v>
      </c>
      <c r="AM284" s="60" t="n">
        <f aca="false">N284*(1+RECARGO_ADS)</f>
        <v>0</v>
      </c>
      <c r="AN284" s="58" t="n">
        <f aca="false">IF(ISNUMBER(L284),E284+F284+G284+AA284+AB284+AC284,0)</f>
        <v>0</v>
      </c>
      <c r="AO284" s="60" t="n">
        <f aca="false">P284*COMISION</f>
        <v>0</v>
      </c>
      <c r="AP284" s="58" t="n">
        <f aca="false">MIN(N(K284),Q284)</f>
        <v>0</v>
      </c>
      <c r="AQ284" s="61" t="n">
        <f aca="false">IF(Q284&gt;0,((Q284-AP284)*AT284+AP284*TASA_INC)/Q284,AT284)</f>
        <v>0.659887072235414</v>
      </c>
      <c r="AR284" s="58" t="n">
        <f aca="false">IF($A284&lt;FECHA_EXPORT,NETWORKDAYS($A284+1,FECHA_EXPORT,FESTIVOS),0)</f>
        <v>0</v>
      </c>
      <c r="AS284" s="61" t="n">
        <f aca="false">IF(AR284&gt;=5,1,INDEX(CDF_INC,1,AR284+1))</f>
        <v>0.14</v>
      </c>
      <c r="AT284" s="61" t="n">
        <f aca="false">TASA_USADA+(TASA_INC-TASA_USADA)*Q_INC*(1-AS284)/(1-Q_INC*AS284)</f>
        <v>0.659887072235414</v>
      </c>
    </row>
    <row r="285" customFormat="false" ht="15" hidden="false" customHeight="false" outlineLevel="0" collapsed="false">
      <c r="A285" s="53" t="n">
        <v>46579</v>
      </c>
      <c r="B285" s="54"/>
      <c r="C285" s="54"/>
      <c r="D285" s="54"/>
      <c r="E285" s="54"/>
      <c r="F285" s="54"/>
      <c r="G285" s="54"/>
      <c r="H285" s="54"/>
      <c r="I285" s="54"/>
      <c r="J285" s="54"/>
      <c r="K285" s="54"/>
      <c r="L285" s="55"/>
      <c r="M285" s="55"/>
      <c r="N285" s="55"/>
      <c r="O285" s="56"/>
      <c r="P285" s="31" t="n">
        <f aca="false">B285+C285+D285</f>
        <v>0</v>
      </c>
      <c r="Q285" s="31" t="n">
        <f aca="false">AA285+AB285+AC285</f>
        <v>0</v>
      </c>
      <c r="R285" s="32" t="n">
        <f aca="false">B285*P1_PVP+C285*P2_PVP+D285*IF($A285&lt;P3_DESDE,P3A_PVP,P3_PVP)</f>
        <v>0</v>
      </c>
      <c r="S285" s="32" t="str">
        <f aca="false">IF(P285&gt;0,R285/P285,"")</f>
        <v/>
      </c>
      <c r="T285" s="32" t="str">
        <f aca="false">IF(P285&gt;0,N285/P285,"")</f>
        <v/>
      </c>
      <c r="U285" s="57" t="str">
        <f aca="false">IF(N285&gt;0,R285/N285,"")</f>
        <v/>
      </c>
      <c r="V285" s="34" t="str">
        <f aca="false">IF(E285+F285+G285+H285+I285+J285&gt;0,(E285+F285+G285)/(E285+F285+G285+H285+I285+J285),"")</f>
        <v/>
      </c>
      <c r="W285" s="33" t="n">
        <f aca="false">E285*(P1_PVP-P1_CPROD)+F285*(P2_PVP-P2_CPROD)+G285*(IF($A285&lt;P3_DESDE,P3A_PVP,P3_PVP)-IF($A285&lt;P3_DESDE,P3A_CPROD,P3_CPROD))-IF(ISNUMBER(L285),L285,E285*P1_LOG+F285*P2_LOG+G285*P3_LOG)</f>
        <v>0</v>
      </c>
      <c r="X285" s="33" t="n">
        <f aca="false">W285-(E285*P1_IVAN+F285*P2_IVAN+G285*IF($A285&lt;P3_DESDE,P3A_IVAN,P3_IVAN))-(H285+I285+J285)*(COSTE_DEV-IVA_DEV)-AM285-AO285</f>
        <v>0</v>
      </c>
      <c r="Y285" s="33" t="n">
        <f aca="false">AH285-AI285-AJ285-AK285-AL285-AM285-AO285</f>
        <v>0</v>
      </c>
      <c r="AA285" s="58" t="n">
        <f aca="false">MAX(0,B285-E285-H285)</f>
        <v>0</v>
      </c>
      <c r="AB285" s="58" t="n">
        <f aca="false">MAX(0,C285-F285-I285)</f>
        <v>0</v>
      </c>
      <c r="AC285" s="58" t="n">
        <f aca="false">MAX(0,D285-G285-J285)</f>
        <v>0</v>
      </c>
      <c r="AD285" s="59" t="n">
        <f aca="false">E285+AA285*AQ285</f>
        <v>0</v>
      </c>
      <c r="AE285" s="59" t="n">
        <f aca="false">F285+AB285*AQ285</f>
        <v>0</v>
      </c>
      <c r="AF285" s="59" t="n">
        <f aca="false">G285+AC285*AQ285</f>
        <v>0</v>
      </c>
      <c r="AG285" s="59" t="n">
        <f aca="false">H285+I285+J285+(AA285+AB285+AC285)*(1-AQ285)</f>
        <v>0</v>
      </c>
      <c r="AH285" s="60" t="n">
        <f aca="false">AD285*P1_PVP+AE285*P2_PVP+AF285*IF($A285&lt;P3_DESDE,P3A_PVP,P3_PVP)</f>
        <v>0</v>
      </c>
      <c r="AI285" s="60" t="n">
        <f aca="false">AD285*P1_CPROD+AE285*P2_CPROD+AF285*IF($A285&lt;P3_DESDE,P3A_CPROD,P3_CPROD)</f>
        <v>0</v>
      </c>
      <c r="AJ285" s="60" t="n">
        <f aca="false">IF(ISNUMBER(L285),L285,E285*P1_LOG+F285*P2_LOG+G285*P3_LOG)+IF(ISNUMBER(M285),M285,AA285*P1_LOG+AB285*P2_LOG+AC285*P3_LOG)*AQ285</f>
        <v>0</v>
      </c>
      <c r="AK285" s="60" t="n">
        <f aca="false">AG285*COSTE_DEV</f>
        <v>0</v>
      </c>
      <c r="AL285" s="60" t="n">
        <f aca="false">AD285*P1_IVAN+AE285*P2_IVAN+AF285*IF($A285&lt;P3_DESDE,P3A_IVAN,P3_IVAN)-AG285*IVA_DEV</f>
        <v>0</v>
      </c>
      <c r="AM285" s="60" t="n">
        <f aca="false">N285*(1+RECARGO_ADS)</f>
        <v>0</v>
      </c>
      <c r="AN285" s="58" t="n">
        <f aca="false">IF(ISNUMBER(L285),E285+F285+G285+AA285+AB285+AC285,0)</f>
        <v>0</v>
      </c>
      <c r="AO285" s="60" t="n">
        <f aca="false">P285*COMISION</f>
        <v>0</v>
      </c>
      <c r="AP285" s="58" t="n">
        <f aca="false">MIN(N(K285),Q285)</f>
        <v>0</v>
      </c>
      <c r="AQ285" s="61" t="n">
        <f aca="false">IF(Q285&gt;0,((Q285-AP285)*AT285+AP285*TASA_INC)/Q285,AT285)</f>
        <v>0.659887072235414</v>
      </c>
      <c r="AR285" s="58" t="n">
        <f aca="false">IF($A285&lt;FECHA_EXPORT,NETWORKDAYS($A285+1,FECHA_EXPORT,FESTIVOS),0)</f>
        <v>0</v>
      </c>
      <c r="AS285" s="61" t="n">
        <f aca="false">IF(AR285&gt;=5,1,INDEX(CDF_INC,1,AR285+1))</f>
        <v>0.14</v>
      </c>
      <c r="AT285" s="61" t="n">
        <f aca="false">TASA_USADA+(TASA_INC-TASA_USADA)*Q_INC*(1-AS285)/(1-Q_INC*AS285)</f>
        <v>0.659887072235414</v>
      </c>
    </row>
    <row r="286" customFormat="false" ht="15" hidden="false" customHeight="false" outlineLevel="0" collapsed="false">
      <c r="A286" s="53" t="n">
        <v>46580</v>
      </c>
      <c r="B286" s="54"/>
      <c r="C286" s="54"/>
      <c r="D286" s="54"/>
      <c r="E286" s="54"/>
      <c r="F286" s="54"/>
      <c r="G286" s="54"/>
      <c r="H286" s="54"/>
      <c r="I286" s="54"/>
      <c r="J286" s="54"/>
      <c r="K286" s="54"/>
      <c r="L286" s="55"/>
      <c r="M286" s="55"/>
      <c r="N286" s="55"/>
      <c r="O286" s="56"/>
      <c r="P286" s="31" t="n">
        <f aca="false">B286+C286+D286</f>
        <v>0</v>
      </c>
      <c r="Q286" s="31" t="n">
        <f aca="false">AA286+AB286+AC286</f>
        <v>0</v>
      </c>
      <c r="R286" s="32" t="n">
        <f aca="false">B286*P1_PVP+C286*P2_PVP+D286*IF($A286&lt;P3_DESDE,P3A_PVP,P3_PVP)</f>
        <v>0</v>
      </c>
      <c r="S286" s="32" t="str">
        <f aca="false">IF(P286&gt;0,R286/P286,"")</f>
        <v/>
      </c>
      <c r="T286" s="32" t="str">
        <f aca="false">IF(P286&gt;0,N286/P286,"")</f>
        <v/>
      </c>
      <c r="U286" s="57" t="str">
        <f aca="false">IF(N286&gt;0,R286/N286,"")</f>
        <v/>
      </c>
      <c r="V286" s="34" t="str">
        <f aca="false">IF(E286+F286+G286+H286+I286+J286&gt;0,(E286+F286+G286)/(E286+F286+G286+H286+I286+J286),"")</f>
        <v/>
      </c>
      <c r="W286" s="33" t="n">
        <f aca="false">E286*(P1_PVP-P1_CPROD)+F286*(P2_PVP-P2_CPROD)+G286*(IF($A286&lt;P3_DESDE,P3A_PVP,P3_PVP)-IF($A286&lt;P3_DESDE,P3A_CPROD,P3_CPROD))-IF(ISNUMBER(L286),L286,E286*P1_LOG+F286*P2_LOG+G286*P3_LOG)</f>
        <v>0</v>
      </c>
      <c r="X286" s="33" t="n">
        <f aca="false">W286-(E286*P1_IVAN+F286*P2_IVAN+G286*IF($A286&lt;P3_DESDE,P3A_IVAN,P3_IVAN))-(H286+I286+J286)*(COSTE_DEV-IVA_DEV)-AM286-AO286</f>
        <v>0</v>
      </c>
      <c r="Y286" s="33" t="n">
        <f aca="false">AH286-AI286-AJ286-AK286-AL286-AM286-AO286</f>
        <v>0</v>
      </c>
      <c r="AA286" s="58" t="n">
        <f aca="false">MAX(0,B286-E286-H286)</f>
        <v>0</v>
      </c>
      <c r="AB286" s="58" t="n">
        <f aca="false">MAX(0,C286-F286-I286)</f>
        <v>0</v>
      </c>
      <c r="AC286" s="58" t="n">
        <f aca="false">MAX(0,D286-G286-J286)</f>
        <v>0</v>
      </c>
      <c r="AD286" s="59" t="n">
        <f aca="false">E286+AA286*AQ286</f>
        <v>0</v>
      </c>
      <c r="AE286" s="59" t="n">
        <f aca="false">F286+AB286*AQ286</f>
        <v>0</v>
      </c>
      <c r="AF286" s="59" t="n">
        <f aca="false">G286+AC286*AQ286</f>
        <v>0</v>
      </c>
      <c r="AG286" s="59" t="n">
        <f aca="false">H286+I286+J286+(AA286+AB286+AC286)*(1-AQ286)</f>
        <v>0</v>
      </c>
      <c r="AH286" s="60" t="n">
        <f aca="false">AD286*P1_PVP+AE286*P2_PVP+AF286*IF($A286&lt;P3_DESDE,P3A_PVP,P3_PVP)</f>
        <v>0</v>
      </c>
      <c r="AI286" s="60" t="n">
        <f aca="false">AD286*P1_CPROD+AE286*P2_CPROD+AF286*IF($A286&lt;P3_DESDE,P3A_CPROD,P3_CPROD)</f>
        <v>0</v>
      </c>
      <c r="AJ286" s="60" t="n">
        <f aca="false">IF(ISNUMBER(L286),L286,E286*P1_LOG+F286*P2_LOG+G286*P3_LOG)+IF(ISNUMBER(M286),M286,AA286*P1_LOG+AB286*P2_LOG+AC286*P3_LOG)*AQ286</f>
        <v>0</v>
      </c>
      <c r="AK286" s="60" t="n">
        <f aca="false">AG286*COSTE_DEV</f>
        <v>0</v>
      </c>
      <c r="AL286" s="60" t="n">
        <f aca="false">AD286*P1_IVAN+AE286*P2_IVAN+AF286*IF($A286&lt;P3_DESDE,P3A_IVAN,P3_IVAN)-AG286*IVA_DEV</f>
        <v>0</v>
      </c>
      <c r="AM286" s="60" t="n">
        <f aca="false">N286*(1+RECARGO_ADS)</f>
        <v>0</v>
      </c>
      <c r="AN286" s="58" t="n">
        <f aca="false">IF(ISNUMBER(L286),E286+F286+G286+AA286+AB286+AC286,0)</f>
        <v>0</v>
      </c>
      <c r="AO286" s="60" t="n">
        <f aca="false">P286*COMISION</f>
        <v>0</v>
      </c>
      <c r="AP286" s="58" t="n">
        <f aca="false">MIN(N(K286),Q286)</f>
        <v>0</v>
      </c>
      <c r="AQ286" s="61" t="n">
        <f aca="false">IF(Q286&gt;0,((Q286-AP286)*AT286+AP286*TASA_INC)/Q286,AT286)</f>
        <v>0.659887072235414</v>
      </c>
      <c r="AR286" s="58" t="n">
        <f aca="false">IF($A286&lt;FECHA_EXPORT,NETWORKDAYS($A286+1,FECHA_EXPORT,FESTIVOS),0)</f>
        <v>0</v>
      </c>
      <c r="AS286" s="61" t="n">
        <f aca="false">IF(AR286&gt;=5,1,INDEX(CDF_INC,1,AR286+1))</f>
        <v>0.14</v>
      </c>
      <c r="AT286" s="61" t="n">
        <f aca="false">TASA_USADA+(TASA_INC-TASA_USADA)*Q_INC*(1-AS286)/(1-Q_INC*AS286)</f>
        <v>0.659887072235414</v>
      </c>
    </row>
    <row r="287" customFormat="false" ht="15" hidden="false" customHeight="false" outlineLevel="0" collapsed="false">
      <c r="A287" s="53" t="n">
        <v>46581</v>
      </c>
      <c r="B287" s="54"/>
      <c r="C287" s="54"/>
      <c r="D287" s="54"/>
      <c r="E287" s="54"/>
      <c r="F287" s="54"/>
      <c r="G287" s="54"/>
      <c r="H287" s="54"/>
      <c r="I287" s="54"/>
      <c r="J287" s="54"/>
      <c r="K287" s="54"/>
      <c r="L287" s="55"/>
      <c r="M287" s="55"/>
      <c r="N287" s="55"/>
      <c r="O287" s="56"/>
      <c r="P287" s="31" t="n">
        <f aca="false">B287+C287+D287</f>
        <v>0</v>
      </c>
      <c r="Q287" s="31" t="n">
        <f aca="false">AA287+AB287+AC287</f>
        <v>0</v>
      </c>
      <c r="R287" s="32" t="n">
        <f aca="false">B287*P1_PVP+C287*P2_PVP+D287*IF($A287&lt;P3_DESDE,P3A_PVP,P3_PVP)</f>
        <v>0</v>
      </c>
      <c r="S287" s="32" t="str">
        <f aca="false">IF(P287&gt;0,R287/P287,"")</f>
        <v/>
      </c>
      <c r="T287" s="32" t="str">
        <f aca="false">IF(P287&gt;0,N287/P287,"")</f>
        <v/>
      </c>
      <c r="U287" s="57" t="str">
        <f aca="false">IF(N287&gt;0,R287/N287,"")</f>
        <v/>
      </c>
      <c r="V287" s="34" t="str">
        <f aca="false">IF(E287+F287+G287+H287+I287+J287&gt;0,(E287+F287+G287)/(E287+F287+G287+H287+I287+J287),"")</f>
        <v/>
      </c>
      <c r="W287" s="33" t="n">
        <f aca="false">E287*(P1_PVP-P1_CPROD)+F287*(P2_PVP-P2_CPROD)+G287*(IF($A287&lt;P3_DESDE,P3A_PVP,P3_PVP)-IF($A287&lt;P3_DESDE,P3A_CPROD,P3_CPROD))-IF(ISNUMBER(L287),L287,E287*P1_LOG+F287*P2_LOG+G287*P3_LOG)</f>
        <v>0</v>
      </c>
      <c r="X287" s="33" t="n">
        <f aca="false">W287-(E287*P1_IVAN+F287*P2_IVAN+G287*IF($A287&lt;P3_DESDE,P3A_IVAN,P3_IVAN))-(H287+I287+J287)*(COSTE_DEV-IVA_DEV)-AM287-AO287</f>
        <v>0</v>
      </c>
      <c r="Y287" s="33" t="n">
        <f aca="false">AH287-AI287-AJ287-AK287-AL287-AM287-AO287</f>
        <v>0</v>
      </c>
      <c r="AA287" s="58" t="n">
        <f aca="false">MAX(0,B287-E287-H287)</f>
        <v>0</v>
      </c>
      <c r="AB287" s="58" t="n">
        <f aca="false">MAX(0,C287-F287-I287)</f>
        <v>0</v>
      </c>
      <c r="AC287" s="58" t="n">
        <f aca="false">MAX(0,D287-G287-J287)</f>
        <v>0</v>
      </c>
      <c r="AD287" s="59" t="n">
        <f aca="false">E287+AA287*AQ287</f>
        <v>0</v>
      </c>
      <c r="AE287" s="59" t="n">
        <f aca="false">F287+AB287*AQ287</f>
        <v>0</v>
      </c>
      <c r="AF287" s="59" t="n">
        <f aca="false">G287+AC287*AQ287</f>
        <v>0</v>
      </c>
      <c r="AG287" s="59" t="n">
        <f aca="false">H287+I287+J287+(AA287+AB287+AC287)*(1-AQ287)</f>
        <v>0</v>
      </c>
      <c r="AH287" s="60" t="n">
        <f aca="false">AD287*P1_PVP+AE287*P2_PVP+AF287*IF($A287&lt;P3_DESDE,P3A_PVP,P3_PVP)</f>
        <v>0</v>
      </c>
      <c r="AI287" s="60" t="n">
        <f aca="false">AD287*P1_CPROD+AE287*P2_CPROD+AF287*IF($A287&lt;P3_DESDE,P3A_CPROD,P3_CPROD)</f>
        <v>0</v>
      </c>
      <c r="AJ287" s="60" t="n">
        <f aca="false">IF(ISNUMBER(L287),L287,E287*P1_LOG+F287*P2_LOG+G287*P3_LOG)+IF(ISNUMBER(M287),M287,AA287*P1_LOG+AB287*P2_LOG+AC287*P3_LOG)*AQ287</f>
        <v>0</v>
      </c>
      <c r="AK287" s="60" t="n">
        <f aca="false">AG287*COSTE_DEV</f>
        <v>0</v>
      </c>
      <c r="AL287" s="60" t="n">
        <f aca="false">AD287*P1_IVAN+AE287*P2_IVAN+AF287*IF($A287&lt;P3_DESDE,P3A_IVAN,P3_IVAN)-AG287*IVA_DEV</f>
        <v>0</v>
      </c>
      <c r="AM287" s="60" t="n">
        <f aca="false">N287*(1+RECARGO_ADS)</f>
        <v>0</v>
      </c>
      <c r="AN287" s="58" t="n">
        <f aca="false">IF(ISNUMBER(L287),E287+F287+G287+AA287+AB287+AC287,0)</f>
        <v>0</v>
      </c>
      <c r="AO287" s="60" t="n">
        <f aca="false">P287*COMISION</f>
        <v>0</v>
      </c>
      <c r="AP287" s="58" t="n">
        <f aca="false">MIN(N(K287),Q287)</f>
        <v>0</v>
      </c>
      <c r="AQ287" s="61" t="n">
        <f aca="false">IF(Q287&gt;0,((Q287-AP287)*AT287+AP287*TASA_INC)/Q287,AT287)</f>
        <v>0.659887072235414</v>
      </c>
      <c r="AR287" s="58" t="n">
        <f aca="false">IF($A287&lt;FECHA_EXPORT,NETWORKDAYS($A287+1,FECHA_EXPORT,FESTIVOS),0)</f>
        <v>0</v>
      </c>
      <c r="AS287" s="61" t="n">
        <f aca="false">IF(AR287&gt;=5,1,INDEX(CDF_INC,1,AR287+1))</f>
        <v>0.14</v>
      </c>
      <c r="AT287" s="61" t="n">
        <f aca="false">TASA_USADA+(TASA_INC-TASA_USADA)*Q_INC*(1-AS287)/(1-Q_INC*AS287)</f>
        <v>0.659887072235414</v>
      </c>
    </row>
    <row r="288" customFormat="false" ht="15" hidden="false" customHeight="false" outlineLevel="0" collapsed="false">
      <c r="A288" s="53" t="n">
        <v>46582</v>
      </c>
      <c r="B288" s="54"/>
      <c r="C288" s="54"/>
      <c r="D288" s="54"/>
      <c r="E288" s="54"/>
      <c r="F288" s="54"/>
      <c r="G288" s="54"/>
      <c r="H288" s="54"/>
      <c r="I288" s="54"/>
      <c r="J288" s="54"/>
      <c r="K288" s="54"/>
      <c r="L288" s="55"/>
      <c r="M288" s="55"/>
      <c r="N288" s="55"/>
      <c r="O288" s="56"/>
      <c r="P288" s="31" t="n">
        <f aca="false">B288+C288+D288</f>
        <v>0</v>
      </c>
      <c r="Q288" s="31" t="n">
        <f aca="false">AA288+AB288+AC288</f>
        <v>0</v>
      </c>
      <c r="R288" s="32" t="n">
        <f aca="false">B288*P1_PVP+C288*P2_PVP+D288*IF($A288&lt;P3_DESDE,P3A_PVP,P3_PVP)</f>
        <v>0</v>
      </c>
      <c r="S288" s="32" t="str">
        <f aca="false">IF(P288&gt;0,R288/P288,"")</f>
        <v/>
      </c>
      <c r="T288" s="32" t="str">
        <f aca="false">IF(P288&gt;0,N288/P288,"")</f>
        <v/>
      </c>
      <c r="U288" s="57" t="str">
        <f aca="false">IF(N288&gt;0,R288/N288,"")</f>
        <v/>
      </c>
      <c r="V288" s="34" t="str">
        <f aca="false">IF(E288+F288+G288+H288+I288+J288&gt;0,(E288+F288+G288)/(E288+F288+G288+H288+I288+J288),"")</f>
        <v/>
      </c>
      <c r="W288" s="33" t="n">
        <f aca="false">E288*(P1_PVP-P1_CPROD)+F288*(P2_PVP-P2_CPROD)+G288*(IF($A288&lt;P3_DESDE,P3A_PVP,P3_PVP)-IF($A288&lt;P3_DESDE,P3A_CPROD,P3_CPROD))-IF(ISNUMBER(L288),L288,E288*P1_LOG+F288*P2_LOG+G288*P3_LOG)</f>
        <v>0</v>
      </c>
      <c r="X288" s="33" t="n">
        <f aca="false">W288-(E288*P1_IVAN+F288*P2_IVAN+G288*IF($A288&lt;P3_DESDE,P3A_IVAN,P3_IVAN))-(H288+I288+J288)*(COSTE_DEV-IVA_DEV)-AM288-AO288</f>
        <v>0</v>
      </c>
      <c r="Y288" s="33" t="n">
        <f aca="false">AH288-AI288-AJ288-AK288-AL288-AM288-AO288</f>
        <v>0</v>
      </c>
      <c r="AA288" s="58" t="n">
        <f aca="false">MAX(0,B288-E288-H288)</f>
        <v>0</v>
      </c>
      <c r="AB288" s="58" t="n">
        <f aca="false">MAX(0,C288-F288-I288)</f>
        <v>0</v>
      </c>
      <c r="AC288" s="58" t="n">
        <f aca="false">MAX(0,D288-G288-J288)</f>
        <v>0</v>
      </c>
      <c r="AD288" s="59" t="n">
        <f aca="false">E288+AA288*AQ288</f>
        <v>0</v>
      </c>
      <c r="AE288" s="59" t="n">
        <f aca="false">F288+AB288*AQ288</f>
        <v>0</v>
      </c>
      <c r="AF288" s="59" t="n">
        <f aca="false">G288+AC288*AQ288</f>
        <v>0</v>
      </c>
      <c r="AG288" s="59" t="n">
        <f aca="false">H288+I288+J288+(AA288+AB288+AC288)*(1-AQ288)</f>
        <v>0</v>
      </c>
      <c r="AH288" s="60" t="n">
        <f aca="false">AD288*P1_PVP+AE288*P2_PVP+AF288*IF($A288&lt;P3_DESDE,P3A_PVP,P3_PVP)</f>
        <v>0</v>
      </c>
      <c r="AI288" s="60" t="n">
        <f aca="false">AD288*P1_CPROD+AE288*P2_CPROD+AF288*IF($A288&lt;P3_DESDE,P3A_CPROD,P3_CPROD)</f>
        <v>0</v>
      </c>
      <c r="AJ288" s="60" t="n">
        <f aca="false">IF(ISNUMBER(L288),L288,E288*P1_LOG+F288*P2_LOG+G288*P3_LOG)+IF(ISNUMBER(M288),M288,AA288*P1_LOG+AB288*P2_LOG+AC288*P3_LOG)*AQ288</f>
        <v>0</v>
      </c>
      <c r="AK288" s="60" t="n">
        <f aca="false">AG288*COSTE_DEV</f>
        <v>0</v>
      </c>
      <c r="AL288" s="60" t="n">
        <f aca="false">AD288*P1_IVAN+AE288*P2_IVAN+AF288*IF($A288&lt;P3_DESDE,P3A_IVAN,P3_IVAN)-AG288*IVA_DEV</f>
        <v>0</v>
      </c>
      <c r="AM288" s="60" t="n">
        <f aca="false">N288*(1+RECARGO_ADS)</f>
        <v>0</v>
      </c>
      <c r="AN288" s="58" t="n">
        <f aca="false">IF(ISNUMBER(L288),E288+F288+G288+AA288+AB288+AC288,0)</f>
        <v>0</v>
      </c>
      <c r="AO288" s="60" t="n">
        <f aca="false">P288*COMISION</f>
        <v>0</v>
      </c>
      <c r="AP288" s="58" t="n">
        <f aca="false">MIN(N(K288),Q288)</f>
        <v>0</v>
      </c>
      <c r="AQ288" s="61" t="n">
        <f aca="false">IF(Q288&gt;0,((Q288-AP288)*AT288+AP288*TASA_INC)/Q288,AT288)</f>
        <v>0.659887072235414</v>
      </c>
      <c r="AR288" s="58" t="n">
        <f aca="false">IF($A288&lt;FECHA_EXPORT,NETWORKDAYS($A288+1,FECHA_EXPORT,FESTIVOS),0)</f>
        <v>0</v>
      </c>
      <c r="AS288" s="61" t="n">
        <f aca="false">IF(AR288&gt;=5,1,INDEX(CDF_INC,1,AR288+1))</f>
        <v>0.14</v>
      </c>
      <c r="AT288" s="61" t="n">
        <f aca="false">TASA_USADA+(TASA_INC-TASA_USADA)*Q_INC*(1-AS288)/(1-Q_INC*AS288)</f>
        <v>0.659887072235414</v>
      </c>
    </row>
    <row r="289" customFormat="false" ht="15" hidden="false" customHeight="false" outlineLevel="0" collapsed="false">
      <c r="A289" s="53" t="n">
        <v>46583</v>
      </c>
      <c r="B289" s="54"/>
      <c r="C289" s="54"/>
      <c r="D289" s="54"/>
      <c r="E289" s="54"/>
      <c r="F289" s="54"/>
      <c r="G289" s="54"/>
      <c r="H289" s="54"/>
      <c r="I289" s="54"/>
      <c r="J289" s="54"/>
      <c r="K289" s="54"/>
      <c r="L289" s="55"/>
      <c r="M289" s="55"/>
      <c r="N289" s="55"/>
      <c r="O289" s="56"/>
      <c r="P289" s="31" t="n">
        <f aca="false">B289+C289+D289</f>
        <v>0</v>
      </c>
      <c r="Q289" s="31" t="n">
        <f aca="false">AA289+AB289+AC289</f>
        <v>0</v>
      </c>
      <c r="R289" s="32" t="n">
        <f aca="false">B289*P1_PVP+C289*P2_PVP+D289*IF($A289&lt;P3_DESDE,P3A_PVP,P3_PVP)</f>
        <v>0</v>
      </c>
      <c r="S289" s="32" t="str">
        <f aca="false">IF(P289&gt;0,R289/P289,"")</f>
        <v/>
      </c>
      <c r="T289" s="32" t="str">
        <f aca="false">IF(P289&gt;0,N289/P289,"")</f>
        <v/>
      </c>
      <c r="U289" s="57" t="str">
        <f aca="false">IF(N289&gt;0,R289/N289,"")</f>
        <v/>
      </c>
      <c r="V289" s="34" t="str">
        <f aca="false">IF(E289+F289+G289+H289+I289+J289&gt;0,(E289+F289+G289)/(E289+F289+G289+H289+I289+J289),"")</f>
        <v/>
      </c>
      <c r="W289" s="33" t="n">
        <f aca="false">E289*(P1_PVP-P1_CPROD)+F289*(P2_PVP-P2_CPROD)+G289*(IF($A289&lt;P3_DESDE,P3A_PVP,P3_PVP)-IF($A289&lt;P3_DESDE,P3A_CPROD,P3_CPROD))-IF(ISNUMBER(L289),L289,E289*P1_LOG+F289*P2_LOG+G289*P3_LOG)</f>
        <v>0</v>
      </c>
      <c r="X289" s="33" t="n">
        <f aca="false">W289-(E289*P1_IVAN+F289*P2_IVAN+G289*IF($A289&lt;P3_DESDE,P3A_IVAN,P3_IVAN))-(H289+I289+J289)*(COSTE_DEV-IVA_DEV)-AM289-AO289</f>
        <v>0</v>
      </c>
      <c r="Y289" s="33" t="n">
        <f aca="false">AH289-AI289-AJ289-AK289-AL289-AM289-AO289</f>
        <v>0</v>
      </c>
      <c r="AA289" s="58" t="n">
        <f aca="false">MAX(0,B289-E289-H289)</f>
        <v>0</v>
      </c>
      <c r="AB289" s="58" t="n">
        <f aca="false">MAX(0,C289-F289-I289)</f>
        <v>0</v>
      </c>
      <c r="AC289" s="58" t="n">
        <f aca="false">MAX(0,D289-G289-J289)</f>
        <v>0</v>
      </c>
      <c r="AD289" s="59" t="n">
        <f aca="false">E289+AA289*AQ289</f>
        <v>0</v>
      </c>
      <c r="AE289" s="59" t="n">
        <f aca="false">F289+AB289*AQ289</f>
        <v>0</v>
      </c>
      <c r="AF289" s="59" t="n">
        <f aca="false">G289+AC289*AQ289</f>
        <v>0</v>
      </c>
      <c r="AG289" s="59" t="n">
        <f aca="false">H289+I289+J289+(AA289+AB289+AC289)*(1-AQ289)</f>
        <v>0</v>
      </c>
      <c r="AH289" s="60" t="n">
        <f aca="false">AD289*P1_PVP+AE289*P2_PVP+AF289*IF($A289&lt;P3_DESDE,P3A_PVP,P3_PVP)</f>
        <v>0</v>
      </c>
      <c r="AI289" s="60" t="n">
        <f aca="false">AD289*P1_CPROD+AE289*P2_CPROD+AF289*IF($A289&lt;P3_DESDE,P3A_CPROD,P3_CPROD)</f>
        <v>0</v>
      </c>
      <c r="AJ289" s="60" t="n">
        <f aca="false">IF(ISNUMBER(L289),L289,E289*P1_LOG+F289*P2_LOG+G289*P3_LOG)+IF(ISNUMBER(M289),M289,AA289*P1_LOG+AB289*P2_LOG+AC289*P3_LOG)*AQ289</f>
        <v>0</v>
      </c>
      <c r="AK289" s="60" t="n">
        <f aca="false">AG289*COSTE_DEV</f>
        <v>0</v>
      </c>
      <c r="AL289" s="60" t="n">
        <f aca="false">AD289*P1_IVAN+AE289*P2_IVAN+AF289*IF($A289&lt;P3_DESDE,P3A_IVAN,P3_IVAN)-AG289*IVA_DEV</f>
        <v>0</v>
      </c>
      <c r="AM289" s="60" t="n">
        <f aca="false">N289*(1+RECARGO_ADS)</f>
        <v>0</v>
      </c>
      <c r="AN289" s="58" t="n">
        <f aca="false">IF(ISNUMBER(L289),E289+F289+G289+AA289+AB289+AC289,0)</f>
        <v>0</v>
      </c>
      <c r="AO289" s="60" t="n">
        <f aca="false">P289*COMISION</f>
        <v>0</v>
      </c>
      <c r="AP289" s="58" t="n">
        <f aca="false">MIN(N(K289),Q289)</f>
        <v>0</v>
      </c>
      <c r="AQ289" s="61" t="n">
        <f aca="false">IF(Q289&gt;0,((Q289-AP289)*AT289+AP289*TASA_INC)/Q289,AT289)</f>
        <v>0.659887072235414</v>
      </c>
      <c r="AR289" s="58" t="n">
        <f aca="false">IF($A289&lt;FECHA_EXPORT,NETWORKDAYS($A289+1,FECHA_EXPORT,FESTIVOS),0)</f>
        <v>0</v>
      </c>
      <c r="AS289" s="61" t="n">
        <f aca="false">IF(AR289&gt;=5,1,INDEX(CDF_INC,1,AR289+1))</f>
        <v>0.14</v>
      </c>
      <c r="AT289" s="61" t="n">
        <f aca="false">TASA_USADA+(TASA_INC-TASA_USADA)*Q_INC*(1-AS289)/(1-Q_INC*AS289)</f>
        <v>0.659887072235414</v>
      </c>
    </row>
    <row r="290" customFormat="false" ht="15" hidden="false" customHeight="false" outlineLevel="0" collapsed="false">
      <c r="A290" s="53" t="n">
        <v>46584</v>
      </c>
      <c r="B290" s="54"/>
      <c r="C290" s="54"/>
      <c r="D290" s="54"/>
      <c r="E290" s="54"/>
      <c r="F290" s="54"/>
      <c r="G290" s="54"/>
      <c r="H290" s="54"/>
      <c r="I290" s="54"/>
      <c r="J290" s="54"/>
      <c r="K290" s="54"/>
      <c r="L290" s="55"/>
      <c r="M290" s="55"/>
      <c r="N290" s="55"/>
      <c r="O290" s="56"/>
      <c r="P290" s="31" t="n">
        <f aca="false">B290+C290+D290</f>
        <v>0</v>
      </c>
      <c r="Q290" s="31" t="n">
        <f aca="false">AA290+AB290+AC290</f>
        <v>0</v>
      </c>
      <c r="R290" s="32" t="n">
        <f aca="false">B290*P1_PVP+C290*P2_PVP+D290*IF($A290&lt;P3_DESDE,P3A_PVP,P3_PVP)</f>
        <v>0</v>
      </c>
      <c r="S290" s="32" t="str">
        <f aca="false">IF(P290&gt;0,R290/P290,"")</f>
        <v/>
      </c>
      <c r="T290" s="32" t="str">
        <f aca="false">IF(P290&gt;0,N290/P290,"")</f>
        <v/>
      </c>
      <c r="U290" s="57" t="str">
        <f aca="false">IF(N290&gt;0,R290/N290,"")</f>
        <v/>
      </c>
      <c r="V290" s="34" t="str">
        <f aca="false">IF(E290+F290+G290+H290+I290+J290&gt;0,(E290+F290+G290)/(E290+F290+G290+H290+I290+J290),"")</f>
        <v/>
      </c>
      <c r="W290" s="33" t="n">
        <f aca="false">E290*(P1_PVP-P1_CPROD)+F290*(P2_PVP-P2_CPROD)+G290*(IF($A290&lt;P3_DESDE,P3A_PVP,P3_PVP)-IF($A290&lt;P3_DESDE,P3A_CPROD,P3_CPROD))-IF(ISNUMBER(L290),L290,E290*P1_LOG+F290*P2_LOG+G290*P3_LOG)</f>
        <v>0</v>
      </c>
      <c r="X290" s="33" t="n">
        <f aca="false">W290-(E290*P1_IVAN+F290*P2_IVAN+G290*IF($A290&lt;P3_DESDE,P3A_IVAN,P3_IVAN))-(H290+I290+J290)*(COSTE_DEV-IVA_DEV)-AM290-AO290</f>
        <v>0</v>
      </c>
      <c r="Y290" s="33" t="n">
        <f aca="false">AH290-AI290-AJ290-AK290-AL290-AM290-AO290</f>
        <v>0</v>
      </c>
      <c r="AA290" s="58" t="n">
        <f aca="false">MAX(0,B290-E290-H290)</f>
        <v>0</v>
      </c>
      <c r="AB290" s="58" t="n">
        <f aca="false">MAX(0,C290-F290-I290)</f>
        <v>0</v>
      </c>
      <c r="AC290" s="58" t="n">
        <f aca="false">MAX(0,D290-G290-J290)</f>
        <v>0</v>
      </c>
      <c r="AD290" s="59" t="n">
        <f aca="false">E290+AA290*AQ290</f>
        <v>0</v>
      </c>
      <c r="AE290" s="59" t="n">
        <f aca="false">F290+AB290*AQ290</f>
        <v>0</v>
      </c>
      <c r="AF290" s="59" t="n">
        <f aca="false">G290+AC290*AQ290</f>
        <v>0</v>
      </c>
      <c r="AG290" s="59" t="n">
        <f aca="false">H290+I290+J290+(AA290+AB290+AC290)*(1-AQ290)</f>
        <v>0</v>
      </c>
      <c r="AH290" s="60" t="n">
        <f aca="false">AD290*P1_PVP+AE290*P2_PVP+AF290*IF($A290&lt;P3_DESDE,P3A_PVP,P3_PVP)</f>
        <v>0</v>
      </c>
      <c r="AI290" s="60" t="n">
        <f aca="false">AD290*P1_CPROD+AE290*P2_CPROD+AF290*IF($A290&lt;P3_DESDE,P3A_CPROD,P3_CPROD)</f>
        <v>0</v>
      </c>
      <c r="AJ290" s="60" t="n">
        <f aca="false">IF(ISNUMBER(L290),L290,E290*P1_LOG+F290*P2_LOG+G290*P3_LOG)+IF(ISNUMBER(M290),M290,AA290*P1_LOG+AB290*P2_LOG+AC290*P3_LOG)*AQ290</f>
        <v>0</v>
      </c>
      <c r="AK290" s="60" t="n">
        <f aca="false">AG290*COSTE_DEV</f>
        <v>0</v>
      </c>
      <c r="AL290" s="60" t="n">
        <f aca="false">AD290*P1_IVAN+AE290*P2_IVAN+AF290*IF($A290&lt;P3_DESDE,P3A_IVAN,P3_IVAN)-AG290*IVA_DEV</f>
        <v>0</v>
      </c>
      <c r="AM290" s="60" t="n">
        <f aca="false">N290*(1+RECARGO_ADS)</f>
        <v>0</v>
      </c>
      <c r="AN290" s="58" t="n">
        <f aca="false">IF(ISNUMBER(L290),E290+F290+G290+AA290+AB290+AC290,0)</f>
        <v>0</v>
      </c>
      <c r="AO290" s="60" t="n">
        <f aca="false">P290*COMISION</f>
        <v>0</v>
      </c>
      <c r="AP290" s="58" t="n">
        <f aca="false">MIN(N(K290),Q290)</f>
        <v>0</v>
      </c>
      <c r="AQ290" s="61" t="n">
        <f aca="false">IF(Q290&gt;0,((Q290-AP290)*AT290+AP290*TASA_INC)/Q290,AT290)</f>
        <v>0.659887072235414</v>
      </c>
      <c r="AR290" s="58" t="n">
        <f aca="false">IF($A290&lt;FECHA_EXPORT,NETWORKDAYS($A290+1,FECHA_EXPORT,FESTIVOS),0)</f>
        <v>0</v>
      </c>
      <c r="AS290" s="61" t="n">
        <f aca="false">IF(AR290&gt;=5,1,INDEX(CDF_INC,1,AR290+1))</f>
        <v>0.14</v>
      </c>
      <c r="AT290" s="61" t="n">
        <f aca="false">TASA_USADA+(TASA_INC-TASA_USADA)*Q_INC*(1-AS290)/(1-Q_INC*AS290)</f>
        <v>0.659887072235414</v>
      </c>
    </row>
    <row r="291" customFormat="false" ht="15" hidden="false" customHeight="false" outlineLevel="0" collapsed="false">
      <c r="A291" s="53" t="n">
        <v>46585</v>
      </c>
      <c r="B291" s="54"/>
      <c r="C291" s="54"/>
      <c r="D291" s="54"/>
      <c r="E291" s="54"/>
      <c r="F291" s="54"/>
      <c r="G291" s="54"/>
      <c r="H291" s="54"/>
      <c r="I291" s="54"/>
      <c r="J291" s="54"/>
      <c r="K291" s="54"/>
      <c r="L291" s="55"/>
      <c r="M291" s="55"/>
      <c r="N291" s="55"/>
      <c r="O291" s="56"/>
      <c r="P291" s="31" t="n">
        <f aca="false">B291+C291+D291</f>
        <v>0</v>
      </c>
      <c r="Q291" s="31" t="n">
        <f aca="false">AA291+AB291+AC291</f>
        <v>0</v>
      </c>
      <c r="R291" s="32" t="n">
        <f aca="false">B291*P1_PVP+C291*P2_PVP+D291*IF($A291&lt;P3_DESDE,P3A_PVP,P3_PVP)</f>
        <v>0</v>
      </c>
      <c r="S291" s="32" t="str">
        <f aca="false">IF(P291&gt;0,R291/P291,"")</f>
        <v/>
      </c>
      <c r="T291" s="32" t="str">
        <f aca="false">IF(P291&gt;0,N291/P291,"")</f>
        <v/>
      </c>
      <c r="U291" s="57" t="str">
        <f aca="false">IF(N291&gt;0,R291/N291,"")</f>
        <v/>
      </c>
      <c r="V291" s="34" t="str">
        <f aca="false">IF(E291+F291+G291+H291+I291+J291&gt;0,(E291+F291+G291)/(E291+F291+G291+H291+I291+J291),"")</f>
        <v/>
      </c>
      <c r="W291" s="33" t="n">
        <f aca="false">E291*(P1_PVP-P1_CPROD)+F291*(P2_PVP-P2_CPROD)+G291*(IF($A291&lt;P3_DESDE,P3A_PVP,P3_PVP)-IF($A291&lt;P3_DESDE,P3A_CPROD,P3_CPROD))-IF(ISNUMBER(L291),L291,E291*P1_LOG+F291*P2_LOG+G291*P3_LOG)</f>
        <v>0</v>
      </c>
      <c r="X291" s="33" t="n">
        <f aca="false">W291-(E291*P1_IVAN+F291*P2_IVAN+G291*IF($A291&lt;P3_DESDE,P3A_IVAN,P3_IVAN))-(H291+I291+J291)*(COSTE_DEV-IVA_DEV)-AM291-AO291</f>
        <v>0</v>
      </c>
      <c r="Y291" s="33" t="n">
        <f aca="false">AH291-AI291-AJ291-AK291-AL291-AM291-AO291</f>
        <v>0</v>
      </c>
      <c r="AA291" s="58" t="n">
        <f aca="false">MAX(0,B291-E291-H291)</f>
        <v>0</v>
      </c>
      <c r="AB291" s="58" t="n">
        <f aca="false">MAX(0,C291-F291-I291)</f>
        <v>0</v>
      </c>
      <c r="AC291" s="58" t="n">
        <f aca="false">MAX(0,D291-G291-J291)</f>
        <v>0</v>
      </c>
      <c r="AD291" s="59" t="n">
        <f aca="false">E291+AA291*AQ291</f>
        <v>0</v>
      </c>
      <c r="AE291" s="59" t="n">
        <f aca="false">F291+AB291*AQ291</f>
        <v>0</v>
      </c>
      <c r="AF291" s="59" t="n">
        <f aca="false">G291+AC291*AQ291</f>
        <v>0</v>
      </c>
      <c r="AG291" s="59" t="n">
        <f aca="false">H291+I291+J291+(AA291+AB291+AC291)*(1-AQ291)</f>
        <v>0</v>
      </c>
      <c r="AH291" s="60" t="n">
        <f aca="false">AD291*P1_PVP+AE291*P2_PVP+AF291*IF($A291&lt;P3_DESDE,P3A_PVP,P3_PVP)</f>
        <v>0</v>
      </c>
      <c r="AI291" s="60" t="n">
        <f aca="false">AD291*P1_CPROD+AE291*P2_CPROD+AF291*IF($A291&lt;P3_DESDE,P3A_CPROD,P3_CPROD)</f>
        <v>0</v>
      </c>
      <c r="AJ291" s="60" t="n">
        <f aca="false">IF(ISNUMBER(L291),L291,E291*P1_LOG+F291*P2_LOG+G291*P3_LOG)+IF(ISNUMBER(M291),M291,AA291*P1_LOG+AB291*P2_LOG+AC291*P3_LOG)*AQ291</f>
        <v>0</v>
      </c>
      <c r="AK291" s="60" t="n">
        <f aca="false">AG291*COSTE_DEV</f>
        <v>0</v>
      </c>
      <c r="AL291" s="60" t="n">
        <f aca="false">AD291*P1_IVAN+AE291*P2_IVAN+AF291*IF($A291&lt;P3_DESDE,P3A_IVAN,P3_IVAN)-AG291*IVA_DEV</f>
        <v>0</v>
      </c>
      <c r="AM291" s="60" t="n">
        <f aca="false">N291*(1+RECARGO_ADS)</f>
        <v>0</v>
      </c>
      <c r="AN291" s="58" t="n">
        <f aca="false">IF(ISNUMBER(L291),E291+F291+G291+AA291+AB291+AC291,0)</f>
        <v>0</v>
      </c>
      <c r="AO291" s="60" t="n">
        <f aca="false">P291*COMISION</f>
        <v>0</v>
      </c>
      <c r="AP291" s="58" t="n">
        <f aca="false">MIN(N(K291),Q291)</f>
        <v>0</v>
      </c>
      <c r="AQ291" s="61" t="n">
        <f aca="false">IF(Q291&gt;0,((Q291-AP291)*AT291+AP291*TASA_INC)/Q291,AT291)</f>
        <v>0.659887072235414</v>
      </c>
      <c r="AR291" s="58" t="n">
        <f aca="false">IF($A291&lt;FECHA_EXPORT,NETWORKDAYS($A291+1,FECHA_EXPORT,FESTIVOS),0)</f>
        <v>0</v>
      </c>
      <c r="AS291" s="61" t="n">
        <f aca="false">IF(AR291&gt;=5,1,INDEX(CDF_INC,1,AR291+1))</f>
        <v>0.14</v>
      </c>
      <c r="AT291" s="61" t="n">
        <f aca="false">TASA_USADA+(TASA_INC-TASA_USADA)*Q_INC*(1-AS291)/(1-Q_INC*AS291)</f>
        <v>0.659887072235414</v>
      </c>
    </row>
    <row r="292" customFormat="false" ht="15" hidden="false" customHeight="false" outlineLevel="0" collapsed="false">
      <c r="A292" s="53" t="n">
        <v>46586</v>
      </c>
      <c r="B292" s="54"/>
      <c r="C292" s="54"/>
      <c r="D292" s="54"/>
      <c r="E292" s="54"/>
      <c r="F292" s="54"/>
      <c r="G292" s="54"/>
      <c r="H292" s="54"/>
      <c r="I292" s="54"/>
      <c r="J292" s="54"/>
      <c r="K292" s="54"/>
      <c r="L292" s="55"/>
      <c r="M292" s="55"/>
      <c r="N292" s="55"/>
      <c r="O292" s="56"/>
      <c r="P292" s="31" t="n">
        <f aca="false">B292+C292+D292</f>
        <v>0</v>
      </c>
      <c r="Q292" s="31" t="n">
        <f aca="false">AA292+AB292+AC292</f>
        <v>0</v>
      </c>
      <c r="R292" s="32" t="n">
        <f aca="false">B292*P1_PVP+C292*P2_PVP+D292*IF($A292&lt;P3_DESDE,P3A_PVP,P3_PVP)</f>
        <v>0</v>
      </c>
      <c r="S292" s="32" t="str">
        <f aca="false">IF(P292&gt;0,R292/P292,"")</f>
        <v/>
      </c>
      <c r="T292" s="32" t="str">
        <f aca="false">IF(P292&gt;0,N292/P292,"")</f>
        <v/>
      </c>
      <c r="U292" s="57" t="str">
        <f aca="false">IF(N292&gt;0,R292/N292,"")</f>
        <v/>
      </c>
      <c r="V292" s="34" t="str">
        <f aca="false">IF(E292+F292+G292+H292+I292+J292&gt;0,(E292+F292+G292)/(E292+F292+G292+H292+I292+J292),"")</f>
        <v/>
      </c>
      <c r="W292" s="33" t="n">
        <f aca="false">E292*(P1_PVP-P1_CPROD)+F292*(P2_PVP-P2_CPROD)+G292*(IF($A292&lt;P3_DESDE,P3A_PVP,P3_PVP)-IF($A292&lt;P3_DESDE,P3A_CPROD,P3_CPROD))-IF(ISNUMBER(L292),L292,E292*P1_LOG+F292*P2_LOG+G292*P3_LOG)</f>
        <v>0</v>
      </c>
      <c r="X292" s="33" t="n">
        <f aca="false">W292-(E292*P1_IVAN+F292*P2_IVAN+G292*IF($A292&lt;P3_DESDE,P3A_IVAN,P3_IVAN))-(H292+I292+J292)*(COSTE_DEV-IVA_DEV)-AM292-AO292</f>
        <v>0</v>
      </c>
      <c r="Y292" s="33" t="n">
        <f aca="false">AH292-AI292-AJ292-AK292-AL292-AM292-AO292</f>
        <v>0</v>
      </c>
      <c r="AA292" s="58" t="n">
        <f aca="false">MAX(0,B292-E292-H292)</f>
        <v>0</v>
      </c>
      <c r="AB292" s="58" t="n">
        <f aca="false">MAX(0,C292-F292-I292)</f>
        <v>0</v>
      </c>
      <c r="AC292" s="58" t="n">
        <f aca="false">MAX(0,D292-G292-J292)</f>
        <v>0</v>
      </c>
      <c r="AD292" s="59" t="n">
        <f aca="false">E292+AA292*AQ292</f>
        <v>0</v>
      </c>
      <c r="AE292" s="59" t="n">
        <f aca="false">F292+AB292*AQ292</f>
        <v>0</v>
      </c>
      <c r="AF292" s="59" t="n">
        <f aca="false">G292+AC292*AQ292</f>
        <v>0</v>
      </c>
      <c r="AG292" s="59" t="n">
        <f aca="false">H292+I292+J292+(AA292+AB292+AC292)*(1-AQ292)</f>
        <v>0</v>
      </c>
      <c r="AH292" s="60" t="n">
        <f aca="false">AD292*P1_PVP+AE292*P2_PVP+AF292*IF($A292&lt;P3_DESDE,P3A_PVP,P3_PVP)</f>
        <v>0</v>
      </c>
      <c r="AI292" s="60" t="n">
        <f aca="false">AD292*P1_CPROD+AE292*P2_CPROD+AF292*IF($A292&lt;P3_DESDE,P3A_CPROD,P3_CPROD)</f>
        <v>0</v>
      </c>
      <c r="AJ292" s="60" t="n">
        <f aca="false">IF(ISNUMBER(L292),L292,E292*P1_LOG+F292*P2_LOG+G292*P3_LOG)+IF(ISNUMBER(M292),M292,AA292*P1_LOG+AB292*P2_LOG+AC292*P3_LOG)*AQ292</f>
        <v>0</v>
      </c>
      <c r="AK292" s="60" t="n">
        <f aca="false">AG292*COSTE_DEV</f>
        <v>0</v>
      </c>
      <c r="AL292" s="60" t="n">
        <f aca="false">AD292*P1_IVAN+AE292*P2_IVAN+AF292*IF($A292&lt;P3_DESDE,P3A_IVAN,P3_IVAN)-AG292*IVA_DEV</f>
        <v>0</v>
      </c>
      <c r="AM292" s="60" t="n">
        <f aca="false">N292*(1+RECARGO_ADS)</f>
        <v>0</v>
      </c>
      <c r="AN292" s="58" t="n">
        <f aca="false">IF(ISNUMBER(L292),E292+F292+G292+AA292+AB292+AC292,0)</f>
        <v>0</v>
      </c>
      <c r="AO292" s="60" t="n">
        <f aca="false">P292*COMISION</f>
        <v>0</v>
      </c>
      <c r="AP292" s="58" t="n">
        <f aca="false">MIN(N(K292),Q292)</f>
        <v>0</v>
      </c>
      <c r="AQ292" s="61" t="n">
        <f aca="false">IF(Q292&gt;0,((Q292-AP292)*AT292+AP292*TASA_INC)/Q292,AT292)</f>
        <v>0.659887072235414</v>
      </c>
      <c r="AR292" s="58" t="n">
        <f aca="false">IF($A292&lt;FECHA_EXPORT,NETWORKDAYS($A292+1,FECHA_EXPORT,FESTIVOS),0)</f>
        <v>0</v>
      </c>
      <c r="AS292" s="61" t="n">
        <f aca="false">IF(AR292&gt;=5,1,INDEX(CDF_INC,1,AR292+1))</f>
        <v>0.14</v>
      </c>
      <c r="AT292" s="61" t="n">
        <f aca="false">TASA_USADA+(TASA_INC-TASA_USADA)*Q_INC*(1-AS292)/(1-Q_INC*AS292)</f>
        <v>0.659887072235414</v>
      </c>
    </row>
    <row r="293" customFormat="false" ht="15" hidden="false" customHeight="false" outlineLevel="0" collapsed="false">
      <c r="A293" s="53" t="n">
        <v>46587</v>
      </c>
      <c r="B293" s="54"/>
      <c r="C293" s="54"/>
      <c r="D293" s="54"/>
      <c r="E293" s="54"/>
      <c r="F293" s="54"/>
      <c r="G293" s="54"/>
      <c r="H293" s="54"/>
      <c r="I293" s="54"/>
      <c r="J293" s="54"/>
      <c r="K293" s="54"/>
      <c r="L293" s="55"/>
      <c r="M293" s="55"/>
      <c r="N293" s="55"/>
      <c r="O293" s="56"/>
      <c r="P293" s="31" t="n">
        <f aca="false">B293+C293+D293</f>
        <v>0</v>
      </c>
      <c r="Q293" s="31" t="n">
        <f aca="false">AA293+AB293+AC293</f>
        <v>0</v>
      </c>
      <c r="R293" s="32" t="n">
        <f aca="false">B293*P1_PVP+C293*P2_PVP+D293*IF($A293&lt;P3_DESDE,P3A_PVP,P3_PVP)</f>
        <v>0</v>
      </c>
      <c r="S293" s="32" t="str">
        <f aca="false">IF(P293&gt;0,R293/P293,"")</f>
        <v/>
      </c>
      <c r="T293" s="32" t="str">
        <f aca="false">IF(P293&gt;0,N293/P293,"")</f>
        <v/>
      </c>
      <c r="U293" s="57" t="str">
        <f aca="false">IF(N293&gt;0,R293/N293,"")</f>
        <v/>
      </c>
      <c r="V293" s="34" t="str">
        <f aca="false">IF(E293+F293+G293+H293+I293+J293&gt;0,(E293+F293+G293)/(E293+F293+G293+H293+I293+J293),"")</f>
        <v/>
      </c>
      <c r="W293" s="33" t="n">
        <f aca="false">E293*(P1_PVP-P1_CPROD)+F293*(P2_PVP-P2_CPROD)+G293*(IF($A293&lt;P3_DESDE,P3A_PVP,P3_PVP)-IF($A293&lt;P3_DESDE,P3A_CPROD,P3_CPROD))-IF(ISNUMBER(L293),L293,E293*P1_LOG+F293*P2_LOG+G293*P3_LOG)</f>
        <v>0</v>
      </c>
      <c r="X293" s="33" t="n">
        <f aca="false">W293-(E293*P1_IVAN+F293*P2_IVAN+G293*IF($A293&lt;P3_DESDE,P3A_IVAN,P3_IVAN))-(H293+I293+J293)*(COSTE_DEV-IVA_DEV)-AM293-AO293</f>
        <v>0</v>
      </c>
      <c r="Y293" s="33" t="n">
        <f aca="false">AH293-AI293-AJ293-AK293-AL293-AM293-AO293</f>
        <v>0</v>
      </c>
      <c r="AA293" s="58" t="n">
        <f aca="false">MAX(0,B293-E293-H293)</f>
        <v>0</v>
      </c>
      <c r="AB293" s="58" t="n">
        <f aca="false">MAX(0,C293-F293-I293)</f>
        <v>0</v>
      </c>
      <c r="AC293" s="58" t="n">
        <f aca="false">MAX(0,D293-G293-J293)</f>
        <v>0</v>
      </c>
      <c r="AD293" s="59" t="n">
        <f aca="false">E293+AA293*AQ293</f>
        <v>0</v>
      </c>
      <c r="AE293" s="59" t="n">
        <f aca="false">F293+AB293*AQ293</f>
        <v>0</v>
      </c>
      <c r="AF293" s="59" t="n">
        <f aca="false">G293+AC293*AQ293</f>
        <v>0</v>
      </c>
      <c r="AG293" s="59" t="n">
        <f aca="false">H293+I293+J293+(AA293+AB293+AC293)*(1-AQ293)</f>
        <v>0</v>
      </c>
      <c r="AH293" s="60" t="n">
        <f aca="false">AD293*P1_PVP+AE293*P2_PVP+AF293*IF($A293&lt;P3_DESDE,P3A_PVP,P3_PVP)</f>
        <v>0</v>
      </c>
      <c r="AI293" s="60" t="n">
        <f aca="false">AD293*P1_CPROD+AE293*P2_CPROD+AF293*IF($A293&lt;P3_DESDE,P3A_CPROD,P3_CPROD)</f>
        <v>0</v>
      </c>
      <c r="AJ293" s="60" t="n">
        <f aca="false">IF(ISNUMBER(L293),L293,E293*P1_LOG+F293*P2_LOG+G293*P3_LOG)+IF(ISNUMBER(M293),M293,AA293*P1_LOG+AB293*P2_LOG+AC293*P3_LOG)*AQ293</f>
        <v>0</v>
      </c>
      <c r="AK293" s="60" t="n">
        <f aca="false">AG293*COSTE_DEV</f>
        <v>0</v>
      </c>
      <c r="AL293" s="60" t="n">
        <f aca="false">AD293*P1_IVAN+AE293*P2_IVAN+AF293*IF($A293&lt;P3_DESDE,P3A_IVAN,P3_IVAN)-AG293*IVA_DEV</f>
        <v>0</v>
      </c>
      <c r="AM293" s="60" t="n">
        <f aca="false">N293*(1+RECARGO_ADS)</f>
        <v>0</v>
      </c>
      <c r="AN293" s="58" t="n">
        <f aca="false">IF(ISNUMBER(L293),E293+F293+G293+AA293+AB293+AC293,0)</f>
        <v>0</v>
      </c>
      <c r="AO293" s="60" t="n">
        <f aca="false">P293*COMISION</f>
        <v>0</v>
      </c>
      <c r="AP293" s="58" t="n">
        <f aca="false">MIN(N(K293),Q293)</f>
        <v>0</v>
      </c>
      <c r="AQ293" s="61" t="n">
        <f aca="false">IF(Q293&gt;0,((Q293-AP293)*AT293+AP293*TASA_INC)/Q293,AT293)</f>
        <v>0.659887072235414</v>
      </c>
      <c r="AR293" s="58" t="n">
        <f aca="false">IF($A293&lt;FECHA_EXPORT,NETWORKDAYS($A293+1,FECHA_EXPORT,FESTIVOS),0)</f>
        <v>0</v>
      </c>
      <c r="AS293" s="61" t="n">
        <f aca="false">IF(AR293&gt;=5,1,INDEX(CDF_INC,1,AR293+1))</f>
        <v>0.14</v>
      </c>
      <c r="AT293" s="61" t="n">
        <f aca="false">TASA_USADA+(TASA_INC-TASA_USADA)*Q_INC*(1-AS293)/(1-Q_INC*AS293)</f>
        <v>0.659887072235414</v>
      </c>
    </row>
    <row r="294" customFormat="false" ht="15" hidden="false" customHeight="false" outlineLevel="0" collapsed="false">
      <c r="A294" s="53" t="n">
        <v>46588</v>
      </c>
      <c r="B294" s="54"/>
      <c r="C294" s="54"/>
      <c r="D294" s="54"/>
      <c r="E294" s="54"/>
      <c r="F294" s="54"/>
      <c r="G294" s="54"/>
      <c r="H294" s="54"/>
      <c r="I294" s="54"/>
      <c r="J294" s="54"/>
      <c r="K294" s="54"/>
      <c r="L294" s="55"/>
      <c r="M294" s="55"/>
      <c r="N294" s="55"/>
      <c r="O294" s="56"/>
      <c r="P294" s="31" t="n">
        <f aca="false">B294+C294+D294</f>
        <v>0</v>
      </c>
      <c r="Q294" s="31" t="n">
        <f aca="false">AA294+AB294+AC294</f>
        <v>0</v>
      </c>
      <c r="R294" s="32" t="n">
        <f aca="false">B294*P1_PVP+C294*P2_PVP+D294*IF($A294&lt;P3_DESDE,P3A_PVP,P3_PVP)</f>
        <v>0</v>
      </c>
      <c r="S294" s="32" t="str">
        <f aca="false">IF(P294&gt;0,R294/P294,"")</f>
        <v/>
      </c>
      <c r="T294" s="32" t="str">
        <f aca="false">IF(P294&gt;0,N294/P294,"")</f>
        <v/>
      </c>
      <c r="U294" s="57" t="str">
        <f aca="false">IF(N294&gt;0,R294/N294,"")</f>
        <v/>
      </c>
      <c r="V294" s="34" t="str">
        <f aca="false">IF(E294+F294+G294+H294+I294+J294&gt;0,(E294+F294+G294)/(E294+F294+G294+H294+I294+J294),"")</f>
        <v/>
      </c>
      <c r="W294" s="33" t="n">
        <f aca="false">E294*(P1_PVP-P1_CPROD)+F294*(P2_PVP-P2_CPROD)+G294*(IF($A294&lt;P3_DESDE,P3A_PVP,P3_PVP)-IF($A294&lt;P3_DESDE,P3A_CPROD,P3_CPROD))-IF(ISNUMBER(L294),L294,E294*P1_LOG+F294*P2_LOG+G294*P3_LOG)</f>
        <v>0</v>
      </c>
      <c r="X294" s="33" t="n">
        <f aca="false">W294-(E294*P1_IVAN+F294*P2_IVAN+G294*IF($A294&lt;P3_DESDE,P3A_IVAN,P3_IVAN))-(H294+I294+J294)*(COSTE_DEV-IVA_DEV)-AM294-AO294</f>
        <v>0</v>
      </c>
      <c r="Y294" s="33" t="n">
        <f aca="false">AH294-AI294-AJ294-AK294-AL294-AM294-AO294</f>
        <v>0</v>
      </c>
      <c r="AA294" s="58" t="n">
        <f aca="false">MAX(0,B294-E294-H294)</f>
        <v>0</v>
      </c>
      <c r="AB294" s="58" t="n">
        <f aca="false">MAX(0,C294-F294-I294)</f>
        <v>0</v>
      </c>
      <c r="AC294" s="58" t="n">
        <f aca="false">MAX(0,D294-G294-J294)</f>
        <v>0</v>
      </c>
      <c r="AD294" s="59" t="n">
        <f aca="false">E294+AA294*AQ294</f>
        <v>0</v>
      </c>
      <c r="AE294" s="59" t="n">
        <f aca="false">F294+AB294*AQ294</f>
        <v>0</v>
      </c>
      <c r="AF294" s="59" t="n">
        <f aca="false">G294+AC294*AQ294</f>
        <v>0</v>
      </c>
      <c r="AG294" s="59" t="n">
        <f aca="false">H294+I294+J294+(AA294+AB294+AC294)*(1-AQ294)</f>
        <v>0</v>
      </c>
      <c r="AH294" s="60" t="n">
        <f aca="false">AD294*P1_PVP+AE294*P2_PVP+AF294*IF($A294&lt;P3_DESDE,P3A_PVP,P3_PVP)</f>
        <v>0</v>
      </c>
      <c r="AI294" s="60" t="n">
        <f aca="false">AD294*P1_CPROD+AE294*P2_CPROD+AF294*IF($A294&lt;P3_DESDE,P3A_CPROD,P3_CPROD)</f>
        <v>0</v>
      </c>
      <c r="AJ294" s="60" t="n">
        <f aca="false">IF(ISNUMBER(L294),L294,E294*P1_LOG+F294*P2_LOG+G294*P3_LOG)+IF(ISNUMBER(M294),M294,AA294*P1_LOG+AB294*P2_LOG+AC294*P3_LOG)*AQ294</f>
        <v>0</v>
      </c>
      <c r="AK294" s="60" t="n">
        <f aca="false">AG294*COSTE_DEV</f>
        <v>0</v>
      </c>
      <c r="AL294" s="60" t="n">
        <f aca="false">AD294*P1_IVAN+AE294*P2_IVAN+AF294*IF($A294&lt;P3_DESDE,P3A_IVAN,P3_IVAN)-AG294*IVA_DEV</f>
        <v>0</v>
      </c>
      <c r="AM294" s="60" t="n">
        <f aca="false">N294*(1+RECARGO_ADS)</f>
        <v>0</v>
      </c>
      <c r="AN294" s="58" t="n">
        <f aca="false">IF(ISNUMBER(L294),E294+F294+G294+AA294+AB294+AC294,0)</f>
        <v>0</v>
      </c>
      <c r="AO294" s="60" t="n">
        <f aca="false">P294*COMISION</f>
        <v>0</v>
      </c>
      <c r="AP294" s="58" t="n">
        <f aca="false">MIN(N(K294),Q294)</f>
        <v>0</v>
      </c>
      <c r="AQ294" s="61" t="n">
        <f aca="false">IF(Q294&gt;0,((Q294-AP294)*AT294+AP294*TASA_INC)/Q294,AT294)</f>
        <v>0.659887072235414</v>
      </c>
      <c r="AR294" s="58" t="n">
        <f aca="false">IF($A294&lt;FECHA_EXPORT,NETWORKDAYS($A294+1,FECHA_EXPORT,FESTIVOS),0)</f>
        <v>0</v>
      </c>
      <c r="AS294" s="61" t="n">
        <f aca="false">IF(AR294&gt;=5,1,INDEX(CDF_INC,1,AR294+1))</f>
        <v>0.14</v>
      </c>
      <c r="AT294" s="61" t="n">
        <f aca="false">TASA_USADA+(TASA_INC-TASA_USADA)*Q_INC*(1-AS294)/(1-Q_INC*AS294)</f>
        <v>0.659887072235414</v>
      </c>
    </row>
    <row r="295" customFormat="false" ht="15" hidden="false" customHeight="false" outlineLevel="0" collapsed="false">
      <c r="A295" s="53" t="n">
        <v>46589</v>
      </c>
      <c r="B295" s="54"/>
      <c r="C295" s="54"/>
      <c r="D295" s="54"/>
      <c r="E295" s="54"/>
      <c r="F295" s="54"/>
      <c r="G295" s="54"/>
      <c r="H295" s="54"/>
      <c r="I295" s="54"/>
      <c r="J295" s="54"/>
      <c r="K295" s="54"/>
      <c r="L295" s="55"/>
      <c r="M295" s="55"/>
      <c r="N295" s="55"/>
      <c r="O295" s="56"/>
      <c r="P295" s="31" t="n">
        <f aca="false">B295+C295+D295</f>
        <v>0</v>
      </c>
      <c r="Q295" s="31" t="n">
        <f aca="false">AA295+AB295+AC295</f>
        <v>0</v>
      </c>
      <c r="R295" s="32" t="n">
        <f aca="false">B295*P1_PVP+C295*P2_PVP+D295*IF($A295&lt;P3_DESDE,P3A_PVP,P3_PVP)</f>
        <v>0</v>
      </c>
      <c r="S295" s="32" t="str">
        <f aca="false">IF(P295&gt;0,R295/P295,"")</f>
        <v/>
      </c>
      <c r="T295" s="32" t="str">
        <f aca="false">IF(P295&gt;0,N295/P295,"")</f>
        <v/>
      </c>
      <c r="U295" s="57" t="str">
        <f aca="false">IF(N295&gt;0,R295/N295,"")</f>
        <v/>
      </c>
      <c r="V295" s="34" t="str">
        <f aca="false">IF(E295+F295+G295+H295+I295+J295&gt;0,(E295+F295+G295)/(E295+F295+G295+H295+I295+J295),"")</f>
        <v/>
      </c>
      <c r="W295" s="33" t="n">
        <f aca="false">E295*(P1_PVP-P1_CPROD)+F295*(P2_PVP-P2_CPROD)+G295*(IF($A295&lt;P3_DESDE,P3A_PVP,P3_PVP)-IF($A295&lt;P3_DESDE,P3A_CPROD,P3_CPROD))-IF(ISNUMBER(L295),L295,E295*P1_LOG+F295*P2_LOG+G295*P3_LOG)</f>
        <v>0</v>
      </c>
      <c r="X295" s="33" t="n">
        <f aca="false">W295-(E295*P1_IVAN+F295*P2_IVAN+G295*IF($A295&lt;P3_DESDE,P3A_IVAN,P3_IVAN))-(H295+I295+J295)*(COSTE_DEV-IVA_DEV)-AM295-AO295</f>
        <v>0</v>
      </c>
      <c r="Y295" s="33" t="n">
        <f aca="false">AH295-AI295-AJ295-AK295-AL295-AM295-AO295</f>
        <v>0</v>
      </c>
      <c r="AA295" s="58" t="n">
        <f aca="false">MAX(0,B295-E295-H295)</f>
        <v>0</v>
      </c>
      <c r="AB295" s="58" t="n">
        <f aca="false">MAX(0,C295-F295-I295)</f>
        <v>0</v>
      </c>
      <c r="AC295" s="58" t="n">
        <f aca="false">MAX(0,D295-G295-J295)</f>
        <v>0</v>
      </c>
      <c r="AD295" s="59" t="n">
        <f aca="false">E295+AA295*AQ295</f>
        <v>0</v>
      </c>
      <c r="AE295" s="59" t="n">
        <f aca="false">F295+AB295*AQ295</f>
        <v>0</v>
      </c>
      <c r="AF295" s="59" t="n">
        <f aca="false">G295+AC295*AQ295</f>
        <v>0</v>
      </c>
      <c r="AG295" s="59" t="n">
        <f aca="false">H295+I295+J295+(AA295+AB295+AC295)*(1-AQ295)</f>
        <v>0</v>
      </c>
      <c r="AH295" s="60" t="n">
        <f aca="false">AD295*P1_PVP+AE295*P2_PVP+AF295*IF($A295&lt;P3_DESDE,P3A_PVP,P3_PVP)</f>
        <v>0</v>
      </c>
      <c r="AI295" s="60" t="n">
        <f aca="false">AD295*P1_CPROD+AE295*P2_CPROD+AF295*IF($A295&lt;P3_DESDE,P3A_CPROD,P3_CPROD)</f>
        <v>0</v>
      </c>
      <c r="AJ295" s="60" t="n">
        <f aca="false">IF(ISNUMBER(L295),L295,E295*P1_LOG+F295*P2_LOG+G295*P3_LOG)+IF(ISNUMBER(M295),M295,AA295*P1_LOG+AB295*P2_LOG+AC295*P3_LOG)*AQ295</f>
        <v>0</v>
      </c>
      <c r="AK295" s="60" t="n">
        <f aca="false">AG295*COSTE_DEV</f>
        <v>0</v>
      </c>
      <c r="AL295" s="60" t="n">
        <f aca="false">AD295*P1_IVAN+AE295*P2_IVAN+AF295*IF($A295&lt;P3_DESDE,P3A_IVAN,P3_IVAN)-AG295*IVA_DEV</f>
        <v>0</v>
      </c>
      <c r="AM295" s="60" t="n">
        <f aca="false">N295*(1+RECARGO_ADS)</f>
        <v>0</v>
      </c>
      <c r="AN295" s="58" t="n">
        <f aca="false">IF(ISNUMBER(L295),E295+F295+G295+AA295+AB295+AC295,0)</f>
        <v>0</v>
      </c>
      <c r="AO295" s="60" t="n">
        <f aca="false">P295*COMISION</f>
        <v>0</v>
      </c>
      <c r="AP295" s="58" t="n">
        <f aca="false">MIN(N(K295),Q295)</f>
        <v>0</v>
      </c>
      <c r="AQ295" s="61" t="n">
        <f aca="false">IF(Q295&gt;0,((Q295-AP295)*AT295+AP295*TASA_INC)/Q295,AT295)</f>
        <v>0.659887072235414</v>
      </c>
      <c r="AR295" s="58" t="n">
        <f aca="false">IF($A295&lt;FECHA_EXPORT,NETWORKDAYS($A295+1,FECHA_EXPORT,FESTIVOS),0)</f>
        <v>0</v>
      </c>
      <c r="AS295" s="61" t="n">
        <f aca="false">IF(AR295&gt;=5,1,INDEX(CDF_INC,1,AR295+1))</f>
        <v>0.14</v>
      </c>
      <c r="AT295" s="61" t="n">
        <f aca="false">TASA_USADA+(TASA_INC-TASA_USADA)*Q_INC*(1-AS295)/(1-Q_INC*AS295)</f>
        <v>0.659887072235414</v>
      </c>
    </row>
    <row r="296" customFormat="false" ht="15" hidden="false" customHeight="false" outlineLevel="0" collapsed="false">
      <c r="A296" s="53" t="n">
        <v>46590</v>
      </c>
      <c r="B296" s="54"/>
      <c r="C296" s="54"/>
      <c r="D296" s="54"/>
      <c r="E296" s="54"/>
      <c r="F296" s="54"/>
      <c r="G296" s="54"/>
      <c r="H296" s="54"/>
      <c r="I296" s="54"/>
      <c r="J296" s="54"/>
      <c r="K296" s="54"/>
      <c r="L296" s="55"/>
      <c r="M296" s="55"/>
      <c r="N296" s="55"/>
      <c r="O296" s="56"/>
      <c r="P296" s="31" t="n">
        <f aca="false">B296+C296+D296</f>
        <v>0</v>
      </c>
      <c r="Q296" s="31" t="n">
        <f aca="false">AA296+AB296+AC296</f>
        <v>0</v>
      </c>
      <c r="R296" s="32" t="n">
        <f aca="false">B296*P1_PVP+C296*P2_PVP+D296*IF($A296&lt;P3_DESDE,P3A_PVP,P3_PVP)</f>
        <v>0</v>
      </c>
      <c r="S296" s="32" t="str">
        <f aca="false">IF(P296&gt;0,R296/P296,"")</f>
        <v/>
      </c>
      <c r="T296" s="32" t="str">
        <f aca="false">IF(P296&gt;0,N296/P296,"")</f>
        <v/>
      </c>
      <c r="U296" s="57" t="str">
        <f aca="false">IF(N296&gt;0,R296/N296,"")</f>
        <v/>
      </c>
      <c r="V296" s="34" t="str">
        <f aca="false">IF(E296+F296+G296+H296+I296+J296&gt;0,(E296+F296+G296)/(E296+F296+G296+H296+I296+J296),"")</f>
        <v/>
      </c>
      <c r="W296" s="33" t="n">
        <f aca="false">E296*(P1_PVP-P1_CPROD)+F296*(P2_PVP-P2_CPROD)+G296*(IF($A296&lt;P3_DESDE,P3A_PVP,P3_PVP)-IF($A296&lt;P3_DESDE,P3A_CPROD,P3_CPROD))-IF(ISNUMBER(L296),L296,E296*P1_LOG+F296*P2_LOG+G296*P3_LOG)</f>
        <v>0</v>
      </c>
      <c r="X296" s="33" t="n">
        <f aca="false">W296-(E296*P1_IVAN+F296*P2_IVAN+G296*IF($A296&lt;P3_DESDE,P3A_IVAN,P3_IVAN))-(H296+I296+J296)*(COSTE_DEV-IVA_DEV)-AM296-AO296</f>
        <v>0</v>
      </c>
      <c r="Y296" s="33" t="n">
        <f aca="false">AH296-AI296-AJ296-AK296-AL296-AM296-AO296</f>
        <v>0</v>
      </c>
      <c r="AA296" s="58" t="n">
        <f aca="false">MAX(0,B296-E296-H296)</f>
        <v>0</v>
      </c>
      <c r="AB296" s="58" t="n">
        <f aca="false">MAX(0,C296-F296-I296)</f>
        <v>0</v>
      </c>
      <c r="AC296" s="58" t="n">
        <f aca="false">MAX(0,D296-G296-J296)</f>
        <v>0</v>
      </c>
      <c r="AD296" s="59" t="n">
        <f aca="false">E296+AA296*AQ296</f>
        <v>0</v>
      </c>
      <c r="AE296" s="59" t="n">
        <f aca="false">F296+AB296*AQ296</f>
        <v>0</v>
      </c>
      <c r="AF296" s="59" t="n">
        <f aca="false">G296+AC296*AQ296</f>
        <v>0</v>
      </c>
      <c r="AG296" s="59" t="n">
        <f aca="false">H296+I296+J296+(AA296+AB296+AC296)*(1-AQ296)</f>
        <v>0</v>
      </c>
      <c r="AH296" s="60" t="n">
        <f aca="false">AD296*P1_PVP+AE296*P2_PVP+AF296*IF($A296&lt;P3_DESDE,P3A_PVP,P3_PVP)</f>
        <v>0</v>
      </c>
      <c r="AI296" s="60" t="n">
        <f aca="false">AD296*P1_CPROD+AE296*P2_CPROD+AF296*IF($A296&lt;P3_DESDE,P3A_CPROD,P3_CPROD)</f>
        <v>0</v>
      </c>
      <c r="AJ296" s="60" t="n">
        <f aca="false">IF(ISNUMBER(L296),L296,E296*P1_LOG+F296*P2_LOG+G296*P3_LOG)+IF(ISNUMBER(M296),M296,AA296*P1_LOG+AB296*P2_LOG+AC296*P3_LOG)*AQ296</f>
        <v>0</v>
      </c>
      <c r="AK296" s="60" t="n">
        <f aca="false">AG296*COSTE_DEV</f>
        <v>0</v>
      </c>
      <c r="AL296" s="60" t="n">
        <f aca="false">AD296*P1_IVAN+AE296*P2_IVAN+AF296*IF($A296&lt;P3_DESDE,P3A_IVAN,P3_IVAN)-AG296*IVA_DEV</f>
        <v>0</v>
      </c>
      <c r="AM296" s="60" t="n">
        <f aca="false">N296*(1+RECARGO_ADS)</f>
        <v>0</v>
      </c>
      <c r="AN296" s="58" t="n">
        <f aca="false">IF(ISNUMBER(L296),E296+F296+G296+AA296+AB296+AC296,0)</f>
        <v>0</v>
      </c>
      <c r="AO296" s="60" t="n">
        <f aca="false">P296*COMISION</f>
        <v>0</v>
      </c>
      <c r="AP296" s="58" t="n">
        <f aca="false">MIN(N(K296),Q296)</f>
        <v>0</v>
      </c>
      <c r="AQ296" s="61" t="n">
        <f aca="false">IF(Q296&gt;0,((Q296-AP296)*AT296+AP296*TASA_INC)/Q296,AT296)</f>
        <v>0.659887072235414</v>
      </c>
      <c r="AR296" s="58" t="n">
        <f aca="false">IF($A296&lt;FECHA_EXPORT,NETWORKDAYS($A296+1,FECHA_EXPORT,FESTIVOS),0)</f>
        <v>0</v>
      </c>
      <c r="AS296" s="61" t="n">
        <f aca="false">IF(AR296&gt;=5,1,INDEX(CDF_INC,1,AR296+1))</f>
        <v>0.14</v>
      </c>
      <c r="AT296" s="61" t="n">
        <f aca="false">TASA_USADA+(TASA_INC-TASA_USADA)*Q_INC*(1-AS296)/(1-Q_INC*AS296)</f>
        <v>0.659887072235414</v>
      </c>
    </row>
    <row r="297" customFormat="false" ht="15" hidden="false" customHeight="false" outlineLevel="0" collapsed="false">
      <c r="A297" s="53" t="n">
        <v>46591</v>
      </c>
      <c r="B297" s="54"/>
      <c r="C297" s="54"/>
      <c r="D297" s="54"/>
      <c r="E297" s="54"/>
      <c r="F297" s="54"/>
      <c r="G297" s="54"/>
      <c r="H297" s="54"/>
      <c r="I297" s="54"/>
      <c r="J297" s="54"/>
      <c r="K297" s="54"/>
      <c r="L297" s="55"/>
      <c r="M297" s="55"/>
      <c r="N297" s="55"/>
      <c r="O297" s="56"/>
      <c r="P297" s="31" t="n">
        <f aca="false">B297+C297+D297</f>
        <v>0</v>
      </c>
      <c r="Q297" s="31" t="n">
        <f aca="false">AA297+AB297+AC297</f>
        <v>0</v>
      </c>
      <c r="R297" s="32" t="n">
        <f aca="false">B297*P1_PVP+C297*P2_PVP+D297*IF($A297&lt;P3_DESDE,P3A_PVP,P3_PVP)</f>
        <v>0</v>
      </c>
      <c r="S297" s="32" t="str">
        <f aca="false">IF(P297&gt;0,R297/P297,"")</f>
        <v/>
      </c>
      <c r="T297" s="32" t="str">
        <f aca="false">IF(P297&gt;0,N297/P297,"")</f>
        <v/>
      </c>
      <c r="U297" s="57" t="str">
        <f aca="false">IF(N297&gt;0,R297/N297,"")</f>
        <v/>
      </c>
      <c r="V297" s="34" t="str">
        <f aca="false">IF(E297+F297+G297+H297+I297+J297&gt;0,(E297+F297+G297)/(E297+F297+G297+H297+I297+J297),"")</f>
        <v/>
      </c>
      <c r="W297" s="33" t="n">
        <f aca="false">E297*(P1_PVP-P1_CPROD)+F297*(P2_PVP-P2_CPROD)+G297*(IF($A297&lt;P3_DESDE,P3A_PVP,P3_PVP)-IF($A297&lt;P3_DESDE,P3A_CPROD,P3_CPROD))-IF(ISNUMBER(L297),L297,E297*P1_LOG+F297*P2_LOG+G297*P3_LOG)</f>
        <v>0</v>
      </c>
      <c r="X297" s="33" t="n">
        <f aca="false">W297-(E297*P1_IVAN+F297*P2_IVAN+G297*IF($A297&lt;P3_DESDE,P3A_IVAN,P3_IVAN))-(H297+I297+J297)*(COSTE_DEV-IVA_DEV)-AM297-AO297</f>
        <v>0</v>
      </c>
      <c r="Y297" s="33" t="n">
        <f aca="false">AH297-AI297-AJ297-AK297-AL297-AM297-AO297</f>
        <v>0</v>
      </c>
      <c r="AA297" s="58" t="n">
        <f aca="false">MAX(0,B297-E297-H297)</f>
        <v>0</v>
      </c>
      <c r="AB297" s="58" t="n">
        <f aca="false">MAX(0,C297-F297-I297)</f>
        <v>0</v>
      </c>
      <c r="AC297" s="58" t="n">
        <f aca="false">MAX(0,D297-G297-J297)</f>
        <v>0</v>
      </c>
      <c r="AD297" s="59" t="n">
        <f aca="false">E297+AA297*AQ297</f>
        <v>0</v>
      </c>
      <c r="AE297" s="59" t="n">
        <f aca="false">F297+AB297*AQ297</f>
        <v>0</v>
      </c>
      <c r="AF297" s="59" t="n">
        <f aca="false">G297+AC297*AQ297</f>
        <v>0</v>
      </c>
      <c r="AG297" s="59" t="n">
        <f aca="false">H297+I297+J297+(AA297+AB297+AC297)*(1-AQ297)</f>
        <v>0</v>
      </c>
      <c r="AH297" s="60" t="n">
        <f aca="false">AD297*P1_PVP+AE297*P2_PVP+AF297*IF($A297&lt;P3_DESDE,P3A_PVP,P3_PVP)</f>
        <v>0</v>
      </c>
      <c r="AI297" s="60" t="n">
        <f aca="false">AD297*P1_CPROD+AE297*P2_CPROD+AF297*IF($A297&lt;P3_DESDE,P3A_CPROD,P3_CPROD)</f>
        <v>0</v>
      </c>
      <c r="AJ297" s="60" t="n">
        <f aca="false">IF(ISNUMBER(L297),L297,E297*P1_LOG+F297*P2_LOG+G297*P3_LOG)+IF(ISNUMBER(M297),M297,AA297*P1_LOG+AB297*P2_LOG+AC297*P3_LOG)*AQ297</f>
        <v>0</v>
      </c>
      <c r="AK297" s="60" t="n">
        <f aca="false">AG297*COSTE_DEV</f>
        <v>0</v>
      </c>
      <c r="AL297" s="60" t="n">
        <f aca="false">AD297*P1_IVAN+AE297*P2_IVAN+AF297*IF($A297&lt;P3_DESDE,P3A_IVAN,P3_IVAN)-AG297*IVA_DEV</f>
        <v>0</v>
      </c>
      <c r="AM297" s="60" t="n">
        <f aca="false">N297*(1+RECARGO_ADS)</f>
        <v>0</v>
      </c>
      <c r="AN297" s="58" t="n">
        <f aca="false">IF(ISNUMBER(L297),E297+F297+G297+AA297+AB297+AC297,0)</f>
        <v>0</v>
      </c>
      <c r="AO297" s="60" t="n">
        <f aca="false">P297*COMISION</f>
        <v>0</v>
      </c>
      <c r="AP297" s="58" t="n">
        <f aca="false">MIN(N(K297),Q297)</f>
        <v>0</v>
      </c>
      <c r="AQ297" s="61" t="n">
        <f aca="false">IF(Q297&gt;0,((Q297-AP297)*AT297+AP297*TASA_INC)/Q297,AT297)</f>
        <v>0.659887072235414</v>
      </c>
      <c r="AR297" s="58" t="n">
        <f aca="false">IF($A297&lt;FECHA_EXPORT,NETWORKDAYS($A297+1,FECHA_EXPORT,FESTIVOS),0)</f>
        <v>0</v>
      </c>
      <c r="AS297" s="61" t="n">
        <f aca="false">IF(AR297&gt;=5,1,INDEX(CDF_INC,1,AR297+1))</f>
        <v>0.14</v>
      </c>
      <c r="AT297" s="61" t="n">
        <f aca="false">TASA_USADA+(TASA_INC-TASA_USADA)*Q_INC*(1-AS297)/(1-Q_INC*AS297)</f>
        <v>0.659887072235414</v>
      </c>
    </row>
    <row r="298" customFormat="false" ht="15" hidden="false" customHeight="false" outlineLevel="0" collapsed="false">
      <c r="A298" s="53" t="n">
        <v>46592</v>
      </c>
      <c r="B298" s="54"/>
      <c r="C298" s="54"/>
      <c r="D298" s="54"/>
      <c r="E298" s="54"/>
      <c r="F298" s="54"/>
      <c r="G298" s="54"/>
      <c r="H298" s="54"/>
      <c r="I298" s="54"/>
      <c r="J298" s="54"/>
      <c r="K298" s="54"/>
      <c r="L298" s="55"/>
      <c r="M298" s="55"/>
      <c r="N298" s="55"/>
      <c r="O298" s="56"/>
      <c r="P298" s="31" t="n">
        <f aca="false">B298+C298+D298</f>
        <v>0</v>
      </c>
      <c r="Q298" s="31" t="n">
        <f aca="false">AA298+AB298+AC298</f>
        <v>0</v>
      </c>
      <c r="R298" s="32" t="n">
        <f aca="false">B298*P1_PVP+C298*P2_PVP+D298*IF($A298&lt;P3_DESDE,P3A_PVP,P3_PVP)</f>
        <v>0</v>
      </c>
      <c r="S298" s="32" t="str">
        <f aca="false">IF(P298&gt;0,R298/P298,"")</f>
        <v/>
      </c>
      <c r="T298" s="32" t="str">
        <f aca="false">IF(P298&gt;0,N298/P298,"")</f>
        <v/>
      </c>
      <c r="U298" s="57" t="str">
        <f aca="false">IF(N298&gt;0,R298/N298,"")</f>
        <v/>
      </c>
      <c r="V298" s="34" t="str">
        <f aca="false">IF(E298+F298+G298+H298+I298+J298&gt;0,(E298+F298+G298)/(E298+F298+G298+H298+I298+J298),"")</f>
        <v/>
      </c>
      <c r="W298" s="33" t="n">
        <f aca="false">E298*(P1_PVP-P1_CPROD)+F298*(P2_PVP-P2_CPROD)+G298*(IF($A298&lt;P3_DESDE,P3A_PVP,P3_PVP)-IF($A298&lt;P3_DESDE,P3A_CPROD,P3_CPROD))-IF(ISNUMBER(L298),L298,E298*P1_LOG+F298*P2_LOG+G298*P3_LOG)</f>
        <v>0</v>
      </c>
      <c r="X298" s="33" t="n">
        <f aca="false">W298-(E298*P1_IVAN+F298*P2_IVAN+G298*IF($A298&lt;P3_DESDE,P3A_IVAN,P3_IVAN))-(H298+I298+J298)*(COSTE_DEV-IVA_DEV)-AM298-AO298</f>
        <v>0</v>
      </c>
      <c r="Y298" s="33" t="n">
        <f aca="false">AH298-AI298-AJ298-AK298-AL298-AM298-AO298</f>
        <v>0</v>
      </c>
      <c r="AA298" s="58" t="n">
        <f aca="false">MAX(0,B298-E298-H298)</f>
        <v>0</v>
      </c>
      <c r="AB298" s="58" t="n">
        <f aca="false">MAX(0,C298-F298-I298)</f>
        <v>0</v>
      </c>
      <c r="AC298" s="58" t="n">
        <f aca="false">MAX(0,D298-G298-J298)</f>
        <v>0</v>
      </c>
      <c r="AD298" s="59" t="n">
        <f aca="false">E298+AA298*AQ298</f>
        <v>0</v>
      </c>
      <c r="AE298" s="59" t="n">
        <f aca="false">F298+AB298*AQ298</f>
        <v>0</v>
      </c>
      <c r="AF298" s="59" t="n">
        <f aca="false">G298+AC298*AQ298</f>
        <v>0</v>
      </c>
      <c r="AG298" s="59" t="n">
        <f aca="false">H298+I298+J298+(AA298+AB298+AC298)*(1-AQ298)</f>
        <v>0</v>
      </c>
      <c r="AH298" s="60" t="n">
        <f aca="false">AD298*P1_PVP+AE298*P2_PVP+AF298*IF($A298&lt;P3_DESDE,P3A_PVP,P3_PVP)</f>
        <v>0</v>
      </c>
      <c r="AI298" s="60" t="n">
        <f aca="false">AD298*P1_CPROD+AE298*P2_CPROD+AF298*IF($A298&lt;P3_DESDE,P3A_CPROD,P3_CPROD)</f>
        <v>0</v>
      </c>
      <c r="AJ298" s="60" t="n">
        <f aca="false">IF(ISNUMBER(L298),L298,E298*P1_LOG+F298*P2_LOG+G298*P3_LOG)+IF(ISNUMBER(M298),M298,AA298*P1_LOG+AB298*P2_LOG+AC298*P3_LOG)*AQ298</f>
        <v>0</v>
      </c>
      <c r="AK298" s="60" t="n">
        <f aca="false">AG298*COSTE_DEV</f>
        <v>0</v>
      </c>
      <c r="AL298" s="60" t="n">
        <f aca="false">AD298*P1_IVAN+AE298*P2_IVAN+AF298*IF($A298&lt;P3_DESDE,P3A_IVAN,P3_IVAN)-AG298*IVA_DEV</f>
        <v>0</v>
      </c>
      <c r="AM298" s="60" t="n">
        <f aca="false">N298*(1+RECARGO_ADS)</f>
        <v>0</v>
      </c>
      <c r="AN298" s="58" t="n">
        <f aca="false">IF(ISNUMBER(L298),E298+F298+G298+AA298+AB298+AC298,0)</f>
        <v>0</v>
      </c>
      <c r="AO298" s="60" t="n">
        <f aca="false">P298*COMISION</f>
        <v>0</v>
      </c>
      <c r="AP298" s="58" t="n">
        <f aca="false">MIN(N(K298),Q298)</f>
        <v>0</v>
      </c>
      <c r="AQ298" s="61" t="n">
        <f aca="false">IF(Q298&gt;0,((Q298-AP298)*AT298+AP298*TASA_INC)/Q298,AT298)</f>
        <v>0.659887072235414</v>
      </c>
      <c r="AR298" s="58" t="n">
        <f aca="false">IF($A298&lt;FECHA_EXPORT,NETWORKDAYS($A298+1,FECHA_EXPORT,FESTIVOS),0)</f>
        <v>0</v>
      </c>
      <c r="AS298" s="61" t="n">
        <f aca="false">IF(AR298&gt;=5,1,INDEX(CDF_INC,1,AR298+1))</f>
        <v>0.14</v>
      </c>
      <c r="AT298" s="61" t="n">
        <f aca="false">TASA_USADA+(TASA_INC-TASA_USADA)*Q_INC*(1-AS298)/(1-Q_INC*AS298)</f>
        <v>0.659887072235414</v>
      </c>
    </row>
    <row r="299" customFormat="false" ht="15" hidden="false" customHeight="false" outlineLevel="0" collapsed="false">
      <c r="A299" s="53" t="n">
        <v>46593</v>
      </c>
      <c r="B299" s="54"/>
      <c r="C299" s="54"/>
      <c r="D299" s="54"/>
      <c r="E299" s="54"/>
      <c r="F299" s="54"/>
      <c r="G299" s="54"/>
      <c r="H299" s="54"/>
      <c r="I299" s="54"/>
      <c r="J299" s="54"/>
      <c r="K299" s="54"/>
      <c r="L299" s="55"/>
      <c r="M299" s="55"/>
      <c r="N299" s="55"/>
      <c r="O299" s="56"/>
      <c r="P299" s="31" t="n">
        <f aca="false">B299+C299+D299</f>
        <v>0</v>
      </c>
      <c r="Q299" s="31" t="n">
        <f aca="false">AA299+AB299+AC299</f>
        <v>0</v>
      </c>
      <c r="R299" s="32" t="n">
        <f aca="false">B299*P1_PVP+C299*P2_PVP+D299*IF($A299&lt;P3_DESDE,P3A_PVP,P3_PVP)</f>
        <v>0</v>
      </c>
      <c r="S299" s="32" t="str">
        <f aca="false">IF(P299&gt;0,R299/P299,"")</f>
        <v/>
      </c>
      <c r="T299" s="32" t="str">
        <f aca="false">IF(P299&gt;0,N299/P299,"")</f>
        <v/>
      </c>
      <c r="U299" s="57" t="str">
        <f aca="false">IF(N299&gt;0,R299/N299,"")</f>
        <v/>
      </c>
      <c r="V299" s="34" t="str">
        <f aca="false">IF(E299+F299+G299+H299+I299+J299&gt;0,(E299+F299+G299)/(E299+F299+G299+H299+I299+J299),"")</f>
        <v/>
      </c>
      <c r="W299" s="33" t="n">
        <f aca="false">E299*(P1_PVP-P1_CPROD)+F299*(P2_PVP-P2_CPROD)+G299*(IF($A299&lt;P3_DESDE,P3A_PVP,P3_PVP)-IF($A299&lt;P3_DESDE,P3A_CPROD,P3_CPROD))-IF(ISNUMBER(L299),L299,E299*P1_LOG+F299*P2_LOG+G299*P3_LOG)</f>
        <v>0</v>
      </c>
      <c r="X299" s="33" t="n">
        <f aca="false">W299-(E299*P1_IVAN+F299*P2_IVAN+G299*IF($A299&lt;P3_DESDE,P3A_IVAN,P3_IVAN))-(H299+I299+J299)*(COSTE_DEV-IVA_DEV)-AM299-AO299</f>
        <v>0</v>
      </c>
      <c r="Y299" s="33" t="n">
        <f aca="false">AH299-AI299-AJ299-AK299-AL299-AM299-AO299</f>
        <v>0</v>
      </c>
      <c r="AA299" s="58" t="n">
        <f aca="false">MAX(0,B299-E299-H299)</f>
        <v>0</v>
      </c>
      <c r="AB299" s="58" t="n">
        <f aca="false">MAX(0,C299-F299-I299)</f>
        <v>0</v>
      </c>
      <c r="AC299" s="58" t="n">
        <f aca="false">MAX(0,D299-G299-J299)</f>
        <v>0</v>
      </c>
      <c r="AD299" s="59" t="n">
        <f aca="false">E299+AA299*AQ299</f>
        <v>0</v>
      </c>
      <c r="AE299" s="59" t="n">
        <f aca="false">F299+AB299*AQ299</f>
        <v>0</v>
      </c>
      <c r="AF299" s="59" t="n">
        <f aca="false">G299+AC299*AQ299</f>
        <v>0</v>
      </c>
      <c r="AG299" s="59" t="n">
        <f aca="false">H299+I299+J299+(AA299+AB299+AC299)*(1-AQ299)</f>
        <v>0</v>
      </c>
      <c r="AH299" s="60" t="n">
        <f aca="false">AD299*P1_PVP+AE299*P2_PVP+AF299*IF($A299&lt;P3_DESDE,P3A_PVP,P3_PVP)</f>
        <v>0</v>
      </c>
      <c r="AI299" s="60" t="n">
        <f aca="false">AD299*P1_CPROD+AE299*P2_CPROD+AF299*IF($A299&lt;P3_DESDE,P3A_CPROD,P3_CPROD)</f>
        <v>0</v>
      </c>
      <c r="AJ299" s="60" t="n">
        <f aca="false">IF(ISNUMBER(L299),L299,E299*P1_LOG+F299*P2_LOG+G299*P3_LOG)+IF(ISNUMBER(M299),M299,AA299*P1_LOG+AB299*P2_LOG+AC299*P3_LOG)*AQ299</f>
        <v>0</v>
      </c>
      <c r="AK299" s="60" t="n">
        <f aca="false">AG299*COSTE_DEV</f>
        <v>0</v>
      </c>
      <c r="AL299" s="60" t="n">
        <f aca="false">AD299*P1_IVAN+AE299*P2_IVAN+AF299*IF($A299&lt;P3_DESDE,P3A_IVAN,P3_IVAN)-AG299*IVA_DEV</f>
        <v>0</v>
      </c>
      <c r="AM299" s="60" t="n">
        <f aca="false">N299*(1+RECARGO_ADS)</f>
        <v>0</v>
      </c>
      <c r="AN299" s="58" t="n">
        <f aca="false">IF(ISNUMBER(L299),E299+F299+G299+AA299+AB299+AC299,0)</f>
        <v>0</v>
      </c>
      <c r="AO299" s="60" t="n">
        <f aca="false">P299*COMISION</f>
        <v>0</v>
      </c>
      <c r="AP299" s="58" t="n">
        <f aca="false">MIN(N(K299),Q299)</f>
        <v>0</v>
      </c>
      <c r="AQ299" s="61" t="n">
        <f aca="false">IF(Q299&gt;0,((Q299-AP299)*AT299+AP299*TASA_INC)/Q299,AT299)</f>
        <v>0.659887072235414</v>
      </c>
      <c r="AR299" s="58" t="n">
        <f aca="false">IF($A299&lt;FECHA_EXPORT,NETWORKDAYS($A299+1,FECHA_EXPORT,FESTIVOS),0)</f>
        <v>0</v>
      </c>
      <c r="AS299" s="61" t="n">
        <f aca="false">IF(AR299&gt;=5,1,INDEX(CDF_INC,1,AR299+1))</f>
        <v>0.14</v>
      </c>
      <c r="AT299" s="61" t="n">
        <f aca="false">TASA_USADA+(TASA_INC-TASA_USADA)*Q_INC*(1-AS299)/(1-Q_INC*AS299)</f>
        <v>0.659887072235414</v>
      </c>
    </row>
    <row r="300" customFormat="false" ht="15" hidden="false" customHeight="false" outlineLevel="0" collapsed="false">
      <c r="A300" s="53" t="n">
        <v>46594</v>
      </c>
      <c r="B300" s="54"/>
      <c r="C300" s="54"/>
      <c r="D300" s="54"/>
      <c r="E300" s="54"/>
      <c r="F300" s="54"/>
      <c r="G300" s="54"/>
      <c r="H300" s="54"/>
      <c r="I300" s="54"/>
      <c r="J300" s="54"/>
      <c r="K300" s="54"/>
      <c r="L300" s="55"/>
      <c r="M300" s="55"/>
      <c r="N300" s="55"/>
      <c r="O300" s="56"/>
      <c r="P300" s="31" t="n">
        <f aca="false">B300+C300+D300</f>
        <v>0</v>
      </c>
      <c r="Q300" s="31" t="n">
        <f aca="false">AA300+AB300+AC300</f>
        <v>0</v>
      </c>
      <c r="R300" s="32" t="n">
        <f aca="false">B300*P1_PVP+C300*P2_PVP+D300*IF($A300&lt;P3_DESDE,P3A_PVP,P3_PVP)</f>
        <v>0</v>
      </c>
      <c r="S300" s="32" t="str">
        <f aca="false">IF(P300&gt;0,R300/P300,"")</f>
        <v/>
      </c>
      <c r="T300" s="32" t="str">
        <f aca="false">IF(P300&gt;0,N300/P300,"")</f>
        <v/>
      </c>
      <c r="U300" s="57" t="str">
        <f aca="false">IF(N300&gt;0,R300/N300,"")</f>
        <v/>
      </c>
      <c r="V300" s="34" t="str">
        <f aca="false">IF(E300+F300+G300+H300+I300+J300&gt;0,(E300+F300+G300)/(E300+F300+G300+H300+I300+J300),"")</f>
        <v/>
      </c>
      <c r="W300" s="33" t="n">
        <f aca="false">E300*(P1_PVP-P1_CPROD)+F300*(P2_PVP-P2_CPROD)+G300*(IF($A300&lt;P3_DESDE,P3A_PVP,P3_PVP)-IF($A300&lt;P3_DESDE,P3A_CPROD,P3_CPROD))-IF(ISNUMBER(L300),L300,E300*P1_LOG+F300*P2_LOG+G300*P3_LOG)</f>
        <v>0</v>
      </c>
      <c r="X300" s="33" t="n">
        <f aca="false">W300-(E300*P1_IVAN+F300*P2_IVAN+G300*IF($A300&lt;P3_DESDE,P3A_IVAN,P3_IVAN))-(H300+I300+J300)*(COSTE_DEV-IVA_DEV)-AM300-AO300</f>
        <v>0</v>
      </c>
      <c r="Y300" s="33" t="n">
        <f aca="false">AH300-AI300-AJ300-AK300-AL300-AM300-AO300</f>
        <v>0</v>
      </c>
      <c r="AA300" s="58" t="n">
        <f aca="false">MAX(0,B300-E300-H300)</f>
        <v>0</v>
      </c>
      <c r="AB300" s="58" t="n">
        <f aca="false">MAX(0,C300-F300-I300)</f>
        <v>0</v>
      </c>
      <c r="AC300" s="58" t="n">
        <f aca="false">MAX(0,D300-G300-J300)</f>
        <v>0</v>
      </c>
      <c r="AD300" s="59" t="n">
        <f aca="false">E300+AA300*AQ300</f>
        <v>0</v>
      </c>
      <c r="AE300" s="59" t="n">
        <f aca="false">F300+AB300*AQ300</f>
        <v>0</v>
      </c>
      <c r="AF300" s="59" t="n">
        <f aca="false">G300+AC300*AQ300</f>
        <v>0</v>
      </c>
      <c r="AG300" s="59" t="n">
        <f aca="false">H300+I300+J300+(AA300+AB300+AC300)*(1-AQ300)</f>
        <v>0</v>
      </c>
      <c r="AH300" s="60" t="n">
        <f aca="false">AD300*P1_PVP+AE300*P2_PVP+AF300*IF($A300&lt;P3_DESDE,P3A_PVP,P3_PVP)</f>
        <v>0</v>
      </c>
      <c r="AI300" s="60" t="n">
        <f aca="false">AD300*P1_CPROD+AE300*P2_CPROD+AF300*IF($A300&lt;P3_DESDE,P3A_CPROD,P3_CPROD)</f>
        <v>0</v>
      </c>
      <c r="AJ300" s="60" t="n">
        <f aca="false">IF(ISNUMBER(L300),L300,E300*P1_LOG+F300*P2_LOG+G300*P3_LOG)+IF(ISNUMBER(M300),M300,AA300*P1_LOG+AB300*P2_LOG+AC300*P3_LOG)*AQ300</f>
        <v>0</v>
      </c>
      <c r="AK300" s="60" t="n">
        <f aca="false">AG300*COSTE_DEV</f>
        <v>0</v>
      </c>
      <c r="AL300" s="60" t="n">
        <f aca="false">AD300*P1_IVAN+AE300*P2_IVAN+AF300*IF($A300&lt;P3_DESDE,P3A_IVAN,P3_IVAN)-AG300*IVA_DEV</f>
        <v>0</v>
      </c>
      <c r="AM300" s="60" t="n">
        <f aca="false">N300*(1+RECARGO_ADS)</f>
        <v>0</v>
      </c>
      <c r="AN300" s="58" t="n">
        <f aca="false">IF(ISNUMBER(L300),E300+F300+G300+AA300+AB300+AC300,0)</f>
        <v>0</v>
      </c>
      <c r="AO300" s="60" t="n">
        <f aca="false">P300*COMISION</f>
        <v>0</v>
      </c>
      <c r="AP300" s="58" t="n">
        <f aca="false">MIN(N(K300),Q300)</f>
        <v>0</v>
      </c>
      <c r="AQ300" s="61" t="n">
        <f aca="false">IF(Q300&gt;0,((Q300-AP300)*AT300+AP300*TASA_INC)/Q300,AT300)</f>
        <v>0.659887072235414</v>
      </c>
      <c r="AR300" s="58" t="n">
        <f aca="false">IF($A300&lt;FECHA_EXPORT,NETWORKDAYS($A300+1,FECHA_EXPORT,FESTIVOS),0)</f>
        <v>0</v>
      </c>
      <c r="AS300" s="61" t="n">
        <f aca="false">IF(AR300&gt;=5,1,INDEX(CDF_INC,1,AR300+1))</f>
        <v>0.14</v>
      </c>
      <c r="AT300" s="61" t="n">
        <f aca="false">TASA_USADA+(TASA_INC-TASA_USADA)*Q_INC*(1-AS300)/(1-Q_INC*AS300)</f>
        <v>0.659887072235414</v>
      </c>
    </row>
    <row r="301" customFormat="false" ht="15" hidden="false" customHeight="false" outlineLevel="0" collapsed="false">
      <c r="A301" s="53" t="n">
        <v>46595</v>
      </c>
      <c r="B301" s="54"/>
      <c r="C301" s="54"/>
      <c r="D301" s="54"/>
      <c r="E301" s="54"/>
      <c r="F301" s="54"/>
      <c r="G301" s="54"/>
      <c r="H301" s="54"/>
      <c r="I301" s="54"/>
      <c r="J301" s="54"/>
      <c r="K301" s="54"/>
      <c r="L301" s="55"/>
      <c r="M301" s="55"/>
      <c r="N301" s="55"/>
      <c r="O301" s="56"/>
      <c r="P301" s="31" t="n">
        <f aca="false">B301+C301+D301</f>
        <v>0</v>
      </c>
      <c r="Q301" s="31" t="n">
        <f aca="false">AA301+AB301+AC301</f>
        <v>0</v>
      </c>
      <c r="R301" s="32" t="n">
        <f aca="false">B301*P1_PVP+C301*P2_PVP+D301*IF($A301&lt;P3_DESDE,P3A_PVP,P3_PVP)</f>
        <v>0</v>
      </c>
      <c r="S301" s="32" t="str">
        <f aca="false">IF(P301&gt;0,R301/P301,"")</f>
        <v/>
      </c>
      <c r="T301" s="32" t="str">
        <f aca="false">IF(P301&gt;0,N301/P301,"")</f>
        <v/>
      </c>
      <c r="U301" s="57" t="str">
        <f aca="false">IF(N301&gt;0,R301/N301,"")</f>
        <v/>
      </c>
      <c r="V301" s="34" t="str">
        <f aca="false">IF(E301+F301+G301+H301+I301+J301&gt;0,(E301+F301+G301)/(E301+F301+G301+H301+I301+J301),"")</f>
        <v/>
      </c>
      <c r="W301" s="33" t="n">
        <f aca="false">E301*(P1_PVP-P1_CPROD)+F301*(P2_PVP-P2_CPROD)+G301*(IF($A301&lt;P3_DESDE,P3A_PVP,P3_PVP)-IF($A301&lt;P3_DESDE,P3A_CPROD,P3_CPROD))-IF(ISNUMBER(L301),L301,E301*P1_LOG+F301*P2_LOG+G301*P3_LOG)</f>
        <v>0</v>
      </c>
      <c r="X301" s="33" t="n">
        <f aca="false">W301-(E301*P1_IVAN+F301*P2_IVAN+G301*IF($A301&lt;P3_DESDE,P3A_IVAN,P3_IVAN))-(H301+I301+J301)*(COSTE_DEV-IVA_DEV)-AM301-AO301</f>
        <v>0</v>
      </c>
      <c r="Y301" s="33" t="n">
        <f aca="false">AH301-AI301-AJ301-AK301-AL301-AM301-AO301</f>
        <v>0</v>
      </c>
      <c r="AA301" s="58" t="n">
        <f aca="false">MAX(0,B301-E301-H301)</f>
        <v>0</v>
      </c>
      <c r="AB301" s="58" t="n">
        <f aca="false">MAX(0,C301-F301-I301)</f>
        <v>0</v>
      </c>
      <c r="AC301" s="58" t="n">
        <f aca="false">MAX(0,D301-G301-J301)</f>
        <v>0</v>
      </c>
      <c r="AD301" s="59" t="n">
        <f aca="false">E301+AA301*AQ301</f>
        <v>0</v>
      </c>
      <c r="AE301" s="59" t="n">
        <f aca="false">F301+AB301*AQ301</f>
        <v>0</v>
      </c>
      <c r="AF301" s="59" t="n">
        <f aca="false">G301+AC301*AQ301</f>
        <v>0</v>
      </c>
      <c r="AG301" s="59" t="n">
        <f aca="false">H301+I301+J301+(AA301+AB301+AC301)*(1-AQ301)</f>
        <v>0</v>
      </c>
      <c r="AH301" s="60" t="n">
        <f aca="false">AD301*P1_PVP+AE301*P2_PVP+AF301*IF($A301&lt;P3_DESDE,P3A_PVP,P3_PVP)</f>
        <v>0</v>
      </c>
      <c r="AI301" s="60" t="n">
        <f aca="false">AD301*P1_CPROD+AE301*P2_CPROD+AF301*IF($A301&lt;P3_DESDE,P3A_CPROD,P3_CPROD)</f>
        <v>0</v>
      </c>
      <c r="AJ301" s="60" t="n">
        <f aca="false">IF(ISNUMBER(L301),L301,E301*P1_LOG+F301*P2_LOG+G301*P3_LOG)+IF(ISNUMBER(M301),M301,AA301*P1_LOG+AB301*P2_LOG+AC301*P3_LOG)*AQ301</f>
        <v>0</v>
      </c>
      <c r="AK301" s="60" t="n">
        <f aca="false">AG301*COSTE_DEV</f>
        <v>0</v>
      </c>
      <c r="AL301" s="60" t="n">
        <f aca="false">AD301*P1_IVAN+AE301*P2_IVAN+AF301*IF($A301&lt;P3_DESDE,P3A_IVAN,P3_IVAN)-AG301*IVA_DEV</f>
        <v>0</v>
      </c>
      <c r="AM301" s="60" t="n">
        <f aca="false">N301*(1+RECARGO_ADS)</f>
        <v>0</v>
      </c>
      <c r="AN301" s="58" t="n">
        <f aca="false">IF(ISNUMBER(L301),E301+F301+G301+AA301+AB301+AC301,0)</f>
        <v>0</v>
      </c>
      <c r="AO301" s="60" t="n">
        <f aca="false">P301*COMISION</f>
        <v>0</v>
      </c>
      <c r="AP301" s="58" t="n">
        <f aca="false">MIN(N(K301),Q301)</f>
        <v>0</v>
      </c>
      <c r="AQ301" s="61" t="n">
        <f aca="false">IF(Q301&gt;0,((Q301-AP301)*AT301+AP301*TASA_INC)/Q301,AT301)</f>
        <v>0.659887072235414</v>
      </c>
      <c r="AR301" s="58" t="n">
        <f aca="false">IF($A301&lt;FECHA_EXPORT,NETWORKDAYS($A301+1,FECHA_EXPORT,FESTIVOS),0)</f>
        <v>0</v>
      </c>
      <c r="AS301" s="61" t="n">
        <f aca="false">IF(AR301&gt;=5,1,INDEX(CDF_INC,1,AR301+1))</f>
        <v>0.14</v>
      </c>
      <c r="AT301" s="61" t="n">
        <f aca="false">TASA_USADA+(TASA_INC-TASA_USADA)*Q_INC*(1-AS301)/(1-Q_INC*AS301)</f>
        <v>0.659887072235414</v>
      </c>
    </row>
    <row r="302" customFormat="false" ht="15" hidden="false" customHeight="false" outlineLevel="0" collapsed="false">
      <c r="A302" s="53" t="n">
        <v>46596</v>
      </c>
      <c r="B302" s="54"/>
      <c r="C302" s="54"/>
      <c r="D302" s="54"/>
      <c r="E302" s="54"/>
      <c r="F302" s="54"/>
      <c r="G302" s="54"/>
      <c r="H302" s="54"/>
      <c r="I302" s="54"/>
      <c r="J302" s="54"/>
      <c r="K302" s="54"/>
      <c r="L302" s="55"/>
      <c r="M302" s="55"/>
      <c r="N302" s="55"/>
      <c r="O302" s="56"/>
      <c r="P302" s="31" t="n">
        <f aca="false">B302+C302+D302</f>
        <v>0</v>
      </c>
      <c r="Q302" s="31" t="n">
        <f aca="false">AA302+AB302+AC302</f>
        <v>0</v>
      </c>
      <c r="R302" s="32" t="n">
        <f aca="false">B302*P1_PVP+C302*P2_PVP+D302*IF($A302&lt;P3_DESDE,P3A_PVP,P3_PVP)</f>
        <v>0</v>
      </c>
      <c r="S302" s="32" t="str">
        <f aca="false">IF(P302&gt;0,R302/P302,"")</f>
        <v/>
      </c>
      <c r="T302" s="32" t="str">
        <f aca="false">IF(P302&gt;0,N302/P302,"")</f>
        <v/>
      </c>
      <c r="U302" s="57" t="str">
        <f aca="false">IF(N302&gt;0,R302/N302,"")</f>
        <v/>
      </c>
      <c r="V302" s="34" t="str">
        <f aca="false">IF(E302+F302+G302+H302+I302+J302&gt;0,(E302+F302+G302)/(E302+F302+G302+H302+I302+J302),"")</f>
        <v/>
      </c>
      <c r="W302" s="33" t="n">
        <f aca="false">E302*(P1_PVP-P1_CPROD)+F302*(P2_PVP-P2_CPROD)+G302*(IF($A302&lt;P3_DESDE,P3A_PVP,P3_PVP)-IF($A302&lt;P3_DESDE,P3A_CPROD,P3_CPROD))-IF(ISNUMBER(L302),L302,E302*P1_LOG+F302*P2_LOG+G302*P3_LOG)</f>
        <v>0</v>
      </c>
      <c r="X302" s="33" t="n">
        <f aca="false">W302-(E302*P1_IVAN+F302*P2_IVAN+G302*IF($A302&lt;P3_DESDE,P3A_IVAN,P3_IVAN))-(H302+I302+J302)*(COSTE_DEV-IVA_DEV)-AM302-AO302</f>
        <v>0</v>
      </c>
      <c r="Y302" s="33" t="n">
        <f aca="false">AH302-AI302-AJ302-AK302-AL302-AM302-AO302</f>
        <v>0</v>
      </c>
      <c r="AA302" s="58" t="n">
        <f aca="false">MAX(0,B302-E302-H302)</f>
        <v>0</v>
      </c>
      <c r="AB302" s="58" t="n">
        <f aca="false">MAX(0,C302-F302-I302)</f>
        <v>0</v>
      </c>
      <c r="AC302" s="58" t="n">
        <f aca="false">MAX(0,D302-G302-J302)</f>
        <v>0</v>
      </c>
      <c r="AD302" s="59" t="n">
        <f aca="false">E302+AA302*AQ302</f>
        <v>0</v>
      </c>
      <c r="AE302" s="59" t="n">
        <f aca="false">F302+AB302*AQ302</f>
        <v>0</v>
      </c>
      <c r="AF302" s="59" t="n">
        <f aca="false">G302+AC302*AQ302</f>
        <v>0</v>
      </c>
      <c r="AG302" s="59" t="n">
        <f aca="false">H302+I302+J302+(AA302+AB302+AC302)*(1-AQ302)</f>
        <v>0</v>
      </c>
      <c r="AH302" s="60" t="n">
        <f aca="false">AD302*P1_PVP+AE302*P2_PVP+AF302*IF($A302&lt;P3_DESDE,P3A_PVP,P3_PVP)</f>
        <v>0</v>
      </c>
      <c r="AI302" s="60" t="n">
        <f aca="false">AD302*P1_CPROD+AE302*P2_CPROD+AF302*IF($A302&lt;P3_DESDE,P3A_CPROD,P3_CPROD)</f>
        <v>0</v>
      </c>
      <c r="AJ302" s="60" t="n">
        <f aca="false">IF(ISNUMBER(L302),L302,E302*P1_LOG+F302*P2_LOG+G302*P3_LOG)+IF(ISNUMBER(M302),M302,AA302*P1_LOG+AB302*P2_LOG+AC302*P3_LOG)*AQ302</f>
        <v>0</v>
      </c>
      <c r="AK302" s="60" t="n">
        <f aca="false">AG302*COSTE_DEV</f>
        <v>0</v>
      </c>
      <c r="AL302" s="60" t="n">
        <f aca="false">AD302*P1_IVAN+AE302*P2_IVAN+AF302*IF($A302&lt;P3_DESDE,P3A_IVAN,P3_IVAN)-AG302*IVA_DEV</f>
        <v>0</v>
      </c>
      <c r="AM302" s="60" t="n">
        <f aca="false">N302*(1+RECARGO_ADS)</f>
        <v>0</v>
      </c>
      <c r="AN302" s="58" t="n">
        <f aca="false">IF(ISNUMBER(L302),E302+F302+G302+AA302+AB302+AC302,0)</f>
        <v>0</v>
      </c>
      <c r="AO302" s="60" t="n">
        <f aca="false">P302*COMISION</f>
        <v>0</v>
      </c>
      <c r="AP302" s="58" t="n">
        <f aca="false">MIN(N(K302),Q302)</f>
        <v>0</v>
      </c>
      <c r="AQ302" s="61" t="n">
        <f aca="false">IF(Q302&gt;0,((Q302-AP302)*AT302+AP302*TASA_INC)/Q302,AT302)</f>
        <v>0.659887072235414</v>
      </c>
      <c r="AR302" s="58" t="n">
        <f aca="false">IF($A302&lt;FECHA_EXPORT,NETWORKDAYS($A302+1,FECHA_EXPORT,FESTIVOS),0)</f>
        <v>0</v>
      </c>
      <c r="AS302" s="61" t="n">
        <f aca="false">IF(AR302&gt;=5,1,INDEX(CDF_INC,1,AR302+1))</f>
        <v>0.14</v>
      </c>
      <c r="AT302" s="61" t="n">
        <f aca="false">TASA_USADA+(TASA_INC-TASA_USADA)*Q_INC*(1-AS302)/(1-Q_INC*AS302)</f>
        <v>0.659887072235414</v>
      </c>
    </row>
    <row r="303" customFormat="false" ht="15" hidden="false" customHeight="false" outlineLevel="0" collapsed="false">
      <c r="A303" s="53" t="n">
        <v>46597</v>
      </c>
      <c r="B303" s="54"/>
      <c r="C303" s="54"/>
      <c r="D303" s="54"/>
      <c r="E303" s="54"/>
      <c r="F303" s="54"/>
      <c r="G303" s="54"/>
      <c r="H303" s="54"/>
      <c r="I303" s="54"/>
      <c r="J303" s="54"/>
      <c r="K303" s="54"/>
      <c r="L303" s="55"/>
      <c r="M303" s="55"/>
      <c r="N303" s="55"/>
      <c r="O303" s="56"/>
      <c r="P303" s="31" t="n">
        <f aca="false">B303+C303+D303</f>
        <v>0</v>
      </c>
      <c r="Q303" s="31" t="n">
        <f aca="false">AA303+AB303+AC303</f>
        <v>0</v>
      </c>
      <c r="R303" s="32" t="n">
        <f aca="false">B303*P1_PVP+C303*P2_PVP+D303*IF($A303&lt;P3_DESDE,P3A_PVP,P3_PVP)</f>
        <v>0</v>
      </c>
      <c r="S303" s="32" t="str">
        <f aca="false">IF(P303&gt;0,R303/P303,"")</f>
        <v/>
      </c>
      <c r="T303" s="32" t="str">
        <f aca="false">IF(P303&gt;0,N303/P303,"")</f>
        <v/>
      </c>
      <c r="U303" s="57" t="str">
        <f aca="false">IF(N303&gt;0,R303/N303,"")</f>
        <v/>
      </c>
      <c r="V303" s="34" t="str">
        <f aca="false">IF(E303+F303+G303+H303+I303+J303&gt;0,(E303+F303+G303)/(E303+F303+G303+H303+I303+J303),"")</f>
        <v/>
      </c>
      <c r="W303" s="33" t="n">
        <f aca="false">E303*(P1_PVP-P1_CPROD)+F303*(P2_PVP-P2_CPROD)+G303*(IF($A303&lt;P3_DESDE,P3A_PVP,P3_PVP)-IF($A303&lt;P3_DESDE,P3A_CPROD,P3_CPROD))-IF(ISNUMBER(L303),L303,E303*P1_LOG+F303*P2_LOG+G303*P3_LOG)</f>
        <v>0</v>
      </c>
      <c r="X303" s="33" t="n">
        <f aca="false">W303-(E303*P1_IVAN+F303*P2_IVAN+G303*IF($A303&lt;P3_DESDE,P3A_IVAN,P3_IVAN))-(H303+I303+J303)*(COSTE_DEV-IVA_DEV)-AM303-AO303</f>
        <v>0</v>
      </c>
      <c r="Y303" s="33" t="n">
        <f aca="false">AH303-AI303-AJ303-AK303-AL303-AM303-AO303</f>
        <v>0</v>
      </c>
      <c r="AA303" s="58" t="n">
        <f aca="false">MAX(0,B303-E303-H303)</f>
        <v>0</v>
      </c>
      <c r="AB303" s="58" t="n">
        <f aca="false">MAX(0,C303-F303-I303)</f>
        <v>0</v>
      </c>
      <c r="AC303" s="58" t="n">
        <f aca="false">MAX(0,D303-G303-J303)</f>
        <v>0</v>
      </c>
      <c r="AD303" s="59" t="n">
        <f aca="false">E303+AA303*AQ303</f>
        <v>0</v>
      </c>
      <c r="AE303" s="59" t="n">
        <f aca="false">F303+AB303*AQ303</f>
        <v>0</v>
      </c>
      <c r="AF303" s="59" t="n">
        <f aca="false">G303+AC303*AQ303</f>
        <v>0</v>
      </c>
      <c r="AG303" s="59" t="n">
        <f aca="false">H303+I303+J303+(AA303+AB303+AC303)*(1-AQ303)</f>
        <v>0</v>
      </c>
      <c r="AH303" s="60" t="n">
        <f aca="false">AD303*P1_PVP+AE303*P2_PVP+AF303*IF($A303&lt;P3_DESDE,P3A_PVP,P3_PVP)</f>
        <v>0</v>
      </c>
      <c r="AI303" s="60" t="n">
        <f aca="false">AD303*P1_CPROD+AE303*P2_CPROD+AF303*IF($A303&lt;P3_DESDE,P3A_CPROD,P3_CPROD)</f>
        <v>0</v>
      </c>
      <c r="AJ303" s="60" t="n">
        <f aca="false">IF(ISNUMBER(L303),L303,E303*P1_LOG+F303*P2_LOG+G303*P3_LOG)+IF(ISNUMBER(M303),M303,AA303*P1_LOG+AB303*P2_LOG+AC303*P3_LOG)*AQ303</f>
        <v>0</v>
      </c>
      <c r="AK303" s="60" t="n">
        <f aca="false">AG303*COSTE_DEV</f>
        <v>0</v>
      </c>
      <c r="AL303" s="60" t="n">
        <f aca="false">AD303*P1_IVAN+AE303*P2_IVAN+AF303*IF($A303&lt;P3_DESDE,P3A_IVAN,P3_IVAN)-AG303*IVA_DEV</f>
        <v>0</v>
      </c>
      <c r="AM303" s="60" t="n">
        <f aca="false">N303*(1+RECARGO_ADS)</f>
        <v>0</v>
      </c>
      <c r="AN303" s="58" t="n">
        <f aca="false">IF(ISNUMBER(L303),E303+F303+G303+AA303+AB303+AC303,0)</f>
        <v>0</v>
      </c>
      <c r="AO303" s="60" t="n">
        <f aca="false">P303*COMISION</f>
        <v>0</v>
      </c>
      <c r="AP303" s="58" t="n">
        <f aca="false">MIN(N(K303),Q303)</f>
        <v>0</v>
      </c>
      <c r="AQ303" s="61" t="n">
        <f aca="false">IF(Q303&gt;0,((Q303-AP303)*AT303+AP303*TASA_INC)/Q303,AT303)</f>
        <v>0.659887072235414</v>
      </c>
      <c r="AR303" s="58" t="n">
        <f aca="false">IF($A303&lt;FECHA_EXPORT,NETWORKDAYS($A303+1,FECHA_EXPORT,FESTIVOS),0)</f>
        <v>0</v>
      </c>
      <c r="AS303" s="61" t="n">
        <f aca="false">IF(AR303&gt;=5,1,INDEX(CDF_INC,1,AR303+1))</f>
        <v>0.14</v>
      </c>
      <c r="AT303" s="61" t="n">
        <f aca="false">TASA_USADA+(TASA_INC-TASA_USADA)*Q_INC*(1-AS303)/(1-Q_INC*AS303)</f>
        <v>0.659887072235414</v>
      </c>
    </row>
    <row r="304" customFormat="false" ht="15" hidden="false" customHeight="false" outlineLevel="0" collapsed="false">
      <c r="A304" s="53" t="n">
        <v>46598</v>
      </c>
      <c r="B304" s="54"/>
      <c r="C304" s="54"/>
      <c r="D304" s="54"/>
      <c r="E304" s="54"/>
      <c r="F304" s="54"/>
      <c r="G304" s="54"/>
      <c r="H304" s="54"/>
      <c r="I304" s="54"/>
      <c r="J304" s="54"/>
      <c r="K304" s="54"/>
      <c r="L304" s="55"/>
      <c r="M304" s="55"/>
      <c r="N304" s="55"/>
      <c r="O304" s="56"/>
      <c r="P304" s="31" t="n">
        <f aca="false">B304+C304+D304</f>
        <v>0</v>
      </c>
      <c r="Q304" s="31" t="n">
        <f aca="false">AA304+AB304+AC304</f>
        <v>0</v>
      </c>
      <c r="R304" s="32" t="n">
        <f aca="false">B304*P1_PVP+C304*P2_PVP+D304*IF($A304&lt;P3_DESDE,P3A_PVP,P3_PVP)</f>
        <v>0</v>
      </c>
      <c r="S304" s="32" t="str">
        <f aca="false">IF(P304&gt;0,R304/P304,"")</f>
        <v/>
      </c>
      <c r="T304" s="32" t="str">
        <f aca="false">IF(P304&gt;0,N304/P304,"")</f>
        <v/>
      </c>
      <c r="U304" s="57" t="str">
        <f aca="false">IF(N304&gt;0,R304/N304,"")</f>
        <v/>
      </c>
      <c r="V304" s="34" t="str">
        <f aca="false">IF(E304+F304+G304+H304+I304+J304&gt;0,(E304+F304+G304)/(E304+F304+G304+H304+I304+J304),"")</f>
        <v/>
      </c>
      <c r="W304" s="33" t="n">
        <f aca="false">E304*(P1_PVP-P1_CPROD)+F304*(P2_PVP-P2_CPROD)+G304*(IF($A304&lt;P3_DESDE,P3A_PVP,P3_PVP)-IF($A304&lt;P3_DESDE,P3A_CPROD,P3_CPROD))-IF(ISNUMBER(L304),L304,E304*P1_LOG+F304*P2_LOG+G304*P3_LOG)</f>
        <v>0</v>
      </c>
      <c r="X304" s="33" t="n">
        <f aca="false">W304-(E304*P1_IVAN+F304*P2_IVAN+G304*IF($A304&lt;P3_DESDE,P3A_IVAN,P3_IVAN))-(H304+I304+J304)*(COSTE_DEV-IVA_DEV)-AM304-AO304</f>
        <v>0</v>
      </c>
      <c r="Y304" s="33" t="n">
        <f aca="false">AH304-AI304-AJ304-AK304-AL304-AM304-AO304</f>
        <v>0</v>
      </c>
      <c r="AA304" s="58" t="n">
        <f aca="false">MAX(0,B304-E304-H304)</f>
        <v>0</v>
      </c>
      <c r="AB304" s="58" t="n">
        <f aca="false">MAX(0,C304-F304-I304)</f>
        <v>0</v>
      </c>
      <c r="AC304" s="58" t="n">
        <f aca="false">MAX(0,D304-G304-J304)</f>
        <v>0</v>
      </c>
      <c r="AD304" s="59" t="n">
        <f aca="false">E304+AA304*AQ304</f>
        <v>0</v>
      </c>
      <c r="AE304" s="59" t="n">
        <f aca="false">F304+AB304*AQ304</f>
        <v>0</v>
      </c>
      <c r="AF304" s="59" t="n">
        <f aca="false">G304+AC304*AQ304</f>
        <v>0</v>
      </c>
      <c r="AG304" s="59" t="n">
        <f aca="false">H304+I304+J304+(AA304+AB304+AC304)*(1-AQ304)</f>
        <v>0</v>
      </c>
      <c r="AH304" s="60" t="n">
        <f aca="false">AD304*P1_PVP+AE304*P2_PVP+AF304*IF($A304&lt;P3_DESDE,P3A_PVP,P3_PVP)</f>
        <v>0</v>
      </c>
      <c r="AI304" s="60" t="n">
        <f aca="false">AD304*P1_CPROD+AE304*P2_CPROD+AF304*IF($A304&lt;P3_DESDE,P3A_CPROD,P3_CPROD)</f>
        <v>0</v>
      </c>
      <c r="AJ304" s="60" t="n">
        <f aca="false">IF(ISNUMBER(L304),L304,E304*P1_LOG+F304*P2_LOG+G304*P3_LOG)+IF(ISNUMBER(M304),M304,AA304*P1_LOG+AB304*P2_LOG+AC304*P3_LOG)*AQ304</f>
        <v>0</v>
      </c>
      <c r="AK304" s="60" t="n">
        <f aca="false">AG304*COSTE_DEV</f>
        <v>0</v>
      </c>
      <c r="AL304" s="60" t="n">
        <f aca="false">AD304*P1_IVAN+AE304*P2_IVAN+AF304*IF($A304&lt;P3_DESDE,P3A_IVAN,P3_IVAN)-AG304*IVA_DEV</f>
        <v>0</v>
      </c>
      <c r="AM304" s="60" t="n">
        <f aca="false">N304*(1+RECARGO_ADS)</f>
        <v>0</v>
      </c>
      <c r="AN304" s="58" t="n">
        <f aca="false">IF(ISNUMBER(L304),E304+F304+G304+AA304+AB304+AC304,0)</f>
        <v>0</v>
      </c>
      <c r="AO304" s="60" t="n">
        <f aca="false">P304*COMISION</f>
        <v>0</v>
      </c>
      <c r="AP304" s="58" t="n">
        <f aca="false">MIN(N(K304),Q304)</f>
        <v>0</v>
      </c>
      <c r="AQ304" s="61" t="n">
        <f aca="false">IF(Q304&gt;0,((Q304-AP304)*AT304+AP304*TASA_INC)/Q304,AT304)</f>
        <v>0.659887072235414</v>
      </c>
      <c r="AR304" s="58" t="n">
        <f aca="false">IF($A304&lt;FECHA_EXPORT,NETWORKDAYS($A304+1,FECHA_EXPORT,FESTIVOS),0)</f>
        <v>0</v>
      </c>
      <c r="AS304" s="61" t="n">
        <f aca="false">IF(AR304&gt;=5,1,INDEX(CDF_INC,1,AR304+1))</f>
        <v>0.14</v>
      </c>
      <c r="AT304" s="61" t="n">
        <f aca="false">TASA_USADA+(TASA_INC-TASA_USADA)*Q_INC*(1-AS304)/(1-Q_INC*AS304)</f>
        <v>0.659887072235414</v>
      </c>
    </row>
    <row r="305" customFormat="false" ht="15" hidden="false" customHeight="false" outlineLevel="0" collapsed="false">
      <c r="A305" s="53" t="n">
        <v>46599</v>
      </c>
      <c r="B305" s="54"/>
      <c r="C305" s="54"/>
      <c r="D305" s="54"/>
      <c r="E305" s="54"/>
      <c r="F305" s="54"/>
      <c r="G305" s="54"/>
      <c r="H305" s="54"/>
      <c r="I305" s="54"/>
      <c r="J305" s="54"/>
      <c r="K305" s="54"/>
      <c r="L305" s="55"/>
      <c r="M305" s="55"/>
      <c r="N305" s="55"/>
      <c r="O305" s="56"/>
      <c r="P305" s="31" t="n">
        <f aca="false">B305+C305+D305</f>
        <v>0</v>
      </c>
      <c r="Q305" s="31" t="n">
        <f aca="false">AA305+AB305+AC305</f>
        <v>0</v>
      </c>
      <c r="R305" s="32" t="n">
        <f aca="false">B305*P1_PVP+C305*P2_PVP+D305*IF($A305&lt;P3_DESDE,P3A_PVP,P3_PVP)</f>
        <v>0</v>
      </c>
      <c r="S305" s="32" t="str">
        <f aca="false">IF(P305&gt;0,R305/P305,"")</f>
        <v/>
      </c>
      <c r="T305" s="32" t="str">
        <f aca="false">IF(P305&gt;0,N305/P305,"")</f>
        <v/>
      </c>
      <c r="U305" s="57" t="str">
        <f aca="false">IF(N305&gt;0,R305/N305,"")</f>
        <v/>
      </c>
      <c r="V305" s="34" t="str">
        <f aca="false">IF(E305+F305+G305+H305+I305+J305&gt;0,(E305+F305+G305)/(E305+F305+G305+H305+I305+J305),"")</f>
        <v/>
      </c>
      <c r="W305" s="33" t="n">
        <f aca="false">E305*(P1_PVP-P1_CPROD)+F305*(P2_PVP-P2_CPROD)+G305*(IF($A305&lt;P3_DESDE,P3A_PVP,P3_PVP)-IF($A305&lt;P3_DESDE,P3A_CPROD,P3_CPROD))-IF(ISNUMBER(L305),L305,E305*P1_LOG+F305*P2_LOG+G305*P3_LOG)</f>
        <v>0</v>
      </c>
      <c r="X305" s="33" t="n">
        <f aca="false">W305-(E305*P1_IVAN+F305*P2_IVAN+G305*IF($A305&lt;P3_DESDE,P3A_IVAN,P3_IVAN))-(H305+I305+J305)*(COSTE_DEV-IVA_DEV)-AM305-AO305</f>
        <v>0</v>
      </c>
      <c r="Y305" s="33" t="n">
        <f aca="false">AH305-AI305-AJ305-AK305-AL305-AM305-AO305</f>
        <v>0</v>
      </c>
      <c r="AA305" s="58" t="n">
        <f aca="false">MAX(0,B305-E305-H305)</f>
        <v>0</v>
      </c>
      <c r="AB305" s="58" t="n">
        <f aca="false">MAX(0,C305-F305-I305)</f>
        <v>0</v>
      </c>
      <c r="AC305" s="58" t="n">
        <f aca="false">MAX(0,D305-G305-J305)</f>
        <v>0</v>
      </c>
      <c r="AD305" s="59" t="n">
        <f aca="false">E305+AA305*AQ305</f>
        <v>0</v>
      </c>
      <c r="AE305" s="59" t="n">
        <f aca="false">F305+AB305*AQ305</f>
        <v>0</v>
      </c>
      <c r="AF305" s="59" t="n">
        <f aca="false">G305+AC305*AQ305</f>
        <v>0</v>
      </c>
      <c r="AG305" s="59" t="n">
        <f aca="false">H305+I305+J305+(AA305+AB305+AC305)*(1-AQ305)</f>
        <v>0</v>
      </c>
      <c r="AH305" s="60" t="n">
        <f aca="false">AD305*P1_PVP+AE305*P2_PVP+AF305*IF($A305&lt;P3_DESDE,P3A_PVP,P3_PVP)</f>
        <v>0</v>
      </c>
      <c r="AI305" s="60" t="n">
        <f aca="false">AD305*P1_CPROD+AE305*P2_CPROD+AF305*IF($A305&lt;P3_DESDE,P3A_CPROD,P3_CPROD)</f>
        <v>0</v>
      </c>
      <c r="AJ305" s="60" t="n">
        <f aca="false">IF(ISNUMBER(L305),L305,E305*P1_LOG+F305*P2_LOG+G305*P3_LOG)+IF(ISNUMBER(M305),M305,AA305*P1_LOG+AB305*P2_LOG+AC305*P3_LOG)*AQ305</f>
        <v>0</v>
      </c>
      <c r="AK305" s="60" t="n">
        <f aca="false">AG305*COSTE_DEV</f>
        <v>0</v>
      </c>
      <c r="AL305" s="60" t="n">
        <f aca="false">AD305*P1_IVAN+AE305*P2_IVAN+AF305*IF($A305&lt;P3_DESDE,P3A_IVAN,P3_IVAN)-AG305*IVA_DEV</f>
        <v>0</v>
      </c>
      <c r="AM305" s="60" t="n">
        <f aca="false">N305*(1+RECARGO_ADS)</f>
        <v>0</v>
      </c>
      <c r="AN305" s="58" t="n">
        <f aca="false">IF(ISNUMBER(L305),E305+F305+G305+AA305+AB305+AC305,0)</f>
        <v>0</v>
      </c>
      <c r="AO305" s="60" t="n">
        <f aca="false">P305*COMISION</f>
        <v>0</v>
      </c>
      <c r="AP305" s="58" t="n">
        <f aca="false">MIN(N(K305),Q305)</f>
        <v>0</v>
      </c>
      <c r="AQ305" s="61" t="n">
        <f aca="false">IF(Q305&gt;0,((Q305-AP305)*AT305+AP305*TASA_INC)/Q305,AT305)</f>
        <v>0.659887072235414</v>
      </c>
      <c r="AR305" s="58" t="n">
        <f aca="false">IF($A305&lt;FECHA_EXPORT,NETWORKDAYS($A305+1,FECHA_EXPORT,FESTIVOS),0)</f>
        <v>0</v>
      </c>
      <c r="AS305" s="61" t="n">
        <f aca="false">IF(AR305&gt;=5,1,INDEX(CDF_INC,1,AR305+1))</f>
        <v>0.14</v>
      </c>
      <c r="AT305" s="61" t="n">
        <f aca="false">TASA_USADA+(TASA_INC-TASA_USADA)*Q_INC*(1-AS305)/(1-Q_INC*AS305)</f>
        <v>0.659887072235414</v>
      </c>
    </row>
    <row r="306" customFormat="false" ht="15" hidden="false" customHeight="false" outlineLevel="0" collapsed="false">
      <c r="A306" s="53" t="n">
        <v>46600</v>
      </c>
      <c r="B306" s="54"/>
      <c r="C306" s="54"/>
      <c r="D306" s="54"/>
      <c r="E306" s="54"/>
      <c r="F306" s="54"/>
      <c r="G306" s="54"/>
      <c r="H306" s="54"/>
      <c r="I306" s="54"/>
      <c r="J306" s="54"/>
      <c r="K306" s="54"/>
      <c r="L306" s="55"/>
      <c r="M306" s="55"/>
      <c r="N306" s="55"/>
      <c r="O306" s="56"/>
      <c r="P306" s="31" t="n">
        <f aca="false">B306+C306+D306</f>
        <v>0</v>
      </c>
      <c r="Q306" s="31" t="n">
        <f aca="false">AA306+AB306+AC306</f>
        <v>0</v>
      </c>
      <c r="R306" s="32" t="n">
        <f aca="false">B306*P1_PVP+C306*P2_PVP+D306*IF($A306&lt;P3_DESDE,P3A_PVP,P3_PVP)</f>
        <v>0</v>
      </c>
      <c r="S306" s="32" t="str">
        <f aca="false">IF(P306&gt;0,R306/P306,"")</f>
        <v/>
      </c>
      <c r="T306" s="32" t="str">
        <f aca="false">IF(P306&gt;0,N306/P306,"")</f>
        <v/>
      </c>
      <c r="U306" s="57" t="str">
        <f aca="false">IF(N306&gt;0,R306/N306,"")</f>
        <v/>
      </c>
      <c r="V306" s="34" t="str">
        <f aca="false">IF(E306+F306+G306+H306+I306+J306&gt;0,(E306+F306+G306)/(E306+F306+G306+H306+I306+J306),"")</f>
        <v/>
      </c>
      <c r="W306" s="33" t="n">
        <f aca="false">E306*(P1_PVP-P1_CPROD)+F306*(P2_PVP-P2_CPROD)+G306*(IF($A306&lt;P3_DESDE,P3A_PVP,P3_PVP)-IF($A306&lt;P3_DESDE,P3A_CPROD,P3_CPROD))-IF(ISNUMBER(L306),L306,E306*P1_LOG+F306*P2_LOG+G306*P3_LOG)</f>
        <v>0</v>
      </c>
      <c r="X306" s="33" t="n">
        <f aca="false">W306-(E306*P1_IVAN+F306*P2_IVAN+G306*IF($A306&lt;P3_DESDE,P3A_IVAN,P3_IVAN))-(H306+I306+J306)*(COSTE_DEV-IVA_DEV)-AM306-AO306</f>
        <v>0</v>
      </c>
      <c r="Y306" s="33" t="n">
        <f aca="false">AH306-AI306-AJ306-AK306-AL306-AM306-AO306</f>
        <v>0</v>
      </c>
      <c r="AA306" s="58" t="n">
        <f aca="false">MAX(0,B306-E306-H306)</f>
        <v>0</v>
      </c>
      <c r="AB306" s="58" t="n">
        <f aca="false">MAX(0,C306-F306-I306)</f>
        <v>0</v>
      </c>
      <c r="AC306" s="58" t="n">
        <f aca="false">MAX(0,D306-G306-J306)</f>
        <v>0</v>
      </c>
      <c r="AD306" s="59" t="n">
        <f aca="false">E306+AA306*AQ306</f>
        <v>0</v>
      </c>
      <c r="AE306" s="59" t="n">
        <f aca="false">F306+AB306*AQ306</f>
        <v>0</v>
      </c>
      <c r="AF306" s="59" t="n">
        <f aca="false">G306+AC306*AQ306</f>
        <v>0</v>
      </c>
      <c r="AG306" s="59" t="n">
        <f aca="false">H306+I306+J306+(AA306+AB306+AC306)*(1-AQ306)</f>
        <v>0</v>
      </c>
      <c r="AH306" s="60" t="n">
        <f aca="false">AD306*P1_PVP+AE306*P2_PVP+AF306*IF($A306&lt;P3_DESDE,P3A_PVP,P3_PVP)</f>
        <v>0</v>
      </c>
      <c r="AI306" s="60" t="n">
        <f aca="false">AD306*P1_CPROD+AE306*P2_CPROD+AF306*IF($A306&lt;P3_DESDE,P3A_CPROD,P3_CPROD)</f>
        <v>0</v>
      </c>
      <c r="AJ306" s="60" t="n">
        <f aca="false">IF(ISNUMBER(L306),L306,E306*P1_LOG+F306*P2_LOG+G306*P3_LOG)+IF(ISNUMBER(M306),M306,AA306*P1_LOG+AB306*P2_LOG+AC306*P3_LOG)*AQ306</f>
        <v>0</v>
      </c>
      <c r="AK306" s="60" t="n">
        <f aca="false">AG306*COSTE_DEV</f>
        <v>0</v>
      </c>
      <c r="AL306" s="60" t="n">
        <f aca="false">AD306*P1_IVAN+AE306*P2_IVAN+AF306*IF($A306&lt;P3_DESDE,P3A_IVAN,P3_IVAN)-AG306*IVA_DEV</f>
        <v>0</v>
      </c>
      <c r="AM306" s="60" t="n">
        <f aca="false">N306*(1+RECARGO_ADS)</f>
        <v>0</v>
      </c>
      <c r="AN306" s="58" t="n">
        <f aca="false">IF(ISNUMBER(L306),E306+F306+G306+AA306+AB306+AC306,0)</f>
        <v>0</v>
      </c>
      <c r="AO306" s="60" t="n">
        <f aca="false">P306*COMISION</f>
        <v>0</v>
      </c>
      <c r="AP306" s="58" t="n">
        <f aca="false">MIN(N(K306),Q306)</f>
        <v>0</v>
      </c>
      <c r="AQ306" s="61" t="n">
        <f aca="false">IF(Q306&gt;0,((Q306-AP306)*AT306+AP306*TASA_INC)/Q306,AT306)</f>
        <v>0.659887072235414</v>
      </c>
      <c r="AR306" s="58" t="n">
        <f aca="false">IF($A306&lt;FECHA_EXPORT,NETWORKDAYS($A306+1,FECHA_EXPORT,FESTIVOS),0)</f>
        <v>0</v>
      </c>
      <c r="AS306" s="61" t="n">
        <f aca="false">IF(AR306&gt;=5,1,INDEX(CDF_INC,1,AR306+1))</f>
        <v>0.14</v>
      </c>
      <c r="AT306" s="61" t="n">
        <f aca="false">TASA_USADA+(TASA_INC-TASA_USADA)*Q_INC*(1-AS306)/(1-Q_INC*AS306)</f>
        <v>0.659887072235414</v>
      </c>
    </row>
    <row r="307" customFormat="false" ht="15" hidden="false" customHeight="false" outlineLevel="0" collapsed="false">
      <c r="A307" s="53" t="n">
        <v>46601</v>
      </c>
      <c r="B307" s="54"/>
      <c r="C307" s="54"/>
      <c r="D307" s="54"/>
      <c r="E307" s="54"/>
      <c r="F307" s="54"/>
      <c r="G307" s="54"/>
      <c r="H307" s="54"/>
      <c r="I307" s="54"/>
      <c r="J307" s="54"/>
      <c r="K307" s="54"/>
      <c r="L307" s="55"/>
      <c r="M307" s="55"/>
      <c r="N307" s="55"/>
      <c r="O307" s="56"/>
      <c r="P307" s="31" t="n">
        <f aca="false">B307+C307+D307</f>
        <v>0</v>
      </c>
      <c r="Q307" s="31" t="n">
        <f aca="false">AA307+AB307+AC307</f>
        <v>0</v>
      </c>
      <c r="R307" s="32" t="n">
        <f aca="false">B307*P1_PVP+C307*P2_PVP+D307*IF($A307&lt;P3_DESDE,P3A_PVP,P3_PVP)</f>
        <v>0</v>
      </c>
      <c r="S307" s="32" t="str">
        <f aca="false">IF(P307&gt;0,R307/P307,"")</f>
        <v/>
      </c>
      <c r="T307" s="32" t="str">
        <f aca="false">IF(P307&gt;0,N307/P307,"")</f>
        <v/>
      </c>
      <c r="U307" s="57" t="str">
        <f aca="false">IF(N307&gt;0,R307/N307,"")</f>
        <v/>
      </c>
      <c r="V307" s="34" t="str">
        <f aca="false">IF(E307+F307+G307+H307+I307+J307&gt;0,(E307+F307+G307)/(E307+F307+G307+H307+I307+J307),"")</f>
        <v/>
      </c>
      <c r="W307" s="33" t="n">
        <f aca="false">E307*(P1_PVP-P1_CPROD)+F307*(P2_PVP-P2_CPROD)+G307*(IF($A307&lt;P3_DESDE,P3A_PVP,P3_PVP)-IF($A307&lt;P3_DESDE,P3A_CPROD,P3_CPROD))-IF(ISNUMBER(L307),L307,E307*P1_LOG+F307*P2_LOG+G307*P3_LOG)</f>
        <v>0</v>
      </c>
      <c r="X307" s="33" t="n">
        <f aca="false">W307-(E307*P1_IVAN+F307*P2_IVAN+G307*IF($A307&lt;P3_DESDE,P3A_IVAN,P3_IVAN))-(H307+I307+J307)*(COSTE_DEV-IVA_DEV)-AM307-AO307</f>
        <v>0</v>
      </c>
      <c r="Y307" s="33" t="n">
        <f aca="false">AH307-AI307-AJ307-AK307-AL307-AM307-AO307</f>
        <v>0</v>
      </c>
      <c r="AA307" s="58" t="n">
        <f aca="false">MAX(0,B307-E307-H307)</f>
        <v>0</v>
      </c>
      <c r="AB307" s="58" t="n">
        <f aca="false">MAX(0,C307-F307-I307)</f>
        <v>0</v>
      </c>
      <c r="AC307" s="58" t="n">
        <f aca="false">MAX(0,D307-G307-J307)</f>
        <v>0</v>
      </c>
      <c r="AD307" s="59" t="n">
        <f aca="false">E307+AA307*AQ307</f>
        <v>0</v>
      </c>
      <c r="AE307" s="59" t="n">
        <f aca="false">F307+AB307*AQ307</f>
        <v>0</v>
      </c>
      <c r="AF307" s="59" t="n">
        <f aca="false">G307+AC307*AQ307</f>
        <v>0</v>
      </c>
      <c r="AG307" s="59" t="n">
        <f aca="false">H307+I307+J307+(AA307+AB307+AC307)*(1-AQ307)</f>
        <v>0</v>
      </c>
      <c r="AH307" s="60" t="n">
        <f aca="false">AD307*P1_PVP+AE307*P2_PVP+AF307*IF($A307&lt;P3_DESDE,P3A_PVP,P3_PVP)</f>
        <v>0</v>
      </c>
      <c r="AI307" s="60" t="n">
        <f aca="false">AD307*P1_CPROD+AE307*P2_CPROD+AF307*IF($A307&lt;P3_DESDE,P3A_CPROD,P3_CPROD)</f>
        <v>0</v>
      </c>
      <c r="AJ307" s="60" t="n">
        <f aca="false">IF(ISNUMBER(L307),L307,E307*P1_LOG+F307*P2_LOG+G307*P3_LOG)+IF(ISNUMBER(M307),M307,AA307*P1_LOG+AB307*P2_LOG+AC307*P3_LOG)*AQ307</f>
        <v>0</v>
      </c>
      <c r="AK307" s="60" t="n">
        <f aca="false">AG307*COSTE_DEV</f>
        <v>0</v>
      </c>
      <c r="AL307" s="60" t="n">
        <f aca="false">AD307*P1_IVAN+AE307*P2_IVAN+AF307*IF($A307&lt;P3_DESDE,P3A_IVAN,P3_IVAN)-AG307*IVA_DEV</f>
        <v>0</v>
      </c>
      <c r="AM307" s="60" t="n">
        <f aca="false">N307*(1+RECARGO_ADS)</f>
        <v>0</v>
      </c>
      <c r="AN307" s="58" t="n">
        <f aca="false">IF(ISNUMBER(L307),E307+F307+G307+AA307+AB307+AC307,0)</f>
        <v>0</v>
      </c>
      <c r="AO307" s="60" t="n">
        <f aca="false">P307*COMISION</f>
        <v>0</v>
      </c>
      <c r="AP307" s="58" t="n">
        <f aca="false">MIN(N(K307),Q307)</f>
        <v>0</v>
      </c>
      <c r="AQ307" s="61" t="n">
        <f aca="false">IF(Q307&gt;0,((Q307-AP307)*AT307+AP307*TASA_INC)/Q307,AT307)</f>
        <v>0.659887072235414</v>
      </c>
      <c r="AR307" s="58" t="n">
        <f aca="false">IF($A307&lt;FECHA_EXPORT,NETWORKDAYS($A307+1,FECHA_EXPORT,FESTIVOS),0)</f>
        <v>0</v>
      </c>
      <c r="AS307" s="61" t="n">
        <f aca="false">IF(AR307&gt;=5,1,INDEX(CDF_INC,1,AR307+1))</f>
        <v>0.14</v>
      </c>
      <c r="AT307" s="61" t="n">
        <f aca="false">TASA_USADA+(TASA_INC-TASA_USADA)*Q_INC*(1-AS307)/(1-Q_INC*AS307)</f>
        <v>0.659887072235414</v>
      </c>
    </row>
    <row r="308" customFormat="false" ht="15" hidden="false" customHeight="false" outlineLevel="0" collapsed="false">
      <c r="A308" s="53" t="n">
        <v>46602</v>
      </c>
      <c r="B308" s="54"/>
      <c r="C308" s="54"/>
      <c r="D308" s="54"/>
      <c r="E308" s="54"/>
      <c r="F308" s="54"/>
      <c r="G308" s="54"/>
      <c r="H308" s="54"/>
      <c r="I308" s="54"/>
      <c r="J308" s="54"/>
      <c r="K308" s="54"/>
      <c r="L308" s="55"/>
      <c r="M308" s="55"/>
      <c r="N308" s="55"/>
      <c r="O308" s="56"/>
      <c r="P308" s="31" t="n">
        <f aca="false">B308+C308+D308</f>
        <v>0</v>
      </c>
      <c r="Q308" s="31" t="n">
        <f aca="false">AA308+AB308+AC308</f>
        <v>0</v>
      </c>
      <c r="R308" s="32" t="n">
        <f aca="false">B308*P1_PVP+C308*P2_PVP+D308*IF($A308&lt;P3_DESDE,P3A_PVP,P3_PVP)</f>
        <v>0</v>
      </c>
      <c r="S308" s="32" t="str">
        <f aca="false">IF(P308&gt;0,R308/P308,"")</f>
        <v/>
      </c>
      <c r="T308" s="32" t="str">
        <f aca="false">IF(P308&gt;0,N308/P308,"")</f>
        <v/>
      </c>
      <c r="U308" s="57" t="str">
        <f aca="false">IF(N308&gt;0,R308/N308,"")</f>
        <v/>
      </c>
      <c r="V308" s="34" t="str">
        <f aca="false">IF(E308+F308+G308+H308+I308+J308&gt;0,(E308+F308+G308)/(E308+F308+G308+H308+I308+J308),"")</f>
        <v/>
      </c>
      <c r="W308" s="33" t="n">
        <f aca="false">E308*(P1_PVP-P1_CPROD)+F308*(P2_PVP-P2_CPROD)+G308*(IF($A308&lt;P3_DESDE,P3A_PVP,P3_PVP)-IF($A308&lt;P3_DESDE,P3A_CPROD,P3_CPROD))-IF(ISNUMBER(L308),L308,E308*P1_LOG+F308*P2_LOG+G308*P3_LOG)</f>
        <v>0</v>
      </c>
      <c r="X308" s="33" t="n">
        <f aca="false">W308-(E308*P1_IVAN+F308*P2_IVAN+G308*IF($A308&lt;P3_DESDE,P3A_IVAN,P3_IVAN))-(H308+I308+J308)*(COSTE_DEV-IVA_DEV)-AM308-AO308</f>
        <v>0</v>
      </c>
      <c r="Y308" s="33" t="n">
        <f aca="false">AH308-AI308-AJ308-AK308-AL308-AM308-AO308</f>
        <v>0</v>
      </c>
      <c r="AA308" s="58" t="n">
        <f aca="false">MAX(0,B308-E308-H308)</f>
        <v>0</v>
      </c>
      <c r="AB308" s="58" t="n">
        <f aca="false">MAX(0,C308-F308-I308)</f>
        <v>0</v>
      </c>
      <c r="AC308" s="58" t="n">
        <f aca="false">MAX(0,D308-G308-J308)</f>
        <v>0</v>
      </c>
      <c r="AD308" s="59" t="n">
        <f aca="false">E308+AA308*AQ308</f>
        <v>0</v>
      </c>
      <c r="AE308" s="59" t="n">
        <f aca="false">F308+AB308*AQ308</f>
        <v>0</v>
      </c>
      <c r="AF308" s="59" t="n">
        <f aca="false">G308+AC308*AQ308</f>
        <v>0</v>
      </c>
      <c r="AG308" s="59" t="n">
        <f aca="false">H308+I308+J308+(AA308+AB308+AC308)*(1-AQ308)</f>
        <v>0</v>
      </c>
      <c r="AH308" s="60" t="n">
        <f aca="false">AD308*P1_PVP+AE308*P2_PVP+AF308*IF($A308&lt;P3_DESDE,P3A_PVP,P3_PVP)</f>
        <v>0</v>
      </c>
      <c r="AI308" s="60" t="n">
        <f aca="false">AD308*P1_CPROD+AE308*P2_CPROD+AF308*IF($A308&lt;P3_DESDE,P3A_CPROD,P3_CPROD)</f>
        <v>0</v>
      </c>
      <c r="AJ308" s="60" t="n">
        <f aca="false">IF(ISNUMBER(L308),L308,E308*P1_LOG+F308*P2_LOG+G308*P3_LOG)+IF(ISNUMBER(M308),M308,AA308*P1_LOG+AB308*P2_LOG+AC308*P3_LOG)*AQ308</f>
        <v>0</v>
      </c>
      <c r="AK308" s="60" t="n">
        <f aca="false">AG308*COSTE_DEV</f>
        <v>0</v>
      </c>
      <c r="AL308" s="60" t="n">
        <f aca="false">AD308*P1_IVAN+AE308*P2_IVAN+AF308*IF($A308&lt;P3_DESDE,P3A_IVAN,P3_IVAN)-AG308*IVA_DEV</f>
        <v>0</v>
      </c>
      <c r="AM308" s="60" t="n">
        <f aca="false">N308*(1+RECARGO_ADS)</f>
        <v>0</v>
      </c>
      <c r="AN308" s="58" t="n">
        <f aca="false">IF(ISNUMBER(L308),E308+F308+G308+AA308+AB308+AC308,0)</f>
        <v>0</v>
      </c>
      <c r="AO308" s="60" t="n">
        <f aca="false">P308*COMISION</f>
        <v>0</v>
      </c>
      <c r="AP308" s="58" t="n">
        <f aca="false">MIN(N(K308),Q308)</f>
        <v>0</v>
      </c>
      <c r="AQ308" s="61" t="n">
        <f aca="false">IF(Q308&gt;0,((Q308-AP308)*AT308+AP308*TASA_INC)/Q308,AT308)</f>
        <v>0.659887072235414</v>
      </c>
      <c r="AR308" s="58" t="n">
        <f aca="false">IF($A308&lt;FECHA_EXPORT,NETWORKDAYS($A308+1,FECHA_EXPORT,FESTIVOS),0)</f>
        <v>0</v>
      </c>
      <c r="AS308" s="61" t="n">
        <f aca="false">IF(AR308&gt;=5,1,INDEX(CDF_INC,1,AR308+1))</f>
        <v>0.14</v>
      </c>
      <c r="AT308" s="61" t="n">
        <f aca="false">TASA_USADA+(TASA_INC-TASA_USADA)*Q_INC*(1-AS308)/(1-Q_INC*AS308)</f>
        <v>0.659887072235414</v>
      </c>
    </row>
    <row r="309" customFormat="false" ht="15" hidden="false" customHeight="false" outlineLevel="0" collapsed="false">
      <c r="A309" s="53" t="n">
        <v>46603</v>
      </c>
      <c r="B309" s="54"/>
      <c r="C309" s="54"/>
      <c r="D309" s="54"/>
      <c r="E309" s="54"/>
      <c r="F309" s="54"/>
      <c r="G309" s="54"/>
      <c r="H309" s="54"/>
      <c r="I309" s="54"/>
      <c r="J309" s="54"/>
      <c r="K309" s="54"/>
      <c r="L309" s="55"/>
      <c r="M309" s="55"/>
      <c r="N309" s="55"/>
      <c r="O309" s="56"/>
      <c r="P309" s="31" t="n">
        <f aca="false">B309+C309+D309</f>
        <v>0</v>
      </c>
      <c r="Q309" s="31" t="n">
        <f aca="false">AA309+AB309+AC309</f>
        <v>0</v>
      </c>
      <c r="R309" s="32" t="n">
        <f aca="false">B309*P1_PVP+C309*P2_PVP+D309*IF($A309&lt;P3_DESDE,P3A_PVP,P3_PVP)</f>
        <v>0</v>
      </c>
      <c r="S309" s="32" t="str">
        <f aca="false">IF(P309&gt;0,R309/P309,"")</f>
        <v/>
      </c>
      <c r="T309" s="32" t="str">
        <f aca="false">IF(P309&gt;0,N309/P309,"")</f>
        <v/>
      </c>
      <c r="U309" s="57" t="str">
        <f aca="false">IF(N309&gt;0,R309/N309,"")</f>
        <v/>
      </c>
      <c r="V309" s="34" t="str">
        <f aca="false">IF(E309+F309+G309+H309+I309+J309&gt;0,(E309+F309+G309)/(E309+F309+G309+H309+I309+J309),"")</f>
        <v/>
      </c>
      <c r="W309" s="33" t="n">
        <f aca="false">E309*(P1_PVP-P1_CPROD)+F309*(P2_PVP-P2_CPROD)+G309*(IF($A309&lt;P3_DESDE,P3A_PVP,P3_PVP)-IF($A309&lt;P3_DESDE,P3A_CPROD,P3_CPROD))-IF(ISNUMBER(L309),L309,E309*P1_LOG+F309*P2_LOG+G309*P3_LOG)</f>
        <v>0</v>
      </c>
      <c r="X309" s="33" t="n">
        <f aca="false">W309-(E309*P1_IVAN+F309*P2_IVAN+G309*IF($A309&lt;P3_DESDE,P3A_IVAN,P3_IVAN))-(H309+I309+J309)*(COSTE_DEV-IVA_DEV)-AM309-AO309</f>
        <v>0</v>
      </c>
      <c r="Y309" s="33" t="n">
        <f aca="false">AH309-AI309-AJ309-AK309-AL309-AM309-AO309</f>
        <v>0</v>
      </c>
      <c r="AA309" s="58" t="n">
        <f aca="false">MAX(0,B309-E309-H309)</f>
        <v>0</v>
      </c>
      <c r="AB309" s="58" t="n">
        <f aca="false">MAX(0,C309-F309-I309)</f>
        <v>0</v>
      </c>
      <c r="AC309" s="58" t="n">
        <f aca="false">MAX(0,D309-G309-J309)</f>
        <v>0</v>
      </c>
      <c r="AD309" s="59" t="n">
        <f aca="false">E309+AA309*AQ309</f>
        <v>0</v>
      </c>
      <c r="AE309" s="59" t="n">
        <f aca="false">F309+AB309*AQ309</f>
        <v>0</v>
      </c>
      <c r="AF309" s="59" t="n">
        <f aca="false">G309+AC309*AQ309</f>
        <v>0</v>
      </c>
      <c r="AG309" s="59" t="n">
        <f aca="false">H309+I309+J309+(AA309+AB309+AC309)*(1-AQ309)</f>
        <v>0</v>
      </c>
      <c r="AH309" s="60" t="n">
        <f aca="false">AD309*P1_PVP+AE309*P2_PVP+AF309*IF($A309&lt;P3_DESDE,P3A_PVP,P3_PVP)</f>
        <v>0</v>
      </c>
      <c r="AI309" s="60" t="n">
        <f aca="false">AD309*P1_CPROD+AE309*P2_CPROD+AF309*IF($A309&lt;P3_DESDE,P3A_CPROD,P3_CPROD)</f>
        <v>0</v>
      </c>
      <c r="AJ309" s="60" t="n">
        <f aca="false">IF(ISNUMBER(L309),L309,E309*P1_LOG+F309*P2_LOG+G309*P3_LOG)+IF(ISNUMBER(M309),M309,AA309*P1_LOG+AB309*P2_LOG+AC309*P3_LOG)*AQ309</f>
        <v>0</v>
      </c>
      <c r="AK309" s="60" t="n">
        <f aca="false">AG309*COSTE_DEV</f>
        <v>0</v>
      </c>
      <c r="AL309" s="60" t="n">
        <f aca="false">AD309*P1_IVAN+AE309*P2_IVAN+AF309*IF($A309&lt;P3_DESDE,P3A_IVAN,P3_IVAN)-AG309*IVA_DEV</f>
        <v>0</v>
      </c>
      <c r="AM309" s="60" t="n">
        <f aca="false">N309*(1+RECARGO_ADS)</f>
        <v>0</v>
      </c>
      <c r="AN309" s="58" t="n">
        <f aca="false">IF(ISNUMBER(L309),E309+F309+G309+AA309+AB309+AC309,0)</f>
        <v>0</v>
      </c>
      <c r="AO309" s="60" t="n">
        <f aca="false">P309*COMISION</f>
        <v>0</v>
      </c>
      <c r="AP309" s="58" t="n">
        <f aca="false">MIN(N(K309),Q309)</f>
        <v>0</v>
      </c>
      <c r="AQ309" s="61" t="n">
        <f aca="false">IF(Q309&gt;0,((Q309-AP309)*AT309+AP309*TASA_INC)/Q309,AT309)</f>
        <v>0.659887072235414</v>
      </c>
      <c r="AR309" s="58" t="n">
        <f aca="false">IF($A309&lt;FECHA_EXPORT,NETWORKDAYS($A309+1,FECHA_EXPORT,FESTIVOS),0)</f>
        <v>0</v>
      </c>
      <c r="AS309" s="61" t="n">
        <f aca="false">IF(AR309&gt;=5,1,INDEX(CDF_INC,1,AR309+1))</f>
        <v>0.14</v>
      </c>
      <c r="AT309" s="61" t="n">
        <f aca="false">TASA_USADA+(TASA_INC-TASA_USADA)*Q_INC*(1-AS309)/(1-Q_INC*AS309)</f>
        <v>0.659887072235414</v>
      </c>
    </row>
    <row r="310" customFormat="false" ht="15" hidden="false" customHeight="false" outlineLevel="0" collapsed="false">
      <c r="A310" s="53" t="n">
        <v>46604</v>
      </c>
      <c r="B310" s="54"/>
      <c r="C310" s="54"/>
      <c r="D310" s="54"/>
      <c r="E310" s="54"/>
      <c r="F310" s="54"/>
      <c r="G310" s="54"/>
      <c r="H310" s="54"/>
      <c r="I310" s="54"/>
      <c r="J310" s="54"/>
      <c r="K310" s="54"/>
      <c r="L310" s="55"/>
      <c r="M310" s="55"/>
      <c r="N310" s="55"/>
      <c r="O310" s="56"/>
      <c r="P310" s="31" t="n">
        <f aca="false">B310+C310+D310</f>
        <v>0</v>
      </c>
      <c r="Q310" s="31" t="n">
        <f aca="false">AA310+AB310+AC310</f>
        <v>0</v>
      </c>
      <c r="R310" s="32" t="n">
        <f aca="false">B310*P1_PVP+C310*P2_PVP+D310*IF($A310&lt;P3_DESDE,P3A_PVP,P3_PVP)</f>
        <v>0</v>
      </c>
      <c r="S310" s="32" t="str">
        <f aca="false">IF(P310&gt;0,R310/P310,"")</f>
        <v/>
      </c>
      <c r="T310" s="32" t="str">
        <f aca="false">IF(P310&gt;0,N310/P310,"")</f>
        <v/>
      </c>
      <c r="U310" s="57" t="str">
        <f aca="false">IF(N310&gt;0,R310/N310,"")</f>
        <v/>
      </c>
      <c r="V310" s="34" t="str">
        <f aca="false">IF(E310+F310+G310+H310+I310+J310&gt;0,(E310+F310+G310)/(E310+F310+G310+H310+I310+J310),"")</f>
        <v/>
      </c>
      <c r="W310" s="33" t="n">
        <f aca="false">E310*(P1_PVP-P1_CPROD)+F310*(P2_PVP-P2_CPROD)+G310*(IF($A310&lt;P3_DESDE,P3A_PVP,P3_PVP)-IF($A310&lt;P3_DESDE,P3A_CPROD,P3_CPROD))-IF(ISNUMBER(L310),L310,E310*P1_LOG+F310*P2_LOG+G310*P3_LOG)</f>
        <v>0</v>
      </c>
      <c r="X310" s="33" t="n">
        <f aca="false">W310-(E310*P1_IVAN+F310*P2_IVAN+G310*IF($A310&lt;P3_DESDE,P3A_IVAN,P3_IVAN))-(H310+I310+J310)*(COSTE_DEV-IVA_DEV)-AM310-AO310</f>
        <v>0</v>
      </c>
      <c r="Y310" s="33" t="n">
        <f aca="false">AH310-AI310-AJ310-AK310-AL310-AM310-AO310</f>
        <v>0</v>
      </c>
      <c r="AA310" s="58" t="n">
        <f aca="false">MAX(0,B310-E310-H310)</f>
        <v>0</v>
      </c>
      <c r="AB310" s="58" t="n">
        <f aca="false">MAX(0,C310-F310-I310)</f>
        <v>0</v>
      </c>
      <c r="AC310" s="58" t="n">
        <f aca="false">MAX(0,D310-G310-J310)</f>
        <v>0</v>
      </c>
      <c r="AD310" s="59" t="n">
        <f aca="false">E310+AA310*AQ310</f>
        <v>0</v>
      </c>
      <c r="AE310" s="59" t="n">
        <f aca="false">F310+AB310*AQ310</f>
        <v>0</v>
      </c>
      <c r="AF310" s="59" t="n">
        <f aca="false">G310+AC310*AQ310</f>
        <v>0</v>
      </c>
      <c r="AG310" s="59" t="n">
        <f aca="false">H310+I310+J310+(AA310+AB310+AC310)*(1-AQ310)</f>
        <v>0</v>
      </c>
      <c r="AH310" s="60" t="n">
        <f aca="false">AD310*P1_PVP+AE310*P2_PVP+AF310*IF($A310&lt;P3_DESDE,P3A_PVP,P3_PVP)</f>
        <v>0</v>
      </c>
      <c r="AI310" s="60" t="n">
        <f aca="false">AD310*P1_CPROD+AE310*P2_CPROD+AF310*IF($A310&lt;P3_DESDE,P3A_CPROD,P3_CPROD)</f>
        <v>0</v>
      </c>
      <c r="AJ310" s="60" t="n">
        <f aca="false">IF(ISNUMBER(L310),L310,E310*P1_LOG+F310*P2_LOG+G310*P3_LOG)+IF(ISNUMBER(M310),M310,AA310*P1_LOG+AB310*P2_LOG+AC310*P3_LOG)*AQ310</f>
        <v>0</v>
      </c>
      <c r="AK310" s="60" t="n">
        <f aca="false">AG310*COSTE_DEV</f>
        <v>0</v>
      </c>
      <c r="AL310" s="60" t="n">
        <f aca="false">AD310*P1_IVAN+AE310*P2_IVAN+AF310*IF($A310&lt;P3_DESDE,P3A_IVAN,P3_IVAN)-AG310*IVA_DEV</f>
        <v>0</v>
      </c>
      <c r="AM310" s="60" t="n">
        <f aca="false">N310*(1+RECARGO_ADS)</f>
        <v>0</v>
      </c>
      <c r="AN310" s="58" t="n">
        <f aca="false">IF(ISNUMBER(L310),E310+F310+G310+AA310+AB310+AC310,0)</f>
        <v>0</v>
      </c>
      <c r="AO310" s="60" t="n">
        <f aca="false">P310*COMISION</f>
        <v>0</v>
      </c>
      <c r="AP310" s="58" t="n">
        <f aca="false">MIN(N(K310),Q310)</f>
        <v>0</v>
      </c>
      <c r="AQ310" s="61" t="n">
        <f aca="false">IF(Q310&gt;0,((Q310-AP310)*AT310+AP310*TASA_INC)/Q310,AT310)</f>
        <v>0.659887072235414</v>
      </c>
      <c r="AR310" s="58" t="n">
        <f aca="false">IF($A310&lt;FECHA_EXPORT,NETWORKDAYS($A310+1,FECHA_EXPORT,FESTIVOS),0)</f>
        <v>0</v>
      </c>
      <c r="AS310" s="61" t="n">
        <f aca="false">IF(AR310&gt;=5,1,INDEX(CDF_INC,1,AR310+1))</f>
        <v>0.14</v>
      </c>
      <c r="AT310" s="61" t="n">
        <f aca="false">TASA_USADA+(TASA_INC-TASA_USADA)*Q_INC*(1-AS310)/(1-Q_INC*AS310)</f>
        <v>0.659887072235414</v>
      </c>
    </row>
    <row r="311" customFormat="false" ht="15" hidden="false" customHeight="false" outlineLevel="0" collapsed="false">
      <c r="A311" s="53" t="n">
        <v>46605</v>
      </c>
      <c r="B311" s="54"/>
      <c r="C311" s="54"/>
      <c r="D311" s="54"/>
      <c r="E311" s="54"/>
      <c r="F311" s="54"/>
      <c r="G311" s="54"/>
      <c r="H311" s="54"/>
      <c r="I311" s="54"/>
      <c r="J311" s="54"/>
      <c r="K311" s="54"/>
      <c r="L311" s="55"/>
      <c r="M311" s="55"/>
      <c r="N311" s="55"/>
      <c r="O311" s="56"/>
      <c r="P311" s="31" t="n">
        <f aca="false">B311+C311+D311</f>
        <v>0</v>
      </c>
      <c r="Q311" s="31" t="n">
        <f aca="false">AA311+AB311+AC311</f>
        <v>0</v>
      </c>
      <c r="R311" s="32" t="n">
        <f aca="false">B311*P1_PVP+C311*P2_PVP+D311*IF($A311&lt;P3_DESDE,P3A_PVP,P3_PVP)</f>
        <v>0</v>
      </c>
      <c r="S311" s="32" t="str">
        <f aca="false">IF(P311&gt;0,R311/P311,"")</f>
        <v/>
      </c>
      <c r="T311" s="32" t="str">
        <f aca="false">IF(P311&gt;0,N311/P311,"")</f>
        <v/>
      </c>
      <c r="U311" s="57" t="str">
        <f aca="false">IF(N311&gt;0,R311/N311,"")</f>
        <v/>
      </c>
      <c r="V311" s="34" t="str">
        <f aca="false">IF(E311+F311+G311+H311+I311+J311&gt;0,(E311+F311+G311)/(E311+F311+G311+H311+I311+J311),"")</f>
        <v/>
      </c>
      <c r="W311" s="33" t="n">
        <f aca="false">E311*(P1_PVP-P1_CPROD)+F311*(P2_PVP-P2_CPROD)+G311*(IF($A311&lt;P3_DESDE,P3A_PVP,P3_PVP)-IF($A311&lt;P3_DESDE,P3A_CPROD,P3_CPROD))-IF(ISNUMBER(L311),L311,E311*P1_LOG+F311*P2_LOG+G311*P3_LOG)</f>
        <v>0</v>
      </c>
      <c r="X311" s="33" t="n">
        <f aca="false">W311-(E311*P1_IVAN+F311*P2_IVAN+G311*IF($A311&lt;P3_DESDE,P3A_IVAN,P3_IVAN))-(H311+I311+J311)*(COSTE_DEV-IVA_DEV)-AM311-AO311</f>
        <v>0</v>
      </c>
      <c r="Y311" s="33" t="n">
        <f aca="false">AH311-AI311-AJ311-AK311-AL311-AM311-AO311</f>
        <v>0</v>
      </c>
      <c r="AA311" s="58" t="n">
        <f aca="false">MAX(0,B311-E311-H311)</f>
        <v>0</v>
      </c>
      <c r="AB311" s="58" t="n">
        <f aca="false">MAX(0,C311-F311-I311)</f>
        <v>0</v>
      </c>
      <c r="AC311" s="58" t="n">
        <f aca="false">MAX(0,D311-G311-J311)</f>
        <v>0</v>
      </c>
      <c r="AD311" s="59" t="n">
        <f aca="false">E311+AA311*AQ311</f>
        <v>0</v>
      </c>
      <c r="AE311" s="59" t="n">
        <f aca="false">F311+AB311*AQ311</f>
        <v>0</v>
      </c>
      <c r="AF311" s="59" t="n">
        <f aca="false">G311+AC311*AQ311</f>
        <v>0</v>
      </c>
      <c r="AG311" s="59" t="n">
        <f aca="false">H311+I311+J311+(AA311+AB311+AC311)*(1-AQ311)</f>
        <v>0</v>
      </c>
      <c r="AH311" s="60" t="n">
        <f aca="false">AD311*P1_PVP+AE311*P2_PVP+AF311*IF($A311&lt;P3_DESDE,P3A_PVP,P3_PVP)</f>
        <v>0</v>
      </c>
      <c r="AI311" s="60" t="n">
        <f aca="false">AD311*P1_CPROD+AE311*P2_CPROD+AF311*IF($A311&lt;P3_DESDE,P3A_CPROD,P3_CPROD)</f>
        <v>0</v>
      </c>
      <c r="AJ311" s="60" t="n">
        <f aca="false">IF(ISNUMBER(L311),L311,E311*P1_LOG+F311*P2_LOG+G311*P3_LOG)+IF(ISNUMBER(M311),M311,AA311*P1_LOG+AB311*P2_LOG+AC311*P3_LOG)*AQ311</f>
        <v>0</v>
      </c>
      <c r="AK311" s="60" t="n">
        <f aca="false">AG311*COSTE_DEV</f>
        <v>0</v>
      </c>
      <c r="AL311" s="60" t="n">
        <f aca="false">AD311*P1_IVAN+AE311*P2_IVAN+AF311*IF($A311&lt;P3_DESDE,P3A_IVAN,P3_IVAN)-AG311*IVA_DEV</f>
        <v>0</v>
      </c>
      <c r="AM311" s="60" t="n">
        <f aca="false">N311*(1+RECARGO_ADS)</f>
        <v>0</v>
      </c>
      <c r="AN311" s="58" t="n">
        <f aca="false">IF(ISNUMBER(L311),E311+F311+G311+AA311+AB311+AC311,0)</f>
        <v>0</v>
      </c>
      <c r="AO311" s="60" t="n">
        <f aca="false">P311*COMISION</f>
        <v>0</v>
      </c>
      <c r="AP311" s="58" t="n">
        <f aca="false">MIN(N(K311),Q311)</f>
        <v>0</v>
      </c>
      <c r="AQ311" s="61" t="n">
        <f aca="false">IF(Q311&gt;0,((Q311-AP311)*AT311+AP311*TASA_INC)/Q311,AT311)</f>
        <v>0.659887072235414</v>
      </c>
      <c r="AR311" s="58" t="n">
        <f aca="false">IF($A311&lt;FECHA_EXPORT,NETWORKDAYS($A311+1,FECHA_EXPORT,FESTIVOS),0)</f>
        <v>0</v>
      </c>
      <c r="AS311" s="61" t="n">
        <f aca="false">IF(AR311&gt;=5,1,INDEX(CDF_INC,1,AR311+1))</f>
        <v>0.14</v>
      </c>
      <c r="AT311" s="61" t="n">
        <f aca="false">TASA_USADA+(TASA_INC-TASA_USADA)*Q_INC*(1-AS311)/(1-Q_INC*AS311)</f>
        <v>0.659887072235414</v>
      </c>
    </row>
    <row r="312" customFormat="false" ht="15" hidden="false" customHeight="false" outlineLevel="0" collapsed="false">
      <c r="A312" s="53" t="n">
        <v>46606</v>
      </c>
      <c r="B312" s="54"/>
      <c r="C312" s="54"/>
      <c r="D312" s="54"/>
      <c r="E312" s="54"/>
      <c r="F312" s="54"/>
      <c r="G312" s="54"/>
      <c r="H312" s="54"/>
      <c r="I312" s="54"/>
      <c r="J312" s="54"/>
      <c r="K312" s="54"/>
      <c r="L312" s="55"/>
      <c r="M312" s="55"/>
      <c r="N312" s="55"/>
      <c r="O312" s="56"/>
      <c r="P312" s="31" t="n">
        <f aca="false">B312+C312+D312</f>
        <v>0</v>
      </c>
      <c r="Q312" s="31" t="n">
        <f aca="false">AA312+AB312+AC312</f>
        <v>0</v>
      </c>
      <c r="R312" s="32" t="n">
        <f aca="false">B312*P1_PVP+C312*P2_PVP+D312*IF($A312&lt;P3_DESDE,P3A_PVP,P3_PVP)</f>
        <v>0</v>
      </c>
      <c r="S312" s="32" t="str">
        <f aca="false">IF(P312&gt;0,R312/P312,"")</f>
        <v/>
      </c>
      <c r="T312" s="32" t="str">
        <f aca="false">IF(P312&gt;0,N312/P312,"")</f>
        <v/>
      </c>
      <c r="U312" s="57" t="str">
        <f aca="false">IF(N312&gt;0,R312/N312,"")</f>
        <v/>
      </c>
      <c r="V312" s="34" t="str">
        <f aca="false">IF(E312+F312+G312+H312+I312+J312&gt;0,(E312+F312+G312)/(E312+F312+G312+H312+I312+J312),"")</f>
        <v/>
      </c>
      <c r="W312" s="33" t="n">
        <f aca="false">E312*(P1_PVP-P1_CPROD)+F312*(P2_PVP-P2_CPROD)+G312*(IF($A312&lt;P3_DESDE,P3A_PVP,P3_PVP)-IF($A312&lt;P3_DESDE,P3A_CPROD,P3_CPROD))-IF(ISNUMBER(L312),L312,E312*P1_LOG+F312*P2_LOG+G312*P3_LOG)</f>
        <v>0</v>
      </c>
      <c r="X312" s="33" t="n">
        <f aca="false">W312-(E312*P1_IVAN+F312*P2_IVAN+G312*IF($A312&lt;P3_DESDE,P3A_IVAN,P3_IVAN))-(H312+I312+J312)*(COSTE_DEV-IVA_DEV)-AM312-AO312</f>
        <v>0</v>
      </c>
      <c r="Y312" s="33" t="n">
        <f aca="false">AH312-AI312-AJ312-AK312-AL312-AM312-AO312</f>
        <v>0</v>
      </c>
      <c r="AA312" s="58" t="n">
        <f aca="false">MAX(0,B312-E312-H312)</f>
        <v>0</v>
      </c>
      <c r="AB312" s="58" t="n">
        <f aca="false">MAX(0,C312-F312-I312)</f>
        <v>0</v>
      </c>
      <c r="AC312" s="58" t="n">
        <f aca="false">MAX(0,D312-G312-J312)</f>
        <v>0</v>
      </c>
      <c r="AD312" s="59" t="n">
        <f aca="false">E312+AA312*AQ312</f>
        <v>0</v>
      </c>
      <c r="AE312" s="59" t="n">
        <f aca="false">F312+AB312*AQ312</f>
        <v>0</v>
      </c>
      <c r="AF312" s="59" t="n">
        <f aca="false">G312+AC312*AQ312</f>
        <v>0</v>
      </c>
      <c r="AG312" s="59" t="n">
        <f aca="false">H312+I312+J312+(AA312+AB312+AC312)*(1-AQ312)</f>
        <v>0</v>
      </c>
      <c r="AH312" s="60" t="n">
        <f aca="false">AD312*P1_PVP+AE312*P2_PVP+AF312*IF($A312&lt;P3_DESDE,P3A_PVP,P3_PVP)</f>
        <v>0</v>
      </c>
      <c r="AI312" s="60" t="n">
        <f aca="false">AD312*P1_CPROD+AE312*P2_CPROD+AF312*IF($A312&lt;P3_DESDE,P3A_CPROD,P3_CPROD)</f>
        <v>0</v>
      </c>
      <c r="AJ312" s="60" t="n">
        <f aca="false">IF(ISNUMBER(L312),L312,E312*P1_LOG+F312*P2_LOG+G312*P3_LOG)+IF(ISNUMBER(M312),M312,AA312*P1_LOG+AB312*P2_LOG+AC312*P3_LOG)*AQ312</f>
        <v>0</v>
      </c>
      <c r="AK312" s="60" t="n">
        <f aca="false">AG312*COSTE_DEV</f>
        <v>0</v>
      </c>
      <c r="AL312" s="60" t="n">
        <f aca="false">AD312*P1_IVAN+AE312*P2_IVAN+AF312*IF($A312&lt;P3_DESDE,P3A_IVAN,P3_IVAN)-AG312*IVA_DEV</f>
        <v>0</v>
      </c>
      <c r="AM312" s="60" t="n">
        <f aca="false">N312*(1+RECARGO_ADS)</f>
        <v>0</v>
      </c>
      <c r="AN312" s="58" t="n">
        <f aca="false">IF(ISNUMBER(L312),E312+F312+G312+AA312+AB312+AC312,0)</f>
        <v>0</v>
      </c>
      <c r="AO312" s="60" t="n">
        <f aca="false">P312*COMISION</f>
        <v>0</v>
      </c>
      <c r="AP312" s="58" t="n">
        <f aca="false">MIN(N(K312),Q312)</f>
        <v>0</v>
      </c>
      <c r="AQ312" s="61" t="n">
        <f aca="false">IF(Q312&gt;0,((Q312-AP312)*AT312+AP312*TASA_INC)/Q312,AT312)</f>
        <v>0.659887072235414</v>
      </c>
      <c r="AR312" s="58" t="n">
        <f aca="false">IF($A312&lt;FECHA_EXPORT,NETWORKDAYS($A312+1,FECHA_EXPORT,FESTIVOS),0)</f>
        <v>0</v>
      </c>
      <c r="AS312" s="61" t="n">
        <f aca="false">IF(AR312&gt;=5,1,INDEX(CDF_INC,1,AR312+1))</f>
        <v>0.14</v>
      </c>
      <c r="AT312" s="61" t="n">
        <f aca="false">TASA_USADA+(TASA_INC-TASA_USADA)*Q_INC*(1-AS312)/(1-Q_INC*AS312)</f>
        <v>0.659887072235414</v>
      </c>
    </row>
    <row r="313" customFormat="false" ht="15" hidden="false" customHeight="false" outlineLevel="0" collapsed="false">
      <c r="A313" s="53" t="n">
        <v>46607</v>
      </c>
      <c r="B313" s="54"/>
      <c r="C313" s="54"/>
      <c r="D313" s="54"/>
      <c r="E313" s="54"/>
      <c r="F313" s="54"/>
      <c r="G313" s="54"/>
      <c r="H313" s="54"/>
      <c r="I313" s="54"/>
      <c r="J313" s="54"/>
      <c r="K313" s="54"/>
      <c r="L313" s="55"/>
      <c r="M313" s="55"/>
      <c r="N313" s="55"/>
      <c r="O313" s="56"/>
      <c r="P313" s="31" t="n">
        <f aca="false">B313+C313+D313</f>
        <v>0</v>
      </c>
      <c r="Q313" s="31" t="n">
        <f aca="false">AA313+AB313+AC313</f>
        <v>0</v>
      </c>
      <c r="R313" s="32" t="n">
        <f aca="false">B313*P1_PVP+C313*P2_PVP+D313*IF($A313&lt;P3_DESDE,P3A_PVP,P3_PVP)</f>
        <v>0</v>
      </c>
      <c r="S313" s="32" t="str">
        <f aca="false">IF(P313&gt;0,R313/P313,"")</f>
        <v/>
      </c>
      <c r="T313" s="32" t="str">
        <f aca="false">IF(P313&gt;0,N313/P313,"")</f>
        <v/>
      </c>
      <c r="U313" s="57" t="str">
        <f aca="false">IF(N313&gt;0,R313/N313,"")</f>
        <v/>
      </c>
      <c r="V313" s="34" t="str">
        <f aca="false">IF(E313+F313+G313+H313+I313+J313&gt;0,(E313+F313+G313)/(E313+F313+G313+H313+I313+J313),"")</f>
        <v/>
      </c>
      <c r="W313" s="33" t="n">
        <f aca="false">E313*(P1_PVP-P1_CPROD)+F313*(P2_PVP-P2_CPROD)+G313*(IF($A313&lt;P3_DESDE,P3A_PVP,P3_PVP)-IF($A313&lt;P3_DESDE,P3A_CPROD,P3_CPROD))-IF(ISNUMBER(L313),L313,E313*P1_LOG+F313*P2_LOG+G313*P3_LOG)</f>
        <v>0</v>
      </c>
      <c r="X313" s="33" t="n">
        <f aca="false">W313-(E313*P1_IVAN+F313*P2_IVAN+G313*IF($A313&lt;P3_DESDE,P3A_IVAN,P3_IVAN))-(H313+I313+J313)*(COSTE_DEV-IVA_DEV)-AM313-AO313</f>
        <v>0</v>
      </c>
      <c r="Y313" s="33" t="n">
        <f aca="false">AH313-AI313-AJ313-AK313-AL313-AM313-AO313</f>
        <v>0</v>
      </c>
      <c r="AA313" s="58" t="n">
        <f aca="false">MAX(0,B313-E313-H313)</f>
        <v>0</v>
      </c>
      <c r="AB313" s="58" t="n">
        <f aca="false">MAX(0,C313-F313-I313)</f>
        <v>0</v>
      </c>
      <c r="AC313" s="58" t="n">
        <f aca="false">MAX(0,D313-G313-J313)</f>
        <v>0</v>
      </c>
      <c r="AD313" s="59" t="n">
        <f aca="false">E313+AA313*AQ313</f>
        <v>0</v>
      </c>
      <c r="AE313" s="59" t="n">
        <f aca="false">F313+AB313*AQ313</f>
        <v>0</v>
      </c>
      <c r="AF313" s="59" t="n">
        <f aca="false">G313+AC313*AQ313</f>
        <v>0</v>
      </c>
      <c r="AG313" s="59" t="n">
        <f aca="false">H313+I313+J313+(AA313+AB313+AC313)*(1-AQ313)</f>
        <v>0</v>
      </c>
      <c r="AH313" s="60" t="n">
        <f aca="false">AD313*P1_PVP+AE313*P2_PVP+AF313*IF($A313&lt;P3_DESDE,P3A_PVP,P3_PVP)</f>
        <v>0</v>
      </c>
      <c r="AI313" s="60" t="n">
        <f aca="false">AD313*P1_CPROD+AE313*P2_CPROD+AF313*IF($A313&lt;P3_DESDE,P3A_CPROD,P3_CPROD)</f>
        <v>0</v>
      </c>
      <c r="AJ313" s="60" t="n">
        <f aca="false">IF(ISNUMBER(L313),L313,E313*P1_LOG+F313*P2_LOG+G313*P3_LOG)+IF(ISNUMBER(M313),M313,AA313*P1_LOG+AB313*P2_LOG+AC313*P3_LOG)*AQ313</f>
        <v>0</v>
      </c>
      <c r="AK313" s="60" t="n">
        <f aca="false">AG313*COSTE_DEV</f>
        <v>0</v>
      </c>
      <c r="AL313" s="60" t="n">
        <f aca="false">AD313*P1_IVAN+AE313*P2_IVAN+AF313*IF($A313&lt;P3_DESDE,P3A_IVAN,P3_IVAN)-AG313*IVA_DEV</f>
        <v>0</v>
      </c>
      <c r="AM313" s="60" t="n">
        <f aca="false">N313*(1+RECARGO_ADS)</f>
        <v>0</v>
      </c>
      <c r="AN313" s="58" t="n">
        <f aca="false">IF(ISNUMBER(L313),E313+F313+G313+AA313+AB313+AC313,0)</f>
        <v>0</v>
      </c>
      <c r="AO313" s="60" t="n">
        <f aca="false">P313*COMISION</f>
        <v>0</v>
      </c>
      <c r="AP313" s="58" t="n">
        <f aca="false">MIN(N(K313),Q313)</f>
        <v>0</v>
      </c>
      <c r="AQ313" s="61" t="n">
        <f aca="false">IF(Q313&gt;0,((Q313-AP313)*AT313+AP313*TASA_INC)/Q313,AT313)</f>
        <v>0.659887072235414</v>
      </c>
      <c r="AR313" s="58" t="n">
        <f aca="false">IF($A313&lt;FECHA_EXPORT,NETWORKDAYS($A313+1,FECHA_EXPORT,FESTIVOS),0)</f>
        <v>0</v>
      </c>
      <c r="AS313" s="61" t="n">
        <f aca="false">IF(AR313&gt;=5,1,INDEX(CDF_INC,1,AR313+1))</f>
        <v>0.14</v>
      </c>
      <c r="AT313" s="61" t="n">
        <f aca="false">TASA_USADA+(TASA_INC-TASA_USADA)*Q_INC*(1-AS313)/(1-Q_INC*AS313)</f>
        <v>0.659887072235414</v>
      </c>
    </row>
    <row r="314" customFormat="false" ht="15" hidden="false" customHeight="false" outlineLevel="0" collapsed="false">
      <c r="A314" s="53" t="n">
        <v>46608</v>
      </c>
      <c r="B314" s="54"/>
      <c r="C314" s="54"/>
      <c r="D314" s="54"/>
      <c r="E314" s="54"/>
      <c r="F314" s="54"/>
      <c r="G314" s="54"/>
      <c r="H314" s="54"/>
      <c r="I314" s="54"/>
      <c r="J314" s="54"/>
      <c r="K314" s="54"/>
      <c r="L314" s="55"/>
      <c r="M314" s="55"/>
      <c r="N314" s="55"/>
      <c r="O314" s="56"/>
      <c r="P314" s="31" t="n">
        <f aca="false">B314+C314+D314</f>
        <v>0</v>
      </c>
      <c r="Q314" s="31" t="n">
        <f aca="false">AA314+AB314+AC314</f>
        <v>0</v>
      </c>
      <c r="R314" s="32" t="n">
        <f aca="false">B314*P1_PVP+C314*P2_PVP+D314*IF($A314&lt;P3_DESDE,P3A_PVP,P3_PVP)</f>
        <v>0</v>
      </c>
      <c r="S314" s="32" t="str">
        <f aca="false">IF(P314&gt;0,R314/P314,"")</f>
        <v/>
      </c>
      <c r="T314" s="32" t="str">
        <f aca="false">IF(P314&gt;0,N314/P314,"")</f>
        <v/>
      </c>
      <c r="U314" s="57" t="str">
        <f aca="false">IF(N314&gt;0,R314/N314,"")</f>
        <v/>
      </c>
      <c r="V314" s="34" t="str">
        <f aca="false">IF(E314+F314+G314+H314+I314+J314&gt;0,(E314+F314+G314)/(E314+F314+G314+H314+I314+J314),"")</f>
        <v/>
      </c>
      <c r="W314" s="33" t="n">
        <f aca="false">E314*(P1_PVP-P1_CPROD)+F314*(P2_PVP-P2_CPROD)+G314*(IF($A314&lt;P3_DESDE,P3A_PVP,P3_PVP)-IF($A314&lt;P3_DESDE,P3A_CPROD,P3_CPROD))-IF(ISNUMBER(L314),L314,E314*P1_LOG+F314*P2_LOG+G314*P3_LOG)</f>
        <v>0</v>
      </c>
      <c r="X314" s="33" t="n">
        <f aca="false">W314-(E314*P1_IVAN+F314*P2_IVAN+G314*IF($A314&lt;P3_DESDE,P3A_IVAN,P3_IVAN))-(H314+I314+J314)*(COSTE_DEV-IVA_DEV)-AM314-AO314</f>
        <v>0</v>
      </c>
      <c r="Y314" s="33" t="n">
        <f aca="false">AH314-AI314-AJ314-AK314-AL314-AM314-AO314</f>
        <v>0</v>
      </c>
      <c r="AA314" s="58" t="n">
        <f aca="false">MAX(0,B314-E314-H314)</f>
        <v>0</v>
      </c>
      <c r="AB314" s="58" t="n">
        <f aca="false">MAX(0,C314-F314-I314)</f>
        <v>0</v>
      </c>
      <c r="AC314" s="58" t="n">
        <f aca="false">MAX(0,D314-G314-J314)</f>
        <v>0</v>
      </c>
      <c r="AD314" s="59" t="n">
        <f aca="false">E314+AA314*AQ314</f>
        <v>0</v>
      </c>
      <c r="AE314" s="59" t="n">
        <f aca="false">F314+AB314*AQ314</f>
        <v>0</v>
      </c>
      <c r="AF314" s="59" t="n">
        <f aca="false">G314+AC314*AQ314</f>
        <v>0</v>
      </c>
      <c r="AG314" s="59" t="n">
        <f aca="false">H314+I314+J314+(AA314+AB314+AC314)*(1-AQ314)</f>
        <v>0</v>
      </c>
      <c r="AH314" s="60" t="n">
        <f aca="false">AD314*P1_PVP+AE314*P2_PVP+AF314*IF($A314&lt;P3_DESDE,P3A_PVP,P3_PVP)</f>
        <v>0</v>
      </c>
      <c r="AI314" s="60" t="n">
        <f aca="false">AD314*P1_CPROD+AE314*P2_CPROD+AF314*IF($A314&lt;P3_DESDE,P3A_CPROD,P3_CPROD)</f>
        <v>0</v>
      </c>
      <c r="AJ314" s="60" t="n">
        <f aca="false">IF(ISNUMBER(L314),L314,E314*P1_LOG+F314*P2_LOG+G314*P3_LOG)+IF(ISNUMBER(M314),M314,AA314*P1_LOG+AB314*P2_LOG+AC314*P3_LOG)*AQ314</f>
        <v>0</v>
      </c>
      <c r="AK314" s="60" t="n">
        <f aca="false">AG314*COSTE_DEV</f>
        <v>0</v>
      </c>
      <c r="AL314" s="60" t="n">
        <f aca="false">AD314*P1_IVAN+AE314*P2_IVAN+AF314*IF($A314&lt;P3_DESDE,P3A_IVAN,P3_IVAN)-AG314*IVA_DEV</f>
        <v>0</v>
      </c>
      <c r="AM314" s="60" t="n">
        <f aca="false">N314*(1+RECARGO_ADS)</f>
        <v>0</v>
      </c>
      <c r="AN314" s="58" t="n">
        <f aca="false">IF(ISNUMBER(L314),E314+F314+G314+AA314+AB314+AC314,0)</f>
        <v>0</v>
      </c>
      <c r="AO314" s="60" t="n">
        <f aca="false">P314*COMISION</f>
        <v>0</v>
      </c>
      <c r="AP314" s="58" t="n">
        <f aca="false">MIN(N(K314),Q314)</f>
        <v>0</v>
      </c>
      <c r="AQ314" s="61" t="n">
        <f aca="false">IF(Q314&gt;0,((Q314-AP314)*AT314+AP314*TASA_INC)/Q314,AT314)</f>
        <v>0.659887072235414</v>
      </c>
      <c r="AR314" s="58" t="n">
        <f aca="false">IF($A314&lt;FECHA_EXPORT,NETWORKDAYS($A314+1,FECHA_EXPORT,FESTIVOS),0)</f>
        <v>0</v>
      </c>
      <c r="AS314" s="61" t="n">
        <f aca="false">IF(AR314&gt;=5,1,INDEX(CDF_INC,1,AR314+1))</f>
        <v>0.14</v>
      </c>
      <c r="AT314" s="61" t="n">
        <f aca="false">TASA_USADA+(TASA_INC-TASA_USADA)*Q_INC*(1-AS314)/(1-Q_INC*AS314)</f>
        <v>0.659887072235414</v>
      </c>
    </row>
    <row r="315" customFormat="false" ht="15" hidden="false" customHeight="false" outlineLevel="0" collapsed="false">
      <c r="A315" s="53" t="n">
        <v>46609</v>
      </c>
      <c r="B315" s="54"/>
      <c r="C315" s="54"/>
      <c r="D315" s="54"/>
      <c r="E315" s="54"/>
      <c r="F315" s="54"/>
      <c r="G315" s="54"/>
      <c r="H315" s="54"/>
      <c r="I315" s="54"/>
      <c r="J315" s="54"/>
      <c r="K315" s="54"/>
      <c r="L315" s="55"/>
      <c r="M315" s="55"/>
      <c r="N315" s="55"/>
      <c r="O315" s="56"/>
      <c r="P315" s="31" t="n">
        <f aca="false">B315+C315+D315</f>
        <v>0</v>
      </c>
      <c r="Q315" s="31" t="n">
        <f aca="false">AA315+AB315+AC315</f>
        <v>0</v>
      </c>
      <c r="R315" s="32" t="n">
        <f aca="false">B315*P1_PVP+C315*P2_PVP+D315*IF($A315&lt;P3_DESDE,P3A_PVP,P3_PVP)</f>
        <v>0</v>
      </c>
      <c r="S315" s="32" t="str">
        <f aca="false">IF(P315&gt;0,R315/P315,"")</f>
        <v/>
      </c>
      <c r="T315" s="32" t="str">
        <f aca="false">IF(P315&gt;0,N315/P315,"")</f>
        <v/>
      </c>
      <c r="U315" s="57" t="str">
        <f aca="false">IF(N315&gt;0,R315/N315,"")</f>
        <v/>
      </c>
      <c r="V315" s="34" t="str">
        <f aca="false">IF(E315+F315+G315+H315+I315+J315&gt;0,(E315+F315+G315)/(E315+F315+G315+H315+I315+J315),"")</f>
        <v/>
      </c>
      <c r="W315" s="33" t="n">
        <f aca="false">E315*(P1_PVP-P1_CPROD)+F315*(P2_PVP-P2_CPROD)+G315*(IF($A315&lt;P3_DESDE,P3A_PVP,P3_PVP)-IF($A315&lt;P3_DESDE,P3A_CPROD,P3_CPROD))-IF(ISNUMBER(L315),L315,E315*P1_LOG+F315*P2_LOG+G315*P3_LOG)</f>
        <v>0</v>
      </c>
      <c r="X315" s="33" t="n">
        <f aca="false">W315-(E315*P1_IVAN+F315*P2_IVAN+G315*IF($A315&lt;P3_DESDE,P3A_IVAN,P3_IVAN))-(H315+I315+J315)*(COSTE_DEV-IVA_DEV)-AM315-AO315</f>
        <v>0</v>
      </c>
      <c r="Y315" s="33" t="n">
        <f aca="false">AH315-AI315-AJ315-AK315-AL315-AM315-AO315</f>
        <v>0</v>
      </c>
      <c r="AA315" s="58" t="n">
        <f aca="false">MAX(0,B315-E315-H315)</f>
        <v>0</v>
      </c>
      <c r="AB315" s="58" t="n">
        <f aca="false">MAX(0,C315-F315-I315)</f>
        <v>0</v>
      </c>
      <c r="AC315" s="58" t="n">
        <f aca="false">MAX(0,D315-G315-J315)</f>
        <v>0</v>
      </c>
      <c r="AD315" s="59" t="n">
        <f aca="false">E315+AA315*AQ315</f>
        <v>0</v>
      </c>
      <c r="AE315" s="59" t="n">
        <f aca="false">F315+AB315*AQ315</f>
        <v>0</v>
      </c>
      <c r="AF315" s="59" t="n">
        <f aca="false">G315+AC315*AQ315</f>
        <v>0</v>
      </c>
      <c r="AG315" s="59" t="n">
        <f aca="false">H315+I315+J315+(AA315+AB315+AC315)*(1-AQ315)</f>
        <v>0</v>
      </c>
      <c r="AH315" s="60" t="n">
        <f aca="false">AD315*P1_PVP+AE315*P2_PVP+AF315*IF($A315&lt;P3_DESDE,P3A_PVP,P3_PVP)</f>
        <v>0</v>
      </c>
      <c r="AI315" s="60" t="n">
        <f aca="false">AD315*P1_CPROD+AE315*P2_CPROD+AF315*IF($A315&lt;P3_DESDE,P3A_CPROD,P3_CPROD)</f>
        <v>0</v>
      </c>
      <c r="AJ315" s="60" t="n">
        <f aca="false">IF(ISNUMBER(L315),L315,E315*P1_LOG+F315*P2_LOG+G315*P3_LOG)+IF(ISNUMBER(M315),M315,AA315*P1_LOG+AB315*P2_LOG+AC315*P3_LOG)*AQ315</f>
        <v>0</v>
      </c>
      <c r="AK315" s="60" t="n">
        <f aca="false">AG315*COSTE_DEV</f>
        <v>0</v>
      </c>
      <c r="AL315" s="60" t="n">
        <f aca="false">AD315*P1_IVAN+AE315*P2_IVAN+AF315*IF($A315&lt;P3_DESDE,P3A_IVAN,P3_IVAN)-AG315*IVA_DEV</f>
        <v>0</v>
      </c>
      <c r="AM315" s="60" t="n">
        <f aca="false">N315*(1+RECARGO_ADS)</f>
        <v>0</v>
      </c>
      <c r="AN315" s="58" t="n">
        <f aca="false">IF(ISNUMBER(L315),E315+F315+G315+AA315+AB315+AC315,0)</f>
        <v>0</v>
      </c>
      <c r="AO315" s="60" t="n">
        <f aca="false">P315*COMISION</f>
        <v>0</v>
      </c>
      <c r="AP315" s="58" t="n">
        <f aca="false">MIN(N(K315),Q315)</f>
        <v>0</v>
      </c>
      <c r="AQ315" s="61" t="n">
        <f aca="false">IF(Q315&gt;0,((Q315-AP315)*AT315+AP315*TASA_INC)/Q315,AT315)</f>
        <v>0.659887072235414</v>
      </c>
      <c r="AR315" s="58" t="n">
        <f aca="false">IF($A315&lt;FECHA_EXPORT,NETWORKDAYS($A315+1,FECHA_EXPORT,FESTIVOS),0)</f>
        <v>0</v>
      </c>
      <c r="AS315" s="61" t="n">
        <f aca="false">IF(AR315&gt;=5,1,INDEX(CDF_INC,1,AR315+1))</f>
        <v>0.14</v>
      </c>
      <c r="AT315" s="61" t="n">
        <f aca="false">TASA_USADA+(TASA_INC-TASA_USADA)*Q_INC*(1-AS315)/(1-Q_INC*AS315)</f>
        <v>0.659887072235414</v>
      </c>
    </row>
    <row r="316" customFormat="false" ht="15" hidden="false" customHeight="false" outlineLevel="0" collapsed="false">
      <c r="A316" s="53" t="n">
        <v>46610</v>
      </c>
      <c r="B316" s="54"/>
      <c r="C316" s="54"/>
      <c r="D316" s="54"/>
      <c r="E316" s="54"/>
      <c r="F316" s="54"/>
      <c r="G316" s="54"/>
      <c r="H316" s="54"/>
      <c r="I316" s="54"/>
      <c r="J316" s="54"/>
      <c r="K316" s="54"/>
      <c r="L316" s="55"/>
      <c r="M316" s="55"/>
      <c r="N316" s="55"/>
      <c r="O316" s="56"/>
      <c r="P316" s="31" t="n">
        <f aca="false">B316+C316+D316</f>
        <v>0</v>
      </c>
      <c r="Q316" s="31" t="n">
        <f aca="false">AA316+AB316+AC316</f>
        <v>0</v>
      </c>
      <c r="R316" s="32" t="n">
        <f aca="false">B316*P1_PVP+C316*P2_PVP+D316*IF($A316&lt;P3_DESDE,P3A_PVP,P3_PVP)</f>
        <v>0</v>
      </c>
      <c r="S316" s="32" t="str">
        <f aca="false">IF(P316&gt;0,R316/P316,"")</f>
        <v/>
      </c>
      <c r="T316" s="32" t="str">
        <f aca="false">IF(P316&gt;0,N316/P316,"")</f>
        <v/>
      </c>
      <c r="U316" s="57" t="str">
        <f aca="false">IF(N316&gt;0,R316/N316,"")</f>
        <v/>
      </c>
      <c r="V316" s="34" t="str">
        <f aca="false">IF(E316+F316+G316+H316+I316+J316&gt;0,(E316+F316+G316)/(E316+F316+G316+H316+I316+J316),"")</f>
        <v/>
      </c>
      <c r="W316" s="33" t="n">
        <f aca="false">E316*(P1_PVP-P1_CPROD)+F316*(P2_PVP-P2_CPROD)+G316*(IF($A316&lt;P3_DESDE,P3A_PVP,P3_PVP)-IF($A316&lt;P3_DESDE,P3A_CPROD,P3_CPROD))-IF(ISNUMBER(L316),L316,E316*P1_LOG+F316*P2_LOG+G316*P3_LOG)</f>
        <v>0</v>
      </c>
      <c r="X316" s="33" t="n">
        <f aca="false">W316-(E316*P1_IVAN+F316*P2_IVAN+G316*IF($A316&lt;P3_DESDE,P3A_IVAN,P3_IVAN))-(H316+I316+J316)*(COSTE_DEV-IVA_DEV)-AM316-AO316</f>
        <v>0</v>
      </c>
      <c r="Y316" s="33" t="n">
        <f aca="false">AH316-AI316-AJ316-AK316-AL316-AM316-AO316</f>
        <v>0</v>
      </c>
      <c r="AA316" s="58" t="n">
        <f aca="false">MAX(0,B316-E316-H316)</f>
        <v>0</v>
      </c>
      <c r="AB316" s="58" t="n">
        <f aca="false">MAX(0,C316-F316-I316)</f>
        <v>0</v>
      </c>
      <c r="AC316" s="58" t="n">
        <f aca="false">MAX(0,D316-G316-J316)</f>
        <v>0</v>
      </c>
      <c r="AD316" s="59" t="n">
        <f aca="false">E316+AA316*AQ316</f>
        <v>0</v>
      </c>
      <c r="AE316" s="59" t="n">
        <f aca="false">F316+AB316*AQ316</f>
        <v>0</v>
      </c>
      <c r="AF316" s="59" t="n">
        <f aca="false">G316+AC316*AQ316</f>
        <v>0</v>
      </c>
      <c r="AG316" s="59" t="n">
        <f aca="false">H316+I316+J316+(AA316+AB316+AC316)*(1-AQ316)</f>
        <v>0</v>
      </c>
      <c r="AH316" s="60" t="n">
        <f aca="false">AD316*P1_PVP+AE316*P2_PVP+AF316*IF($A316&lt;P3_DESDE,P3A_PVP,P3_PVP)</f>
        <v>0</v>
      </c>
      <c r="AI316" s="60" t="n">
        <f aca="false">AD316*P1_CPROD+AE316*P2_CPROD+AF316*IF($A316&lt;P3_DESDE,P3A_CPROD,P3_CPROD)</f>
        <v>0</v>
      </c>
      <c r="AJ316" s="60" t="n">
        <f aca="false">IF(ISNUMBER(L316),L316,E316*P1_LOG+F316*P2_LOG+G316*P3_LOG)+IF(ISNUMBER(M316),M316,AA316*P1_LOG+AB316*P2_LOG+AC316*P3_LOG)*AQ316</f>
        <v>0</v>
      </c>
      <c r="AK316" s="60" t="n">
        <f aca="false">AG316*COSTE_DEV</f>
        <v>0</v>
      </c>
      <c r="AL316" s="60" t="n">
        <f aca="false">AD316*P1_IVAN+AE316*P2_IVAN+AF316*IF($A316&lt;P3_DESDE,P3A_IVAN,P3_IVAN)-AG316*IVA_DEV</f>
        <v>0</v>
      </c>
      <c r="AM316" s="60" t="n">
        <f aca="false">N316*(1+RECARGO_ADS)</f>
        <v>0</v>
      </c>
      <c r="AN316" s="58" t="n">
        <f aca="false">IF(ISNUMBER(L316),E316+F316+G316+AA316+AB316+AC316,0)</f>
        <v>0</v>
      </c>
      <c r="AO316" s="60" t="n">
        <f aca="false">P316*COMISION</f>
        <v>0</v>
      </c>
      <c r="AP316" s="58" t="n">
        <f aca="false">MIN(N(K316),Q316)</f>
        <v>0</v>
      </c>
      <c r="AQ316" s="61" t="n">
        <f aca="false">IF(Q316&gt;0,((Q316-AP316)*AT316+AP316*TASA_INC)/Q316,AT316)</f>
        <v>0.659887072235414</v>
      </c>
      <c r="AR316" s="58" t="n">
        <f aca="false">IF($A316&lt;FECHA_EXPORT,NETWORKDAYS($A316+1,FECHA_EXPORT,FESTIVOS),0)</f>
        <v>0</v>
      </c>
      <c r="AS316" s="61" t="n">
        <f aca="false">IF(AR316&gt;=5,1,INDEX(CDF_INC,1,AR316+1))</f>
        <v>0.14</v>
      </c>
      <c r="AT316" s="61" t="n">
        <f aca="false">TASA_USADA+(TASA_INC-TASA_USADA)*Q_INC*(1-AS316)/(1-Q_INC*AS316)</f>
        <v>0.659887072235414</v>
      </c>
    </row>
    <row r="317" customFormat="false" ht="15" hidden="false" customHeight="false" outlineLevel="0" collapsed="false">
      <c r="A317" s="53" t="n">
        <v>46611</v>
      </c>
      <c r="B317" s="54"/>
      <c r="C317" s="54"/>
      <c r="D317" s="54"/>
      <c r="E317" s="54"/>
      <c r="F317" s="54"/>
      <c r="G317" s="54"/>
      <c r="H317" s="54"/>
      <c r="I317" s="54"/>
      <c r="J317" s="54"/>
      <c r="K317" s="54"/>
      <c r="L317" s="55"/>
      <c r="M317" s="55"/>
      <c r="N317" s="55"/>
      <c r="O317" s="56"/>
      <c r="P317" s="31" t="n">
        <f aca="false">B317+C317+D317</f>
        <v>0</v>
      </c>
      <c r="Q317" s="31" t="n">
        <f aca="false">AA317+AB317+AC317</f>
        <v>0</v>
      </c>
      <c r="R317" s="32" t="n">
        <f aca="false">B317*P1_PVP+C317*P2_PVP+D317*IF($A317&lt;P3_DESDE,P3A_PVP,P3_PVP)</f>
        <v>0</v>
      </c>
      <c r="S317" s="32" t="str">
        <f aca="false">IF(P317&gt;0,R317/P317,"")</f>
        <v/>
      </c>
      <c r="T317" s="32" t="str">
        <f aca="false">IF(P317&gt;0,N317/P317,"")</f>
        <v/>
      </c>
      <c r="U317" s="57" t="str">
        <f aca="false">IF(N317&gt;0,R317/N317,"")</f>
        <v/>
      </c>
      <c r="V317" s="34" t="str">
        <f aca="false">IF(E317+F317+G317+H317+I317+J317&gt;0,(E317+F317+G317)/(E317+F317+G317+H317+I317+J317),"")</f>
        <v/>
      </c>
      <c r="W317" s="33" t="n">
        <f aca="false">E317*(P1_PVP-P1_CPROD)+F317*(P2_PVP-P2_CPROD)+G317*(IF($A317&lt;P3_DESDE,P3A_PVP,P3_PVP)-IF($A317&lt;P3_DESDE,P3A_CPROD,P3_CPROD))-IF(ISNUMBER(L317),L317,E317*P1_LOG+F317*P2_LOG+G317*P3_LOG)</f>
        <v>0</v>
      </c>
      <c r="X317" s="33" t="n">
        <f aca="false">W317-(E317*P1_IVAN+F317*P2_IVAN+G317*IF($A317&lt;P3_DESDE,P3A_IVAN,P3_IVAN))-(H317+I317+J317)*(COSTE_DEV-IVA_DEV)-AM317-AO317</f>
        <v>0</v>
      </c>
      <c r="Y317" s="33" t="n">
        <f aca="false">AH317-AI317-AJ317-AK317-AL317-AM317-AO317</f>
        <v>0</v>
      </c>
      <c r="AA317" s="58" t="n">
        <f aca="false">MAX(0,B317-E317-H317)</f>
        <v>0</v>
      </c>
      <c r="AB317" s="58" t="n">
        <f aca="false">MAX(0,C317-F317-I317)</f>
        <v>0</v>
      </c>
      <c r="AC317" s="58" t="n">
        <f aca="false">MAX(0,D317-G317-J317)</f>
        <v>0</v>
      </c>
      <c r="AD317" s="59" t="n">
        <f aca="false">E317+AA317*AQ317</f>
        <v>0</v>
      </c>
      <c r="AE317" s="59" t="n">
        <f aca="false">F317+AB317*AQ317</f>
        <v>0</v>
      </c>
      <c r="AF317" s="59" t="n">
        <f aca="false">G317+AC317*AQ317</f>
        <v>0</v>
      </c>
      <c r="AG317" s="59" t="n">
        <f aca="false">H317+I317+J317+(AA317+AB317+AC317)*(1-AQ317)</f>
        <v>0</v>
      </c>
      <c r="AH317" s="60" t="n">
        <f aca="false">AD317*P1_PVP+AE317*P2_PVP+AF317*IF($A317&lt;P3_DESDE,P3A_PVP,P3_PVP)</f>
        <v>0</v>
      </c>
      <c r="AI317" s="60" t="n">
        <f aca="false">AD317*P1_CPROD+AE317*P2_CPROD+AF317*IF($A317&lt;P3_DESDE,P3A_CPROD,P3_CPROD)</f>
        <v>0</v>
      </c>
      <c r="AJ317" s="60" t="n">
        <f aca="false">IF(ISNUMBER(L317),L317,E317*P1_LOG+F317*P2_LOG+G317*P3_LOG)+IF(ISNUMBER(M317),M317,AA317*P1_LOG+AB317*P2_LOG+AC317*P3_LOG)*AQ317</f>
        <v>0</v>
      </c>
      <c r="AK317" s="60" t="n">
        <f aca="false">AG317*COSTE_DEV</f>
        <v>0</v>
      </c>
      <c r="AL317" s="60" t="n">
        <f aca="false">AD317*P1_IVAN+AE317*P2_IVAN+AF317*IF($A317&lt;P3_DESDE,P3A_IVAN,P3_IVAN)-AG317*IVA_DEV</f>
        <v>0</v>
      </c>
      <c r="AM317" s="60" t="n">
        <f aca="false">N317*(1+RECARGO_ADS)</f>
        <v>0</v>
      </c>
      <c r="AN317" s="58" t="n">
        <f aca="false">IF(ISNUMBER(L317),E317+F317+G317+AA317+AB317+AC317,0)</f>
        <v>0</v>
      </c>
      <c r="AO317" s="60" t="n">
        <f aca="false">P317*COMISION</f>
        <v>0</v>
      </c>
      <c r="AP317" s="58" t="n">
        <f aca="false">MIN(N(K317),Q317)</f>
        <v>0</v>
      </c>
      <c r="AQ317" s="61" t="n">
        <f aca="false">IF(Q317&gt;0,((Q317-AP317)*AT317+AP317*TASA_INC)/Q317,AT317)</f>
        <v>0.659887072235414</v>
      </c>
      <c r="AR317" s="58" t="n">
        <f aca="false">IF($A317&lt;FECHA_EXPORT,NETWORKDAYS($A317+1,FECHA_EXPORT,FESTIVOS),0)</f>
        <v>0</v>
      </c>
      <c r="AS317" s="61" t="n">
        <f aca="false">IF(AR317&gt;=5,1,INDEX(CDF_INC,1,AR317+1))</f>
        <v>0.14</v>
      </c>
      <c r="AT317" s="61" t="n">
        <f aca="false">TASA_USADA+(TASA_INC-TASA_USADA)*Q_INC*(1-AS317)/(1-Q_INC*AS317)</f>
        <v>0.659887072235414</v>
      </c>
    </row>
    <row r="318" customFormat="false" ht="15" hidden="false" customHeight="false" outlineLevel="0" collapsed="false">
      <c r="A318" s="53" t="n">
        <v>46612</v>
      </c>
      <c r="B318" s="54"/>
      <c r="C318" s="54"/>
      <c r="D318" s="54"/>
      <c r="E318" s="54"/>
      <c r="F318" s="54"/>
      <c r="G318" s="54"/>
      <c r="H318" s="54"/>
      <c r="I318" s="54"/>
      <c r="J318" s="54"/>
      <c r="K318" s="54"/>
      <c r="L318" s="55"/>
      <c r="M318" s="55"/>
      <c r="N318" s="55"/>
      <c r="O318" s="56"/>
      <c r="P318" s="31" t="n">
        <f aca="false">B318+C318+D318</f>
        <v>0</v>
      </c>
      <c r="Q318" s="31" t="n">
        <f aca="false">AA318+AB318+AC318</f>
        <v>0</v>
      </c>
      <c r="R318" s="32" t="n">
        <f aca="false">B318*P1_PVP+C318*P2_PVP+D318*IF($A318&lt;P3_DESDE,P3A_PVP,P3_PVP)</f>
        <v>0</v>
      </c>
      <c r="S318" s="32" t="str">
        <f aca="false">IF(P318&gt;0,R318/P318,"")</f>
        <v/>
      </c>
      <c r="T318" s="32" t="str">
        <f aca="false">IF(P318&gt;0,N318/P318,"")</f>
        <v/>
      </c>
      <c r="U318" s="57" t="str">
        <f aca="false">IF(N318&gt;0,R318/N318,"")</f>
        <v/>
      </c>
      <c r="V318" s="34" t="str">
        <f aca="false">IF(E318+F318+G318+H318+I318+J318&gt;0,(E318+F318+G318)/(E318+F318+G318+H318+I318+J318),"")</f>
        <v/>
      </c>
      <c r="W318" s="33" t="n">
        <f aca="false">E318*(P1_PVP-P1_CPROD)+F318*(P2_PVP-P2_CPROD)+G318*(IF($A318&lt;P3_DESDE,P3A_PVP,P3_PVP)-IF($A318&lt;P3_DESDE,P3A_CPROD,P3_CPROD))-IF(ISNUMBER(L318),L318,E318*P1_LOG+F318*P2_LOG+G318*P3_LOG)</f>
        <v>0</v>
      </c>
      <c r="X318" s="33" t="n">
        <f aca="false">W318-(E318*P1_IVAN+F318*P2_IVAN+G318*IF($A318&lt;P3_DESDE,P3A_IVAN,P3_IVAN))-(H318+I318+J318)*(COSTE_DEV-IVA_DEV)-AM318-AO318</f>
        <v>0</v>
      </c>
      <c r="Y318" s="33" t="n">
        <f aca="false">AH318-AI318-AJ318-AK318-AL318-AM318-AO318</f>
        <v>0</v>
      </c>
      <c r="AA318" s="58" t="n">
        <f aca="false">MAX(0,B318-E318-H318)</f>
        <v>0</v>
      </c>
      <c r="AB318" s="58" t="n">
        <f aca="false">MAX(0,C318-F318-I318)</f>
        <v>0</v>
      </c>
      <c r="AC318" s="58" t="n">
        <f aca="false">MAX(0,D318-G318-J318)</f>
        <v>0</v>
      </c>
      <c r="AD318" s="59" t="n">
        <f aca="false">E318+AA318*AQ318</f>
        <v>0</v>
      </c>
      <c r="AE318" s="59" t="n">
        <f aca="false">F318+AB318*AQ318</f>
        <v>0</v>
      </c>
      <c r="AF318" s="59" t="n">
        <f aca="false">G318+AC318*AQ318</f>
        <v>0</v>
      </c>
      <c r="AG318" s="59" t="n">
        <f aca="false">H318+I318+J318+(AA318+AB318+AC318)*(1-AQ318)</f>
        <v>0</v>
      </c>
      <c r="AH318" s="60" t="n">
        <f aca="false">AD318*P1_PVP+AE318*P2_PVP+AF318*IF($A318&lt;P3_DESDE,P3A_PVP,P3_PVP)</f>
        <v>0</v>
      </c>
      <c r="AI318" s="60" t="n">
        <f aca="false">AD318*P1_CPROD+AE318*P2_CPROD+AF318*IF($A318&lt;P3_DESDE,P3A_CPROD,P3_CPROD)</f>
        <v>0</v>
      </c>
      <c r="AJ318" s="60" t="n">
        <f aca="false">IF(ISNUMBER(L318),L318,E318*P1_LOG+F318*P2_LOG+G318*P3_LOG)+IF(ISNUMBER(M318),M318,AA318*P1_LOG+AB318*P2_LOG+AC318*P3_LOG)*AQ318</f>
        <v>0</v>
      </c>
      <c r="AK318" s="60" t="n">
        <f aca="false">AG318*COSTE_DEV</f>
        <v>0</v>
      </c>
      <c r="AL318" s="60" t="n">
        <f aca="false">AD318*P1_IVAN+AE318*P2_IVAN+AF318*IF($A318&lt;P3_DESDE,P3A_IVAN,P3_IVAN)-AG318*IVA_DEV</f>
        <v>0</v>
      </c>
      <c r="AM318" s="60" t="n">
        <f aca="false">N318*(1+RECARGO_ADS)</f>
        <v>0</v>
      </c>
      <c r="AN318" s="58" t="n">
        <f aca="false">IF(ISNUMBER(L318),E318+F318+G318+AA318+AB318+AC318,0)</f>
        <v>0</v>
      </c>
      <c r="AO318" s="60" t="n">
        <f aca="false">P318*COMISION</f>
        <v>0</v>
      </c>
      <c r="AP318" s="58" t="n">
        <f aca="false">MIN(N(K318),Q318)</f>
        <v>0</v>
      </c>
      <c r="AQ318" s="61" t="n">
        <f aca="false">IF(Q318&gt;0,((Q318-AP318)*AT318+AP318*TASA_INC)/Q318,AT318)</f>
        <v>0.659887072235414</v>
      </c>
      <c r="AR318" s="58" t="n">
        <f aca="false">IF($A318&lt;FECHA_EXPORT,NETWORKDAYS($A318+1,FECHA_EXPORT,FESTIVOS),0)</f>
        <v>0</v>
      </c>
      <c r="AS318" s="61" t="n">
        <f aca="false">IF(AR318&gt;=5,1,INDEX(CDF_INC,1,AR318+1))</f>
        <v>0.14</v>
      </c>
      <c r="AT318" s="61" t="n">
        <f aca="false">TASA_USADA+(TASA_INC-TASA_USADA)*Q_INC*(1-AS318)/(1-Q_INC*AS318)</f>
        <v>0.659887072235414</v>
      </c>
    </row>
    <row r="319" customFormat="false" ht="15" hidden="false" customHeight="false" outlineLevel="0" collapsed="false">
      <c r="A319" s="53" t="n">
        <v>46613</v>
      </c>
      <c r="B319" s="54"/>
      <c r="C319" s="54"/>
      <c r="D319" s="54"/>
      <c r="E319" s="54"/>
      <c r="F319" s="54"/>
      <c r="G319" s="54"/>
      <c r="H319" s="54"/>
      <c r="I319" s="54"/>
      <c r="J319" s="54"/>
      <c r="K319" s="54"/>
      <c r="L319" s="55"/>
      <c r="M319" s="55"/>
      <c r="N319" s="55"/>
      <c r="O319" s="56"/>
      <c r="P319" s="31" t="n">
        <f aca="false">B319+C319+D319</f>
        <v>0</v>
      </c>
      <c r="Q319" s="31" t="n">
        <f aca="false">AA319+AB319+AC319</f>
        <v>0</v>
      </c>
      <c r="R319" s="32" t="n">
        <f aca="false">B319*P1_PVP+C319*P2_PVP+D319*IF($A319&lt;P3_DESDE,P3A_PVP,P3_PVP)</f>
        <v>0</v>
      </c>
      <c r="S319" s="32" t="str">
        <f aca="false">IF(P319&gt;0,R319/P319,"")</f>
        <v/>
      </c>
      <c r="T319" s="32" t="str">
        <f aca="false">IF(P319&gt;0,N319/P319,"")</f>
        <v/>
      </c>
      <c r="U319" s="57" t="str">
        <f aca="false">IF(N319&gt;0,R319/N319,"")</f>
        <v/>
      </c>
      <c r="V319" s="34" t="str">
        <f aca="false">IF(E319+F319+G319+H319+I319+J319&gt;0,(E319+F319+G319)/(E319+F319+G319+H319+I319+J319),"")</f>
        <v/>
      </c>
      <c r="W319" s="33" t="n">
        <f aca="false">E319*(P1_PVP-P1_CPROD)+F319*(P2_PVP-P2_CPROD)+G319*(IF($A319&lt;P3_DESDE,P3A_PVP,P3_PVP)-IF($A319&lt;P3_DESDE,P3A_CPROD,P3_CPROD))-IF(ISNUMBER(L319),L319,E319*P1_LOG+F319*P2_LOG+G319*P3_LOG)</f>
        <v>0</v>
      </c>
      <c r="X319" s="33" t="n">
        <f aca="false">W319-(E319*P1_IVAN+F319*P2_IVAN+G319*IF($A319&lt;P3_DESDE,P3A_IVAN,P3_IVAN))-(H319+I319+J319)*(COSTE_DEV-IVA_DEV)-AM319-AO319</f>
        <v>0</v>
      </c>
      <c r="Y319" s="33" t="n">
        <f aca="false">AH319-AI319-AJ319-AK319-AL319-AM319-AO319</f>
        <v>0</v>
      </c>
      <c r="AA319" s="58" t="n">
        <f aca="false">MAX(0,B319-E319-H319)</f>
        <v>0</v>
      </c>
      <c r="AB319" s="58" t="n">
        <f aca="false">MAX(0,C319-F319-I319)</f>
        <v>0</v>
      </c>
      <c r="AC319" s="58" t="n">
        <f aca="false">MAX(0,D319-G319-J319)</f>
        <v>0</v>
      </c>
      <c r="AD319" s="59" t="n">
        <f aca="false">E319+AA319*AQ319</f>
        <v>0</v>
      </c>
      <c r="AE319" s="59" t="n">
        <f aca="false">F319+AB319*AQ319</f>
        <v>0</v>
      </c>
      <c r="AF319" s="59" t="n">
        <f aca="false">G319+AC319*AQ319</f>
        <v>0</v>
      </c>
      <c r="AG319" s="59" t="n">
        <f aca="false">H319+I319+J319+(AA319+AB319+AC319)*(1-AQ319)</f>
        <v>0</v>
      </c>
      <c r="AH319" s="60" t="n">
        <f aca="false">AD319*P1_PVP+AE319*P2_PVP+AF319*IF($A319&lt;P3_DESDE,P3A_PVP,P3_PVP)</f>
        <v>0</v>
      </c>
      <c r="AI319" s="60" t="n">
        <f aca="false">AD319*P1_CPROD+AE319*P2_CPROD+AF319*IF($A319&lt;P3_DESDE,P3A_CPROD,P3_CPROD)</f>
        <v>0</v>
      </c>
      <c r="AJ319" s="60" t="n">
        <f aca="false">IF(ISNUMBER(L319),L319,E319*P1_LOG+F319*P2_LOG+G319*P3_LOG)+IF(ISNUMBER(M319),M319,AA319*P1_LOG+AB319*P2_LOG+AC319*P3_LOG)*AQ319</f>
        <v>0</v>
      </c>
      <c r="AK319" s="60" t="n">
        <f aca="false">AG319*COSTE_DEV</f>
        <v>0</v>
      </c>
      <c r="AL319" s="60" t="n">
        <f aca="false">AD319*P1_IVAN+AE319*P2_IVAN+AF319*IF($A319&lt;P3_DESDE,P3A_IVAN,P3_IVAN)-AG319*IVA_DEV</f>
        <v>0</v>
      </c>
      <c r="AM319" s="60" t="n">
        <f aca="false">N319*(1+RECARGO_ADS)</f>
        <v>0</v>
      </c>
      <c r="AN319" s="58" t="n">
        <f aca="false">IF(ISNUMBER(L319),E319+F319+G319+AA319+AB319+AC319,0)</f>
        <v>0</v>
      </c>
      <c r="AO319" s="60" t="n">
        <f aca="false">P319*COMISION</f>
        <v>0</v>
      </c>
      <c r="AP319" s="58" t="n">
        <f aca="false">MIN(N(K319),Q319)</f>
        <v>0</v>
      </c>
      <c r="AQ319" s="61" t="n">
        <f aca="false">IF(Q319&gt;0,((Q319-AP319)*AT319+AP319*TASA_INC)/Q319,AT319)</f>
        <v>0.659887072235414</v>
      </c>
      <c r="AR319" s="58" t="n">
        <f aca="false">IF($A319&lt;FECHA_EXPORT,NETWORKDAYS($A319+1,FECHA_EXPORT,FESTIVOS),0)</f>
        <v>0</v>
      </c>
      <c r="AS319" s="61" t="n">
        <f aca="false">IF(AR319&gt;=5,1,INDEX(CDF_INC,1,AR319+1))</f>
        <v>0.14</v>
      </c>
      <c r="AT319" s="61" t="n">
        <f aca="false">TASA_USADA+(TASA_INC-TASA_USADA)*Q_INC*(1-AS319)/(1-Q_INC*AS319)</f>
        <v>0.659887072235414</v>
      </c>
    </row>
    <row r="320" customFormat="false" ht="15" hidden="false" customHeight="false" outlineLevel="0" collapsed="false">
      <c r="A320" s="53" t="n">
        <v>46614</v>
      </c>
      <c r="B320" s="54"/>
      <c r="C320" s="54"/>
      <c r="D320" s="54"/>
      <c r="E320" s="54"/>
      <c r="F320" s="54"/>
      <c r="G320" s="54"/>
      <c r="H320" s="54"/>
      <c r="I320" s="54"/>
      <c r="J320" s="54"/>
      <c r="K320" s="54"/>
      <c r="L320" s="55"/>
      <c r="M320" s="55"/>
      <c r="N320" s="55"/>
      <c r="O320" s="56"/>
      <c r="P320" s="31" t="n">
        <f aca="false">B320+C320+D320</f>
        <v>0</v>
      </c>
      <c r="Q320" s="31" t="n">
        <f aca="false">AA320+AB320+AC320</f>
        <v>0</v>
      </c>
      <c r="R320" s="32" t="n">
        <f aca="false">B320*P1_PVP+C320*P2_PVP+D320*IF($A320&lt;P3_DESDE,P3A_PVP,P3_PVP)</f>
        <v>0</v>
      </c>
      <c r="S320" s="32" t="str">
        <f aca="false">IF(P320&gt;0,R320/P320,"")</f>
        <v/>
      </c>
      <c r="T320" s="32" t="str">
        <f aca="false">IF(P320&gt;0,N320/P320,"")</f>
        <v/>
      </c>
      <c r="U320" s="57" t="str">
        <f aca="false">IF(N320&gt;0,R320/N320,"")</f>
        <v/>
      </c>
      <c r="V320" s="34" t="str">
        <f aca="false">IF(E320+F320+G320+H320+I320+J320&gt;0,(E320+F320+G320)/(E320+F320+G320+H320+I320+J320),"")</f>
        <v/>
      </c>
      <c r="W320" s="33" t="n">
        <f aca="false">E320*(P1_PVP-P1_CPROD)+F320*(P2_PVP-P2_CPROD)+G320*(IF($A320&lt;P3_DESDE,P3A_PVP,P3_PVP)-IF($A320&lt;P3_DESDE,P3A_CPROD,P3_CPROD))-IF(ISNUMBER(L320),L320,E320*P1_LOG+F320*P2_LOG+G320*P3_LOG)</f>
        <v>0</v>
      </c>
      <c r="X320" s="33" t="n">
        <f aca="false">W320-(E320*P1_IVAN+F320*P2_IVAN+G320*IF($A320&lt;P3_DESDE,P3A_IVAN,P3_IVAN))-(H320+I320+J320)*(COSTE_DEV-IVA_DEV)-AM320-AO320</f>
        <v>0</v>
      </c>
      <c r="Y320" s="33" t="n">
        <f aca="false">AH320-AI320-AJ320-AK320-AL320-AM320-AO320</f>
        <v>0</v>
      </c>
      <c r="AA320" s="58" t="n">
        <f aca="false">MAX(0,B320-E320-H320)</f>
        <v>0</v>
      </c>
      <c r="AB320" s="58" t="n">
        <f aca="false">MAX(0,C320-F320-I320)</f>
        <v>0</v>
      </c>
      <c r="AC320" s="58" t="n">
        <f aca="false">MAX(0,D320-G320-J320)</f>
        <v>0</v>
      </c>
      <c r="AD320" s="59" t="n">
        <f aca="false">E320+AA320*AQ320</f>
        <v>0</v>
      </c>
      <c r="AE320" s="59" t="n">
        <f aca="false">F320+AB320*AQ320</f>
        <v>0</v>
      </c>
      <c r="AF320" s="59" t="n">
        <f aca="false">G320+AC320*AQ320</f>
        <v>0</v>
      </c>
      <c r="AG320" s="59" t="n">
        <f aca="false">H320+I320+J320+(AA320+AB320+AC320)*(1-AQ320)</f>
        <v>0</v>
      </c>
      <c r="AH320" s="60" t="n">
        <f aca="false">AD320*P1_PVP+AE320*P2_PVP+AF320*IF($A320&lt;P3_DESDE,P3A_PVP,P3_PVP)</f>
        <v>0</v>
      </c>
      <c r="AI320" s="60" t="n">
        <f aca="false">AD320*P1_CPROD+AE320*P2_CPROD+AF320*IF($A320&lt;P3_DESDE,P3A_CPROD,P3_CPROD)</f>
        <v>0</v>
      </c>
      <c r="AJ320" s="60" t="n">
        <f aca="false">IF(ISNUMBER(L320),L320,E320*P1_LOG+F320*P2_LOG+G320*P3_LOG)+IF(ISNUMBER(M320),M320,AA320*P1_LOG+AB320*P2_LOG+AC320*P3_LOG)*AQ320</f>
        <v>0</v>
      </c>
      <c r="AK320" s="60" t="n">
        <f aca="false">AG320*COSTE_DEV</f>
        <v>0</v>
      </c>
      <c r="AL320" s="60" t="n">
        <f aca="false">AD320*P1_IVAN+AE320*P2_IVAN+AF320*IF($A320&lt;P3_DESDE,P3A_IVAN,P3_IVAN)-AG320*IVA_DEV</f>
        <v>0</v>
      </c>
      <c r="AM320" s="60" t="n">
        <f aca="false">N320*(1+RECARGO_ADS)</f>
        <v>0</v>
      </c>
      <c r="AN320" s="58" t="n">
        <f aca="false">IF(ISNUMBER(L320),E320+F320+G320+AA320+AB320+AC320,0)</f>
        <v>0</v>
      </c>
      <c r="AO320" s="60" t="n">
        <f aca="false">P320*COMISION</f>
        <v>0</v>
      </c>
      <c r="AP320" s="58" t="n">
        <f aca="false">MIN(N(K320),Q320)</f>
        <v>0</v>
      </c>
      <c r="AQ320" s="61" t="n">
        <f aca="false">IF(Q320&gt;0,((Q320-AP320)*AT320+AP320*TASA_INC)/Q320,AT320)</f>
        <v>0.659887072235414</v>
      </c>
      <c r="AR320" s="58" t="n">
        <f aca="false">IF($A320&lt;FECHA_EXPORT,NETWORKDAYS($A320+1,FECHA_EXPORT,FESTIVOS),0)</f>
        <v>0</v>
      </c>
      <c r="AS320" s="61" t="n">
        <f aca="false">IF(AR320&gt;=5,1,INDEX(CDF_INC,1,AR320+1))</f>
        <v>0.14</v>
      </c>
      <c r="AT320" s="61" t="n">
        <f aca="false">TASA_USADA+(TASA_INC-TASA_USADA)*Q_INC*(1-AS320)/(1-Q_INC*AS320)</f>
        <v>0.659887072235414</v>
      </c>
    </row>
    <row r="321" customFormat="false" ht="15" hidden="false" customHeight="false" outlineLevel="0" collapsed="false">
      <c r="A321" s="53" t="n">
        <v>46615</v>
      </c>
      <c r="B321" s="54"/>
      <c r="C321" s="54"/>
      <c r="D321" s="54"/>
      <c r="E321" s="54"/>
      <c r="F321" s="54"/>
      <c r="G321" s="54"/>
      <c r="H321" s="54"/>
      <c r="I321" s="54"/>
      <c r="J321" s="54"/>
      <c r="K321" s="54"/>
      <c r="L321" s="55"/>
      <c r="M321" s="55"/>
      <c r="N321" s="55"/>
      <c r="O321" s="56"/>
      <c r="P321" s="31" t="n">
        <f aca="false">B321+C321+D321</f>
        <v>0</v>
      </c>
      <c r="Q321" s="31" t="n">
        <f aca="false">AA321+AB321+AC321</f>
        <v>0</v>
      </c>
      <c r="R321" s="32" t="n">
        <f aca="false">B321*P1_PVP+C321*P2_PVP+D321*IF($A321&lt;P3_DESDE,P3A_PVP,P3_PVP)</f>
        <v>0</v>
      </c>
      <c r="S321" s="32" t="str">
        <f aca="false">IF(P321&gt;0,R321/P321,"")</f>
        <v/>
      </c>
      <c r="T321" s="32" t="str">
        <f aca="false">IF(P321&gt;0,N321/P321,"")</f>
        <v/>
      </c>
      <c r="U321" s="57" t="str">
        <f aca="false">IF(N321&gt;0,R321/N321,"")</f>
        <v/>
      </c>
      <c r="V321" s="34" t="str">
        <f aca="false">IF(E321+F321+G321+H321+I321+J321&gt;0,(E321+F321+G321)/(E321+F321+G321+H321+I321+J321),"")</f>
        <v/>
      </c>
      <c r="W321" s="33" t="n">
        <f aca="false">E321*(P1_PVP-P1_CPROD)+F321*(P2_PVP-P2_CPROD)+G321*(IF($A321&lt;P3_DESDE,P3A_PVP,P3_PVP)-IF($A321&lt;P3_DESDE,P3A_CPROD,P3_CPROD))-IF(ISNUMBER(L321),L321,E321*P1_LOG+F321*P2_LOG+G321*P3_LOG)</f>
        <v>0</v>
      </c>
      <c r="X321" s="33" t="n">
        <f aca="false">W321-(E321*P1_IVAN+F321*P2_IVAN+G321*IF($A321&lt;P3_DESDE,P3A_IVAN,P3_IVAN))-(H321+I321+J321)*(COSTE_DEV-IVA_DEV)-AM321-AO321</f>
        <v>0</v>
      </c>
      <c r="Y321" s="33" t="n">
        <f aca="false">AH321-AI321-AJ321-AK321-AL321-AM321-AO321</f>
        <v>0</v>
      </c>
      <c r="AA321" s="58" t="n">
        <f aca="false">MAX(0,B321-E321-H321)</f>
        <v>0</v>
      </c>
      <c r="AB321" s="58" t="n">
        <f aca="false">MAX(0,C321-F321-I321)</f>
        <v>0</v>
      </c>
      <c r="AC321" s="58" t="n">
        <f aca="false">MAX(0,D321-G321-J321)</f>
        <v>0</v>
      </c>
      <c r="AD321" s="59" t="n">
        <f aca="false">E321+AA321*AQ321</f>
        <v>0</v>
      </c>
      <c r="AE321" s="59" t="n">
        <f aca="false">F321+AB321*AQ321</f>
        <v>0</v>
      </c>
      <c r="AF321" s="59" t="n">
        <f aca="false">G321+AC321*AQ321</f>
        <v>0</v>
      </c>
      <c r="AG321" s="59" t="n">
        <f aca="false">H321+I321+J321+(AA321+AB321+AC321)*(1-AQ321)</f>
        <v>0</v>
      </c>
      <c r="AH321" s="60" t="n">
        <f aca="false">AD321*P1_PVP+AE321*P2_PVP+AF321*IF($A321&lt;P3_DESDE,P3A_PVP,P3_PVP)</f>
        <v>0</v>
      </c>
      <c r="AI321" s="60" t="n">
        <f aca="false">AD321*P1_CPROD+AE321*P2_CPROD+AF321*IF($A321&lt;P3_DESDE,P3A_CPROD,P3_CPROD)</f>
        <v>0</v>
      </c>
      <c r="AJ321" s="60" t="n">
        <f aca="false">IF(ISNUMBER(L321),L321,E321*P1_LOG+F321*P2_LOG+G321*P3_LOG)+IF(ISNUMBER(M321),M321,AA321*P1_LOG+AB321*P2_LOG+AC321*P3_LOG)*AQ321</f>
        <v>0</v>
      </c>
      <c r="AK321" s="60" t="n">
        <f aca="false">AG321*COSTE_DEV</f>
        <v>0</v>
      </c>
      <c r="AL321" s="60" t="n">
        <f aca="false">AD321*P1_IVAN+AE321*P2_IVAN+AF321*IF($A321&lt;P3_DESDE,P3A_IVAN,P3_IVAN)-AG321*IVA_DEV</f>
        <v>0</v>
      </c>
      <c r="AM321" s="60" t="n">
        <f aca="false">N321*(1+RECARGO_ADS)</f>
        <v>0</v>
      </c>
      <c r="AN321" s="58" t="n">
        <f aca="false">IF(ISNUMBER(L321),E321+F321+G321+AA321+AB321+AC321,0)</f>
        <v>0</v>
      </c>
      <c r="AO321" s="60" t="n">
        <f aca="false">P321*COMISION</f>
        <v>0</v>
      </c>
      <c r="AP321" s="58" t="n">
        <f aca="false">MIN(N(K321),Q321)</f>
        <v>0</v>
      </c>
      <c r="AQ321" s="61" t="n">
        <f aca="false">IF(Q321&gt;0,((Q321-AP321)*AT321+AP321*TASA_INC)/Q321,AT321)</f>
        <v>0.659887072235414</v>
      </c>
      <c r="AR321" s="58" t="n">
        <f aca="false">IF($A321&lt;FECHA_EXPORT,NETWORKDAYS($A321+1,FECHA_EXPORT,FESTIVOS),0)</f>
        <v>0</v>
      </c>
      <c r="AS321" s="61" t="n">
        <f aca="false">IF(AR321&gt;=5,1,INDEX(CDF_INC,1,AR321+1))</f>
        <v>0.14</v>
      </c>
      <c r="AT321" s="61" t="n">
        <f aca="false">TASA_USADA+(TASA_INC-TASA_USADA)*Q_INC*(1-AS321)/(1-Q_INC*AS321)</f>
        <v>0.659887072235414</v>
      </c>
    </row>
    <row r="322" customFormat="false" ht="15" hidden="false" customHeight="false" outlineLevel="0" collapsed="false">
      <c r="A322" s="53" t="n">
        <v>46616</v>
      </c>
      <c r="B322" s="54"/>
      <c r="C322" s="54"/>
      <c r="D322" s="54"/>
      <c r="E322" s="54"/>
      <c r="F322" s="54"/>
      <c r="G322" s="54"/>
      <c r="H322" s="54"/>
      <c r="I322" s="54"/>
      <c r="J322" s="54"/>
      <c r="K322" s="54"/>
      <c r="L322" s="55"/>
      <c r="M322" s="55"/>
      <c r="N322" s="55"/>
      <c r="O322" s="56"/>
      <c r="P322" s="31" t="n">
        <f aca="false">B322+C322+D322</f>
        <v>0</v>
      </c>
      <c r="Q322" s="31" t="n">
        <f aca="false">AA322+AB322+AC322</f>
        <v>0</v>
      </c>
      <c r="R322" s="32" t="n">
        <f aca="false">B322*P1_PVP+C322*P2_PVP+D322*IF($A322&lt;P3_DESDE,P3A_PVP,P3_PVP)</f>
        <v>0</v>
      </c>
      <c r="S322" s="32" t="str">
        <f aca="false">IF(P322&gt;0,R322/P322,"")</f>
        <v/>
      </c>
      <c r="T322" s="32" t="str">
        <f aca="false">IF(P322&gt;0,N322/P322,"")</f>
        <v/>
      </c>
      <c r="U322" s="57" t="str">
        <f aca="false">IF(N322&gt;0,R322/N322,"")</f>
        <v/>
      </c>
      <c r="V322" s="34" t="str">
        <f aca="false">IF(E322+F322+G322+H322+I322+J322&gt;0,(E322+F322+G322)/(E322+F322+G322+H322+I322+J322),"")</f>
        <v/>
      </c>
      <c r="W322" s="33" t="n">
        <f aca="false">E322*(P1_PVP-P1_CPROD)+F322*(P2_PVP-P2_CPROD)+G322*(IF($A322&lt;P3_DESDE,P3A_PVP,P3_PVP)-IF($A322&lt;P3_DESDE,P3A_CPROD,P3_CPROD))-IF(ISNUMBER(L322),L322,E322*P1_LOG+F322*P2_LOG+G322*P3_LOG)</f>
        <v>0</v>
      </c>
      <c r="X322" s="33" t="n">
        <f aca="false">W322-(E322*P1_IVAN+F322*P2_IVAN+G322*IF($A322&lt;P3_DESDE,P3A_IVAN,P3_IVAN))-(H322+I322+J322)*(COSTE_DEV-IVA_DEV)-AM322-AO322</f>
        <v>0</v>
      </c>
      <c r="Y322" s="33" t="n">
        <f aca="false">AH322-AI322-AJ322-AK322-AL322-AM322-AO322</f>
        <v>0</v>
      </c>
      <c r="AA322" s="58" t="n">
        <f aca="false">MAX(0,B322-E322-H322)</f>
        <v>0</v>
      </c>
      <c r="AB322" s="58" t="n">
        <f aca="false">MAX(0,C322-F322-I322)</f>
        <v>0</v>
      </c>
      <c r="AC322" s="58" t="n">
        <f aca="false">MAX(0,D322-G322-J322)</f>
        <v>0</v>
      </c>
      <c r="AD322" s="59" t="n">
        <f aca="false">E322+AA322*AQ322</f>
        <v>0</v>
      </c>
      <c r="AE322" s="59" t="n">
        <f aca="false">F322+AB322*AQ322</f>
        <v>0</v>
      </c>
      <c r="AF322" s="59" t="n">
        <f aca="false">G322+AC322*AQ322</f>
        <v>0</v>
      </c>
      <c r="AG322" s="59" t="n">
        <f aca="false">H322+I322+J322+(AA322+AB322+AC322)*(1-AQ322)</f>
        <v>0</v>
      </c>
      <c r="AH322" s="60" t="n">
        <f aca="false">AD322*P1_PVP+AE322*P2_PVP+AF322*IF($A322&lt;P3_DESDE,P3A_PVP,P3_PVP)</f>
        <v>0</v>
      </c>
      <c r="AI322" s="60" t="n">
        <f aca="false">AD322*P1_CPROD+AE322*P2_CPROD+AF322*IF($A322&lt;P3_DESDE,P3A_CPROD,P3_CPROD)</f>
        <v>0</v>
      </c>
      <c r="AJ322" s="60" t="n">
        <f aca="false">IF(ISNUMBER(L322),L322,E322*P1_LOG+F322*P2_LOG+G322*P3_LOG)+IF(ISNUMBER(M322),M322,AA322*P1_LOG+AB322*P2_LOG+AC322*P3_LOG)*AQ322</f>
        <v>0</v>
      </c>
      <c r="AK322" s="60" t="n">
        <f aca="false">AG322*COSTE_DEV</f>
        <v>0</v>
      </c>
      <c r="AL322" s="60" t="n">
        <f aca="false">AD322*P1_IVAN+AE322*P2_IVAN+AF322*IF($A322&lt;P3_DESDE,P3A_IVAN,P3_IVAN)-AG322*IVA_DEV</f>
        <v>0</v>
      </c>
      <c r="AM322" s="60" t="n">
        <f aca="false">N322*(1+RECARGO_ADS)</f>
        <v>0</v>
      </c>
      <c r="AN322" s="58" t="n">
        <f aca="false">IF(ISNUMBER(L322),E322+F322+G322+AA322+AB322+AC322,0)</f>
        <v>0</v>
      </c>
      <c r="AO322" s="60" t="n">
        <f aca="false">P322*COMISION</f>
        <v>0</v>
      </c>
      <c r="AP322" s="58" t="n">
        <f aca="false">MIN(N(K322),Q322)</f>
        <v>0</v>
      </c>
      <c r="AQ322" s="61" t="n">
        <f aca="false">IF(Q322&gt;0,((Q322-AP322)*AT322+AP322*TASA_INC)/Q322,AT322)</f>
        <v>0.659887072235414</v>
      </c>
      <c r="AR322" s="58" t="n">
        <f aca="false">IF($A322&lt;FECHA_EXPORT,NETWORKDAYS($A322+1,FECHA_EXPORT,FESTIVOS),0)</f>
        <v>0</v>
      </c>
      <c r="AS322" s="61" t="n">
        <f aca="false">IF(AR322&gt;=5,1,INDEX(CDF_INC,1,AR322+1))</f>
        <v>0.14</v>
      </c>
      <c r="AT322" s="61" t="n">
        <f aca="false">TASA_USADA+(TASA_INC-TASA_USADA)*Q_INC*(1-AS322)/(1-Q_INC*AS322)</f>
        <v>0.659887072235414</v>
      </c>
    </row>
    <row r="323" customFormat="false" ht="15" hidden="false" customHeight="false" outlineLevel="0" collapsed="false">
      <c r="A323" s="53" t="n">
        <v>46617</v>
      </c>
      <c r="B323" s="54"/>
      <c r="C323" s="54"/>
      <c r="D323" s="54"/>
      <c r="E323" s="54"/>
      <c r="F323" s="54"/>
      <c r="G323" s="54"/>
      <c r="H323" s="54"/>
      <c r="I323" s="54"/>
      <c r="J323" s="54"/>
      <c r="K323" s="54"/>
      <c r="L323" s="55"/>
      <c r="M323" s="55"/>
      <c r="N323" s="55"/>
      <c r="O323" s="56"/>
      <c r="P323" s="31" t="n">
        <f aca="false">B323+C323+D323</f>
        <v>0</v>
      </c>
      <c r="Q323" s="31" t="n">
        <f aca="false">AA323+AB323+AC323</f>
        <v>0</v>
      </c>
      <c r="R323" s="32" t="n">
        <f aca="false">B323*P1_PVP+C323*P2_PVP+D323*IF($A323&lt;P3_DESDE,P3A_PVP,P3_PVP)</f>
        <v>0</v>
      </c>
      <c r="S323" s="32" t="str">
        <f aca="false">IF(P323&gt;0,R323/P323,"")</f>
        <v/>
      </c>
      <c r="T323" s="32" t="str">
        <f aca="false">IF(P323&gt;0,N323/P323,"")</f>
        <v/>
      </c>
      <c r="U323" s="57" t="str">
        <f aca="false">IF(N323&gt;0,R323/N323,"")</f>
        <v/>
      </c>
      <c r="V323" s="34" t="str">
        <f aca="false">IF(E323+F323+G323+H323+I323+J323&gt;0,(E323+F323+G323)/(E323+F323+G323+H323+I323+J323),"")</f>
        <v/>
      </c>
      <c r="W323" s="33" t="n">
        <f aca="false">E323*(P1_PVP-P1_CPROD)+F323*(P2_PVP-P2_CPROD)+G323*(IF($A323&lt;P3_DESDE,P3A_PVP,P3_PVP)-IF($A323&lt;P3_DESDE,P3A_CPROD,P3_CPROD))-IF(ISNUMBER(L323),L323,E323*P1_LOG+F323*P2_LOG+G323*P3_LOG)</f>
        <v>0</v>
      </c>
      <c r="X323" s="33" t="n">
        <f aca="false">W323-(E323*P1_IVAN+F323*P2_IVAN+G323*IF($A323&lt;P3_DESDE,P3A_IVAN,P3_IVAN))-(H323+I323+J323)*(COSTE_DEV-IVA_DEV)-AM323-AO323</f>
        <v>0</v>
      </c>
      <c r="Y323" s="33" t="n">
        <f aca="false">AH323-AI323-AJ323-AK323-AL323-AM323-AO323</f>
        <v>0</v>
      </c>
      <c r="AA323" s="58" t="n">
        <f aca="false">MAX(0,B323-E323-H323)</f>
        <v>0</v>
      </c>
      <c r="AB323" s="58" t="n">
        <f aca="false">MAX(0,C323-F323-I323)</f>
        <v>0</v>
      </c>
      <c r="AC323" s="58" t="n">
        <f aca="false">MAX(0,D323-G323-J323)</f>
        <v>0</v>
      </c>
      <c r="AD323" s="59" t="n">
        <f aca="false">E323+AA323*AQ323</f>
        <v>0</v>
      </c>
      <c r="AE323" s="59" t="n">
        <f aca="false">F323+AB323*AQ323</f>
        <v>0</v>
      </c>
      <c r="AF323" s="59" t="n">
        <f aca="false">G323+AC323*AQ323</f>
        <v>0</v>
      </c>
      <c r="AG323" s="59" t="n">
        <f aca="false">H323+I323+J323+(AA323+AB323+AC323)*(1-AQ323)</f>
        <v>0</v>
      </c>
      <c r="AH323" s="60" t="n">
        <f aca="false">AD323*P1_PVP+AE323*P2_PVP+AF323*IF($A323&lt;P3_DESDE,P3A_PVP,P3_PVP)</f>
        <v>0</v>
      </c>
      <c r="AI323" s="60" t="n">
        <f aca="false">AD323*P1_CPROD+AE323*P2_CPROD+AF323*IF($A323&lt;P3_DESDE,P3A_CPROD,P3_CPROD)</f>
        <v>0</v>
      </c>
      <c r="AJ323" s="60" t="n">
        <f aca="false">IF(ISNUMBER(L323),L323,E323*P1_LOG+F323*P2_LOG+G323*P3_LOG)+IF(ISNUMBER(M323),M323,AA323*P1_LOG+AB323*P2_LOG+AC323*P3_LOG)*AQ323</f>
        <v>0</v>
      </c>
      <c r="AK323" s="60" t="n">
        <f aca="false">AG323*COSTE_DEV</f>
        <v>0</v>
      </c>
      <c r="AL323" s="60" t="n">
        <f aca="false">AD323*P1_IVAN+AE323*P2_IVAN+AF323*IF($A323&lt;P3_DESDE,P3A_IVAN,P3_IVAN)-AG323*IVA_DEV</f>
        <v>0</v>
      </c>
      <c r="AM323" s="60" t="n">
        <f aca="false">N323*(1+RECARGO_ADS)</f>
        <v>0</v>
      </c>
      <c r="AN323" s="58" t="n">
        <f aca="false">IF(ISNUMBER(L323),E323+F323+G323+AA323+AB323+AC323,0)</f>
        <v>0</v>
      </c>
      <c r="AO323" s="60" t="n">
        <f aca="false">P323*COMISION</f>
        <v>0</v>
      </c>
      <c r="AP323" s="58" t="n">
        <f aca="false">MIN(N(K323),Q323)</f>
        <v>0</v>
      </c>
      <c r="AQ323" s="61" t="n">
        <f aca="false">IF(Q323&gt;0,((Q323-AP323)*AT323+AP323*TASA_INC)/Q323,AT323)</f>
        <v>0.659887072235414</v>
      </c>
      <c r="AR323" s="58" t="n">
        <f aca="false">IF($A323&lt;FECHA_EXPORT,NETWORKDAYS($A323+1,FECHA_EXPORT,FESTIVOS),0)</f>
        <v>0</v>
      </c>
      <c r="AS323" s="61" t="n">
        <f aca="false">IF(AR323&gt;=5,1,INDEX(CDF_INC,1,AR323+1))</f>
        <v>0.14</v>
      </c>
      <c r="AT323" s="61" t="n">
        <f aca="false">TASA_USADA+(TASA_INC-TASA_USADA)*Q_INC*(1-AS323)/(1-Q_INC*AS323)</f>
        <v>0.659887072235414</v>
      </c>
    </row>
    <row r="324" customFormat="false" ht="15" hidden="false" customHeight="false" outlineLevel="0" collapsed="false">
      <c r="A324" s="53" t="n">
        <v>46618</v>
      </c>
      <c r="B324" s="54"/>
      <c r="C324" s="54"/>
      <c r="D324" s="54"/>
      <c r="E324" s="54"/>
      <c r="F324" s="54"/>
      <c r="G324" s="54"/>
      <c r="H324" s="54"/>
      <c r="I324" s="54"/>
      <c r="J324" s="54"/>
      <c r="K324" s="54"/>
      <c r="L324" s="55"/>
      <c r="M324" s="55"/>
      <c r="N324" s="55"/>
      <c r="O324" s="56"/>
      <c r="P324" s="31" t="n">
        <f aca="false">B324+C324+D324</f>
        <v>0</v>
      </c>
      <c r="Q324" s="31" t="n">
        <f aca="false">AA324+AB324+AC324</f>
        <v>0</v>
      </c>
      <c r="R324" s="32" t="n">
        <f aca="false">B324*P1_PVP+C324*P2_PVP+D324*IF($A324&lt;P3_DESDE,P3A_PVP,P3_PVP)</f>
        <v>0</v>
      </c>
      <c r="S324" s="32" t="str">
        <f aca="false">IF(P324&gt;0,R324/P324,"")</f>
        <v/>
      </c>
      <c r="T324" s="32" t="str">
        <f aca="false">IF(P324&gt;0,N324/P324,"")</f>
        <v/>
      </c>
      <c r="U324" s="57" t="str">
        <f aca="false">IF(N324&gt;0,R324/N324,"")</f>
        <v/>
      </c>
      <c r="V324" s="34" t="str">
        <f aca="false">IF(E324+F324+G324+H324+I324+J324&gt;0,(E324+F324+G324)/(E324+F324+G324+H324+I324+J324),"")</f>
        <v/>
      </c>
      <c r="W324" s="33" t="n">
        <f aca="false">E324*(P1_PVP-P1_CPROD)+F324*(P2_PVP-P2_CPROD)+G324*(IF($A324&lt;P3_DESDE,P3A_PVP,P3_PVP)-IF($A324&lt;P3_DESDE,P3A_CPROD,P3_CPROD))-IF(ISNUMBER(L324),L324,E324*P1_LOG+F324*P2_LOG+G324*P3_LOG)</f>
        <v>0</v>
      </c>
      <c r="X324" s="33" t="n">
        <f aca="false">W324-(E324*P1_IVAN+F324*P2_IVAN+G324*IF($A324&lt;P3_DESDE,P3A_IVAN,P3_IVAN))-(H324+I324+J324)*(COSTE_DEV-IVA_DEV)-AM324-AO324</f>
        <v>0</v>
      </c>
      <c r="Y324" s="33" t="n">
        <f aca="false">AH324-AI324-AJ324-AK324-AL324-AM324-AO324</f>
        <v>0</v>
      </c>
      <c r="AA324" s="58" t="n">
        <f aca="false">MAX(0,B324-E324-H324)</f>
        <v>0</v>
      </c>
      <c r="AB324" s="58" t="n">
        <f aca="false">MAX(0,C324-F324-I324)</f>
        <v>0</v>
      </c>
      <c r="AC324" s="58" t="n">
        <f aca="false">MAX(0,D324-G324-J324)</f>
        <v>0</v>
      </c>
      <c r="AD324" s="59" t="n">
        <f aca="false">E324+AA324*AQ324</f>
        <v>0</v>
      </c>
      <c r="AE324" s="59" t="n">
        <f aca="false">F324+AB324*AQ324</f>
        <v>0</v>
      </c>
      <c r="AF324" s="59" t="n">
        <f aca="false">G324+AC324*AQ324</f>
        <v>0</v>
      </c>
      <c r="AG324" s="59" t="n">
        <f aca="false">H324+I324+J324+(AA324+AB324+AC324)*(1-AQ324)</f>
        <v>0</v>
      </c>
      <c r="AH324" s="60" t="n">
        <f aca="false">AD324*P1_PVP+AE324*P2_PVP+AF324*IF($A324&lt;P3_DESDE,P3A_PVP,P3_PVP)</f>
        <v>0</v>
      </c>
      <c r="AI324" s="60" t="n">
        <f aca="false">AD324*P1_CPROD+AE324*P2_CPROD+AF324*IF($A324&lt;P3_DESDE,P3A_CPROD,P3_CPROD)</f>
        <v>0</v>
      </c>
      <c r="AJ324" s="60" t="n">
        <f aca="false">IF(ISNUMBER(L324),L324,E324*P1_LOG+F324*P2_LOG+G324*P3_LOG)+IF(ISNUMBER(M324),M324,AA324*P1_LOG+AB324*P2_LOG+AC324*P3_LOG)*AQ324</f>
        <v>0</v>
      </c>
      <c r="AK324" s="60" t="n">
        <f aca="false">AG324*COSTE_DEV</f>
        <v>0</v>
      </c>
      <c r="AL324" s="60" t="n">
        <f aca="false">AD324*P1_IVAN+AE324*P2_IVAN+AF324*IF($A324&lt;P3_DESDE,P3A_IVAN,P3_IVAN)-AG324*IVA_DEV</f>
        <v>0</v>
      </c>
      <c r="AM324" s="60" t="n">
        <f aca="false">N324*(1+RECARGO_ADS)</f>
        <v>0</v>
      </c>
      <c r="AN324" s="58" t="n">
        <f aca="false">IF(ISNUMBER(L324),E324+F324+G324+AA324+AB324+AC324,0)</f>
        <v>0</v>
      </c>
      <c r="AO324" s="60" t="n">
        <f aca="false">P324*COMISION</f>
        <v>0</v>
      </c>
      <c r="AP324" s="58" t="n">
        <f aca="false">MIN(N(K324),Q324)</f>
        <v>0</v>
      </c>
      <c r="AQ324" s="61" t="n">
        <f aca="false">IF(Q324&gt;0,((Q324-AP324)*AT324+AP324*TASA_INC)/Q324,AT324)</f>
        <v>0.659887072235414</v>
      </c>
      <c r="AR324" s="58" t="n">
        <f aca="false">IF($A324&lt;FECHA_EXPORT,NETWORKDAYS($A324+1,FECHA_EXPORT,FESTIVOS),0)</f>
        <v>0</v>
      </c>
      <c r="AS324" s="61" t="n">
        <f aca="false">IF(AR324&gt;=5,1,INDEX(CDF_INC,1,AR324+1))</f>
        <v>0.14</v>
      </c>
      <c r="AT324" s="61" t="n">
        <f aca="false">TASA_USADA+(TASA_INC-TASA_USADA)*Q_INC*(1-AS324)/(1-Q_INC*AS324)</f>
        <v>0.659887072235414</v>
      </c>
    </row>
    <row r="325" customFormat="false" ht="15" hidden="false" customHeight="false" outlineLevel="0" collapsed="false">
      <c r="A325" s="53" t="n">
        <v>46619</v>
      </c>
      <c r="B325" s="54"/>
      <c r="C325" s="54"/>
      <c r="D325" s="54"/>
      <c r="E325" s="54"/>
      <c r="F325" s="54"/>
      <c r="G325" s="54"/>
      <c r="H325" s="54"/>
      <c r="I325" s="54"/>
      <c r="J325" s="54"/>
      <c r="K325" s="54"/>
      <c r="L325" s="55"/>
      <c r="M325" s="55"/>
      <c r="N325" s="55"/>
      <c r="O325" s="56"/>
      <c r="P325" s="31" t="n">
        <f aca="false">B325+C325+D325</f>
        <v>0</v>
      </c>
      <c r="Q325" s="31" t="n">
        <f aca="false">AA325+AB325+AC325</f>
        <v>0</v>
      </c>
      <c r="R325" s="32" t="n">
        <f aca="false">B325*P1_PVP+C325*P2_PVP+D325*IF($A325&lt;P3_DESDE,P3A_PVP,P3_PVP)</f>
        <v>0</v>
      </c>
      <c r="S325" s="32" t="str">
        <f aca="false">IF(P325&gt;0,R325/P325,"")</f>
        <v/>
      </c>
      <c r="T325" s="32" t="str">
        <f aca="false">IF(P325&gt;0,N325/P325,"")</f>
        <v/>
      </c>
      <c r="U325" s="57" t="str">
        <f aca="false">IF(N325&gt;0,R325/N325,"")</f>
        <v/>
      </c>
      <c r="V325" s="34" t="str">
        <f aca="false">IF(E325+F325+G325+H325+I325+J325&gt;0,(E325+F325+G325)/(E325+F325+G325+H325+I325+J325),"")</f>
        <v/>
      </c>
      <c r="W325" s="33" t="n">
        <f aca="false">E325*(P1_PVP-P1_CPROD)+F325*(P2_PVP-P2_CPROD)+G325*(IF($A325&lt;P3_DESDE,P3A_PVP,P3_PVP)-IF($A325&lt;P3_DESDE,P3A_CPROD,P3_CPROD))-IF(ISNUMBER(L325),L325,E325*P1_LOG+F325*P2_LOG+G325*P3_LOG)</f>
        <v>0</v>
      </c>
      <c r="X325" s="33" t="n">
        <f aca="false">W325-(E325*P1_IVAN+F325*P2_IVAN+G325*IF($A325&lt;P3_DESDE,P3A_IVAN,P3_IVAN))-(H325+I325+J325)*(COSTE_DEV-IVA_DEV)-AM325-AO325</f>
        <v>0</v>
      </c>
      <c r="Y325" s="33" t="n">
        <f aca="false">AH325-AI325-AJ325-AK325-AL325-AM325-AO325</f>
        <v>0</v>
      </c>
      <c r="AA325" s="58" t="n">
        <f aca="false">MAX(0,B325-E325-H325)</f>
        <v>0</v>
      </c>
      <c r="AB325" s="58" t="n">
        <f aca="false">MAX(0,C325-F325-I325)</f>
        <v>0</v>
      </c>
      <c r="AC325" s="58" t="n">
        <f aca="false">MAX(0,D325-G325-J325)</f>
        <v>0</v>
      </c>
      <c r="AD325" s="59" t="n">
        <f aca="false">E325+AA325*AQ325</f>
        <v>0</v>
      </c>
      <c r="AE325" s="59" t="n">
        <f aca="false">F325+AB325*AQ325</f>
        <v>0</v>
      </c>
      <c r="AF325" s="59" t="n">
        <f aca="false">G325+AC325*AQ325</f>
        <v>0</v>
      </c>
      <c r="AG325" s="59" t="n">
        <f aca="false">H325+I325+J325+(AA325+AB325+AC325)*(1-AQ325)</f>
        <v>0</v>
      </c>
      <c r="AH325" s="60" t="n">
        <f aca="false">AD325*P1_PVP+AE325*P2_PVP+AF325*IF($A325&lt;P3_DESDE,P3A_PVP,P3_PVP)</f>
        <v>0</v>
      </c>
      <c r="AI325" s="60" t="n">
        <f aca="false">AD325*P1_CPROD+AE325*P2_CPROD+AF325*IF($A325&lt;P3_DESDE,P3A_CPROD,P3_CPROD)</f>
        <v>0</v>
      </c>
      <c r="AJ325" s="60" t="n">
        <f aca="false">IF(ISNUMBER(L325),L325,E325*P1_LOG+F325*P2_LOG+G325*P3_LOG)+IF(ISNUMBER(M325),M325,AA325*P1_LOG+AB325*P2_LOG+AC325*P3_LOG)*AQ325</f>
        <v>0</v>
      </c>
      <c r="AK325" s="60" t="n">
        <f aca="false">AG325*COSTE_DEV</f>
        <v>0</v>
      </c>
      <c r="AL325" s="60" t="n">
        <f aca="false">AD325*P1_IVAN+AE325*P2_IVAN+AF325*IF($A325&lt;P3_DESDE,P3A_IVAN,P3_IVAN)-AG325*IVA_DEV</f>
        <v>0</v>
      </c>
      <c r="AM325" s="60" t="n">
        <f aca="false">N325*(1+RECARGO_ADS)</f>
        <v>0</v>
      </c>
      <c r="AN325" s="58" t="n">
        <f aca="false">IF(ISNUMBER(L325),E325+F325+G325+AA325+AB325+AC325,0)</f>
        <v>0</v>
      </c>
      <c r="AO325" s="60" t="n">
        <f aca="false">P325*COMISION</f>
        <v>0</v>
      </c>
      <c r="AP325" s="58" t="n">
        <f aca="false">MIN(N(K325),Q325)</f>
        <v>0</v>
      </c>
      <c r="AQ325" s="61" t="n">
        <f aca="false">IF(Q325&gt;0,((Q325-AP325)*AT325+AP325*TASA_INC)/Q325,AT325)</f>
        <v>0.659887072235414</v>
      </c>
      <c r="AR325" s="58" t="n">
        <f aca="false">IF($A325&lt;FECHA_EXPORT,NETWORKDAYS($A325+1,FECHA_EXPORT,FESTIVOS),0)</f>
        <v>0</v>
      </c>
      <c r="AS325" s="61" t="n">
        <f aca="false">IF(AR325&gt;=5,1,INDEX(CDF_INC,1,AR325+1))</f>
        <v>0.14</v>
      </c>
      <c r="AT325" s="61" t="n">
        <f aca="false">TASA_USADA+(TASA_INC-TASA_USADA)*Q_INC*(1-AS325)/(1-Q_INC*AS325)</f>
        <v>0.659887072235414</v>
      </c>
    </row>
    <row r="326" customFormat="false" ht="15" hidden="false" customHeight="false" outlineLevel="0" collapsed="false">
      <c r="A326" s="53" t="n">
        <v>46620</v>
      </c>
      <c r="B326" s="54"/>
      <c r="C326" s="54"/>
      <c r="D326" s="54"/>
      <c r="E326" s="54"/>
      <c r="F326" s="54"/>
      <c r="G326" s="54"/>
      <c r="H326" s="54"/>
      <c r="I326" s="54"/>
      <c r="J326" s="54"/>
      <c r="K326" s="54"/>
      <c r="L326" s="55"/>
      <c r="M326" s="55"/>
      <c r="N326" s="55"/>
      <c r="O326" s="56"/>
      <c r="P326" s="31" t="n">
        <f aca="false">B326+C326+D326</f>
        <v>0</v>
      </c>
      <c r="Q326" s="31" t="n">
        <f aca="false">AA326+AB326+AC326</f>
        <v>0</v>
      </c>
      <c r="R326" s="32" t="n">
        <f aca="false">B326*P1_PVP+C326*P2_PVP+D326*IF($A326&lt;P3_DESDE,P3A_PVP,P3_PVP)</f>
        <v>0</v>
      </c>
      <c r="S326" s="32" t="str">
        <f aca="false">IF(P326&gt;0,R326/P326,"")</f>
        <v/>
      </c>
      <c r="T326" s="32" t="str">
        <f aca="false">IF(P326&gt;0,N326/P326,"")</f>
        <v/>
      </c>
      <c r="U326" s="57" t="str">
        <f aca="false">IF(N326&gt;0,R326/N326,"")</f>
        <v/>
      </c>
      <c r="V326" s="34" t="str">
        <f aca="false">IF(E326+F326+G326+H326+I326+J326&gt;0,(E326+F326+G326)/(E326+F326+G326+H326+I326+J326),"")</f>
        <v/>
      </c>
      <c r="W326" s="33" t="n">
        <f aca="false">E326*(P1_PVP-P1_CPROD)+F326*(P2_PVP-P2_CPROD)+G326*(IF($A326&lt;P3_DESDE,P3A_PVP,P3_PVP)-IF($A326&lt;P3_DESDE,P3A_CPROD,P3_CPROD))-IF(ISNUMBER(L326),L326,E326*P1_LOG+F326*P2_LOG+G326*P3_LOG)</f>
        <v>0</v>
      </c>
      <c r="X326" s="33" t="n">
        <f aca="false">W326-(E326*P1_IVAN+F326*P2_IVAN+G326*IF($A326&lt;P3_DESDE,P3A_IVAN,P3_IVAN))-(H326+I326+J326)*(COSTE_DEV-IVA_DEV)-AM326-AO326</f>
        <v>0</v>
      </c>
      <c r="Y326" s="33" t="n">
        <f aca="false">AH326-AI326-AJ326-AK326-AL326-AM326-AO326</f>
        <v>0</v>
      </c>
      <c r="AA326" s="58" t="n">
        <f aca="false">MAX(0,B326-E326-H326)</f>
        <v>0</v>
      </c>
      <c r="AB326" s="58" t="n">
        <f aca="false">MAX(0,C326-F326-I326)</f>
        <v>0</v>
      </c>
      <c r="AC326" s="58" t="n">
        <f aca="false">MAX(0,D326-G326-J326)</f>
        <v>0</v>
      </c>
      <c r="AD326" s="59" t="n">
        <f aca="false">E326+AA326*AQ326</f>
        <v>0</v>
      </c>
      <c r="AE326" s="59" t="n">
        <f aca="false">F326+AB326*AQ326</f>
        <v>0</v>
      </c>
      <c r="AF326" s="59" t="n">
        <f aca="false">G326+AC326*AQ326</f>
        <v>0</v>
      </c>
      <c r="AG326" s="59" t="n">
        <f aca="false">H326+I326+J326+(AA326+AB326+AC326)*(1-AQ326)</f>
        <v>0</v>
      </c>
      <c r="AH326" s="60" t="n">
        <f aca="false">AD326*P1_PVP+AE326*P2_PVP+AF326*IF($A326&lt;P3_DESDE,P3A_PVP,P3_PVP)</f>
        <v>0</v>
      </c>
      <c r="AI326" s="60" t="n">
        <f aca="false">AD326*P1_CPROD+AE326*P2_CPROD+AF326*IF($A326&lt;P3_DESDE,P3A_CPROD,P3_CPROD)</f>
        <v>0</v>
      </c>
      <c r="AJ326" s="60" t="n">
        <f aca="false">IF(ISNUMBER(L326),L326,E326*P1_LOG+F326*P2_LOG+G326*P3_LOG)+IF(ISNUMBER(M326),M326,AA326*P1_LOG+AB326*P2_LOG+AC326*P3_LOG)*AQ326</f>
        <v>0</v>
      </c>
      <c r="AK326" s="60" t="n">
        <f aca="false">AG326*COSTE_DEV</f>
        <v>0</v>
      </c>
      <c r="AL326" s="60" t="n">
        <f aca="false">AD326*P1_IVAN+AE326*P2_IVAN+AF326*IF($A326&lt;P3_DESDE,P3A_IVAN,P3_IVAN)-AG326*IVA_DEV</f>
        <v>0</v>
      </c>
      <c r="AM326" s="60" t="n">
        <f aca="false">N326*(1+RECARGO_ADS)</f>
        <v>0</v>
      </c>
      <c r="AN326" s="58" t="n">
        <f aca="false">IF(ISNUMBER(L326),E326+F326+G326+AA326+AB326+AC326,0)</f>
        <v>0</v>
      </c>
      <c r="AO326" s="60" t="n">
        <f aca="false">P326*COMISION</f>
        <v>0</v>
      </c>
      <c r="AP326" s="58" t="n">
        <f aca="false">MIN(N(K326),Q326)</f>
        <v>0</v>
      </c>
      <c r="AQ326" s="61" t="n">
        <f aca="false">IF(Q326&gt;0,((Q326-AP326)*AT326+AP326*TASA_INC)/Q326,AT326)</f>
        <v>0.659887072235414</v>
      </c>
      <c r="AR326" s="58" t="n">
        <f aca="false">IF($A326&lt;FECHA_EXPORT,NETWORKDAYS($A326+1,FECHA_EXPORT,FESTIVOS),0)</f>
        <v>0</v>
      </c>
      <c r="AS326" s="61" t="n">
        <f aca="false">IF(AR326&gt;=5,1,INDEX(CDF_INC,1,AR326+1))</f>
        <v>0.14</v>
      </c>
      <c r="AT326" s="61" t="n">
        <f aca="false">TASA_USADA+(TASA_INC-TASA_USADA)*Q_INC*(1-AS326)/(1-Q_INC*AS326)</f>
        <v>0.659887072235414</v>
      </c>
    </row>
    <row r="327" customFormat="false" ht="15" hidden="false" customHeight="false" outlineLevel="0" collapsed="false">
      <c r="A327" s="53" t="n">
        <v>46621</v>
      </c>
      <c r="B327" s="54"/>
      <c r="C327" s="54"/>
      <c r="D327" s="54"/>
      <c r="E327" s="54"/>
      <c r="F327" s="54"/>
      <c r="G327" s="54"/>
      <c r="H327" s="54"/>
      <c r="I327" s="54"/>
      <c r="J327" s="54"/>
      <c r="K327" s="54"/>
      <c r="L327" s="55"/>
      <c r="M327" s="55"/>
      <c r="N327" s="55"/>
      <c r="O327" s="56"/>
      <c r="P327" s="31" t="n">
        <f aca="false">B327+C327+D327</f>
        <v>0</v>
      </c>
      <c r="Q327" s="31" t="n">
        <f aca="false">AA327+AB327+AC327</f>
        <v>0</v>
      </c>
      <c r="R327" s="32" t="n">
        <f aca="false">B327*P1_PVP+C327*P2_PVP+D327*IF($A327&lt;P3_DESDE,P3A_PVP,P3_PVP)</f>
        <v>0</v>
      </c>
      <c r="S327" s="32" t="str">
        <f aca="false">IF(P327&gt;0,R327/P327,"")</f>
        <v/>
      </c>
      <c r="T327" s="32" t="str">
        <f aca="false">IF(P327&gt;0,N327/P327,"")</f>
        <v/>
      </c>
      <c r="U327" s="57" t="str">
        <f aca="false">IF(N327&gt;0,R327/N327,"")</f>
        <v/>
      </c>
      <c r="V327" s="34" t="str">
        <f aca="false">IF(E327+F327+G327+H327+I327+J327&gt;0,(E327+F327+G327)/(E327+F327+G327+H327+I327+J327),"")</f>
        <v/>
      </c>
      <c r="W327" s="33" t="n">
        <f aca="false">E327*(P1_PVP-P1_CPROD)+F327*(P2_PVP-P2_CPROD)+G327*(IF($A327&lt;P3_DESDE,P3A_PVP,P3_PVP)-IF($A327&lt;P3_DESDE,P3A_CPROD,P3_CPROD))-IF(ISNUMBER(L327),L327,E327*P1_LOG+F327*P2_LOG+G327*P3_LOG)</f>
        <v>0</v>
      </c>
      <c r="X327" s="33" t="n">
        <f aca="false">W327-(E327*P1_IVAN+F327*P2_IVAN+G327*IF($A327&lt;P3_DESDE,P3A_IVAN,P3_IVAN))-(H327+I327+J327)*(COSTE_DEV-IVA_DEV)-AM327-AO327</f>
        <v>0</v>
      </c>
      <c r="Y327" s="33" t="n">
        <f aca="false">AH327-AI327-AJ327-AK327-AL327-AM327-AO327</f>
        <v>0</v>
      </c>
      <c r="AA327" s="58" t="n">
        <f aca="false">MAX(0,B327-E327-H327)</f>
        <v>0</v>
      </c>
      <c r="AB327" s="58" t="n">
        <f aca="false">MAX(0,C327-F327-I327)</f>
        <v>0</v>
      </c>
      <c r="AC327" s="58" t="n">
        <f aca="false">MAX(0,D327-G327-J327)</f>
        <v>0</v>
      </c>
      <c r="AD327" s="59" t="n">
        <f aca="false">E327+AA327*AQ327</f>
        <v>0</v>
      </c>
      <c r="AE327" s="59" t="n">
        <f aca="false">F327+AB327*AQ327</f>
        <v>0</v>
      </c>
      <c r="AF327" s="59" t="n">
        <f aca="false">G327+AC327*AQ327</f>
        <v>0</v>
      </c>
      <c r="AG327" s="59" t="n">
        <f aca="false">H327+I327+J327+(AA327+AB327+AC327)*(1-AQ327)</f>
        <v>0</v>
      </c>
      <c r="AH327" s="60" t="n">
        <f aca="false">AD327*P1_PVP+AE327*P2_PVP+AF327*IF($A327&lt;P3_DESDE,P3A_PVP,P3_PVP)</f>
        <v>0</v>
      </c>
      <c r="AI327" s="60" t="n">
        <f aca="false">AD327*P1_CPROD+AE327*P2_CPROD+AF327*IF($A327&lt;P3_DESDE,P3A_CPROD,P3_CPROD)</f>
        <v>0</v>
      </c>
      <c r="AJ327" s="60" t="n">
        <f aca="false">IF(ISNUMBER(L327),L327,E327*P1_LOG+F327*P2_LOG+G327*P3_LOG)+IF(ISNUMBER(M327),M327,AA327*P1_LOG+AB327*P2_LOG+AC327*P3_LOG)*AQ327</f>
        <v>0</v>
      </c>
      <c r="AK327" s="60" t="n">
        <f aca="false">AG327*COSTE_DEV</f>
        <v>0</v>
      </c>
      <c r="AL327" s="60" t="n">
        <f aca="false">AD327*P1_IVAN+AE327*P2_IVAN+AF327*IF($A327&lt;P3_DESDE,P3A_IVAN,P3_IVAN)-AG327*IVA_DEV</f>
        <v>0</v>
      </c>
      <c r="AM327" s="60" t="n">
        <f aca="false">N327*(1+RECARGO_ADS)</f>
        <v>0</v>
      </c>
      <c r="AN327" s="58" t="n">
        <f aca="false">IF(ISNUMBER(L327),E327+F327+G327+AA327+AB327+AC327,0)</f>
        <v>0</v>
      </c>
      <c r="AO327" s="60" t="n">
        <f aca="false">P327*COMISION</f>
        <v>0</v>
      </c>
      <c r="AP327" s="58" t="n">
        <f aca="false">MIN(N(K327),Q327)</f>
        <v>0</v>
      </c>
      <c r="AQ327" s="61" t="n">
        <f aca="false">IF(Q327&gt;0,((Q327-AP327)*AT327+AP327*TASA_INC)/Q327,AT327)</f>
        <v>0.659887072235414</v>
      </c>
      <c r="AR327" s="58" t="n">
        <f aca="false">IF($A327&lt;FECHA_EXPORT,NETWORKDAYS($A327+1,FECHA_EXPORT,FESTIVOS),0)</f>
        <v>0</v>
      </c>
      <c r="AS327" s="61" t="n">
        <f aca="false">IF(AR327&gt;=5,1,INDEX(CDF_INC,1,AR327+1))</f>
        <v>0.14</v>
      </c>
      <c r="AT327" s="61" t="n">
        <f aca="false">TASA_USADA+(TASA_INC-TASA_USADA)*Q_INC*(1-AS327)/(1-Q_INC*AS327)</f>
        <v>0.659887072235414</v>
      </c>
    </row>
    <row r="328" customFormat="false" ht="15" hidden="false" customHeight="false" outlineLevel="0" collapsed="false">
      <c r="A328" s="53" t="n">
        <v>46622</v>
      </c>
      <c r="B328" s="54"/>
      <c r="C328" s="54"/>
      <c r="D328" s="54"/>
      <c r="E328" s="54"/>
      <c r="F328" s="54"/>
      <c r="G328" s="54"/>
      <c r="H328" s="54"/>
      <c r="I328" s="54"/>
      <c r="J328" s="54"/>
      <c r="K328" s="54"/>
      <c r="L328" s="55"/>
      <c r="M328" s="55"/>
      <c r="N328" s="55"/>
      <c r="O328" s="56"/>
      <c r="P328" s="31" t="n">
        <f aca="false">B328+C328+D328</f>
        <v>0</v>
      </c>
      <c r="Q328" s="31" t="n">
        <f aca="false">AA328+AB328+AC328</f>
        <v>0</v>
      </c>
      <c r="R328" s="32" t="n">
        <f aca="false">B328*P1_PVP+C328*P2_PVP+D328*IF($A328&lt;P3_DESDE,P3A_PVP,P3_PVP)</f>
        <v>0</v>
      </c>
      <c r="S328" s="32" t="str">
        <f aca="false">IF(P328&gt;0,R328/P328,"")</f>
        <v/>
      </c>
      <c r="T328" s="32" t="str">
        <f aca="false">IF(P328&gt;0,N328/P328,"")</f>
        <v/>
      </c>
      <c r="U328" s="57" t="str">
        <f aca="false">IF(N328&gt;0,R328/N328,"")</f>
        <v/>
      </c>
      <c r="V328" s="34" t="str">
        <f aca="false">IF(E328+F328+G328+H328+I328+J328&gt;0,(E328+F328+G328)/(E328+F328+G328+H328+I328+J328),"")</f>
        <v/>
      </c>
      <c r="W328" s="33" t="n">
        <f aca="false">E328*(P1_PVP-P1_CPROD)+F328*(P2_PVP-P2_CPROD)+G328*(IF($A328&lt;P3_DESDE,P3A_PVP,P3_PVP)-IF($A328&lt;P3_DESDE,P3A_CPROD,P3_CPROD))-IF(ISNUMBER(L328),L328,E328*P1_LOG+F328*P2_LOG+G328*P3_LOG)</f>
        <v>0</v>
      </c>
      <c r="X328" s="33" t="n">
        <f aca="false">W328-(E328*P1_IVAN+F328*P2_IVAN+G328*IF($A328&lt;P3_DESDE,P3A_IVAN,P3_IVAN))-(H328+I328+J328)*(COSTE_DEV-IVA_DEV)-AM328-AO328</f>
        <v>0</v>
      </c>
      <c r="Y328" s="33" t="n">
        <f aca="false">AH328-AI328-AJ328-AK328-AL328-AM328-AO328</f>
        <v>0</v>
      </c>
      <c r="AA328" s="58" t="n">
        <f aca="false">MAX(0,B328-E328-H328)</f>
        <v>0</v>
      </c>
      <c r="AB328" s="58" t="n">
        <f aca="false">MAX(0,C328-F328-I328)</f>
        <v>0</v>
      </c>
      <c r="AC328" s="58" t="n">
        <f aca="false">MAX(0,D328-G328-J328)</f>
        <v>0</v>
      </c>
      <c r="AD328" s="59" t="n">
        <f aca="false">E328+AA328*AQ328</f>
        <v>0</v>
      </c>
      <c r="AE328" s="59" t="n">
        <f aca="false">F328+AB328*AQ328</f>
        <v>0</v>
      </c>
      <c r="AF328" s="59" t="n">
        <f aca="false">G328+AC328*AQ328</f>
        <v>0</v>
      </c>
      <c r="AG328" s="59" t="n">
        <f aca="false">H328+I328+J328+(AA328+AB328+AC328)*(1-AQ328)</f>
        <v>0</v>
      </c>
      <c r="AH328" s="60" t="n">
        <f aca="false">AD328*P1_PVP+AE328*P2_PVP+AF328*IF($A328&lt;P3_DESDE,P3A_PVP,P3_PVP)</f>
        <v>0</v>
      </c>
      <c r="AI328" s="60" t="n">
        <f aca="false">AD328*P1_CPROD+AE328*P2_CPROD+AF328*IF($A328&lt;P3_DESDE,P3A_CPROD,P3_CPROD)</f>
        <v>0</v>
      </c>
      <c r="AJ328" s="60" t="n">
        <f aca="false">IF(ISNUMBER(L328),L328,E328*P1_LOG+F328*P2_LOG+G328*P3_LOG)+IF(ISNUMBER(M328),M328,AA328*P1_LOG+AB328*P2_LOG+AC328*P3_LOG)*AQ328</f>
        <v>0</v>
      </c>
      <c r="AK328" s="60" t="n">
        <f aca="false">AG328*COSTE_DEV</f>
        <v>0</v>
      </c>
      <c r="AL328" s="60" t="n">
        <f aca="false">AD328*P1_IVAN+AE328*P2_IVAN+AF328*IF($A328&lt;P3_DESDE,P3A_IVAN,P3_IVAN)-AG328*IVA_DEV</f>
        <v>0</v>
      </c>
      <c r="AM328" s="60" t="n">
        <f aca="false">N328*(1+RECARGO_ADS)</f>
        <v>0</v>
      </c>
      <c r="AN328" s="58" t="n">
        <f aca="false">IF(ISNUMBER(L328),E328+F328+G328+AA328+AB328+AC328,0)</f>
        <v>0</v>
      </c>
      <c r="AO328" s="60" t="n">
        <f aca="false">P328*COMISION</f>
        <v>0</v>
      </c>
      <c r="AP328" s="58" t="n">
        <f aca="false">MIN(N(K328),Q328)</f>
        <v>0</v>
      </c>
      <c r="AQ328" s="61" t="n">
        <f aca="false">IF(Q328&gt;0,((Q328-AP328)*AT328+AP328*TASA_INC)/Q328,AT328)</f>
        <v>0.659887072235414</v>
      </c>
      <c r="AR328" s="58" t="n">
        <f aca="false">IF($A328&lt;FECHA_EXPORT,NETWORKDAYS($A328+1,FECHA_EXPORT,FESTIVOS),0)</f>
        <v>0</v>
      </c>
      <c r="AS328" s="61" t="n">
        <f aca="false">IF(AR328&gt;=5,1,INDEX(CDF_INC,1,AR328+1))</f>
        <v>0.14</v>
      </c>
      <c r="AT328" s="61" t="n">
        <f aca="false">TASA_USADA+(TASA_INC-TASA_USADA)*Q_INC*(1-AS328)/(1-Q_INC*AS328)</f>
        <v>0.659887072235414</v>
      </c>
    </row>
    <row r="329" customFormat="false" ht="15" hidden="false" customHeight="false" outlineLevel="0" collapsed="false">
      <c r="A329" s="53" t="n">
        <v>46623</v>
      </c>
      <c r="B329" s="54"/>
      <c r="C329" s="54"/>
      <c r="D329" s="54"/>
      <c r="E329" s="54"/>
      <c r="F329" s="54"/>
      <c r="G329" s="54"/>
      <c r="H329" s="54"/>
      <c r="I329" s="54"/>
      <c r="J329" s="54"/>
      <c r="K329" s="54"/>
      <c r="L329" s="55"/>
      <c r="M329" s="55"/>
      <c r="N329" s="55"/>
      <c r="O329" s="56"/>
      <c r="P329" s="31" t="n">
        <f aca="false">B329+C329+D329</f>
        <v>0</v>
      </c>
      <c r="Q329" s="31" t="n">
        <f aca="false">AA329+AB329+AC329</f>
        <v>0</v>
      </c>
      <c r="R329" s="32" t="n">
        <f aca="false">B329*P1_PVP+C329*P2_PVP+D329*IF($A329&lt;P3_DESDE,P3A_PVP,P3_PVP)</f>
        <v>0</v>
      </c>
      <c r="S329" s="32" t="str">
        <f aca="false">IF(P329&gt;0,R329/P329,"")</f>
        <v/>
      </c>
      <c r="T329" s="32" t="str">
        <f aca="false">IF(P329&gt;0,N329/P329,"")</f>
        <v/>
      </c>
      <c r="U329" s="57" t="str">
        <f aca="false">IF(N329&gt;0,R329/N329,"")</f>
        <v/>
      </c>
      <c r="V329" s="34" t="str">
        <f aca="false">IF(E329+F329+G329+H329+I329+J329&gt;0,(E329+F329+G329)/(E329+F329+G329+H329+I329+J329),"")</f>
        <v/>
      </c>
      <c r="W329" s="33" t="n">
        <f aca="false">E329*(P1_PVP-P1_CPROD)+F329*(P2_PVP-P2_CPROD)+G329*(IF($A329&lt;P3_DESDE,P3A_PVP,P3_PVP)-IF($A329&lt;P3_DESDE,P3A_CPROD,P3_CPROD))-IF(ISNUMBER(L329),L329,E329*P1_LOG+F329*P2_LOG+G329*P3_LOG)</f>
        <v>0</v>
      </c>
      <c r="X329" s="33" t="n">
        <f aca="false">W329-(E329*P1_IVAN+F329*P2_IVAN+G329*IF($A329&lt;P3_DESDE,P3A_IVAN,P3_IVAN))-(H329+I329+J329)*(COSTE_DEV-IVA_DEV)-AM329-AO329</f>
        <v>0</v>
      </c>
      <c r="Y329" s="33" t="n">
        <f aca="false">AH329-AI329-AJ329-AK329-AL329-AM329-AO329</f>
        <v>0</v>
      </c>
      <c r="AA329" s="58" t="n">
        <f aca="false">MAX(0,B329-E329-H329)</f>
        <v>0</v>
      </c>
      <c r="AB329" s="58" t="n">
        <f aca="false">MAX(0,C329-F329-I329)</f>
        <v>0</v>
      </c>
      <c r="AC329" s="58" t="n">
        <f aca="false">MAX(0,D329-G329-J329)</f>
        <v>0</v>
      </c>
      <c r="AD329" s="59" t="n">
        <f aca="false">E329+AA329*AQ329</f>
        <v>0</v>
      </c>
      <c r="AE329" s="59" t="n">
        <f aca="false">F329+AB329*AQ329</f>
        <v>0</v>
      </c>
      <c r="AF329" s="59" t="n">
        <f aca="false">G329+AC329*AQ329</f>
        <v>0</v>
      </c>
      <c r="AG329" s="59" t="n">
        <f aca="false">H329+I329+J329+(AA329+AB329+AC329)*(1-AQ329)</f>
        <v>0</v>
      </c>
      <c r="AH329" s="60" t="n">
        <f aca="false">AD329*P1_PVP+AE329*P2_PVP+AF329*IF($A329&lt;P3_DESDE,P3A_PVP,P3_PVP)</f>
        <v>0</v>
      </c>
      <c r="AI329" s="60" t="n">
        <f aca="false">AD329*P1_CPROD+AE329*P2_CPROD+AF329*IF($A329&lt;P3_DESDE,P3A_CPROD,P3_CPROD)</f>
        <v>0</v>
      </c>
      <c r="AJ329" s="60" t="n">
        <f aca="false">IF(ISNUMBER(L329),L329,E329*P1_LOG+F329*P2_LOG+G329*P3_LOG)+IF(ISNUMBER(M329),M329,AA329*P1_LOG+AB329*P2_LOG+AC329*P3_LOG)*AQ329</f>
        <v>0</v>
      </c>
      <c r="AK329" s="60" t="n">
        <f aca="false">AG329*COSTE_DEV</f>
        <v>0</v>
      </c>
      <c r="AL329" s="60" t="n">
        <f aca="false">AD329*P1_IVAN+AE329*P2_IVAN+AF329*IF($A329&lt;P3_DESDE,P3A_IVAN,P3_IVAN)-AG329*IVA_DEV</f>
        <v>0</v>
      </c>
      <c r="AM329" s="60" t="n">
        <f aca="false">N329*(1+RECARGO_ADS)</f>
        <v>0</v>
      </c>
      <c r="AN329" s="58" t="n">
        <f aca="false">IF(ISNUMBER(L329),E329+F329+G329+AA329+AB329+AC329,0)</f>
        <v>0</v>
      </c>
      <c r="AO329" s="60" t="n">
        <f aca="false">P329*COMISION</f>
        <v>0</v>
      </c>
      <c r="AP329" s="58" t="n">
        <f aca="false">MIN(N(K329),Q329)</f>
        <v>0</v>
      </c>
      <c r="AQ329" s="61" t="n">
        <f aca="false">IF(Q329&gt;0,((Q329-AP329)*AT329+AP329*TASA_INC)/Q329,AT329)</f>
        <v>0.659887072235414</v>
      </c>
      <c r="AR329" s="58" t="n">
        <f aca="false">IF($A329&lt;FECHA_EXPORT,NETWORKDAYS($A329+1,FECHA_EXPORT,FESTIVOS),0)</f>
        <v>0</v>
      </c>
      <c r="AS329" s="61" t="n">
        <f aca="false">IF(AR329&gt;=5,1,INDEX(CDF_INC,1,AR329+1))</f>
        <v>0.14</v>
      </c>
      <c r="AT329" s="61" t="n">
        <f aca="false">TASA_USADA+(TASA_INC-TASA_USADA)*Q_INC*(1-AS329)/(1-Q_INC*AS329)</f>
        <v>0.659887072235414</v>
      </c>
    </row>
    <row r="330" customFormat="false" ht="15" hidden="false" customHeight="false" outlineLevel="0" collapsed="false">
      <c r="A330" s="53" t="n">
        <v>46624</v>
      </c>
      <c r="B330" s="54"/>
      <c r="C330" s="54"/>
      <c r="D330" s="54"/>
      <c r="E330" s="54"/>
      <c r="F330" s="54"/>
      <c r="G330" s="54"/>
      <c r="H330" s="54"/>
      <c r="I330" s="54"/>
      <c r="J330" s="54"/>
      <c r="K330" s="54"/>
      <c r="L330" s="55"/>
      <c r="M330" s="55"/>
      <c r="N330" s="55"/>
      <c r="O330" s="56"/>
      <c r="P330" s="31" t="n">
        <f aca="false">B330+C330+D330</f>
        <v>0</v>
      </c>
      <c r="Q330" s="31" t="n">
        <f aca="false">AA330+AB330+AC330</f>
        <v>0</v>
      </c>
      <c r="R330" s="32" t="n">
        <f aca="false">B330*P1_PVP+C330*P2_PVP+D330*IF($A330&lt;P3_DESDE,P3A_PVP,P3_PVP)</f>
        <v>0</v>
      </c>
      <c r="S330" s="32" t="str">
        <f aca="false">IF(P330&gt;0,R330/P330,"")</f>
        <v/>
      </c>
      <c r="T330" s="32" t="str">
        <f aca="false">IF(P330&gt;0,N330/P330,"")</f>
        <v/>
      </c>
      <c r="U330" s="57" t="str">
        <f aca="false">IF(N330&gt;0,R330/N330,"")</f>
        <v/>
      </c>
      <c r="V330" s="34" t="str">
        <f aca="false">IF(E330+F330+G330+H330+I330+J330&gt;0,(E330+F330+G330)/(E330+F330+G330+H330+I330+J330),"")</f>
        <v/>
      </c>
      <c r="W330" s="33" t="n">
        <f aca="false">E330*(P1_PVP-P1_CPROD)+F330*(P2_PVP-P2_CPROD)+G330*(IF($A330&lt;P3_DESDE,P3A_PVP,P3_PVP)-IF($A330&lt;P3_DESDE,P3A_CPROD,P3_CPROD))-IF(ISNUMBER(L330),L330,E330*P1_LOG+F330*P2_LOG+G330*P3_LOG)</f>
        <v>0</v>
      </c>
      <c r="X330" s="33" t="n">
        <f aca="false">W330-(E330*P1_IVAN+F330*P2_IVAN+G330*IF($A330&lt;P3_DESDE,P3A_IVAN,P3_IVAN))-(H330+I330+J330)*(COSTE_DEV-IVA_DEV)-AM330-AO330</f>
        <v>0</v>
      </c>
      <c r="Y330" s="33" t="n">
        <f aca="false">AH330-AI330-AJ330-AK330-AL330-AM330-AO330</f>
        <v>0</v>
      </c>
      <c r="AA330" s="58" t="n">
        <f aca="false">MAX(0,B330-E330-H330)</f>
        <v>0</v>
      </c>
      <c r="AB330" s="58" t="n">
        <f aca="false">MAX(0,C330-F330-I330)</f>
        <v>0</v>
      </c>
      <c r="AC330" s="58" t="n">
        <f aca="false">MAX(0,D330-G330-J330)</f>
        <v>0</v>
      </c>
      <c r="AD330" s="59" t="n">
        <f aca="false">E330+AA330*AQ330</f>
        <v>0</v>
      </c>
      <c r="AE330" s="59" t="n">
        <f aca="false">F330+AB330*AQ330</f>
        <v>0</v>
      </c>
      <c r="AF330" s="59" t="n">
        <f aca="false">G330+AC330*AQ330</f>
        <v>0</v>
      </c>
      <c r="AG330" s="59" t="n">
        <f aca="false">H330+I330+J330+(AA330+AB330+AC330)*(1-AQ330)</f>
        <v>0</v>
      </c>
      <c r="AH330" s="60" t="n">
        <f aca="false">AD330*P1_PVP+AE330*P2_PVP+AF330*IF($A330&lt;P3_DESDE,P3A_PVP,P3_PVP)</f>
        <v>0</v>
      </c>
      <c r="AI330" s="60" t="n">
        <f aca="false">AD330*P1_CPROD+AE330*P2_CPROD+AF330*IF($A330&lt;P3_DESDE,P3A_CPROD,P3_CPROD)</f>
        <v>0</v>
      </c>
      <c r="AJ330" s="60" t="n">
        <f aca="false">IF(ISNUMBER(L330),L330,E330*P1_LOG+F330*P2_LOG+G330*P3_LOG)+IF(ISNUMBER(M330),M330,AA330*P1_LOG+AB330*P2_LOG+AC330*P3_LOG)*AQ330</f>
        <v>0</v>
      </c>
      <c r="AK330" s="60" t="n">
        <f aca="false">AG330*COSTE_DEV</f>
        <v>0</v>
      </c>
      <c r="AL330" s="60" t="n">
        <f aca="false">AD330*P1_IVAN+AE330*P2_IVAN+AF330*IF($A330&lt;P3_DESDE,P3A_IVAN,P3_IVAN)-AG330*IVA_DEV</f>
        <v>0</v>
      </c>
      <c r="AM330" s="60" t="n">
        <f aca="false">N330*(1+RECARGO_ADS)</f>
        <v>0</v>
      </c>
      <c r="AN330" s="58" t="n">
        <f aca="false">IF(ISNUMBER(L330),E330+F330+G330+AA330+AB330+AC330,0)</f>
        <v>0</v>
      </c>
      <c r="AO330" s="60" t="n">
        <f aca="false">P330*COMISION</f>
        <v>0</v>
      </c>
      <c r="AP330" s="58" t="n">
        <f aca="false">MIN(N(K330),Q330)</f>
        <v>0</v>
      </c>
      <c r="AQ330" s="61" t="n">
        <f aca="false">IF(Q330&gt;0,((Q330-AP330)*AT330+AP330*TASA_INC)/Q330,AT330)</f>
        <v>0.659887072235414</v>
      </c>
      <c r="AR330" s="58" t="n">
        <f aca="false">IF($A330&lt;FECHA_EXPORT,NETWORKDAYS($A330+1,FECHA_EXPORT,FESTIVOS),0)</f>
        <v>0</v>
      </c>
      <c r="AS330" s="61" t="n">
        <f aca="false">IF(AR330&gt;=5,1,INDEX(CDF_INC,1,AR330+1))</f>
        <v>0.14</v>
      </c>
      <c r="AT330" s="61" t="n">
        <f aca="false">TASA_USADA+(TASA_INC-TASA_USADA)*Q_INC*(1-AS330)/(1-Q_INC*AS330)</f>
        <v>0.659887072235414</v>
      </c>
    </row>
    <row r="331" customFormat="false" ht="15" hidden="false" customHeight="false" outlineLevel="0" collapsed="false">
      <c r="A331" s="53" t="n">
        <v>46625</v>
      </c>
      <c r="B331" s="54"/>
      <c r="C331" s="54"/>
      <c r="D331" s="54"/>
      <c r="E331" s="54"/>
      <c r="F331" s="54"/>
      <c r="G331" s="54"/>
      <c r="H331" s="54"/>
      <c r="I331" s="54"/>
      <c r="J331" s="54"/>
      <c r="K331" s="54"/>
      <c r="L331" s="55"/>
      <c r="M331" s="55"/>
      <c r="N331" s="55"/>
      <c r="O331" s="56"/>
      <c r="P331" s="31" t="n">
        <f aca="false">B331+C331+D331</f>
        <v>0</v>
      </c>
      <c r="Q331" s="31" t="n">
        <f aca="false">AA331+AB331+AC331</f>
        <v>0</v>
      </c>
      <c r="R331" s="32" t="n">
        <f aca="false">B331*P1_PVP+C331*P2_PVP+D331*IF($A331&lt;P3_DESDE,P3A_PVP,P3_PVP)</f>
        <v>0</v>
      </c>
      <c r="S331" s="32" t="str">
        <f aca="false">IF(P331&gt;0,R331/P331,"")</f>
        <v/>
      </c>
      <c r="T331" s="32" t="str">
        <f aca="false">IF(P331&gt;0,N331/P331,"")</f>
        <v/>
      </c>
      <c r="U331" s="57" t="str">
        <f aca="false">IF(N331&gt;0,R331/N331,"")</f>
        <v/>
      </c>
      <c r="V331" s="34" t="str">
        <f aca="false">IF(E331+F331+G331+H331+I331+J331&gt;0,(E331+F331+G331)/(E331+F331+G331+H331+I331+J331),"")</f>
        <v/>
      </c>
      <c r="W331" s="33" t="n">
        <f aca="false">E331*(P1_PVP-P1_CPROD)+F331*(P2_PVP-P2_CPROD)+G331*(IF($A331&lt;P3_DESDE,P3A_PVP,P3_PVP)-IF($A331&lt;P3_DESDE,P3A_CPROD,P3_CPROD))-IF(ISNUMBER(L331),L331,E331*P1_LOG+F331*P2_LOG+G331*P3_LOG)</f>
        <v>0</v>
      </c>
      <c r="X331" s="33" t="n">
        <f aca="false">W331-(E331*P1_IVAN+F331*P2_IVAN+G331*IF($A331&lt;P3_DESDE,P3A_IVAN,P3_IVAN))-(H331+I331+J331)*(COSTE_DEV-IVA_DEV)-AM331-AO331</f>
        <v>0</v>
      </c>
      <c r="Y331" s="33" t="n">
        <f aca="false">AH331-AI331-AJ331-AK331-AL331-AM331-AO331</f>
        <v>0</v>
      </c>
      <c r="AA331" s="58" t="n">
        <f aca="false">MAX(0,B331-E331-H331)</f>
        <v>0</v>
      </c>
      <c r="AB331" s="58" t="n">
        <f aca="false">MAX(0,C331-F331-I331)</f>
        <v>0</v>
      </c>
      <c r="AC331" s="58" t="n">
        <f aca="false">MAX(0,D331-G331-J331)</f>
        <v>0</v>
      </c>
      <c r="AD331" s="59" t="n">
        <f aca="false">E331+AA331*AQ331</f>
        <v>0</v>
      </c>
      <c r="AE331" s="59" t="n">
        <f aca="false">F331+AB331*AQ331</f>
        <v>0</v>
      </c>
      <c r="AF331" s="59" t="n">
        <f aca="false">G331+AC331*AQ331</f>
        <v>0</v>
      </c>
      <c r="AG331" s="59" t="n">
        <f aca="false">H331+I331+J331+(AA331+AB331+AC331)*(1-AQ331)</f>
        <v>0</v>
      </c>
      <c r="AH331" s="60" t="n">
        <f aca="false">AD331*P1_PVP+AE331*P2_PVP+AF331*IF($A331&lt;P3_DESDE,P3A_PVP,P3_PVP)</f>
        <v>0</v>
      </c>
      <c r="AI331" s="60" t="n">
        <f aca="false">AD331*P1_CPROD+AE331*P2_CPROD+AF331*IF($A331&lt;P3_DESDE,P3A_CPROD,P3_CPROD)</f>
        <v>0</v>
      </c>
      <c r="AJ331" s="60" t="n">
        <f aca="false">IF(ISNUMBER(L331),L331,E331*P1_LOG+F331*P2_LOG+G331*P3_LOG)+IF(ISNUMBER(M331),M331,AA331*P1_LOG+AB331*P2_LOG+AC331*P3_LOG)*AQ331</f>
        <v>0</v>
      </c>
      <c r="AK331" s="60" t="n">
        <f aca="false">AG331*COSTE_DEV</f>
        <v>0</v>
      </c>
      <c r="AL331" s="60" t="n">
        <f aca="false">AD331*P1_IVAN+AE331*P2_IVAN+AF331*IF($A331&lt;P3_DESDE,P3A_IVAN,P3_IVAN)-AG331*IVA_DEV</f>
        <v>0</v>
      </c>
      <c r="AM331" s="60" t="n">
        <f aca="false">N331*(1+RECARGO_ADS)</f>
        <v>0</v>
      </c>
      <c r="AN331" s="58" t="n">
        <f aca="false">IF(ISNUMBER(L331),E331+F331+G331+AA331+AB331+AC331,0)</f>
        <v>0</v>
      </c>
      <c r="AO331" s="60" t="n">
        <f aca="false">P331*COMISION</f>
        <v>0</v>
      </c>
      <c r="AP331" s="58" t="n">
        <f aca="false">MIN(N(K331),Q331)</f>
        <v>0</v>
      </c>
      <c r="AQ331" s="61" t="n">
        <f aca="false">IF(Q331&gt;0,((Q331-AP331)*AT331+AP331*TASA_INC)/Q331,AT331)</f>
        <v>0.659887072235414</v>
      </c>
      <c r="AR331" s="58" t="n">
        <f aca="false">IF($A331&lt;FECHA_EXPORT,NETWORKDAYS($A331+1,FECHA_EXPORT,FESTIVOS),0)</f>
        <v>0</v>
      </c>
      <c r="AS331" s="61" t="n">
        <f aca="false">IF(AR331&gt;=5,1,INDEX(CDF_INC,1,AR331+1))</f>
        <v>0.14</v>
      </c>
      <c r="AT331" s="61" t="n">
        <f aca="false">TASA_USADA+(TASA_INC-TASA_USADA)*Q_INC*(1-AS331)/(1-Q_INC*AS331)</f>
        <v>0.659887072235414</v>
      </c>
    </row>
    <row r="332" customFormat="false" ht="15" hidden="false" customHeight="false" outlineLevel="0" collapsed="false">
      <c r="A332" s="53" t="n">
        <v>46626</v>
      </c>
      <c r="B332" s="54"/>
      <c r="C332" s="54"/>
      <c r="D332" s="54"/>
      <c r="E332" s="54"/>
      <c r="F332" s="54"/>
      <c r="G332" s="54"/>
      <c r="H332" s="54"/>
      <c r="I332" s="54"/>
      <c r="J332" s="54"/>
      <c r="K332" s="54"/>
      <c r="L332" s="55"/>
      <c r="M332" s="55"/>
      <c r="N332" s="55"/>
      <c r="O332" s="56"/>
      <c r="P332" s="31" t="n">
        <f aca="false">B332+C332+D332</f>
        <v>0</v>
      </c>
      <c r="Q332" s="31" t="n">
        <f aca="false">AA332+AB332+AC332</f>
        <v>0</v>
      </c>
      <c r="R332" s="32" t="n">
        <f aca="false">B332*P1_PVP+C332*P2_PVP+D332*IF($A332&lt;P3_DESDE,P3A_PVP,P3_PVP)</f>
        <v>0</v>
      </c>
      <c r="S332" s="32" t="str">
        <f aca="false">IF(P332&gt;0,R332/P332,"")</f>
        <v/>
      </c>
      <c r="T332" s="32" t="str">
        <f aca="false">IF(P332&gt;0,N332/P332,"")</f>
        <v/>
      </c>
      <c r="U332" s="57" t="str">
        <f aca="false">IF(N332&gt;0,R332/N332,"")</f>
        <v/>
      </c>
      <c r="V332" s="34" t="str">
        <f aca="false">IF(E332+F332+G332+H332+I332+J332&gt;0,(E332+F332+G332)/(E332+F332+G332+H332+I332+J332),"")</f>
        <v/>
      </c>
      <c r="W332" s="33" t="n">
        <f aca="false">E332*(P1_PVP-P1_CPROD)+F332*(P2_PVP-P2_CPROD)+G332*(IF($A332&lt;P3_DESDE,P3A_PVP,P3_PVP)-IF($A332&lt;P3_DESDE,P3A_CPROD,P3_CPROD))-IF(ISNUMBER(L332),L332,E332*P1_LOG+F332*P2_LOG+G332*P3_LOG)</f>
        <v>0</v>
      </c>
      <c r="X332" s="33" t="n">
        <f aca="false">W332-(E332*P1_IVAN+F332*P2_IVAN+G332*IF($A332&lt;P3_DESDE,P3A_IVAN,P3_IVAN))-(H332+I332+J332)*(COSTE_DEV-IVA_DEV)-AM332-AO332</f>
        <v>0</v>
      </c>
      <c r="Y332" s="33" t="n">
        <f aca="false">AH332-AI332-AJ332-AK332-AL332-AM332-AO332</f>
        <v>0</v>
      </c>
      <c r="AA332" s="58" t="n">
        <f aca="false">MAX(0,B332-E332-H332)</f>
        <v>0</v>
      </c>
      <c r="AB332" s="58" t="n">
        <f aca="false">MAX(0,C332-F332-I332)</f>
        <v>0</v>
      </c>
      <c r="AC332" s="58" t="n">
        <f aca="false">MAX(0,D332-G332-J332)</f>
        <v>0</v>
      </c>
      <c r="AD332" s="59" t="n">
        <f aca="false">E332+AA332*AQ332</f>
        <v>0</v>
      </c>
      <c r="AE332" s="59" t="n">
        <f aca="false">F332+AB332*AQ332</f>
        <v>0</v>
      </c>
      <c r="AF332" s="59" t="n">
        <f aca="false">G332+AC332*AQ332</f>
        <v>0</v>
      </c>
      <c r="AG332" s="59" t="n">
        <f aca="false">H332+I332+J332+(AA332+AB332+AC332)*(1-AQ332)</f>
        <v>0</v>
      </c>
      <c r="AH332" s="60" t="n">
        <f aca="false">AD332*P1_PVP+AE332*P2_PVP+AF332*IF($A332&lt;P3_DESDE,P3A_PVP,P3_PVP)</f>
        <v>0</v>
      </c>
      <c r="AI332" s="60" t="n">
        <f aca="false">AD332*P1_CPROD+AE332*P2_CPROD+AF332*IF($A332&lt;P3_DESDE,P3A_CPROD,P3_CPROD)</f>
        <v>0</v>
      </c>
      <c r="AJ332" s="60" t="n">
        <f aca="false">IF(ISNUMBER(L332),L332,E332*P1_LOG+F332*P2_LOG+G332*P3_LOG)+IF(ISNUMBER(M332),M332,AA332*P1_LOG+AB332*P2_LOG+AC332*P3_LOG)*AQ332</f>
        <v>0</v>
      </c>
      <c r="AK332" s="60" t="n">
        <f aca="false">AG332*COSTE_DEV</f>
        <v>0</v>
      </c>
      <c r="AL332" s="60" t="n">
        <f aca="false">AD332*P1_IVAN+AE332*P2_IVAN+AF332*IF($A332&lt;P3_DESDE,P3A_IVAN,P3_IVAN)-AG332*IVA_DEV</f>
        <v>0</v>
      </c>
      <c r="AM332" s="60" t="n">
        <f aca="false">N332*(1+RECARGO_ADS)</f>
        <v>0</v>
      </c>
      <c r="AN332" s="58" t="n">
        <f aca="false">IF(ISNUMBER(L332),E332+F332+G332+AA332+AB332+AC332,0)</f>
        <v>0</v>
      </c>
      <c r="AO332" s="60" t="n">
        <f aca="false">P332*COMISION</f>
        <v>0</v>
      </c>
      <c r="AP332" s="58" t="n">
        <f aca="false">MIN(N(K332),Q332)</f>
        <v>0</v>
      </c>
      <c r="AQ332" s="61" t="n">
        <f aca="false">IF(Q332&gt;0,((Q332-AP332)*AT332+AP332*TASA_INC)/Q332,AT332)</f>
        <v>0.659887072235414</v>
      </c>
      <c r="AR332" s="58" t="n">
        <f aca="false">IF($A332&lt;FECHA_EXPORT,NETWORKDAYS($A332+1,FECHA_EXPORT,FESTIVOS),0)</f>
        <v>0</v>
      </c>
      <c r="AS332" s="61" t="n">
        <f aca="false">IF(AR332&gt;=5,1,INDEX(CDF_INC,1,AR332+1))</f>
        <v>0.14</v>
      </c>
      <c r="AT332" s="61" t="n">
        <f aca="false">TASA_USADA+(TASA_INC-TASA_USADA)*Q_INC*(1-AS332)/(1-Q_INC*AS332)</f>
        <v>0.659887072235414</v>
      </c>
    </row>
    <row r="333" customFormat="false" ht="15" hidden="false" customHeight="false" outlineLevel="0" collapsed="false">
      <c r="A333" s="53" t="n">
        <v>46627</v>
      </c>
      <c r="B333" s="54"/>
      <c r="C333" s="54"/>
      <c r="D333" s="54"/>
      <c r="E333" s="54"/>
      <c r="F333" s="54"/>
      <c r="G333" s="54"/>
      <c r="H333" s="54"/>
      <c r="I333" s="54"/>
      <c r="J333" s="54"/>
      <c r="K333" s="54"/>
      <c r="L333" s="55"/>
      <c r="M333" s="55"/>
      <c r="N333" s="55"/>
      <c r="O333" s="56"/>
      <c r="P333" s="31" t="n">
        <f aca="false">B333+C333+D333</f>
        <v>0</v>
      </c>
      <c r="Q333" s="31" t="n">
        <f aca="false">AA333+AB333+AC333</f>
        <v>0</v>
      </c>
      <c r="R333" s="32" t="n">
        <f aca="false">B333*P1_PVP+C333*P2_PVP+D333*IF($A333&lt;P3_DESDE,P3A_PVP,P3_PVP)</f>
        <v>0</v>
      </c>
      <c r="S333" s="32" t="str">
        <f aca="false">IF(P333&gt;0,R333/P333,"")</f>
        <v/>
      </c>
      <c r="T333" s="32" t="str">
        <f aca="false">IF(P333&gt;0,N333/P333,"")</f>
        <v/>
      </c>
      <c r="U333" s="57" t="str">
        <f aca="false">IF(N333&gt;0,R333/N333,"")</f>
        <v/>
      </c>
      <c r="V333" s="34" t="str">
        <f aca="false">IF(E333+F333+G333+H333+I333+J333&gt;0,(E333+F333+G333)/(E333+F333+G333+H333+I333+J333),"")</f>
        <v/>
      </c>
      <c r="W333" s="33" t="n">
        <f aca="false">E333*(P1_PVP-P1_CPROD)+F333*(P2_PVP-P2_CPROD)+G333*(IF($A333&lt;P3_DESDE,P3A_PVP,P3_PVP)-IF($A333&lt;P3_DESDE,P3A_CPROD,P3_CPROD))-IF(ISNUMBER(L333),L333,E333*P1_LOG+F333*P2_LOG+G333*P3_LOG)</f>
        <v>0</v>
      </c>
      <c r="X333" s="33" t="n">
        <f aca="false">W333-(E333*P1_IVAN+F333*P2_IVAN+G333*IF($A333&lt;P3_DESDE,P3A_IVAN,P3_IVAN))-(H333+I333+J333)*(COSTE_DEV-IVA_DEV)-AM333-AO333</f>
        <v>0</v>
      </c>
      <c r="Y333" s="33" t="n">
        <f aca="false">AH333-AI333-AJ333-AK333-AL333-AM333-AO333</f>
        <v>0</v>
      </c>
      <c r="AA333" s="58" t="n">
        <f aca="false">MAX(0,B333-E333-H333)</f>
        <v>0</v>
      </c>
      <c r="AB333" s="58" t="n">
        <f aca="false">MAX(0,C333-F333-I333)</f>
        <v>0</v>
      </c>
      <c r="AC333" s="58" t="n">
        <f aca="false">MAX(0,D333-G333-J333)</f>
        <v>0</v>
      </c>
      <c r="AD333" s="59" t="n">
        <f aca="false">E333+AA333*AQ333</f>
        <v>0</v>
      </c>
      <c r="AE333" s="59" t="n">
        <f aca="false">F333+AB333*AQ333</f>
        <v>0</v>
      </c>
      <c r="AF333" s="59" t="n">
        <f aca="false">G333+AC333*AQ333</f>
        <v>0</v>
      </c>
      <c r="AG333" s="59" t="n">
        <f aca="false">H333+I333+J333+(AA333+AB333+AC333)*(1-AQ333)</f>
        <v>0</v>
      </c>
      <c r="AH333" s="60" t="n">
        <f aca="false">AD333*P1_PVP+AE333*P2_PVP+AF333*IF($A333&lt;P3_DESDE,P3A_PVP,P3_PVP)</f>
        <v>0</v>
      </c>
      <c r="AI333" s="60" t="n">
        <f aca="false">AD333*P1_CPROD+AE333*P2_CPROD+AF333*IF($A333&lt;P3_DESDE,P3A_CPROD,P3_CPROD)</f>
        <v>0</v>
      </c>
      <c r="AJ333" s="60" t="n">
        <f aca="false">IF(ISNUMBER(L333),L333,E333*P1_LOG+F333*P2_LOG+G333*P3_LOG)+IF(ISNUMBER(M333),M333,AA333*P1_LOG+AB333*P2_LOG+AC333*P3_LOG)*AQ333</f>
        <v>0</v>
      </c>
      <c r="AK333" s="60" t="n">
        <f aca="false">AG333*COSTE_DEV</f>
        <v>0</v>
      </c>
      <c r="AL333" s="60" t="n">
        <f aca="false">AD333*P1_IVAN+AE333*P2_IVAN+AF333*IF($A333&lt;P3_DESDE,P3A_IVAN,P3_IVAN)-AG333*IVA_DEV</f>
        <v>0</v>
      </c>
      <c r="AM333" s="60" t="n">
        <f aca="false">N333*(1+RECARGO_ADS)</f>
        <v>0</v>
      </c>
      <c r="AN333" s="58" t="n">
        <f aca="false">IF(ISNUMBER(L333),E333+F333+G333+AA333+AB333+AC333,0)</f>
        <v>0</v>
      </c>
      <c r="AO333" s="60" t="n">
        <f aca="false">P333*COMISION</f>
        <v>0</v>
      </c>
      <c r="AP333" s="58" t="n">
        <f aca="false">MIN(N(K333),Q333)</f>
        <v>0</v>
      </c>
      <c r="AQ333" s="61" t="n">
        <f aca="false">IF(Q333&gt;0,((Q333-AP333)*AT333+AP333*TASA_INC)/Q333,AT333)</f>
        <v>0.659887072235414</v>
      </c>
      <c r="AR333" s="58" t="n">
        <f aca="false">IF($A333&lt;FECHA_EXPORT,NETWORKDAYS($A333+1,FECHA_EXPORT,FESTIVOS),0)</f>
        <v>0</v>
      </c>
      <c r="AS333" s="61" t="n">
        <f aca="false">IF(AR333&gt;=5,1,INDEX(CDF_INC,1,AR333+1))</f>
        <v>0.14</v>
      </c>
      <c r="AT333" s="61" t="n">
        <f aca="false">TASA_USADA+(TASA_INC-TASA_USADA)*Q_INC*(1-AS333)/(1-Q_INC*AS333)</f>
        <v>0.659887072235414</v>
      </c>
    </row>
    <row r="334" customFormat="false" ht="15" hidden="false" customHeight="false" outlineLevel="0" collapsed="false">
      <c r="A334" s="53" t="n">
        <v>46628</v>
      </c>
      <c r="B334" s="54"/>
      <c r="C334" s="54"/>
      <c r="D334" s="54"/>
      <c r="E334" s="54"/>
      <c r="F334" s="54"/>
      <c r="G334" s="54"/>
      <c r="H334" s="54"/>
      <c r="I334" s="54"/>
      <c r="J334" s="54"/>
      <c r="K334" s="54"/>
      <c r="L334" s="55"/>
      <c r="M334" s="55"/>
      <c r="N334" s="55"/>
      <c r="O334" s="56"/>
      <c r="P334" s="31" t="n">
        <f aca="false">B334+C334+D334</f>
        <v>0</v>
      </c>
      <c r="Q334" s="31" t="n">
        <f aca="false">AA334+AB334+AC334</f>
        <v>0</v>
      </c>
      <c r="R334" s="32" t="n">
        <f aca="false">B334*P1_PVP+C334*P2_PVP+D334*IF($A334&lt;P3_DESDE,P3A_PVP,P3_PVP)</f>
        <v>0</v>
      </c>
      <c r="S334" s="32" t="str">
        <f aca="false">IF(P334&gt;0,R334/P334,"")</f>
        <v/>
      </c>
      <c r="T334" s="32" t="str">
        <f aca="false">IF(P334&gt;0,N334/P334,"")</f>
        <v/>
      </c>
      <c r="U334" s="57" t="str">
        <f aca="false">IF(N334&gt;0,R334/N334,"")</f>
        <v/>
      </c>
      <c r="V334" s="34" t="str">
        <f aca="false">IF(E334+F334+G334+H334+I334+J334&gt;0,(E334+F334+G334)/(E334+F334+G334+H334+I334+J334),"")</f>
        <v/>
      </c>
      <c r="W334" s="33" t="n">
        <f aca="false">E334*(P1_PVP-P1_CPROD)+F334*(P2_PVP-P2_CPROD)+G334*(IF($A334&lt;P3_DESDE,P3A_PVP,P3_PVP)-IF($A334&lt;P3_DESDE,P3A_CPROD,P3_CPROD))-IF(ISNUMBER(L334),L334,E334*P1_LOG+F334*P2_LOG+G334*P3_LOG)</f>
        <v>0</v>
      </c>
      <c r="X334" s="33" t="n">
        <f aca="false">W334-(E334*P1_IVAN+F334*P2_IVAN+G334*IF($A334&lt;P3_DESDE,P3A_IVAN,P3_IVAN))-(H334+I334+J334)*(COSTE_DEV-IVA_DEV)-AM334-AO334</f>
        <v>0</v>
      </c>
      <c r="Y334" s="33" t="n">
        <f aca="false">AH334-AI334-AJ334-AK334-AL334-AM334-AO334</f>
        <v>0</v>
      </c>
      <c r="AA334" s="58" t="n">
        <f aca="false">MAX(0,B334-E334-H334)</f>
        <v>0</v>
      </c>
      <c r="AB334" s="58" t="n">
        <f aca="false">MAX(0,C334-F334-I334)</f>
        <v>0</v>
      </c>
      <c r="AC334" s="58" t="n">
        <f aca="false">MAX(0,D334-G334-J334)</f>
        <v>0</v>
      </c>
      <c r="AD334" s="59" t="n">
        <f aca="false">E334+AA334*AQ334</f>
        <v>0</v>
      </c>
      <c r="AE334" s="59" t="n">
        <f aca="false">F334+AB334*AQ334</f>
        <v>0</v>
      </c>
      <c r="AF334" s="59" t="n">
        <f aca="false">G334+AC334*AQ334</f>
        <v>0</v>
      </c>
      <c r="AG334" s="59" t="n">
        <f aca="false">H334+I334+J334+(AA334+AB334+AC334)*(1-AQ334)</f>
        <v>0</v>
      </c>
      <c r="AH334" s="60" t="n">
        <f aca="false">AD334*P1_PVP+AE334*P2_PVP+AF334*IF($A334&lt;P3_DESDE,P3A_PVP,P3_PVP)</f>
        <v>0</v>
      </c>
      <c r="AI334" s="60" t="n">
        <f aca="false">AD334*P1_CPROD+AE334*P2_CPROD+AF334*IF($A334&lt;P3_DESDE,P3A_CPROD,P3_CPROD)</f>
        <v>0</v>
      </c>
      <c r="AJ334" s="60" t="n">
        <f aca="false">IF(ISNUMBER(L334),L334,E334*P1_LOG+F334*P2_LOG+G334*P3_LOG)+IF(ISNUMBER(M334),M334,AA334*P1_LOG+AB334*P2_LOG+AC334*P3_LOG)*AQ334</f>
        <v>0</v>
      </c>
      <c r="AK334" s="60" t="n">
        <f aca="false">AG334*COSTE_DEV</f>
        <v>0</v>
      </c>
      <c r="AL334" s="60" t="n">
        <f aca="false">AD334*P1_IVAN+AE334*P2_IVAN+AF334*IF($A334&lt;P3_DESDE,P3A_IVAN,P3_IVAN)-AG334*IVA_DEV</f>
        <v>0</v>
      </c>
      <c r="AM334" s="60" t="n">
        <f aca="false">N334*(1+RECARGO_ADS)</f>
        <v>0</v>
      </c>
      <c r="AN334" s="58" t="n">
        <f aca="false">IF(ISNUMBER(L334),E334+F334+G334+AA334+AB334+AC334,0)</f>
        <v>0</v>
      </c>
      <c r="AO334" s="60" t="n">
        <f aca="false">P334*COMISION</f>
        <v>0</v>
      </c>
      <c r="AP334" s="58" t="n">
        <f aca="false">MIN(N(K334),Q334)</f>
        <v>0</v>
      </c>
      <c r="AQ334" s="61" t="n">
        <f aca="false">IF(Q334&gt;0,((Q334-AP334)*AT334+AP334*TASA_INC)/Q334,AT334)</f>
        <v>0.659887072235414</v>
      </c>
      <c r="AR334" s="58" t="n">
        <f aca="false">IF($A334&lt;FECHA_EXPORT,NETWORKDAYS($A334+1,FECHA_EXPORT,FESTIVOS),0)</f>
        <v>0</v>
      </c>
      <c r="AS334" s="61" t="n">
        <f aca="false">IF(AR334&gt;=5,1,INDEX(CDF_INC,1,AR334+1))</f>
        <v>0.14</v>
      </c>
      <c r="AT334" s="61" t="n">
        <f aca="false">TASA_USADA+(TASA_INC-TASA_USADA)*Q_INC*(1-AS334)/(1-Q_INC*AS334)</f>
        <v>0.659887072235414</v>
      </c>
    </row>
    <row r="335" customFormat="false" ht="15" hidden="false" customHeight="false" outlineLevel="0" collapsed="false">
      <c r="A335" s="53" t="n">
        <v>46629</v>
      </c>
      <c r="B335" s="54"/>
      <c r="C335" s="54"/>
      <c r="D335" s="54"/>
      <c r="E335" s="54"/>
      <c r="F335" s="54"/>
      <c r="G335" s="54"/>
      <c r="H335" s="54"/>
      <c r="I335" s="54"/>
      <c r="J335" s="54"/>
      <c r="K335" s="54"/>
      <c r="L335" s="55"/>
      <c r="M335" s="55"/>
      <c r="N335" s="55"/>
      <c r="O335" s="56"/>
      <c r="P335" s="31" t="n">
        <f aca="false">B335+C335+D335</f>
        <v>0</v>
      </c>
      <c r="Q335" s="31" t="n">
        <f aca="false">AA335+AB335+AC335</f>
        <v>0</v>
      </c>
      <c r="R335" s="32" t="n">
        <f aca="false">B335*P1_PVP+C335*P2_PVP+D335*IF($A335&lt;P3_DESDE,P3A_PVP,P3_PVP)</f>
        <v>0</v>
      </c>
      <c r="S335" s="32" t="str">
        <f aca="false">IF(P335&gt;0,R335/P335,"")</f>
        <v/>
      </c>
      <c r="T335" s="32" t="str">
        <f aca="false">IF(P335&gt;0,N335/P335,"")</f>
        <v/>
      </c>
      <c r="U335" s="57" t="str">
        <f aca="false">IF(N335&gt;0,R335/N335,"")</f>
        <v/>
      </c>
      <c r="V335" s="34" t="str">
        <f aca="false">IF(E335+F335+G335+H335+I335+J335&gt;0,(E335+F335+G335)/(E335+F335+G335+H335+I335+J335),"")</f>
        <v/>
      </c>
      <c r="W335" s="33" t="n">
        <f aca="false">E335*(P1_PVP-P1_CPROD)+F335*(P2_PVP-P2_CPROD)+G335*(IF($A335&lt;P3_DESDE,P3A_PVP,P3_PVP)-IF($A335&lt;P3_DESDE,P3A_CPROD,P3_CPROD))-IF(ISNUMBER(L335),L335,E335*P1_LOG+F335*P2_LOG+G335*P3_LOG)</f>
        <v>0</v>
      </c>
      <c r="X335" s="33" t="n">
        <f aca="false">W335-(E335*P1_IVAN+F335*P2_IVAN+G335*IF($A335&lt;P3_DESDE,P3A_IVAN,P3_IVAN))-(H335+I335+J335)*(COSTE_DEV-IVA_DEV)-AM335-AO335</f>
        <v>0</v>
      </c>
      <c r="Y335" s="33" t="n">
        <f aca="false">AH335-AI335-AJ335-AK335-AL335-AM335-AO335</f>
        <v>0</v>
      </c>
      <c r="AA335" s="58" t="n">
        <f aca="false">MAX(0,B335-E335-H335)</f>
        <v>0</v>
      </c>
      <c r="AB335" s="58" t="n">
        <f aca="false">MAX(0,C335-F335-I335)</f>
        <v>0</v>
      </c>
      <c r="AC335" s="58" t="n">
        <f aca="false">MAX(0,D335-G335-J335)</f>
        <v>0</v>
      </c>
      <c r="AD335" s="59" t="n">
        <f aca="false">E335+AA335*AQ335</f>
        <v>0</v>
      </c>
      <c r="AE335" s="59" t="n">
        <f aca="false">F335+AB335*AQ335</f>
        <v>0</v>
      </c>
      <c r="AF335" s="59" t="n">
        <f aca="false">G335+AC335*AQ335</f>
        <v>0</v>
      </c>
      <c r="AG335" s="59" t="n">
        <f aca="false">H335+I335+J335+(AA335+AB335+AC335)*(1-AQ335)</f>
        <v>0</v>
      </c>
      <c r="AH335" s="60" t="n">
        <f aca="false">AD335*P1_PVP+AE335*P2_PVP+AF335*IF($A335&lt;P3_DESDE,P3A_PVP,P3_PVP)</f>
        <v>0</v>
      </c>
      <c r="AI335" s="60" t="n">
        <f aca="false">AD335*P1_CPROD+AE335*P2_CPROD+AF335*IF($A335&lt;P3_DESDE,P3A_CPROD,P3_CPROD)</f>
        <v>0</v>
      </c>
      <c r="AJ335" s="60" t="n">
        <f aca="false">IF(ISNUMBER(L335),L335,E335*P1_LOG+F335*P2_LOG+G335*P3_LOG)+IF(ISNUMBER(M335),M335,AA335*P1_LOG+AB335*P2_LOG+AC335*P3_LOG)*AQ335</f>
        <v>0</v>
      </c>
      <c r="AK335" s="60" t="n">
        <f aca="false">AG335*COSTE_DEV</f>
        <v>0</v>
      </c>
      <c r="AL335" s="60" t="n">
        <f aca="false">AD335*P1_IVAN+AE335*P2_IVAN+AF335*IF($A335&lt;P3_DESDE,P3A_IVAN,P3_IVAN)-AG335*IVA_DEV</f>
        <v>0</v>
      </c>
      <c r="AM335" s="60" t="n">
        <f aca="false">N335*(1+RECARGO_ADS)</f>
        <v>0</v>
      </c>
      <c r="AN335" s="58" t="n">
        <f aca="false">IF(ISNUMBER(L335),E335+F335+G335+AA335+AB335+AC335,0)</f>
        <v>0</v>
      </c>
      <c r="AO335" s="60" t="n">
        <f aca="false">P335*COMISION</f>
        <v>0</v>
      </c>
      <c r="AP335" s="58" t="n">
        <f aca="false">MIN(N(K335),Q335)</f>
        <v>0</v>
      </c>
      <c r="AQ335" s="61" t="n">
        <f aca="false">IF(Q335&gt;0,((Q335-AP335)*AT335+AP335*TASA_INC)/Q335,AT335)</f>
        <v>0.659887072235414</v>
      </c>
      <c r="AR335" s="58" t="n">
        <f aca="false">IF($A335&lt;FECHA_EXPORT,NETWORKDAYS($A335+1,FECHA_EXPORT,FESTIVOS),0)</f>
        <v>0</v>
      </c>
      <c r="AS335" s="61" t="n">
        <f aca="false">IF(AR335&gt;=5,1,INDEX(CDF_INC,1,AR335+1))</f>
        <v>0.14</v>
      </c>
      <c r="AT335" s="61" t="n">
        <f aca="false">TASA_USADA+(TASA_INC-TASA_USADA)*Q_INC*(1-AS335)/(1-Q_INC*AS335)</f>
        <v>0.659887072235414</v>
      </c>
    </row>
    <row r="336" customFormat="false" ht="15" hidden="false" customHeight="false" outlineLevel="0" collapsed="false">
      <c r="A336" s="53" t="n">
        <v>46630</v>
      </c>
      <c r="B336" s="54"/>
      <c r="C336" s="54"/>
      <c r="D336" s="54"/>
      <c r="E336" s="54"/>
      <c r="F336" s="54"/>
      <c r="G336" s="54"/>
      <c r="H336" s="54"/>
      <c r="I336" s="54"/>
      <c r="J336" s="54"/>
      <c r="K336" s="54"/>
      <c r="L336" s="55"/>
      <c r="M336" s="55"/>
      <c r="N336" s="55"/>
      <c r="O336" s="56"/>
      <c r="P336" s="31" t="n">
        <f aca="false">B336+C336+D336</f>
        <v>0</v>
      </c>
      <c r="Q336" s="31" t="n">
        <f aca="false">AA336+AB336+AC336</f>
        <v>0</v>
      </c>
      <c r="R336" s="32" t="n">
        <f aca="false">B336*P1_PVP+C336*P2_PVP+D336*IF($A336&lt;P3_DESDE,P3A_PVP,P3_PVP)</f>
        <v>0</v>
      </c>
      <c r="S336" s="32" t="str">
        <f aca="false">IF(P336&gt;0,R336/P336,"")</f>
        <v/>
      </c>
      <c r="T336" s="32" t="str">
        <f aca="false">IF(P336&gt;0,N336/P336,"")</f>
        <v/>
      </c>
      <c r="U336" s="57" t="str">
        <f aca="false">IF(N336&gt;0,R336/N336,"")</f>
        <v/>
      </c>
      <c r="V336" s="34" t="str">
        <f aca="false">IF(E336+F336+G336+H336+I336+J336&gt;0,(E336+F336+G336)/(E336+F336+G336+H336+I336+J336),"")</f>
        <v/>
      </c>
      <c r="W336" s="33" t="n">
        <f aca="false">E336*(P1_PVP-P1_CPROD)+F336*(P2_PVP-P2_CPROD)+G336*(IF($A336&lt;P3_DESDE,P3A_PVP,P3_PVP)-IF($A336&lt;P3_DESDE,P3A_CPROD,P3_CPROD))-IF(ISNUMBER(L336),L336,E336*P1_LOG+F336*P2_LOG+G336*P3_LOG)</f>
        <v>0</v>
      </c>
      <c r="X336" s="33" t="n">
        <f aca="false">W336-(E336*P1_IVAN+F336*P2_IVAN+G336*IF($A336&lt;P3_DESDE,P3A_IVAN,P3_IVAN))-(H336+I336+J336)*(COSTE_DEV-IVA_DEV)-AM336-AO336</f>
        <v>0</v>
      </c>
      <c r="Y336" s="33" t="n">
        <f aca="false">AH336-AI336-AJ336-AK336-AL336-AM336-AO336</f>
        <v>0</v>
      </c>
      <c r="AA336" s="58" t="n">
        <f aca="false">MAX(0,B336-E336-H336)</f>
        <v>0</v>
      </c>
      <c r="AB336" s="58" t="n">
        <f aca="false">MAX(0,C336-F336-I336)</f>
        <v>0</v>
      </c>
      <c r="AC336" s="58" t="n">
        <f aca="false">MAX(0,D336-G336-J336)</f>
        <v>0</v>
      </c>
      <c r="AD336" s="59" t="n">
        <f aca="false">E336+AA336*AQ336</f>
        <v>0</v>
      </c>
      <c r="AE336" s="59" t="n">
        <f aca="false">F336+AB336*AQ336</f>
        <v>0</v>
      </c>
      <c r="AF336" s="59" t="n">
        <f aca="false">G336+AC336*AQ336</f>
        <v>0</v>
      </c>
      <c r="AG336" s="59" t="n">
        <f aca="false">H336+I336+J336+(AA336+AB336+AC336)*(1-AQ336)</f>
        <v>0</v>
      </c>
      <c r="AH336" s="60" t="n">
        <f aca="false">AD336*P1_PVP+AE336*P2_PVP+AF336*IF($A336&lt;P3_DESDE,P3A_PVP,P3_PVP)</f>
        <v>0</v>
      </c>
      <c r="AI336" s="60" t="n">
        <f aca="false">AD336*P1_CPROD+AE336*P2_CPROD+AF336*IF($A336&lt;P3_DESDE,P3A_CPROD,P3_CPROD)</f>
        <v>0</v>
      </c>
      <c r="AJ336" s="60" t="n">
        <f aca="false">IF(ISNUMBER(L336),L336,E336*P1_LOG+F336*P2_LOG+G336*P3_LOG)+IF(ISNUMBER(M336),M336,AA336*P1_LOG+AB336*P2_LOG+AC336*P3_LOG)*AQ336</f>
        <v>0</v>
      </c>
      <c r="AK336" s="60" t="n">
        <f aca="false">AG336*COSTE_DEV</f>
        <v>0</v>
      </c>
      <c r="AL336" s="60" t="n">
        <f aca="false">AD336*P1_IVAN+AE336*P2_IVAN+AF336*IF($A336&lt;P3_DESDE,P3A_IVAN,P3_IVAN)-AG336*IVA_DEV</f>
        <v>0</v>
      </c>
      <c r="AM336" s="60" t="n">
        <f aca="false">N336*(1+RECARGO_ADS)</f>
        <v>0</v>
      </c>
      <c r="AN336" s="58" t="n">
        <f aca="false">IF(ISNUMBER(L336),E336+F336+G336+AA336+AB336+AC336,0)</f>
        <v>0</v>
      </c>
      <c r="AO336" s="60" t="n">
        <f aca="false">P336*COMISION</f>
        <v>0</v>
      </c>
      <c r="AP336" s="58" t="n">
        <f aca="false">MIN(N(K336),Q336)</f>
        <v>0</v>
      </c>
      <c r="AQ336" s="61" t="n">
        <f aca="false">IF(Q336&gt;0,((Q336-AP336)*AT336+AP336*TASA_INC)/Q336,AT336)</f>
        <v>0.659887072235414</v>
      </c>
      <c r="AR336" s="58" t="n">
        <f aca="false">IF($A336&lt;FECHA_EXPORT,NETWORKDAYS($A336+1,FECHA_EXPORT,FESTIVOS),0)</f>
        <v>0</v>
      </c>
      <c r="AS336" s="61" t="n">
        <f aca="false">IF(AR336&gt;=5,1,INDEX(CDF_INC,1,AR336+1))</f>
        <v>0.14</v>
      </c>
      <c r="AT336" s="61" t="n">
        <f aca="false">TASA_USADA+(TASA_INC-TASA_USADA)*Q_INC*(1-AS336)/(1-Q_INC*AS336)</f>
        <v>0.659887072235414</v>
      </c>
    </row>
    <row r="337" customFormat="false" ht="15" hidden="false" customHeight="false" outlineLevel="0" collapsed="false">
      <c r="A337" s="53" t="n">
        <v>46631</v>
      </c>
      <c r="B337" s="54"/>
      <c r="C337" s="54"/>
      <c r="D337" s="54"/>
      <c r="E337" s="54"/>
      <c r="F337" s="54"/>
      <c r="G337" s="54"/>
      <c r="H337" s="54"/>
      <c r="I337" s="54"/>
      <c r="J337" s="54"/>
      <c r="K337" s="54"/>
      <c r="L337" s="55"/>
      <c r="M337" s="55"/>
      <c r="N337" s="55"/>
      <c r="O337" s="56"/>
      <c r="P337" s="31" t="n">
        <f aca="false">B337+C337+D337</f>
        <v>0</v>
      </c>
      <c r="Q337" s="31" t="n">
        <f aca="false">AA337+AB337+AC337</f>
        <v>0</v>
      </c>
      <c r="R337" s="32" t="n">
        <f aca="false">B337*P1_PVP+C337*P2_PVP+D337*IF($A337&lt;P3_DESDE,P3A_PVP,P3_PVP)</f>
        <v>0</v>
      </c>
      <c r="S337" s="32" t="str">
        <f aca="false">IF(P337&gt;0,R337/P337,"")</f>
        <v/>
      </c>
      <c r="T337" s="32" t="str">
        <f aca="false">IF(P337&gt;0,N337/P337,"")</f>
        <v/>
      </c>
      <c r="U337" s="57" t="str">
        <f aca="false">IF(N337&gt;0,R337/N337,"")</f>
        <v/>
      </c>
      <c r="V337" s="34" t="str">
        <f aca="false">IF(E337+F337+G337+H337+I337+J337&gt;0,(E337+F337+G337)/(E337+F337+G337+H337+I337+J337),"")</f>
        <v/>
      </c>
      <c r="W337" s="33" t="n">
        <f aca="false">E337*(P1_PVP-P1_CPROD)+F337*(P2_PVP-P2_CPROD)+G337*(IF($A337&lt;P3_DESDE,P3A_PVP,P3_PVP)-IF($A337&lt;P3_DESDE,P3A_CPROD,P3_CPROD))-IF(ISNUMBER(L337),L337,E337*P1_LOG+F337*P2_LOG+G337*P3_LOG)</f>
        <v>0</v>
      </c>
      <c r="X337" s="33" t="n">
        <f aca="false">W337-(E337*P1_IVAN+F337*P2_IVAN+G337*IF($A337&lt;P3_DESDE,P3A_IVAN,P3_IVAN))-(H337+I337+J337)*(COSTE_DEV-IVA_DEV)-AM337-AO337</f>
        <v>0</v>
      </c>
      <c r="Y337" s="33" t="n">
        <f aca="false">AH337-AI337-AJ337-AK337-AL337-AM337-AO337</f>
        <v>0</v>
      </c>
      <c r="AA337" s="58" t="n">
        <f aca="false">MAX(0,B337-E337-H337)</f>
        <v>0</v>
      </c>
      <c r="AB337" s="58" t="n">
        <f aca="false">MAX(0,C337-F337-I337)</f>
        <v>0</v>
      </c>
      <c r="AC337" s="58" t="n">
        <f aca="false">MAX(0,D337-G337-J337)</f>
        <v>0</v>
      </c>
      <c r="AD337" s="59" t="n">
        <f aca="false">E337+AA337*AQ337</f>
        <v>0</v>
      </c>
      <c r="AE337" s="59" t="n">
        <f aca="false">F337+AB337*AQ337</f>
        <v>0</v>
      </c>
      <c r="AF337" s="59" t="n">
        <f aca="false">G337+AC337*AQ337</f>
        <v>0</v>
      </c>
      <c r="AG337" s="59" t="n">
        <f aca="false">H337+I337+J337+(AA337+AB337+AC337)*(1-AQ337)</f>
        <v>0</v>
      </c>
      <c r="AH337" s="60" t="n">
        <f aca="false">AD337*P1_PVP+AE337*P2_PVP+AF337*IF($A337&lt;P3_DESDE,P3A_PVP,P3_PVP)</f>
        <v>0</v>
      </c>
      <c r="AI337" s="60" t="n">
        <f aca="false">AD337*P1_CPROD+AE337*P2_CPROD+AF337*IF($A337&lt;P3_DESDE,P3A_CPROD,P3_CPROD)</f>
        <v>0</v>
      </c>
      <c r="AJ337" s="60" t="n">
        <f aca="false">IF(ISNUMBER(L337),L337,E337*P1_LOG+F337*P2_LOG+G337*P3_LOG)+IF(ISNUMBER(M337),M337,AA337*P1_LOG+AB337*P2_LOG+AC337*P3_LOG)*AQ337</f>
        <v>0</v>
      </c>
      <c r="AK337" s="60" t="n">
        <f aca="false">AG337*COSTE_DEV</f>
        <v>0</v>
      </c>
      <c r="AL337" s="60" t="n">
        <f aca="false">AD337*P1_IVAN+AE337*P2_IVAN+AF337*IF($A337&lt;P3_DESDE,P3A_IVAN,P3_IVAN)-AG337*IVA_DEV</f>
        <v>0</v>
      </c>
      <c r="AM337" s="60" t="n">
        <f aca="false">N337*(1+RECARGO_ADS)</f>
        <v>0</v>
      </c>
      <c r="AN337" s="58" t="n">
        <f aca="false">IF(ISNUMBER(L337),E337+F337+G337+AA337+AB337+AC337,0)</f>
        <v>0</v>
      </c>
      <c r="AO337" s="60" t="n">
        <f aca="false">P337*COMISION</f>
        <v>0</v>
      </c>
      <c r="AP337" s="58" t="n">
        <f aca="false">MIN(N(K337),Q337)</f>
        <v>0</v>
      </c>
      <c r="AQ337" s="61" t="n">
        <f aca="false">IF(Q337&gt;0,((Q337-AP337)*AT337+AP337*TASA_INC)/Q337,AT337)</f>
        <v>0.659887072235414</v>
      </c>
      <c r="AR337" s="58" t="n">
        <f aca="false">IF($A337&lt;FECHA_EXPORT,NETWORKDAYS($A337+1,FECHA_EXPORT,FESTIVOS),0)</f>
        <v>0</v>
      </c>
      <c r="AS337" s="61" t="n">
        <f aca="false">IF(AR337&gt;=5,1,INDEX(CDF_INC,1,AR337+1))</f>
        <v>0.14</v>
      </c>
      <c r="AT337" s="61" t="n">
        <f aca="false">TASA_USADA+(TASA_INC-TASA_USADA)*Q_INC*(1-AS337)/(1-Q_INC*AS337)</f>
        <v>0.659887072235414</v>
      </c>
    </row>
    <row r="338" customFormat="false" ht="15" hidden="false" customHeight="false" outlineLevel="0" collapsed="false">
      <c r="A338" s="53" t="n">
        <v>46632</v>
      </c>
      <c r="B338" s="54"/>
      <c r="C338" s="54"/>
      <c r="D338" s="54"/>
      <c r="E338" s="54"/>
      <c r="F338" s="54"/>
      <c r="G338" s="54"/>
      <c r="H338" s="54"/>
      <c r="I338" s="54"/>
      <c r="J338" s="54"/>
      <c r="K338" s="54"/>
      <c r="L338" s="55"/>
      <c r="M338" s="55"/>
      <c r="N338" s="55"/>
      <c r="O338" s="56"/>
      <c r="P338" s="31" t="n">
        <f aca="false">B338+C338+D338</f>
        <v>0</v>
      </c>
      <c r="Q338" s="31" t="n">
        <f aca="false">AA338+AB338+AC338</f>
        <v>0</v>
      </c>
      <c r="R338" s="32" t="n">
        <f aca="false">B338*P1_PVP+C338*P2_PVP+D338*IF($A338&lt;P3_DESDE,P3A_PVP,P3_PVP)</f>
        <v>0</v>
      </c>
      <c r="S338" s="32" t="str">
        <f aca="false">IF(P338&gt;0,R338/P338,"")</f>
        <v/>
      </c>
      <c r="T338" s="32" t="str">
        <f aca="false">IF(P338&gt;0,N338/P338,"")</f>
        <v/>
      </c>
      <c r="U338" s="57" t="str">
        <f aca="false">IF(N338&gt;0,R338/N338,"")</f>
        <v/>
      </c>
      <c r="V338" s="34" t="str">
        <f aca="false">IF(E338+F338+G338+H338+I338+J338&gt;0,(E338+F338+G338)/(E338+F338+G338+H338+I338+J338),"")</f>
        <v/>
      </c>
      <c r="W338" s="33" t="n">
        <f aca="false">E338*(P1_PVP-P1_CPROD)+F338*(P2_PVP-P2_CPROD)+G338*(IF($A338&lt;P3_DESDE,P3A_PVP,P3_PVP)-IF($A338&lt;P3_DESDE,P3A_CPROD,P3_CPROD))-IF(ISNUMBER(L338),L338,E338*P1_LOG+F338*P2_LOG+G338*P3_LOG)</f>
        <v>0</v>
      </c>
      <c r="X338" s="33" t="n">
        <f aca="false">W338-(E338*P1_IVAN+F338*P2_IVAN+G338*IF($A338&lt;P3_DESDE,P3A_IVAN,P3_IVAN))-(H338+I338+J338)*(COSTE_DEV-IVA_DEV)-AM338-AO338</f>
        <v>0</v>
      </c>
      <c r="Y338" s="33" t="n">
        <f aca="false">AH338-AI338-AJ338-AK338-AL338-AM338-AO338</f>
        <v>0</v>
      </c>
      <c r="AA338" s="58" t="n">
        <f aca="false">MAX(0,B338-E338-H338)</f>
        <v>0</v>
      </c>
      <c r="AB338" s="58" t="n">
        <f aca="false">MAX(0,C338-F338-I338)</f>
        <v>0</v>
      </c>
      <c r="AC338" s="58" t="n">
        <f aca="false">MAX(0,D338-G338-J338)</f>
        <v>0</v>
      </c>
      <c r="AD338" s="59" t="n">
        <f aca="false">E338+AA338*AQ338</f>
        <v>0</v>
      </c>
      <c r="AE338" s="59" t="n">
        <f aca="false">F338+AB338*AQ338</f>
        <v>0</v>
      </c>
      <c r="AF338" s="59" t="n">
        <f aca="false">G338+AC338*AQ338</f>
        <v>0</v>
      </c>
      <c r="AG338" s="59" t="n">
        <f aca="false">H338+I338+J338+(AA338+AB338+AC338)*(1-AQ338)</f>
        <v>0</v>
      </c>
      <c r="AH338" s="60" t="n">
        <f aca="false">AD338*P1_PVP+AE338*P2_PVP+AF338*IF($A338&lt;P3_DESDE,P3A_PVP,P3_PVP)</f>
        <v>0</v>
      </c>
      <c r="AI338" s="60" t="n">
        <f aca="false">AD338*P1_CPROD+AE338*P2_CPROD+AF338*IF($A338&lt;P3_DESDE,P3A_CPROD,P3_CPROD)</f>
        <v>0</v>
      </c>
      <c r="AJ338" s="60" t="n">
        <f aca="false">IF(ISNUMBER(L338),L338,E338*P1_LOG+F338*P2_LOG+G338*P3_LOG)+IF(ISNUMBER(M338),M338,AA338*P1_LOG+AB338*P2_LOG+AC338*P3_LOG)*AQ338</f>
        <v>0</v>
      </c>
      <c r="AK338" s="60" t="n">
        <f aca="false">AG338*COSTE_DEV</f>
        <v>0</v>
      </c>
      <c r="AL338" s="60" t="n">
        <f aca="false">AD338*P1_IVAN+AE338*P2_IVAN+AF338*IF($A338&lt;P3_DESDE,P3A_IVAN,P3_IVAN)-AG338*IVA_DEV</f>
        <v>0</v>
      </c>
      <c r="AM338" s="60" t="n">
        <f aca="false">N338*(1+RECARGO_ADS)</f>
        <v>0</v>
      </c>
      <c r="AN338" s="58" t="n">
        <f aca="false">IF(ISNUMBER(L338),E338+F338+G338+AA338+AB338+AC338,0)</f>
        <v>0</v>
      </c>
      <c r="AO338" s="60" t="n">
        <f aca="false">P338*COMISION</f>
        <v>0</v>
      </c>
      <c r="AP338" s="58" t="n">
        <f aca="false">MIN(N(K338),Q338)</f>
        <v>0</v>
      </c>
      <c r="AQ338" s="61" t="n">
        <f aca="false">IF(Q338&gt;0,((Q338-AP338)*AT338+AP338*TASA_INC)/Q338,AT338)</f>
        <v>0.659887072235414</v>
      </c>
      <c r="AR338" s="58" t="n">
        <f aca="false">IF($A338&lt;FECHA_EXPORT,NETWORKDAYS($A338+1,FECHA_EXPORT,FESTIVOS),0)</f>
        <v>0</v>
      </c>
      <c r="AS338" s="61" t="n">
        <f aca="false">IF(AR338&gt;=5,1,INDEX(CDF_INC,1,AR338+1))</f>
        <v>0.14</v>
      </c>
      <c r="AT338" s="61" t="n">
        <f aca="false">TASA_USADA+(TASA_INC-TASA_USADA)*Q_INC*(1-AS338)/(1-Q_INC*AS338)</f>
        <v>0.659887072235414</v>
      </c>
    </row>
    <row r="339" customFormat="false" ht="15" hidden="false" customHeight="false" outlineLevel="0" collapsed="false">
      <c r="A339" s="53" t="n">
        <v>46633</v>
      </c>
      <c r="B339" s="54"/>
      <c r="C339" s="54"/>
      <c r="D339" s="54"/>
      <c r="E339" s="54"/>
      <c r="F339" s="54"/>
      <c r="G339" s="54"/>
      <c r="H339" s="54"/>
      <c r="I339" s="54"/>
      <c r="J339" s="54"/>
      <c r="K339" s="54"/>
      <c r="L339" s="55"/>
      <c r="M339" s="55"/>
      <c r="N339" s="55"/>
      <c r="O339" s="56"/>
      <c r="P339" s="31" t="n">
        <f aca="false">B339+C339+D339</f>
        <v>0</v>
      </c>
      <c r="Q339" s="31" t="n">
        <f aca="false">AA339+AB339+AC339</f>
        <v>0</v>
      </c>
      <c r="R339" s="32" t="n">
        <f aca="false">B339*P1_PVP+C339*P2_PVP+D339*IF($A339&lt;P3_DESDE,P3A_PVP,P3_PVP)</f>
        <v>0</v>
      </c>
      <c r="S339" s="32" t="str">
        <f aca="false">IF(P339&gt;0,R339/P339,"")</f>
        <v/>
      </c>
      <c r="T339" s="32" t="str">
        <f aca="false">IF(P339&gt;0,N339/P339,"")</f>
        <v/>
      </c>
      <c r="U339" s="57" t="str">
        <f aca="false">IF(N339&gt;0,R339/N339,"")</f>
        <v/>
      </c>
      <c r="V339" s="34" t="str">
        <f aca="false">IF(E339+F339+G339+H339+I339+J339&gt;0,(E339+F339+G339)/(E339+F339+G339+H339+I339+J339),"")</f>
        <v/>
      </c>
      <c r="W339" s="33" t="n">
        <f aca="false">E339*(P1_PVP-P1_CPROD)+F339*(P2_PVP-P2_CPROD)+G339*(IF($A339&lt;P3_DESDE,P3A_PVP,P3_PVP)-IF($A339&lt;P3_DESDE,P3A_CPROD,P3_CPROD))-IF(ISNUMBER(L339),L339,E339*P1_LOG+F339*P2_LOG+G339*P3_LOG)</f>
        <v>0</v>
      </c>
      <c r="X339" s="33" t="n">
        <f aca="false">W339-(E339*P1_IVAN+F339*P2_IVAN+G339*IF($A339&lt;P3_DESDE,P3A_IVAN,P3_IVAN))-(H339+I339+J339)*(COSTE_DEV-IVA_DEV)-AM339-AO339</f>
        <v>0</v>
      </c>
      <c r="Y339" s="33" t="n">
        <f aca="false">AH339-AI339-AJ339-AK339-AL339-AM339-AO339</f>
        <v>0</v>
      </c>
      <c r="AA339" s="58" t="n">
        <f aca="false">MAX(0,B339-E339-H339)</f>
        <v>0</v>
      </c>
      <c r="AB339" s="58" t="n">
        <f aca="false">MAX(0,C339-F339-I339)</f>
        <v>0</v>
      </c>
      <c r="AC339" s="58" t="n">
        <f aca="false">MAX(0,D339-G339-J339)</f>
        <v>0</v>
      </c>
      <c r="AD339" s="59" t="n">
        <f aca="false">E339+AA339*AQ339</f>
        <v>0</v>
      </c>
      <c r="AE339" s="59" t="n">
        <f aca="false">F339+AB339*AQ339</f>
        <v>0</v>
      </c>
      <c r="AF339" s="59" t="n">
        <f aca="false">G339+AC339*AQ339</f>
        <v>0</v>
      </c>
      <c r="AG339" s="59" t="n">
        <f aca="false">H339+I339+J339+(AA339+AB339+AC339)*(1-AQ339)</f>
        <v>0</v>
      </c>
      <c r="AH339" s="60" t="n">
        <f aca="false">AD339*P1_PVP+AE339*P2_PVP+AF339*IF($A339&lt;P3_DESDE,P3A_PVP,P3_PVP)</f>
        <v>0</v>
      </c>
      <c r="AI339" s="60" t="n">
        <f aca="false">AD339*P1_CPROD+AE339*P2_CPROD+AF339*IF($A339&lt;P3_DESDE,P3A_CPROD,P3_CPROD)</f>
        <v>0</v>
      </c>
      <c r="AJ339" s="60" t="n">
        <f aca="false">IF(ISNUMBER(L339),L339,E339*P1_LOG+F339*P2_LOG+G339*P3_LOG)+IF(ISNUMBER(M339),M339,AA339*P1_LOG+AB339*P2_LOG+AC339*P3_LOG)*AQ339</f>
        <v>0</v>
      </c>
      <c r="AK339" s="60" t="n">
        <f aca="false">AG339*COSTE_DEV</f>
        <v>0</v>
      </c>
      <c r="AL339" s="60" t="n">
        <f aca="false">AD339*P1_IVAN+AE339*P2_IVAN+AF339*IF($A339&lt;P3_DESDE,P3A_IVAN,P3_IVAN)-AG339*IVA_DEV</f>
        <v>0</v>
      </c>
      <c r="AM339" s="60" t="n">
        <f aca="false">N339*(1+RECARGO_ADS)</f>
        <v>0</v>
      </c>
      <c r="AN339" s="58" t="n">
        <f aca="false">IF(ISNUMBER(L339),E339+F339+G339+AA339+AB339+AC339,0)</f>
        <v>0</v>
      </c>
      <c r="AO339" s="60" t="n">
        <f aca="false">P339*COMISION</f>
        <v>0</v>
      </c>
      <c r="AP339" s="58" t="n">
        <f aca="false">MIN(N(K339),Q339)</f>
        <v>0</v>
      </c>
      <c r="AQ339" s="61" t="n">
        <f aca="false">IF(Q339&gt;0,((Q339-AP339)*AT339+AP339*TASA_INC)/Q339,AT339)</f>
        <v>0.659887072235414</v>
      </c>
      <c r="AR339" s="58" t="n">
        <f aca="false">IF($A339&lt;FECHA_EXPORT,NETWORKDAYS($A339+1,FECHA_EXPORT,FESTIVOS),0)</f>
        <v>0</v>
      </c>
      <c r="AS339" s="61" t="n">
        <f aca="false">IF(AR339&gt;=5,1,INDEX(CDF_INC,1,AR339+1))</f>
        <v>0.14</v>
      </c>
      <c r="AT339" s="61" t="n">
        <f aca="false">TASA_USADA+(TASA_INC-TASA_USADA)*Q_INC*(1-AS339)/(1-Q_INC*AS339)</f>
        <v>0.659887072235414</v>
      </c>
    </row>
    <row r="340" customFormat="false" ht="15" hidden="false" customHeight="false" outlineLevel="0" collapsed="false">
      <c r="A340" s="53" t="n">
        <v>46634</v>
      </c>
      <c r="B340" s="54"/>
      <c r="C340" s="54"/>
      <c r="D340" s="54"/>
      <c r="E340" s="54"/>
      <c r="F340" s="54"/>
      <c r="G340" s="54"/>
      <c r="H340" s="54"/>
      <c r="I340" s="54"/>
      <c r="J340" s="54"/>
      <c r="K340" s="54"/>
      <c r="L340" s="55"/>
      <c r="M340" s="55"/>
      <c r="N340" s="55"/>
      <c r="O340" s="56"/>
      <c r="P340" s="31" t="n">
        <f aca="false">B340+C340+D340</f>
        <v>0</v>
      </c>
      <c r="Q340" s="31" t="n">
        <f aca="false">AA340+AB340+AC340</f>
        <v>0</v>
      </c>
      <c r="R340" s="32" t="n">
        <f aca="false">B340*P1_PVP+C340*P2_PVP+D340*IF($A340&lt;P3_DESDE,P3A_PVP,P3_PVP)</f>
        <v>0</v>
      </c>
      <c r="S340" s="32" t="str">
        <f aca="false">IF(P340&gt;0,R340/P340,"")</f>
        <v/>
      </c>
      <c r="T340" s="32" t="str">
        <f aca="false">IF(P340&gt;0,N340/P340,"")</f>
        <v/>
      </c>
      <c r="U340" s="57" t="str">
        <f aca="false">IF(N340&gt;0,R340/N340,"")</f>
        <v/>
      </c>
      <c r="V340" s="34" t="str">
        <f aca="false">IF(E340+F340+G340+H340+I340+J340&gt;0,(E340+F340+G340)/(E340+F340+G340+H340+I340+J340),"")</f>
        <v/>
      </c>
      <c r="W340" s="33" t="n">
        <f aca="false">E340*(P1_PVP-P1_CPROD)+F340*(P2_PVP-P2_CPROD)+G340*(IF($A340&lt;P3_DESDE,P3A_PVP,P3_PVP)-IF($A340&lt;P3_DESDE,P3A_CPROD,P3_CPROD))-IF(ISNUMBER(L340),L340,E340*P1_LOG+F340*P2_LOG+G340*P3_LOG)</f>
        <v>0</v>
      </c>
      <c r="X340" s="33" t="n">
        <f aca="false">W340-(E340*P1_IVAN+F340*P2_IVAN+G340*IF($A340&lt;P3_DESDE,P3A_IVAN,P3_IVAN))-(H340+I340+J340)*(COSTE_DEV-IVA_DEV)-AM340-AO340</f>
        <v>0</v>
      </c>
      <c r="Y340" s="33" t="n">
        <f aca="false">AH340-AI340-AJ340-AK340-AL340-AM340-AO340</f>
        <v>0</v>
      </c>
      <c r="AA340" s="58" t="n">
        <f aca="false">MAX(0,B340-E340-H340)</f>
        <v>0</v>
      </c>
      <c r="AB340" s="58" t="n">
        <f aca="false">MAX(0,C340-F340-I340)</f>
        <v>0</v>
      </c>
      <c r="AC340" s="58" t="n">
        <f aca="false">MAX(0,D340-G340-J340)</f>
        <v>0</v>
      </c>
      <c r="AD340" s="59" t="n">
        <f aca="false">E340+AA340*AQ340</f>
        <v>0</v>
      </c>
      <c r="AE340" s="59" t="n">
        <f aca="false">F340+AB340*AQ340</f>
        <v>0</v>
      </c>
      <c r="AF340" s="59" t="n">
        <f aca="false">G340+AC340*AQ340</f>
        <v>0</v>
      </c>
      <c r="AG340" s="59" t="n">
        <f aca="false">H340+I340+J340+(AA340+AB340+AC340)*(1-AQ340)</f>
        <v>0</v>
      </c>
      <c r="AH340" s="60" t="n">
        <f aca="false">AD340*P1_PVP+AE340*P2_PVP+AF340*IF($A340&lt;P3_DESDE,P3A_PVP,P3_PVP)</f>
        <v>0</v>
      </c>
      <c r="AI340" s="60" t="n">
        <f aca="false">AD340*P1_CPROD+AE340*P2_CPROD+AF340*IF($A340&lt;P3_DESDE,P3A_CPROD,P3_CPROD)</f>
        <v>0</v>
      </c>
      <c r="AJ340" s="60" t="n">
        <f aca="false">IF(ISNUMBER(L340),L340,E340*P1_LOG+F340*P2_LOG+G340*P3_LOG)+IF(ISNUMBER(M340),M340,AA340*P1_LOG+AB340*P2_LOG+AC340*P3_LOG)*AQ340</f>
        <v>0</v>
      </c>
      <c r="AK340" s="60" t="n">
        <f aca="false">AG340*COSTE_DEV</f>
        <v>0</v>
      </c>
      <c r="AL340" s="60" t="n">
        <f aca="false">AD340*P1_IVAN+AE340*P2_IVAN+AF340*IF($A340&lt;P3_DESDE,P3A_IVAN,P3_IVAN)-AG340*IVA_DEV</f>
        <v>0</v>
      </c>
      <c r="AM340" s="60" t="n">
        <f aca="false">N340*(1+RECARGO_ADS)</f>
        <v>0</v>
      </c>
      <c r="AN340" s="58" t="n">
        <f aca="false">IF(ISNUMBER(L340),E340+F340+G340+AA340+AB340+AC340,0)</f>
        <v>0</v>
      </c>
      <c r="AO340" s="60" t="n">
        <f aca="false">P340*COMISION</f>
        <v>0</v>
      </c>
      <c r="AP340" s="58" t="n">
        <f aca="false">MIN(N(K340),Q340)</f>
        <v>0</v>
      </c>
      <c r="AQ340" s="61" t="n">
        <f aca="false">IF(Q340&gt;0,((Q340-AP340)*AT340+AP340*TASA_INC)/Q340,AT340)</f>
        <v>0.659887072235414</v>
      </c>
      <c r="AR340" s="58" t="n">
        <f aca="false">IF($A340&lt;FECHA_EXPORT,NETWORKDAYS($A340+1,FECHA_EXPORT,FESTIVOS),0)</f>
        <v>0</v>
      </c>
      <c r="AS340" s="61" t="n">
        <f aca="false">IF(AR340&gt;=5,1,INDEX(CDF_INC,1,AR340+1))</f>
        <v>0.14</v>
      </c>
      <c r="AT340" s="61" t="n">
        <f aca="false">TASA_USADA+(TASA_INC-TASA_USADA)*Q_INC*(1-AS340)/(1-Q_INC*AS340)</f>
        <v>0.659887072235414</v>
      </c>
    </row>
    <row r="341" customFormat="false" ht="15" hidden="false" customHeight="false" outlineLevel="0" collapsed="false">
      <c r="A341" s="53" t="n">
        <v>46635</v>
      </c>
      <c r="B341" s="54"/>
      <c r="C341" s="54"/>
      <c r="D341" s="54"/>
      <c r="E341" s="54"/>
      <c r="F341" s="54"/>
      <c r="G341" s="54"/>
      <c r="H341" s="54"/>
      <c r="I341" s="54"/>
      <c r="J341" s="54"/>
      <c r="K341" s="54"/>
      <c r="L341" s="55"/>
      <c r="M341" s="55"/>
      <c r="N341" s="55"/>
      <c r="O341" s="56"/>
      <c r="P341" s="31" t="n">
        <f aca="false">B341+C341+D341</f>
        <v>0</v>
      </c>
      <c r="Q341" s="31" t="n">
        <f aca="false">AA341+AB341+AC341</f>
        <v>0</v>
      </c>
      <c r="R341" s="32" t="n">
        <f aca="false">B341*P1_PVP+C341*P2_PVP+D341*IF($A341&lt;P3_DESDE,P3A_PVP,P3_PVP)</f>
        <v>0</v>
      </c>
      <c r="S341" s="32" t="str">
        <f aca="false">IF(P341&gt;0,R341/P341,"")</f>
        <v/>
      </c>
      <c r="T341" s="32" t="str">
        <f aca="false">IF(P341&gt;0,N341/P341,"")</f>
        <v/>
      </c>
      <c r="U341" s="57" t="str">
        <f aca="false">IF(N341&gt;0,R341/N341,"")</f>
        <v/>
      </c>
      <c r="V341" s="34" t="str">
        <f aca="false">IF(E341+F341+G341+H341+I341+J341&gt;0,(E341+F341+G341)/(E341+F341+G341+H341+I341+J341),"")</f>
        <v/>
      </c>
      <c r="W341" s="33" t="n">
        <f aca="false">E341*(P1_PVP-P1_CPROD)+F341*(P2_PVP-P2_CPROD)+G341*(IF($A341&lt;P3_DESDE,P3A_PVP,P3_PVP)-IF($A341&lt;P3_DESDE,P3A_CPROD,P3_CPROD))-IF(ISNUMBER(L341),L341,E341*P1_LOG+F341*P2_LOG+G341*P3_LOG)</f>
        <v>0</v>
      </c>
      <c r="X341" s="33" t="n">
        <f aca="false">W341-(E341*P1_IVAN+F341*P2_IVAN+G341*IF($A341&lt;P3_DESDE,P3A_IVAN,P3_IVAN))-(H341+I341+J341)*(COSTE_DEV-IVA_DEV)-AM341-AO341</f>
        <v>0</v>
      </c>
      <c r="Y341" s="33" t="n">
        <f aca="false">AH341-AI341-AJ341-AK341-AL341-AM341-AO341</f>
        <v>0</v>
      </c>
      <c r="AA341" s="58" t="n">
        <f aca="false">MAX(0,B341-E341-H341)</f>
        <v>0</v>
      </c>
      <c r="AB341" s="58" t="n">
        <f aca="false">MAX(0,C341-F341-I341)</f>
        <v>0</v>
      </c>
      <c r="AC341" s="58" t="n">
        <f aca="false">MAX(0,D341-G341-J341)</f>
        <v>0</v>
      </c>
      <c r="AD341" s="59" t="n">
        <f aca="false">E341+AA341*AQ341</f>
        <v>0</v>
      </c>
      <c r="AE341" s="59" t="n">
        <f aca="false">F341+AB341*AQ341</f>
        <v>0</v>
      </c>
      <c r="AF341" s="59" t="n">
        <f aca="false">G341+AC341*AQ341</f>
        <v>0</v>
      </c>
      <c r="AG341" s="59" t="n">
        <f aca="false">H341+I341+J341+(AA341+AB341+AC341)*(1-AQ341)</f>
        <v>0</v>
      </c>
      <c r="AH341" s="60" t="n">
        <f aca="false">AD341*P1_PVP+AE341*P2_PVP+AF341*IF($A341&lt;P3_DESDE,P3A_PVP,P3_PVP)</f>
        <v>0</v>
      </c>
      <c r="AI341" s="60" t="n">
        <f aca="false">AD341*P1_CPROD+AE341*P2_CPROD+AF341*IF($A341&lt;P3_DESDE,P3A_CPROD,P3_CPROD)</f>
        <v>0</v>
      </c>
      <c r="AJ341" s="60" t="n">
        <f aca="false">IF(ISNUMBER(L341),L341,E341*P1_LOG+F341*P2_LOG+G341*P3_LOG)+IF(ISNUMBER(M341),M341,AA341*P1_LOG+AB341*P2_LOG+AC341*P3_LOG)*AQ341</f>
        <v>0</v>
      </c>
      <c r="AK341" s="60" t="n">
        <f aca="false">AG341*COSTE_DEV</f>
        <v>0</v>
      </c>
      <c r="AL341" s="60" t="n">
        <f aca="false">AD341*P1_IVAN+AE341*P2_IVAN+AF341*IF($A341&lt;P3_DESDE,P3A_IVAN,P3_IVAN)-AG341*IVA_DEV</f>
        <v>0</v>
      </c>
      <c r="AM341" s="60" t="n">
        <f aca="false">N341*(1+RECARGO_ADS)</f>
        <v>0</v>
      </c>
      <c r="AN341" s="58" t="n">
        <f aca="false">IF(ISNUMBER(L341),E341+F341+G341+AA341+AB341+AC341,0)</f>
        <v>0</v>
      </c>
      <c r="AO341" s="60" t="n">
        <f aca="false">P341*COMISION</f>
        <v>0</v>
      </c>
      <c r="AP341" s="58" t="n">
        <f aca="false">MIN(N(K341),Q341)</f>
        <v>0</v>
      </c>
      <c r="AQ341" s="61" t="n">
        <f aca="false">IF(Q341&gt;0,((Q341-AP341)*AT341+AP341*TASA_INC)/Q341,AT341)</f>
        <v>0.659887072235414</v>
      </c>
      <c r="AR341" s="58" t="n">
        <f aca="false">IF($A341&lt;FECHA_EXPORT,NETWORKDAYS($A341+1,FECHA_EXPORT,FESTIVOS),0)</f>
        <v>0</v>
      </c>
      <c r="AS341" s="61" t="n">
        <f aca="false">IF(AR341&gt;=5,1,INDEX(CDF_INC,1,AR341+1))</f>
        <v>0.14</v>
      </c>
      <c r="AT341" s="61" t="n">
        <f aca="false">TASA_USADA+(TASA_INC-TASA_USADA)*Q_INC*(1-AS341)/(1-Q_INC*AS341)</f>
        <v>0.659887072235414</v>
      </c>
    </row>
    <row r="342" customFormat="false" ht="15" hidden="false" customHeight="false" outlineLevel="0" collapsed="false">
      <c r="A342" s="53" t="n">
        <v>46636</v>
      </c>
      <c r="B342" s="54"/>
      <c r="C342" s="54"/>
      <c r="D342" s="54"/>
      <c r="E342" s="54"/>
      <c r="F342" s="54"/>
      <c r="G342" s="54"/>
      <c r="H342" s="54"/>
      <c r="I342" s="54"/>
      <c r="J342" s="54"/>
      <c r="K342" s="54"/>
      <c r="L342" s="55"/>
      <c r="M342" s="55"/>
      <c r="N342" s="55"/>
      <c r="O342" s="56"/>
      <c r="P342" s="31" t="n">
        <f aca="false">B342+C342+D342</f>
        <v>0</v>
      </c>
      <c r="Q342" s="31" t="n">
        <f aca="false">AA342+AB342+AC342</f>
        <v>0</v>
      </c>
      <c r="R342" s="32" t="n">
        <f aca="false">B342*P1_PVP+C342*P2_PVP+D342*IF($A342&lt;P3_DESDE,P3A_PVP,P3_PVP)</f>
        <v>0</v>
      </c>
      <c r="S342" s="32" t="str">
        <f aca="false">IF(P342&gt;0,R342/P342,"")</f>
        <v/>
      </c>
      <c r="T342" s="32" t="str">
        <f aca="false">IF(P342&gt;0,N342/P342,"")</f>
        <v/>
      </c>
      <c r="U342" s="57" t="str">
        <f aca="false">IF(N342&gt;0,R342/N342,"")</f>
        <v/>
      </c>
      <c r="V342" s="34" t="str">
        <f aca="false">IF(E342+F342+G342+H342+I342+J342&gt;0,(E342+F342+G342)/(E342+F342+G342+H342+I342+J342),"")</f>
        <v/>
      </c>
      <c r="W342" s="33" t="n">
        <f aca="false">E342*(P1_PVP-P1_CPROD)+F342*(P2_PVP-P2_CPROD)+G342*(IF($A342&lt;P3_DESDE,P3A_PVP,P3_PVP)-IF($A342&lt;P3_DESDE,P3A_CPROD,P3_CPROD))-IF(ISNUMBER(L342),L342,E342*P1_LOG+F342*P2_LOG+G342*P3_LOG)</f>
        <v>0</v>
      </c>
      <c r="X342" s="33" t="n">
        <f aca="false">W342-(E342*P1_IVAN+F342*P2_IVAN+G342*IF($A342&lt;P3_DESDE,P3A_IVAN,P3_IVAN))-(H342+I342+J342)*(COSTE_DEV-IVA_DEV)-AM342-AO342</f>
        <v>0</v>
      </c>
      <c r="Y342" s="33" t="n">
        <f aca="false">AH342-AI342-AJ342-AK342-AL342-AM342-AO342</f>
        <v>0</v>
      </c>
      <c r="AA342" s="58" t="n">
        <f aca="false">MAX(0,B342-E342-H342)</f>
        <v>0</v>
      </c>
      <c r="AB342" s="58" t="n">
        <f aca="false">MAX(0,C342-F342-I342)</f>
        <v>0</v>
      </c>
      <c r="AC342" s="58" t="n">
        <f aca="false">MAX(0,D342-G342-J342)</f>
        <v>0</v>
      </c>
      <c r="AD342" s="59" t="n">
        <f aca="false">E342+AA342*AQ342</f>
        <v>0</v>
      </c>
      <c r="AE342" s="59" t="n">
        <f aca="false">F342+AB342*AQ342</f>
        <v>0</v>
      </c>
      <c r="AF342" s="59" t="n">
        <f aca="false">G342+AC342*AQ342</f>
        <v>0</v>
      </c>
      <c r="AG342" s="59" t="n">
        <f aca="false">H342+I342+J342+(AA342+AB342+AC342)*(1-AQ342)</f>
        <v>0</v>
      </c>
      <c r="AH342" s="60" t="n">
        <f aca="false">AD342*P1_PVP+AE342*P2_PVP+AF342*IF($A342&lt;P3_DESDE,P3A_PVP,P3_PVP)</f>
        <v>0</v>
      </c>
      <c r="AI342" s="60" t="n">
        <f aca="false">AD342*P1_CPROD+AE342*P2_CPROD+AF342*IF($A342&lt;P3_DESDE,P3A_CPROD,P3_CPROD)</f>
        <v>0</v>
      </c>
      <c r="AJ342" s="60" t="n">
        <f aca="false">IF(ISNUMBER(L342),L342,E342*P1_LOG+F342*P2_LOG+G342*P3_LOG)+IF(ISNUMBER(M342),M342,AA342*P1_LOG+AB342*P2_LOG+AC342*P3_LOG)*AQ342</f>
        <v>0</v>
      </c>
      <c r="AK342" s="60" t="n">
        <f aca="false">AG342*COSTE_DEV</f>
        <v>0</v>
      </c>
      <c r="AL342" s="60" t="n">
        <f aca="false">AD342*P1_IVAN+AE342*P2_IVAN+AF342*IF($A342&lt;P3_DESDE,P3A_IVAN,P3_IVAN)-AG342*IVA_DEV</f>
        <v>0</v>
      </c>
      <c r="AM342" s="60" t="n">
        <f aca="false">N342*(1+RECARGO_ADS)</f>
        <v>0</v>
      </c>
      <c r="AN342" s="58" t="n">
        <f aca="false">IF(ISNUMBER(L342),E342+F342+G342+AA342+AB342+AC342,0)</f>
        <v>0</v>
      </c>
      <c r="AO342" s="60" t="n">
        <f aca="false">P342*COMISION</f>
        <v>0</v>
      </c>
      <c r="AP342" s="58" t="n">
        <f aca="false">MIN(N(K342),Q342)</f>
        <v>0</v>
      </c>
      <c r="AQ342" s="61" t="n">
        <f aca="false">IF(Q342&gt;0,((Q342-AP342)*AT342+AP342*TASA_INC)/Q342,AT342)</f>
        <v>0.659887072235414</v>
      </c>
      <c r="AR342" s="58" t="n">
        <f aca="false">IF($A342&lt;FECHA_EXPORT,NETWORKDAYS($A342+1,FECHA_EXPORT,FESTIVOS),0)</f>
        <v>0</v>
      </c>
      <c r="AS342" s="61" t="n">
        <f aca="false">IF(AR342&gt;=5,1,INDEX(CDF_INC,1,AR342+1))</f>
        <v>0.14</v>
      </c>
      <c r="AT342" s="61" t="n">
        <f aca="false">TASA_USADA+(TASA_INC-TASA_USADA)*Q_INC*(1-AS342)/(1-Q_INC*AS342)</f>
        <v>0.659887072235414</v>
      </c>
    </row>
    <row r="343" customFormat="false" ht="15" hidden="false" customHeight="false" outlineLevel="0" collapsed="false">
      <c r="A343" s="53" t="n">
        <v>46637</v>
      </c>
      <c r="B343" s="54"/>
      <c r="C343" s="54"/>
      <c r="D343" s="54"/>
      <c r="E343" s="54"/>
      <c r="F343" s="54"/>
      <c r="G343" s="54"/>
      <c r="H343" s="54"/>
      <c r="I343" s="54"/>
      <c r="J343" s="54"/>
      <c r="K343" s="54"/>
      <c r="L343" s="55"/>
      <c r="M343" s="55"/>
      <c r="N343" s="55"/>
      <c r="O343" s="56"/>
      <c r="P343" s="31" t="n">
        <f aca="false">B343+C343+D343</f>
        <v>0</v>
      </c>
      <c r="Q343" s="31" t="n">
        <f aca="false">AA343+AB343+AC343</f>
        <v>0</v>
      </c>
      <c r="R343" s="32" t="n">
        <f aca="false">B343*P1_PVP+C343*P2_PVP+D343*IF($A343&lt;P3_DESDE,P3A_PVP,P3_PVP)</f>
        <v>0</v>
      </c>
      <c r="S343" s="32" t="str">
        <f aca="false">IF(P343&gt;0,R343/P343,"")</f>
        <v/>
      </c>
      <c r="T343" s="32" t="str">
        <f aca="false">IF(P343&gt;0,N343/P343,"")</f>
        <v/>
      </c>
      <c r="U343" s="57" t="str">
        <f aca="false">IF(N343&gt;0,R343/N343,"")</f>
        <v/>
      </c>
      <c r="V343" s="34" t="str">
        <f aca="false">IF(E343+F343+G343+H343+I343+J343&gt;0,(E343+F343+G343)/(E343+F343+G343+H343+I343+J343),"")</f>
        <v/>
      </c>
      <c r="W343" s="33" t="n">
        <f aca="false">E343*(P1_PVP-P1_CPROD)+F343*(P2_PVP-P2_CPROD)+G343*(IF($A343&lt;P3_DESDE,P3A_PVP,P3_PVP)-IF($A343&lt;P3_DESDE,P3A_CPROD,P3_CPROD))-IF(ISNUMBER(L343),L343,E343*P1_LOG+F343*P2_LOG+G343*P3_LOG)</f>
        <v>0</v>
      </c>
      <c r="X343" s="33" t="n">
        <f aca="false">W343-(E343*P1_IVAN+F343*P2_IVAN+G343*IF($A343&lt;P3_DESDE,P3A_IVAN,P3_IVAN))-(H343+I343+J343)*(COSTE_DEV-IVA_DEV)-AM343-AO343</f>
        <v>0</v>
      </c>
      <c r="Y343" s="33" t="n">
        <f aca="false">AH343-AI343-AJ343-AK343-AL343-AM343-AO343</f>
        <v>0</v>
      </c>
      <c r="AA343" s="58" t="n">
        <f aca="false">MAX(0,B343-E343-H343)</f>
        <v>0</v>
      </c>
      <c r="AB343" s="58" t="n">
        <f aca="false">MAX(0,C343-F343-I343)</f>
        <v>0</v>
      </c>
      <c r="AC343" s="58" t="n">
        <f aca="false">MAX(0,D343-G343-J343)</f>
        <v>0</v>
      </c>
      <c r="AD343" s="59" t="n">
        <f aca="false">E343+AA343*AQ343</f>
        <v>0</v>
      </c>
      <c r="AE343" s="59" t="n">
        <f aca="false">F343+AB343*AQ343</f>
        <v>0</v>
      </c>
      <c r="AF343" s="59" t="n">
        <f aca="false">G343+AC343*AQ343</f>
        <v>0</v>
      </c>
      <c r="AG343" s="59" t="n">
        <f aca="false">H343+I343+J343+(AA343+AB343+AC343)*(1-AQ343)</f>
        <v>0</v>
      </c>
      <c r="AH343" s="60" t="n">
        <f aca="false">AD343*P1_PVP+AE343*P2_PVP+AF343*IF($A343&lt;P3_DESDE,P3A_PVP,P3_PVP)</f>
        <v>0</v>
      </c>
      <c r="AI343" s="60" t="n">
        <f aca="false">AD343*P1_CPROD+AE343*P2_CPROD+AF343*IF($A343&lt;P3_DESDE,P3A_CPROD,P3_CPROD)</f>
        <v>0</v>
      </c>
      <c r="AJ343" s="60" t="n">
        <f aca="false">IF(ISNUMBER(L343),L343,E343*P1_LOG+F343*P2_LOG+G343*P3_LOG)+IF(ISNUMBER(M343),M343,AA343*P1_LOG+AB343*P2_LOG+AC343*P3_LOG)*AQ343</f>
        <v>0</v>
      </c>
      <c r="AK343" s="60" t="n">
        <f aca="false">AG343*COSTE_DEV</f>
        <v>0</v>
      </c>
      <c r="AL343" s="60" t="n">
        <f aca="false">AD343*P1_IVAN+AE343*P2_IVAN+AF343*IF($A343&lt;P3_DESDE,P3A_IVAN,P3_IVAN)-AG343*IVA_DEV</f>
        <v>0</v>
      </c>
      <c r="AM343" s="60" t="n">
        <f aca="false">N343*(1+RECARGO_ADS)</f>
        <v>0</v>
      </c>
      <c r="AN343" s="58" t="n">
        <f aca="false">IF(ISNUMBER(L343),E343+F343+G343+AA343+AB343+AC343,0)</f>
        <v>0</v>
      </c>
      <c r="AO343" s="60" t="n">
        <f aca="false">P343*COMISION</f>
        <v>0</v>
      </c>
      <c r="AP343" s="58" t="n">
        <f aca="false">MIN(N(K343),Q343)</f>
        <v>0</v>
      </c>
      <c r="AQ343" s="61" t="n">
        <f aca="false">IF(Q343&gt;0,((Q343-AP343)*AT343+AP343*TASA_INC)/Q343,AT343)</f>
        <v>0.659887072235414</v>
      </c>
      <c r="AR343" s="58" t="n">
        <f aca="false">IF($A343&lt;FECHA_EXPORT,NETWORKDAYS($A343+1,FECHA_EXPORT,FESTIVOS),0)</f>
        <v>0</v>
      </c>
      <c r="AS343" s="61" t="n">
        <f aca="false">IF(AR343&gt;=5,1,INDEX(CDF_INC,1,AR343+1))</f>
        <v>0.14</v>
      </c>
      <c r="AT343" s="61" t="n">
        <f aca="false">TASA_USADA+(TASA_INC-TASA_USADA)*Q_INC*(1-AS343)/(1-Q_INC*AS343)</f>
        <v>0.659887072235414</v>
      </c>
    </row>
    <row r="344" customFormat="false" ht="15" hidden="false" customHeight="false" outlineLevel="0" collapsed="false">
      <c r="A344" s="53" t="n">
        <v>46638</v>
      </c>
      <c r="B344" s="54"/>
      <c r="C344" s="54"/>
      <c r="D344" s="54"/>
      <c r="E344" s="54"/>
      <c r="F344" s="54"/>
      <c r="G344" s="54"/>
      <c r="H344" s="54"/>
      <c r="I344" s="54"/>
      <c r="J344" s="54"/>
      <c r="K344" s="54"/>
      <c r="L344" s="55"/>
      <c r="M344" s="55"/>
      <c r="N344" s="55"/>
      <c r="O344" s="56"/>
      <c r="P344" s="31" t="n">
        <f aca="false">B344+C344+D344</f>
        <v>0</v>
      </c>
      <c r="Q344" s="31" t="n">
        <f aca="false">AA344+AB344+AC344</f>
        <v>0</v>
      </c>
      <c r="R344" s="32" t="n">
        <f aca="false">B344*P1_PVP+C344*P2_PVP+D344*IF($A344&lt;P3_DESDE,P3A_PVP,P3_PVP)</f>
        <v>0</v>
      </c>
      <c r="S344" s="32" t="str">
        <f aca="false">IF(P344&gt;0,R344/P344,"")</f>
        <v/>
      </c>
      <c r="T344" s="32" t="str">
        <f aca="false">IF(P344&gt;0,N344/P344,"")</f>
        <v/>
      </c>
      <c r="U344" s="57" t="str">
        <f aca="false">IF(N344&gt;0,R344/N344,"")</f>
        <v/>
      </c>
      <c r="V344" s="34" t="str">
        <f aca="false">IF(E344+F344+G344+H344+I344+J344&gt;0,(E344+F344+G344)/(E344+F344+G344+H344+I344+J344),"")</f>
        <v/>
      </c>
      <c r="W344" s="33" t="n">
        <f aca="false">E344*(P1_PVP-P1_CPROD)+F344*(P2_PVP-P2_CPROD)+G344*(IF($A344&lt;P3_DESDE,P3A_PVP,P3_PVP)-IF($A344&lt;P3_DESDE,P3A_CPROD,P3_CPROD))-IF(ISNUMBER(L344),L344,E344*P1_LOG+F344*P2_LOG+G344*P3_LOG)</f>
        <v>0</v>
      </c>
      <c r="X344" s="33" t="n">
        <f aca="false">W344-(E344*P1_IVAN+F344*P2_IVAN+G344*IF($A344&lt;P3_DESDE,P3A_IVAN,P3_IVAN))-(H344+I344+J344)*(COSTE_DEV-IVA_DEV)-AM344-AO344</f>
        <v>0</v>
      </c>
      <c r="Y344" s="33" t="n">
        <f aca="false">AH344-AI344-AJ344-AK344-AL344-AM344-AO344</f>
        <v>0</v>
      </c>
      <c r="AA344" s="58" t="n">
        <f aca="false">MAX(0,B344-E344-H344)</f>
        <v>0</v>
      </c>
      <c r="AB344" s="58" t="n">
        <f aca="false">MAX(0,C344-F344-I344)</f>
        <v>0</v>
      </c>
      <c r="AC344" s="58" t="n">
        <f aca="false">MAX(0,D344-G344-J344)</f>
        <v>0</v>
      </c>
      <c r="AD344" s="59" t="n">
        <f aca="false">E344+AA344*AQ344</f>
        <v>0</v>
      </c>
      <c r="AE344" s="59" t="n">
        <f aca="false">F344+AB344*AQ344</f>
        <v>0</v>
      </c>
      <c r="AF344" s="59" t="n">
        <f aca="false">G344+AC344*AQ344</f>
        <v>0</v>
      </c>
      <c r="AG344" s="59" t="n">
        <f aca="false">H344+I344+J344+(AA344+AB344+AC344)*(1-AQ344)</f>
        <v>0</v>
      </c>
      <c r="AH344" s="60" t="n">
        <f aca="false">AD344*P1_PVP+AE344*P2_PVP+AF344*IF($A344&lt;P3_DESDE,P3A_PVP,P3_PVP)</f>
        <v>0</v>
      </c>
      <c r="AI344" s="60" t="n">
        <f aca="false">AD344*P1_CPROD+AE344*P2_CPROD+AF344*IF($A344&lt;P3_DESDE,P3A_CPROD,P3_CPROD)</f>
        <v>0</v>
      </c>
      <c r="AJ344" s="60" t="n">
        <f aca="false">IF(ISNUMBER(L344),L344,E344*P1_LOG+F344*P2_LOG+G344*P3_LOG)+IF(ISNUMBER(M344),M344,AA344*P1_LOG+AB344*P2_LOG+AC344*P3_LOG)*AQ344</f>
        <v>0</v>
      </c>
      <c r="AK344" s="60" t="n">
        <f aca="false">AG344*COSTE_DEV</f>
        <v>0</v>
      </c>
      <c r="AL344" s="60" t="n">
        <f aca="false">AD344*P1_IVAN+AE344*P2_IVAN+AF344*IF($A344&lt;P3_DESDE,P3A_IVAN,P3_IVAN)-AG344*IVA_DEV</f>
        <v>0</v>
      </c>
      <c r="AM344" s="60" t="n">
        <f aca="false">N344*(1+RECARGO_ADS)</f>
        <v>0</v>
      </c>
      <c r="AN344" s="58" t="n">
        <f aca="false">IF(ISNUMBER(L344),E344+F344+G344+AA344+AB344+AC344,0)</f>
        <v>0</v>
      </c>
      <c r="AO344" s="60" t="n">
        <f aca="false">P344*COMISION</f>
        <v>0</v>
      </c>
      <c r="AP344" s="58" t="n">
        <f aca="false">MIN(N(K344),Q344)</f>
        <v>0</v>
      </c>
      <c r="AQ344" s="61" t="n">
        <f aca="false">IF(Q344&gt;0,((Q344-AP344)*AT344+AP344*TASA_INC)/Q344,AT344)</f>
        <v>0.659887072235414</v>
      </c>
      <c r="AR344" s="58" t="n">
        <f aca="false">IF($A344&lt;FECHA_EXPORT,NETWORKDAYS($A344+1,FECHA_EXPORT,FESTIVOS),0)</f>
        <v>0</v>
      </c>
      <c r="AS344" s="61" t="n">
        <f aca="false">IF(AR344&gt;=5,1,INDEX(CDF_INC,1,AR344+1))</f>
        <v>0.14</v>
      </c>
      <c r="AT344" s="61" t="n">
        <f aca="false">TASA_USADA+(TASA_INC-TASA_USADA)*Q_INC*(1-AS344)/(1-Q_INC*AS344)</f>
        <v>0.659887072235414</v>
      </c>
    </row>
    <row r="345" customFormat="false" ht="15" hidden="false" customHeight="false" outlineLevel="0" collapsed="false">
      <c r="A345" s="53" t="n">
        <v>46639</v>
      </c>
      <c r="B345" s="54"/>
      <c r="C345" s="54"/>
      <c r="D345" s="54"/>
      <c r="E345" s="54"/>
      <c r="F345" s="54"/>
      <c r="G345" s="54"/>
      <c r="H345" s="54"/>
      <c r="I345" s="54"/>
      <c r="J345" s="54"/>
      <c r="K345" s="54"/>
      <c r="L345" s="55"/>
      <c r="M345" s="55"/>
      <c r="N345" s="55"/>
      <c r="O345" s="56"/>
      <c r="P345" s="31" t="n">
        <f aca="false">B345+C345+D345</f>
        <v>0</v>
      </c>
      <c r="Q345" s="31" t="n">
        <f aca="false">AA345+AB345+AC345</f>
        <v>0</v>
      </c>
      <c r="R345" s="32" t="n">
        <f aca="false">B345*P1_PVP+C345*P2_PVP+D345*IF($A345&lt;P3_DESDE,P3A_PVP,P3_PVP)</f>
        <v>0</v>
      </c>
      <c r="S345" s="32" t="str">
        <f aca="false">IF(P345&gt;0,R345/P345,"")</f>
        <v/>
      </c>
      <c r="T345" s="32" t="str">
        <f aca="false">IF(P345&gt;0,N345/P345,"")</f>
        <v/>
      </c>
      <c r="U345" s="57" t="str">
        <f aca="false">IF(N345&gt;0,R345/N345,"")</f>
        <v/>
      </c>
      <c r="V345" s="34" t="str">
        <f aca="false">IF(E345+F345+G345+H345+I345+J345&gt;0,(E345+F345+G345)/(E345+F345+G345+H345+I345+J345),"")</f>
        <v/>
      </c>
      <c r="W345" s="33" t="n">
        <f aca="false">E345*(P1_PVP-P1_CPROD)+F345*(P2_PVP-P2_CPROD)+G345*(IF($A345&lt;P3_DESDE,P3A_PVP,P3_PVP)-IF($A345&lt;P3_DESDE,P3A_CPROD,P3_CPROD))-IF(ISNUMBER(L345),L345,E345*P1_LOG+F345*P2_LOG+G345*P3_LOG)</f>
        <v>0</v>
      </c>
      <c r="X345" s="33" t="n">
        <f aca="false">W345-(E345*P1_IVAN+F345*P2_IVAN+G345*IF($A345&lt;P3_DESDE,P3A_IVAN,P3_IVAN))-(H345+I345+J345)*(COSTE_DEV-IVA_DEV)-AM345-AO345</f>
        <v>0</v>
      </c>
      <c r="Y345" s="33" t="n">
        <f aca="false">AH345-AI345-AJ345-AK345-AL345-AM345-AO345</f>
        <v>0</v>
      </c>
      <c r="AA345" s="58" t="n">
        <f aca="false">MAX(0,B345-E345-H345)</f>
        <v>0</v>
      </c>
      <c r="AB345" s="58" t="n">
        <f aca="false">MAX(0,C345-F345-I345)</f>
        <v>0</v>
      </c>
      <c r="AC345" s="58" t="n">
        <f aca="false">MAX(0,D345-G345-J345)</f>
        <v>0</v>
      </c>
      <c r="AD345" s="59" t="n">
        <f aca="false">E345+AA345*AQ345</f>
        <v>0</v>
      </c>
      <c r="AE345" s="59" t="n">
        <f aca="false">F345+AB345*AQ345</f>
        <v>0</v>
      </c>
      <c r="AF345" s="59" t="n">
        <f aca="false">G345+AC345*AQ345</f>
        <v>0</v>
      </c>
      <c r="AG345" s="59" t="n">
        <f aca="false">H345+I345+J345+(AA345+AB345+AC345)*(1-AQ345)</f>
        <v>0</v>
      </c>
      <c r="AH345" s="60" t="n">
        <f aca="false">AD345*P1_PVP+AE345*P2_PVP+AF345*IF($A345&lt;P3_DESDE,P3A_PVP,P3_PVP)</f>
        <v>0</v>
      </c>
      <c r="AI345" s="60" t="n">
        <f aca="false">AD345*P1_CPROD+AE345*P2_CPROD+AF345*IF($A345&lt;P3_DESDE,P3A_CPROD,P3_CPROD)</f>
        <v>0</v>
      </c>
      <c r="AJ345" s="60" t="n">
        <f aca="false">IF(ISNUMBER(L345),L345,E345*P1_LOG+F345*P2_LOG+G345*P3_LOG)+IF(ISNUMBER(M345),M345,AA345*P1_LOG+AB345*P2_LOG+AC345*P3_LOG)*AQ345</f>
        <v>0</v>
      </c>
      <c r="AK345" s="60" t="n">
        <f aca="false">AG345*COSTE_DEV</f>
        <v>0</v>
      </c>
      <c r="AL345" s="60" t="n">
        <f aca="false">AD345*P1_IVAN+AE345*P2_IVAN+AF345*IF($A345&lt;P3_DESDE,P3A_IVAN,P3_IVAN)-AG345*IVA_DEV</f>
        <v>0</v>
      </c>
      <c r="AM345" s="60" t="n">
        <f aca="false">N345*(1+RECARGO_ADS)</f>
        <v>0</v>
      </c>
      <c r="AN345" s="58" t="n">
        <f aca="false">IF(ISNUMBER(L345),E345+F345+G345+AA345+AB345+AC345,0)</f>
        <v>0</v>
      </c>
      <c r="AO345" s="60" t="n">
        <f aca="false">P345*COMISION</f>
        <v>0</v>
      </c>
      <c r="AP345" s="58" t="n">
        <f aca="false">MIN(N(K345),Q345)</f>
        <v>0</v>
      </c>
      <c r="AQ345" s="61" t="n">
        <f aca="false">IF(Q345&gt;0,((Q345-AP345)*AT345+AP345*TASA_INC)/Q345,AT345)</f>
        <v>0.659887072235414</v>
      </c>
      <c r="AR345" s="58" t="n">
        <f aca="false">IF($A345&lt;FECHA_EXPORT,NETWORKDAYS($A345+1,FECHA_EXPORT,FESTIVOS),0)</f>
        <v>0</v>
      </c>
      <c r="AS345" s="61" t="n">
        <f aca="false">IF(AR345&gt;=5,1,INDEX(CDF_INC,1,AR345+1))</f>
        <v>0.14</v>
      </c>
      <c r="AT345" s="61" t="n">
        <f aca="false">TASA_USADA+(TASA_INC-TASA_USADA)*Q_INC*(1-AS345)/(1-Q_INC*AS345)</f>
        <v>0.659887072235414</v>
      </c>
    </row>
    <row r="346" customFormat="false" ht="15" hidden="false" customHeight="false" outlineLevel="0" collapsed="false">
      <c r="A346" s="53" t="n">
        <v>46640</v>
      </c>
      <c r="B346" s="54"/>
      <c r="C346" s="54"/>
      <c r="D346" s="54"/>
      <c r="E346" s="54"/>
      <c r="F346" s="54"/>
      <c r="G346" s="54"/>
      <c r="H346" s="54"/>
      <c r="I346" s="54"/>
      <c r="J346" s="54"/>
      <c r="K346" s="54"/>
      <c r="L346" s="55"/>
      <c r="M346" s="55"/>
      <c r="N346" s="55"/>
      <c r="O346" s="56"/>
      <c r="P346" s="31" t="n">
        <f aca="false">B346+C346+D346</f>
        <v>0</v>
      </c>
      <c r="Q346" s="31" t="n">
        <f aca="false">AA346+AB346+AC346</f>
        <v>0</v>
      </c>
      <c r="R346" s="32" t="n">
        <f aca="false">B346*P1_PVP+C346*P2_PVP+D346*IF($A346&lt;P3_DESDE,P3A_PVP,P3_PVP)</f>
        <v>0</v>
      </c>
      <c r="S346" s="32" t="str">
        <f aca="false">IF(P346&gt;0,R346/P346,"")</f>
        <v/>
      </c>
      <c r="T346" s="32" t="str">
        <f aca="false">IF(P346&gt;0,N346/P346,"")</f>
        <v/>
      </c>
      <c r="U346" s="57" t="str">
        <f aca="false">IF(N346&gt;0,R346/N346,"")</f>
        <v/>
      </c>
      <c r="V346" s="34" t="str">
        <f aca="false">IF(E346+F346+G346+H346+I346+J346&gt;0,(E346+F346+G346)/(E346+F346+G346+H346+I346+J346),"")</f>
        <v/>
      </c>
      <c r="W346" s="33" t="n">
        <f aca="false">E346*(P1_PVP-P1_CPROD)+F346*(P2_PVP-P2_CPROD)+G346*(IF($A346&lt;P3_DESDE,P3A_PVP,P3_PVP)-IF($A346&lt;P3_DESDE,P3A_CPROD,P3_CPROD))-IF(ISNUMBER(L346),L346,E346*P1_LOG+F346*P2_LOG+G346*P3_LOG)</f>
        <v>0</v>
      </c>
      <c r="X346" s="33" t="n">
        <f aca="false">W346-(E346*P1_IVAN+F346*P2_IVAN+G346*IF($A346&lt;P3_DESDE,P3A_IVAN,P3_IVAN))-(H346+I346+J346)*(COSTE_DEV-IVA_DEV)-AM346-AO346</f>
        <v>0</v>
      </c>
      <c r="Y346" s="33" t="n">
        <f aca="false">AH346-AI346-AJ346-AK346-AL346-AM346-AO346</f>
        <v>0</v>
      </c>
      <c r="AA346" s="58" t="n">
        <f aca="false">MAX(0,B346-E346-H346)</f>
        <v>0</v>
      </c>
      <c r="AB346" s="58" t="n">
        <f aca="false">MAX(0,C346-F346-I346)</f>
        <v>0</v>
      </c>
      <c r="AC346" s="58" t="n">
        <f aca="false">MAX(0,D346-G346-J346)</f>
        <v>0</v>
      </c>
      <c r="AD346" s="59" t="n">
        <f aca="false">E346+AA346*AQ346</f>
        <v>0</v>
      </c>
      <c r="AE346" s="59" t="n">
        <f aca="false">F346+AB346*AQ346</f>
        <v>0</v>
      </c>
      <c r="AF346" s="59" t="n">
        <f aca="false">G346+AC346*AQ346</f>
        <v>0</v>
      </c>
      <c r="AG346" s="59" t="n">
        <f aca="false">H346+I346+J346+(AA346+AB346+AC346)*(1-AQ346)</f>
        <v>0</v>
      </c>
      <c r="AH346" s="60" t="n">
        <f aca="false">AD346*P1_PVP+AE346*P2_PVP+AF346*IF($A346&lt;P3_DESDE,P3A_PVP,P3_PVP)</f>
        <v>0</v>
      </c>
      <c r="AI346" s="60" t="n">
        <f aca="false">AD346*P1_CPROD+AE346*P2_CPROD+AF346*IF($A346&lt;P3_DESDE,P3A_CPROD,P3_CPROD)</f>
        <v>0</v>
      </c>
      <c r="AJ346" s="60" t="n">
        <f aca="false">IF(ISNUMBER(L346),L346,E346*P1_LOG+F346*P2_LOG+G346*P3_LOG)+IF(ISNUMBER(M346),M346,AA346*P1_LOG+AB346*P2_LOG+AC346*P3_LOG)*AQ346</f>
        <v>0</v>
      </c>
      <c r="AK346" s="60" t="n">
        <f aca="false">AG346*COSTE_DEV</f>
        <v>0</v>
      </c>
      <c r="AL346" s="60" t="n">
        <f aca="false">AD346*P1_IVAN+AE346*P2_IVAN+AF346*IF($A346&lt;P3_DESDE,P3A_IVAN,P3_IVAN)-AG346*IVA_DEV</f>
        <v>0</v>
      </c>
      <c r="AM346" s="60" t="n">
        <f aca="false">N346*(1+RECARGO_ADS)</f>
        <v>0</v>
      </c>
      <c r="AN346" s="58" t="n">
        <f aca="false">IF(ISNUMBER(L346),E346+F346+G346+AA346+AB346+AC346,0)</f>
        <v>0</v>
      </c>
      <c r="AO346" s="60" t="n">
        <f aca="false">P346*COMISION</f>
        <v>0</v>
      </c>
      <c r="AP346" s="58" t="n">
        <f aca="false">MIN(N(K346),Q346)</f>
        <v>0</v>
      </c>
      <c r="AQ346" s="61" t="n">
        <f aca="false">IF(Q346&gt;0,((Q346-AP346)*AT346+AP346*TASA_INC)/Q346,AT346)</f>
        <v>0.659887072235414</v>
      </c>
      <c r="AR346" s="58" t="n">
        <f aca="false">IF($A346&lt;FECHA_EXPORT,NETWORKDAYS($A346+1,FECHA_EXPORT,FESTIVOS),0)</f>
        <v>0</v>
      </c>
      <c r="AS346" s="61" t="n">
        <f aca="false">IF(AR346&gt;=5,1,INDEX(CDF_INC,1,AR346+1))</f>
        <v>0.14</v>
      </c>
      <c r="AT346" s="61" t="n">
        <f aca="false">TASA_USADA+(TASA_INC-TASA_USADA)*Q_INC*(1-AS346)/(1-Q_INC*AS346)</f>
        <v>0.659887072235414</v>
      </c>
    </row>
    <row r="347" customFormat="false" ht="15" hidden="false" customHeight="false" outlineLevel="0" collapsed="false">
      <c r="A347" s="53" t="n">
        <v>46641</v>
      </c>
      <c r="B347" s="54"/>
      <c r="C347" s="54"/>
      <c r="D347" s="54"/>
      <c r="E347" s="54"/>
      <c r="F347" s="54"/>
      <c r="G347" s="54"/>
      <c r="H347" s="54"/>
      <c r="I347" s="54"/>
      <c r="J347" s="54"/>
      <c r="K347" s="54"/>
      <c r="L347" s="55"/>
      <c r="M347" s="55"/>
      <c r="N347" s="55"/>
      <c r="O347" s="56"/>
      <c r="P347" s="31" t="n">
        <f aca="false">B347+C347+D347</f>
        <v>0</v>
      </c>
      <c r="Q347" s="31" t="n">
        <f aca="false">AA347+AB347+AC347</f>
        <v>0</v>
      </c>
      <c r="R347" s="32" t="n">
        <f aca="false">B347*P1_PVP+C347*P2_PVP+D347*IF($A347&lt;P3_DESDE,P3A_PVP,P3_PVP)</f>
        <v>0</v>
      </c>
      <c r="S347" s="32" t="str">
        <f aca="false">IF(P347&gt;0,R347/P347,"")</f>
        <v/>
      </c>
      <c r="T347" s="32" t="str">
        <f aca="false">IF(P347&gt;0,N347/P347,"")</f>
        <v/>
      </c>
      <c r="U347" s="57" t="str">
        <f aca="false">IF(N347&gt;0,R347/N347,"")</f>
        <v/>
      </c>
      <c r="V347" s="34" t="str">
        <f aca="false">IF(E347+F347+G347+H347+I347+J347&gt;0,(E347+F347+G347)/(E347+F347+G347+H347+I347+J347),"")</f>
        <v/>
      </c>
      <c r="W347" s="33" t="n">
        <f aca="false">E347*(P1_PVP-P1_CPROD)+F347*(P2_PVP-P2_CPROD)+G347*(IF($A347&lt;P3_DESDE,P3A_PVP,P3_PVP)-IF($A347&lt;P3_DESDE,P3A_CPROD,P3_CPROD))-IF(ISNUMBER(L347),L347,E347*P1_LOG+F347*P2_LOG+G347*P3_LOG)</f>
        <v>0</v>
      </c>
      <c r="X347" s="33" t="n">
        <f aca="false">W347-(E347*P1_IVAN+F347*P2_IVAN+G347*IF($A347&lt;P3_DESDE,P3A_IVAN,P3_IVAN))-(H347+I347+J347)*(COSTE_DEV-IVA_DEV)-AM347-AO347</f>
        <v>0</v>
      </c>
      <c r="Y347" s="33" t="n">
        <f aca="false">AH347-AI347-AJ347-AK347-AL347-AM347-AO347</f>
        <v>0</v>
      </c>
      <c r="AA347" s="58" t="n">
        <f aca="false">MAX(0,B347-E347-H347)</f>
        <v>0</v>
      </c>
      <c r="AB347" s="58" t="n">
        <f aca="false">MAX(0,C347-F347-I347)</f>
        <v>0</v>
      </c>
      <c r="AC347" s="58" t="n">
        <f aca="false">MAX(0,D347-G347-J347)</f>
        <v>0</v>
      </c>
      <c r="AD347" s="59" t="n">
        <f aca="false">E347+AA347*AQ347</f>
        <v>0</v>
      </c>
      <c r="AE347" s="59" t="n">
        <f aca="false">F347+AB347*AQ347</f>
        <v>0</v>
      </c>
      <c r="AF347" s="59" t="n">
        <f aca="false">G347+AC347*AQ347</f>
        <v>0</v>
      </c>
      <c r="AG347" s="59" t="n">
        <f aca="false">H347+I347+J347+(AA347+AB347+AC347)*(1-AQ347)</f>
        <v>0</v>
      </c>
      <c r="AH347" s="60" t="n">
        <f aca="false">AD347*P1_PVP+AE347*P2_PVP+AF347*IF($A347&lt;P3_DESDE,P3A_PVP,P3_PVP)</f>
        <v>0</v>
      </c>
      <c r="AI347" s="60" t="n">
        <f aca="false">AD347*P1_CPROD+AE347*P2_CPROD+AF347*IF($A347&lt;P3_DESDE,P3A_CPROD,P3_CPROD)</f>
        <v>0</v>
      </c>
      <c r="AJ347" s="60" t="n">
        <f aca="false">IF(ISNUMBER(L347),L347,E347*P1_LOG+F347*P2_LOG+G347*P3_LOG)+IF(ISNUMBER(M347),M347,AA347*P1_LOG+AB347*P2_LOG+AC347*P3_LOG)*AQ347</f>
        <v>0</v>
      </c>
      <c r="AK347" s="60" t="n">
        <f aca="false">AG347*COSTE_DEV</f>
        <v>0</v>
      </c>
      <c r="AL347" s="60" t="n">
        <f aca="false">AD347*P1_IVAN+AE347*P2_IVAN+AF347*IF($A347&lt;P3_DESDE,P3A_IVAN,P3_IVAN)-AG347*IVA_DEV</f>
        <v>0</v>
      </c>
      <c r="AM347" s="60" t="n">
        <f aca="false">N347*(1+RECARGO_ADS)</f>
        <v>0</v>
      </c>
      <c r="AN347" s="58" t="n">
        <f aca="false">IF(ISNUMBER(L347),E347+F347+G347+AA347+AB347+AC347,0)</f>
        <v>0</v>
      </c>
      <c r="AO347" s="60" t="n">
        <f aca="false">P347*COMISION</f>
        <v>0</v>
      </c>
      <c r="AP347" s="58" t="n">
        <f aca="false">MIN(N(K347),Q347)</f>
        <v>0</v>
      </c>
      <c r="AQ347" s="61" t="n">
        <f aca="false">IF(Q347&gt;0,((Q347-AP347)*AT347+AP347*TASA_INC)/Q347,AT347)</f>
        <v>0.659887072235414</v>
      </c>
      <c r="AR347" s="58" t="n">
        <f aca="false">IF($A347&lt;FECHA_EXPORT,NETWORKDAYS($A347+1,FECHA_EXPORT,FESTIVOS),0)</f>
        <v>0</v>
      </c>
      <c r="AS347" s="61" t="n">
        <f aca="false">IF(AR347&gt;=5,1,INDEX(CDF_INC,1,AR347+1))</f>
        <v>0.14</v>
      </c>
      <c r="AT347" s="61" t="n">
        <f aca="false">TASA_USADA+(TASA_INC-TASA_USADA)*Q_INC*(1-AS347)/(1-Q_INC*AS347)</f>
        <v>0.659887072235414</v>
      </c>
    </row>
    <row r="348" customFormat="false" ht="15" hidden="false" customHeight="false" outlineLevel="0" collapsed="false">
      <c r="A348" s="53" t="n">
        <v>46642</v>
      </c>
      <c r="B348" s="54"/>
      <c r="C348" s="54"/>
      <c r="D348" s="54"/>
      <c r="E348" s="54"/>
      <c r="F348" s="54"/>
      <c r="G348" s="54"/>
      <c r="H348" s="54"/>
      <c r="I348" s="54"/>
      <c r="J348" s="54"/>
      <c r="K348" s="54"/>
      <c r="L348" s="55"/>
      <c r="M348" s="55"/>
      <c r="N348" s="55"/>
      <c r="O348" s="56"/>
      <c r="P348" s="31" t="n">
        <f aca="false">B348+C348+D348</f>
        <v>0</v>
      </c>
      <c r="Q348" s="31" t="n">
        <f aca="false">AA348+AB348+AC348</f>
        <v>0</v>
      </c>
      <c r="R348" s="32" t="n">
        <f aca="false">B348*P1_PVP+C348*P2_PVP+D348*IF($A348&lt;P3_DESDE,P3A_PVP,P3_PVP)</f>
        <v>0</v>
      </c>
      <c r="S348" s="32" t="str">
        <f aca="false">IF(P348&gt;0,R348/P348,"")</f>
        <v/>
      </c>
      <c r="T348" s="32" t="str">
        <f aca="false">IF(P348&gt;0,N348/P348,"")</f>
        <v/>
      </c>
      <c r="U348" s="57" t="str">
        <f aca="false">IF(N348&gt;0,R348/N348,"")</f>
        <v/>
      </c>
      <c r="V348" s="34" t="str">
        <f aca="false">IF(E348+F348+G348+H348+I348+J348&gt;0,(E348+F348+G348)/(E348+F348+G348+H348+I348+J348),"")</f>
        <v/>
      </c>
      <c r="W348" s="33" t="n">
        <f aca="false">E348*(P1_PVP-P1_CPROD)+F348*(P2_PVP-P2_CPROD)+G348*(IF($A348&lt;P3_DESDE,P3A_PVP,P3_PVP)-IF($A348&lt;P3_DESDE,P3A_CPROD,P3_CPROD))-IF(ISNUMBER(L348),L348,E348*P1_LOG+F348*P2_LOG+G348*P3_LOG)</f>
        <v>0</v>
      </c>
      <c r="X348" s="33" t="n">
        <f aca="false">W348-(E348*P1_IVAN+F348*P2_IVAN+G348*IF($A348&lt;P3_DESDE,P3A_IVAN,P3_IVAN))-(H348+I348+J348)*(COSTE_DEV-IVA_DEV)-AM348-AO348</f>
        <v>0</v>
      </c>
      <c r="Y348" s="33" t="n">
        <f aca="false">AH348-AI348-AJ348-AK348-AL348-AM348-AO348</f>
        <v>0</v>
      </c>
      <c r="AA348" s="58" t="n">
        <f aca="false">MAX(0,B348-E348-H348)</f>
        <v>0</v>
      </c>
      <c r="AB348" s="58" t="n">
        <f aca="false">MAX(0,C348-F348-I348)</f>
        <v>0</v>
      </c>
      <c r="AC348" s="58" t="n">
        <f aca="false">MAX(0,D348-G348-J348)</f>
        <v>0</v>
      </c>
      <c r="AD348" s="59" t="n">
        <f aca="false">E348+AA348*AQ348</f>
        <v>0</v>
      </c>
      <c r="AE348" s="59" t="n">
        <f aca="false">F348+AB348*AQ348</f>
        <v>0</v>
      </c>
      <c r="AF348" s="59" t="n">
        <f aca="false">G348+AC348*AQ348</f>
        <v>0</v>
      </c>
      <c r="AG348" s="59" t="n">
        <f aca="false">H348+I348+J348+(AA348+AB348+AC348)*(1-AQ348)</f>
        <v>0</v>
      </c>
      <c r="AH348" s="60" t="n">
        <f aca="false">AD348*P1_PVP+AE348*P2_PVP+AF348*IF($A348&lt;P3_DESDE,P3A_PVP,P3_PVP)</f>
        <v>0</v>
      </c>
      <c r="AI348" s="60" t="n">
        <f aca="false">AD348*P1_CPROD+AE348*P2_CPROD+AF348*IF($A348&lt;P3_DESDE,P3A_CPROD,P3_CPROD)</f>
        <v>0</v>
      </c>
      <c r="AJ348" s="60" t="n">
        <f aca="false">IF(ISNUMBER(L348),L348,E348*P1_LOG+F348*P2_LOG+G348*P3_LOG)+IF(ISNUMBER(M348),M348,AA348*P1_LOG+AB348*P2_LOG+AC348*P3_LOG)*AQ348</f>
        <v>0</v>
      </c>
      <c r="AK348" s="60" t="n">
        <f aca="false">AG348*COSTE_DEV</f>
        <v>0</v>
      </c>
      <c r="AL348" s="60" t="n">
        <f aca="false">AD348*P1_IVAN+AE348*P2_IVAN+AF348*IF($A348&lt;P3_DESDE,P3A_IVAN,P3_IVAN)-AG348*IVA_DEV</f>
        <v>0</v>
      </c>
      <c r="AM348" s="60" t="n">
        <f aca="false">N348*(1+RECARGO_ADS)</f>
        <v>0</v>
      </c>
      <c r="AN348" s="58" t="n">
        <f aca="false">IF(ISNUMBER(L348),E348+F348+G348+AA348+AB348+AC348,0)</f>
        <v>0</v>
      </c>
      <c r="AO348" s="60" t="n">
        <f aca="false">P348*COMISION</f>
        <v>0</v>
      </c>
      <c r="AP348" s="58" t="n">
        <f aca="false">MIN(N(K348),Q348)</f>
        <v>0</v>
      </c>
      <c r="AQ348" s="61" t="n">
        <f aca="false">IF(Q348&gt;0,((Q348-AP348)*AT348+AP348*TASA_INC)/Q348,AT348)</f>
        <v>0.659887072235414</v>
      </c>
      <c r="AR348" s="58" t="n">
        <f aca="false">IF($A348&lt;FECHA_EXPORT,NETWORKDAYS($A348+1,FECHA_EXPORT,FESTIVOS),0)</f>
        <v>0</v>
      </c>
      <c r="AS348" s="61" t="n">
        <f aca="false">IF(AR348&gt;=5,1,INDEX(CDF_INC,1,AR348+1))</f>
        <v>0.14</v>
      </c>
      <c r="AT348" s="61" t="n">
        <f aca="false">TASA_USADA+(TASA_INC-TASA_USADA)*Q_INC*(1-AS348)/(1-Q_INC*AS348)</f>
        <v>0.659887072235414</v>
      </c>
    </row>
    <row r="349" customFormat="false" ht="15" hidden="false" customHeight="false" outlineLevel="0" collapsed="false">
      <c r="A349" s="53" t="n">
        <v>46643</v>
      </c>
      <c r="B349" s="54"/>
      <c r="C349" s="54"/>
      <c r="D349" s="54"/>
      <c r="E349" s="54"/>
      <c r="F349" s="54"/>
      <c r="G349" s="54"/>
      <c r="H349" s="54"/>
      <c r="I349" s="54"/>
      <c r="J349" s="54"/>
      <c r="K349" s="54"/>
      <c r="L349" s="55"/>
      <c r="M349" s="55"/>
      <c r="N349" s="55"/>
      <c r="O349" s="56"/>
      <c r="P349" s="31" t="n">
        <f aca="false">B349+C349+D349</f>
        <v>0</v>
      </c>
      <c r="Q349" s="31" t="n">
        <f aca="false">AA349+AB349+AC349</f>
        <v>0</v>
      </c>
      <c r="R349" s="32" t="n">
        <f aca="false">B349*P1_PVP+C349*P2_PVP+D349*IF($A349&lt;P3_DESDE,P3A_PVP,P3_PVP)</f>
        <v>0</v>
      </c>
      <c r="S349" s="32" t="str">
        <f aca="false">IF(P349&gt;0,R349/P349,"")</f>
        <v/>
      </c>
      <c r="T349" s="32" t="str">
        <f aca="false">IF(P349&gt;0,N349/P349,"")</f>
        <v/>
      </c>
      <c r="U349" s="57" t="str">
        <f aca="false">IF(N349&gt;0,R349/N349,"")</f>
        <v/>
      </c>
      <c r="V349" s="34" t="str">
        <f aca="false">IF(E349+F349+G349+H349+I349+J349&gt;0,(E349+F349+G349)/(E349+F349+G349+H349+I349+J349),"")</f>
        <v/>
      </c>
      <c r="W349" s="33" t="n">
        <f aca="false">E349*(P1_PVP-P1_CPROD)+F349*(P2_PVP-P2_CPROD)+G349*(IF($A349&lt;P3_DESDE,P3A_PVP,P3_PVP)-IF($A349&lt;P3_DESDE,P3A_CPROD,P3_CPROD))-IF(ISNUMBER(L349),L349,E349*P1_LOG+F349*P2_LOG+G349*P3_LOG)</f>
        <v>0</v>
      </c>
      <c r="X349" s="33" t="n">
        <f aca="false">W349-(E349*P1_IVAN+F349*P2_IVAN+G349*IF($A349&lt;P3_DESDE,P3A_IVAN,P3_IVAN))-(H349+I349+J349)*(COSTE_DEV-IVA_DEV)-AM349-AO349</f>
        <v>0</v>
      </c>
      <c r="Y349" s="33" t="n">
        <f aca="false">AH349-AI349-AJ349-AK349-AL349-AM349-AO349</f>
        <v>0</v>
      </c>
      <c r="AA349" s="58" t="n">
        <f aca="false">MAX(0,B349-E349-H349)</f>
        <v>0</v>
      </c>
      <c r="AB349" s="58" t="n">
        <f aca="false">MAX(0,C349-F349-I349)</f>
        <v>0</v>
      </c>
      <c r="AC349" s="58" t="n">
        <f aca="false">MAX(0,D349-G349-J349)</f>
        <v>0</v>
      </c>
      <c r="AD349" s="59" t="n">
        <f aca="false">E349+AA349*AQ349</f>
        <v>0</v>
      </c>
      <c r="AE349" s="59" t="n">
        <f aca="false">F349+AB349*AQ349</f>
        <v>0</v>
      </c>
      <c r="AF349" s="59" t="n">
        <f aca="false">G349+AC349*AQ349</f>
        <v>0</v>
      </c>
      <c r="AG349" s="59" t="n">
        <f aca="false">H349+I349+J349+(AA349+AB349+AC349)*(1-AQ349)</f>
        <v>0</v>
      </c>
      <c r="AH349" s="60" t="n">
        <f aca="false">AD349*P1_PVP+AE349*P2_PVP+AF349*IF($A349&lt;P3_DESDE,P3A_PVP,P3_PVP)</f>
        <v>0</v>
      </c>
      <c r="AI349" s="60" t="n">
        <f aca="false">AD349*P1_CPROD+AE349*P2_CPROD+AF349*IF($A349&lt;P3_DESDE,P3A_CPROD,P3_CPROD)</f>
        <v>0</v>
      </c>
      <c r="AJ349" s="60" t="n">
        <f aca="false">IF(ISNUMBER(L349),L349,E349*P1_LOG+F349*P2_LOG+G349*P3_LOG)+IF(ISNUMBER(M349),M349,AA349*P1_LOG+AB349*P2_LOG+AC349*P3_LOG)*AQ349</f>
        <v>0</v>
      </c>
      <c r="AK349" s="60" t="n">
        <f aca="false">AG349*COSTE_DEV</f>
        <v>0</v>
      </c>
      <c r="AL349" s="60" t="n">
        <f aca="false">AD349*P1_IVAN+AE349*P2_IVAN+AF349*IF($A349&lt;P3_DESDE,P3A_IVAN,P3_IVAN)-AG349*IVA_DEV</f>
        <v>0</v>
      </c>
      <c r="AM349" s="60" t="n">
        <f aca="false">N349*(1+RECARGO_ADS)</f>
        <v>0</v>
      </c>
      <c r="AN349" s="58" t="n">
        <f aca="false">IF(ISNUMBER(L349),E349+F349+G349+AA349+AB349+AC349,0)</f>
        <v>0</v>
      </c>
      <c r="AO349" s="60" t="n">
        <f aca="false">P349*COMISION</f>
        <v>0</v>
      </c>
      <c r="AP349" s="58" t="n">
        <f aca="false">MIN(N(K349),Q349)</f>
        <v>0</v>
      </c>
      <c r="AQ349" s="61" t="n">
        <f aca="false">IF(Q349&gt;0,((Q349-AP349)*AT349+AP349*TASA_INC)/Q349,AT349)</f>
        <v>0.659887072235414</v>
      </c>
      <c r="AR349" s="58" t="n">
        <f aca="false">IF($A349&lt;FECHA_EXPORT,NETWORKDAYS($A349+1,FECHA_EXPORT,FESTIVOS),0)</f>
        <v>0</v>
      </c>
      <c r="AS349" s="61" t="n">
        <f aca="false">IF(AR349&gt;=5,1,INDEX(CDF_INC,1,AR349+1))</f>
        <v>0.14</v>
      </c>
      <c r="AT349" s="61" t="n">
        <f aca="false">TASA_USADA+(TASA_INC-TASA_USADA)*Q_INC*(1-AS349)/(1-Q_INC*AS349)</f>
        <v>0.659887072235414</v>
      </c>
    </row>
    <row r="350" customFormat="false" ht="15" hidden="false" customHeight="false" outlineLevel="0" collapsed="false">
      <c r="A350" s="53" t="n">
        <v>46644</v>
      </c>
      <c r="B350" s="54"/>
      <c r="C350" s="54"/>
      <c r="D350" s="54"/>
      <c r="E350" s="54"/>
      <c r="F350" s="54"/>
      <c r="G350" s="54"/>
      <c r="H350" s="54"/>
      <c r="I350" s="54"/>
      <c r="J350" s="54"/>
      <c r="K350" s="54"/>
      <c r="L350" s="55"/>
      <c r="M350" s="55"/>
      <c r="N350" s="55"/>
      <c r="O350" s="56"/>
      <c r="P350" s="31" t="n">
        <f aca="false">B350+C350+D350</f>
        <v>0</v>
      </c>
      <c r="Q350" s="31" t="n">
        <f aca="false">AA350+AB350+AC350</f>
        <v>0</v>
      </c>
      <c r="R350" s="32" t="n">
        <f aca="false">B350*P1_PVP+C350*P2_PVP+D350*IF($A350&lt;P3_DESDE,P3A_PVP,P3_PVP)</f>
        <v>0</v>
      </c>
      <c r="S350" s="32" t="str">
        <f aca="false">IF(P350&gt;0,R350/P350,"")</f>
        <v/>
      </c>
      <c r="T350" s="32" t="str">
        <f aca="false">IF(P350&gt;0,N350/P350,"")</f>
        <v/>
      </c>
      <c r="U350" s="57" t="str">
        <f aca="false">IF(N350&gt;0,R350/N350,"")</f>
        <v/>
      </c>
      <c r="V350" s="34" t="str">
        <f aca="false">IF(E350+F350+G350+H350+I350+J350&gt;0,(E350+F350+G350)/(E350+F350+G350+H350+I350+J350),"")</f>
        <v/>
      </c>
      <c r="W350" s="33" t="n">
        <f aca="false">E350*(P1_PVP-P1_CPROD)+F350*(P2_PVP-P2_CPROD)+G350*(IF($A350&lt;P3_DESDE,P3A_PVP,P3_PVP)-IF($A350&lt;P3_DESDE,P3A_CPROD,P3_CPROD))-IF(ISNUMBER(L350),L350,E350*P1_LOG+F350*P2_LOG+G350*P3_LOG)</f>
        <v>0</v>
      </c>
      <c r="X350" s="33" t="n">
        <f aca="false">W350-(E350*P1_IVAN+F350*P2_IVAN+G350*IF($A350&lt;P3_DESDE,P3A_IVAN,P3_IVAN))-(H350+I350+J350)*(COSTE_DEV-IVA_DEV)-AM350-AO350</f>
        <v>0</v>
      </c>
      <c r="Y350" s="33" t="n">
        <f aca="false">AH350-AI350-AJ350-AK350-AL350-AM350-AO350</f>
        <v>0</v>
      </c>
      <c r="AA350" s="58" t="n">
        <f aca="false">MAX(0,B350-E350-H350)</f>
        <v>0</v>
      </c>
      <c r="AB350" s="58" t="n">
        <f aca="false">MAX(0,C350-F350-I350)</f>
        <v>0</v>
      </c>
      <c r="AC350" s="58" t="n">
        <f aca="false">MAX(0,D350-G350-J350)</f>
        <v>0</v>
      </c>
      <c r="AD350" s="59" t="n">
        <f aca="false">E350+AA350*AQ350</f>
        <v>0</v>
      </c>
      <c r="AE350" s="59" t="n">
        <f aca="false">F350+AB350*AQ350</f>
        <v>0</v>
      </c>
      <c r="AF350" s="59" t="n">
        <f aca="false">G350+AC350*AQ350</f>
        <v>0</v>
      </c>
      <c r="AG350" s="59" t="n">
        <f aca="false">H350+I350+J350+(AA350+AB350+AC350)*(1-AQ350)</f>
        <v>0</v>
      </c>
      <c r="AH350" s="60" t="n">
        <f aca="false">AD350*P1_PVP+AE350*P2_PVP+AF350*IF($A350&lt;P3_DESDE,P3A_PVP,P3_PVP)</f>
        <v>0</v>
      </c>
      <c r="AI350" s="60" t="n">
        <f aca="false">AD350*P1_CPROD+AE350*P2_CPROD+AF350*IF($A350&lt;P3_DESDE,P3A_CPROD,P3_CPROD)</f>
        <v>0</v>
      </c>
      <c r="AJ350" s="60" t="n">
        <f aca="false">IF(ISNUMBER(L350),L350,E350*P1_LOG+F350*P2_LOG+G350*P3_LOG)+IF(ISNUMBER(M350),M350,AA350*P1_LOG+AB350*P2_LOG+AC350*P3_LOG)*AQ350</f>
        <v>0</v>
      </c>
      <c r="AK350" s="60" t="n">
        <f aca="false">AG350*COSTE_DEV</f>
        <v>0</v>
      </c>
      <c r="AL350" s="60" t="n">
        <f aca="false">AD350*P1_IVAN+AE350*P2_IVAN+AF350*IF($A350&lt;P3_DESDE,P3A_IVAN,P3_IVAN)-AG350*IVA_DEV</f>
        <v>0</v>
      </c>
      <c r="AM350" s="60" t="n">
        <f aca="false">N350*(1+RECARGO_ADS)</f>
        <v>0</v>
      </c>
      <c r="AN350" s="58" t="n">
        <f aca="false">IF(ISNUMBER(L350),E350+F350+G350+AA350+AB350+AC350,0)</f>
        <v>0</v>
      </c>
      <c r="AO350" s="60" t="n">
        <f aca="false">P350*COMISION</f>
        <v>0</v>
      </c>
      <c r="AP350" s="58" t="n">
        <f aca="false">MIN(N(K350),Q350)</f>
        <v>0</v>
      </c>
      <c r="AQ350" s="61" t="n">
        <f aca="false">IF(Q350&gt;0,((Q350-AP350)*AT350+AP350*TASA_INC)/Q350,AT350)</f>
        <v>0.659887072235414</v>
      </c>
      <c r="AR350" s="58" t="n">
        <f aca="false">IF($A350&lt;FECHA_EXPORT,NETWORKDAYS($A350+1,FECHA_EXPORT,FESTIVOS),0)</f>
        <v>0</v>
      </c>
      <c r="AS350" s="61" t="n">
        <f aca="false">IF(AR350&gt;=5,1,INDEX(CDF_INC,1,AR350+1))</f>
        <v>0.14</v>
      </c>
      <c r="AT350" s="61" t="n">
        <f aca="false">TASA_USADA+(TASA_INC-TASA_USADA)*Q_INC*(1-AS350)/(1-Q_INC*AS350)</f>
        <v>0.659887072235414</v>
      </c>
    </row>
    <row r="351" customFormat="false" ht="15" hidden="false" customHeight="false" outlineLevel="0" collapsed="false">
      <c r="A351" s="53" t="n">
        <v>46645</v>
      </c>
      <c r="B351" s="54"/>
      <c r="C351" s="54"/>
      <c r="D351" s="54"/>
      <c r="E351" s="54"/>
      <c r="F351" s="54"/>
      <c r="G351" s="54"/>
      <c r="H351" s="54"/>
      <c r="I351" s="54"/>
      <c r="J351" s="54"/>
      <c r="K351" s="54"/>
      <c r="L351" s="55"/>
      <c r="M351" s="55"/>
      <c r="N351" s="55"/>
      <c r="O351" s="56"/>
      <c r="P351" s="31" t="n">
        <f aca="false">B351+C351+D351</f>
        <v>0</v>
      </c>
      <c r="Q351" s="31" t="n">
        <f aca="false">AA351+AB351+AC351</f>
        <v>0</v>
      </c>
      <c r="R351" s="32" t="n">
        <f aca="false">B351*P1_PVP+C351*P2_PVP+D351*IF($A351&lt;P3_DESDE,P3A_PVP,P3_PVP)</f>
        <v>0</v>
      </c>
      <c r="S351" s="32" t="str">
        <f aca="false">IF(P351&gt;0,R351/P351,"")</f>
        <v/>
      </c>
      <c r="T351" s="32" t="str">
        <f aca="false">IF(P351&gt;0,N351/P351,"")</f>
        <v/>
      </c>
      <c r="U351" s="57" t="str">
        <f aca="false">IF(N351&gt;0,R351/N351,"")</f>
        <v/>
      </c>
      <c r="V351" s="34" t="str">
        <f aca="false">IF(E351+F351+G351+H351+I351+J351&gt;0,(E351+F351+G351)/(E351+F351+G351+H351+I351+J351),"")</f>
        <v/>
      </c>
      <c r="W351" s="33" t="n">
        <f aca="false">E351*(P1_PVP-P1_CPROD)+F351*(P2_PVP-P2_CPROD)+G351*(IF($A351&lt;P3_DESDE,P3A_PVP,P3_PVP)-IF($A351&lt;P3_DESDE,P3A_CPROD,P3_CPROD))-IF(ISNUMBER(L351),L351,E351*P1_LOG+F351*P2_LOG+G351*P3_LOG)</f>
        <v>0</v>
      </c>
      <c r="X351" s="33" t="n">
        <f aca="false">W351-(E351*P1_IVAN+F351*P2_IVAN+G351*IF($A351&lt;P3_DESDE,P3A_IVAN,P3_IVAN))-(H351+I351+J351)*(COSTE_DEV-IVA_DEV)-AM351-AO351</f>
        <v>0</v>
      </c>
      <c r="Y351" s="33" t="n">
        <f aca="false">AH351-AI351-AJ351-AK351-AL351-AM351-AO351</f>
        <v>0</v>
      </c>
      <c r="AA351" s="58" t="n">
        <f aca="false">MAX(0,B351-E351-H351)</f>
        <v>0</v>
      </c>
      <c r="AB351" s="58" t="n">
        <f aca="false">MAX(0,C351-F351-I351)</f>
        <v>0</v>
      </c>
      <c r="AC351" s="58" t="n">
        <f aca="false">MAX(0,D351-G351-J351)</f>
        <v>0</v>
      </c>
      <c r="AD351" s="59" t="n">
        <f aca="false">E351+AA351*AQ351</f>
        <v>0</v>
      </c>
      <c r="AE351" s="59" t="n">
        <f aca="false">F351+AB351*AQ351</f>
        <v>0</v>
      </c>
      <c r="AF351" s="59" t="n">
        <f aca="false">G351+AC351*AQ351</f>
        <v>0</v>
      </c>
      <c r="AG351" s="59" t="n">
        <f aca="false">H351+I351+J351+(AA351+AB351+AC351)*(1-AQ351)</f>
        <v>0</v>
      </c>
      <c r="AH351" s="60" t="n">
        <f aca="false">AD351*P1_PVP+AE351*P2_PVP+AF351*IF($A351&lt;P3_DESDE,P3A_PVP,P3_PVP)</f>
        <v>0</v>
      </c>
      <c r="AI351" s="60" t="n">
        <f aca="false">AD351*P1_CPROD+AE351*P2_CPROD+AF351*IF($A351&lt;P3_DESDE,P3A_CPROD,P3_CPROD)</f>
        <v>0</v>
      </c>
      <c r="AJ351" s="60" t="n">
        <f aca="false">IF(ISNUMBER(L351),L351,E351*P1_LOG+F351*P2_LOG+G351*P3_LOG)+IF(ISNUMBER(M351),M351,AA351*P1_LOG+AB351*P2_LOG+AC351*P3_LOG)*AQ351</f>
        <v>0</v>
      </c>
      <c r="AK351" s="60" t="n">
        <f aca="false">AG351*COSTE_DEV</f>
        <v>0</v>
      </c>
      <c r="AL351" s="60" t="n">
        <f aca="false">AD351*P1_IVAN+AE351*P2_IVAN+AF351*IF($A351&lt;P3_DESDE,P3A_IVAN,P3_IVAN)-AG351*IVA_DEV</f>
        <v>0</v>
      </c>
      <c r="AM351" s="60" t="n">
        <f aca="false">N351*(1+RECARGO_ADS)</f>
        <v>0</v>
      </c>
      <c r="AN351" s="58" t="n">
        <f aca="false">IF(ISNUMBER(L351),E351+F351+G351+AA351+AB351+AC351,0)</f>
        <v>0</v>
      </c>
      <c r="AO351" s="60" t="n">
        <f aca="false">P351*COMISION</f>
        <v>0</v>
      </c>
      <c r="AP351" s="58" t="n">
        <f aca="false">MIN(N(K351),Q351)</f>
        <v>0</v>
      </c>
      <c r="AQ351" s="61" t="n">
        <f aca="false">IF(Q351&gt;0,((Q351-AP351)*AT351+AP351*TASA_INC)/Q351,AT351)</f>
        <v>0.659887072235414</v>
      </c>
      <c r="AR351" s="58" t="n">
        <f aca="false">IF($A351&lt;FECHA_EXPORT,NETWORKDAYS($A351+1,FECHA_EXPORT,FESTIVOS),0)</f>
        <v>0</v>
      </c>
      <c r="AS351" s="61" t="n">
        <f aca="false">IF(AR351&gt;=5,1,INDEX(CDF_INC,1,AR351+1))</f>
        <v>0.14</v>
      </c>
      <c r="AT351" s="61" t="n">
        <f aca="false">TASA_USADA+(TASA_INC-TASA_USADA)*Q_INC*(1-AS351)/(1-Q_INC*AS351)</f>
        <v>0.659887072235414</v>
      </c>
    </row>
    <row r="352" customFormat="false" ht="15" hidden="false" customHeight="false" outlineLevel="0" collapsed="false">
      <c r="A352" s="53" t="n">
        <v>46646</v>
      </c>
      <c r="B352" s="54"/>
      <c r="C352" s="54"/>
      <c r="D352" s="54"/>
      <c r="E352" s="54"/>
      <c r="F352" s="54"/>
      <c r="G352" s="54"/>
      <c r="H352" s="54"/>
      <c r="I352" s="54"/>
      <c r="J352" s="54"/>
      <c r="K352" s="54"/>
      <c r="L352" s="55"/>
      <c r="M352" s="55"/>
      <c r="N352" s="55"/>
      <c r="O352" s="56"/>
      <c r="P352" s="31" t="n">
        <f aca="false">B352+C352+D352</f>
        <v>0</v>
      </c>
      <c r="Q352" s="31" t="n">
        <f aca="false">AA352+AB352+AC352</f>
        <v>0</v>
      </c>
      <c r="R352" s="32" t="n">
        <f aca="false">B352*P1_PVP+C352*P2_PVP+D352*IF($A352&lt;P3_DESDE,P3A_PVP,P3_PVP)</f>
        <v>0</v>
      </c>
      <c r="S352" s="32" t="str">
        <f aca="false">IF(P352&gt;0,R352/P352,"")</f>
        <v/>
      </c>
      <c r="T352" s="32" t="str">
        <f aca="false">IF(P352&gt;0,N352/P352,"")</f>
        <v/>
      </c>
      <c r="U352" s="57" t="str">
        <f aca="false">IF(N352&gt;0,R352/N352,"")</f>
        <v/>
      </c>
      <c r="V352" s="34" t="str">
        <f aca="false">IF(E352+F352+G352+H352+I352+J352&gt;0,(E352+F352+G352)/(E352+F352+G352+H352+I352+J352),"")</f>
        <v/>
      </c>
      <c r="W352" s="33" t="n">
        <f aca="false">E352*(P1_PVP-P1_CPROD)+F352*(P2_PVP-P2_CPROD)+G352*(IF($A352&lt;P3_DESDE,P3A_PVP,P3_PVP)-IF($A352&lt;P3_DESDE,P3A_CPROD,P3_CPROD))-IF(ISNUMBER(L352),L352,E352*P1_LOG+F352*P2_LOG+G352*P3_LOG)</f>
        <v>0</v>
      </c>
      <c r="X352" s="33" t="n">
        <f aca="false">W352-(E352*P1_IVAN+F352*P2_IVAN+G352*IF($A352&lt;P3_DESDE,P3A_IVAN,P3_IVAN))-(H352+I352+J352)*(COSTE_DEV-IVA_DEV)-AM352-AO352</f>
        <v>0</v>
      </c>
      <c r="Y352" s="33" t="n">
        <f aca="false">AH352-AI352-AJ352-AK352-AL352-AM352-AO352</f>
        <v>0</v>
      </c>
      <c r="AA352" s="58" t="n">
        <f aca="false">MAX(0,B352-E352-H352)</f>
        <v>0</v>
      </c>
      <c r="AB352" s="58" t="n">
        <f aca="false">MAX(0,C352-F352-I352)</f>
        <v>0</v>
      </c>
      <c r="AC352" s="58" t="n">
        <f aca="false">MAX(0,D352-G352-J352)</f>
        <v>0</v>
      </c>
      <c r="AD352" s="59" t="n">
        <f aca="false">E352+AA352*AQ352</f>
        <v>0</v>
      </c>
      <c r="AE352" s="59" t="n">
        <f aca="false">F352+AB352*AQ352</f>
        <v>0</v>
      </c>
      <c r="AF352" s="59" t="n">
        <f aca="false">G352+AC352*AQ352</f>
        <v>0</v>
      </c>
      <c r="AG352" s="59" t="n">
        <f aca="false">H352+I352+J352+(AA352+AB352+AC352)*(1-AQ352)</f>
        <v>0</v>
      </c>
      <c r="AH352" s="60" t="n">
        <f aca="false">AD352*P1_PVP+AE352*P2_PVP+AF352*IF($A352&lt;P3_DESDE,P3A_PVP,P3_PVP)</f>
        <v>0</v>
      </c>
      <c r="AI352" s="60" t="n">
        <f aca="false">AD352*P1_CPROD+AE352*P2_CPROD+AF352*IF($A352&lt;P3_DESDE,P3A_CPROD,P3_CPROD)</f>
        <v>0</v>
      </c>
      <c r="AJ352" s="60" t="n">
        <f aca="false">IF(ISNUMBER(L352),L352,E352*P1_LOG+F352*P2_LOG+G352*P3_LOG)+IF(ISNUMBER(M352),M352,AA352*P1_LOG+AB352*P2_LOG+AC352*P3_LOG)*AQ352</f>
        <v>0</v>
      </c>
      <c r="AK352" s="60" t="n">
        <f aca="false">AG352*COSTE_DEV</f>
        <v>0</v>
      </c>
      <c r="AL352" s="60" t="n">
        <f aca="false">AD352*P1_IVAN+AE352*P2_IVAN+AF352*IF($A352&lt;P3_DESDE,P3A_IVAN,P3_IVAN)-AG352*IVA_DEV</f>
        <v>0</v>
      </c>
      <c r="AM352" s="60" t="n">
        <f aca="false">N352*(1+RECARGO_ADS)</f>
        <v>0</v>
      </c>
      <c r="AN352" s="58" t="n">
        <f aca="false">IF(ISNUMBER(L352),E352+F352+G352+AA352+AB352+AC352,0)</f>
        <v>0</v>
      </c>
      <c r="AO352" s="60" t="n">
        <f aca="false">P352*COMISION</f>
        <v>0</v>
      </c>
      <c r="AP352" s="58" t="n">
        <f aca="false">MIN(N(K352),Q352)</f>
        <v>0</v>
      </c>
      <c r="AQ352" s="61" t="n">
        <f aca="false">IF(Q352&gt;0,((Q352-AP352)*AT352+AP352*TASA_INC)/Q352,AT352)</f>
        <v>0.659887072235414</v>
      </c>
      <c r="AR352" s="58" t="n">
        <f aca="false">IF($A352&lt;FECHA_EXPORT,NETWORKDAYS($A352+1,FECHA_EXPORT,FESTIVOS),0)</f>
        <v>0</v>
      </c>
      <c r="AS352" s="61" t="n">
        <f aca="false">IF(AR352&gt;=5,1,INDEX(CDF_INC,1,AR352+1))</f>
        <v>0.14</v>
      </c>
      <c r="AT352" s="61" t="n">
        <f aca="false">TASA_USADA+(TASA_INC-TASA_USADA)*Q_INC*(1-AS352)/(1-Q_INC*AS352)</f>
        <v>0.659887072235414</v>
      </c>
    </row>
    <row r="353" customFormat="false" ht="15" hidden="false" customHeight="false" outlineLevel="0" collapsed="false">
      <c r="A353" s="53" t="n">
        <v>46647</v>
      </c>
      <c r="B353" s="54"/>
      <c r="C353" s="54"/>
      <c r="D353" s="54"/>
      <c r="E353" s="54"/>
      <c r="F353" s="54"/>
      <c r="G353" s="54"/>
      <c r="H353" s="54"/>
      <c r="I353" s="54"/>
      <c r="J353" s="54"/>
      <c r="K353" s="54"/>
      <c r="L353" s="55"/>
      <c r="M353" s="55"/>
      <c r="N353" s="55"/>
      <c r="O353" s="56"/>
      <c r="P353" s="31" t="n">
        <f aca="false">B353+C353+D353</f>
        <v>0</v>
      </c>
      <c r="Q353" s="31" t="n">
        <f aca="false">AA353+AB353+AC353</f>
        <v>0</v>
      </c>
      <c r="R353" s="32" t="n">
        <f aca="false">B353*P1_PVP+C353*P2_PVP+D353*IF($A353&lt;P3_DESDE,P3A_PVP,P3_PVP)</f>
        <v>0</v>
      </c>
      <c r="S353" s="32" t="str">
        <f aca="false">IF(P353&gt;0,R353/P353,"")</f>
        <v/>
      </c>
      <c r="T353" s="32" t="str">
        <f aca="false">IF(P353&gt;0,N353/P353,"")</f>
        <v/>
      </c>
      <c r="U353" s="57" t="str">
        <f aca="false">IF(N353&gt;0,R353/N353,"")</f>
        <v/>
      </c>
      <c r="V353" s="34" t="str">
        <f aca="false">IF(E353+F353+G353+H353+I353+J353&gt;0,(E353+F353+G353)/(E353+F353+G353+H353+I353+J353),"")</f>
        <v/>
      </c>
      <c r="W353" s="33" t="n">
        <f aca="false">E353*(P1_PVP-P1_CPROD)+F353*(P2_PVP-P2_CPROD)+G353*(IF($A353&lt;P3_DESDE,P3A_PVP,P3_PVP)-IF($A353&lt;P3_DESDE,P3A_CPROD,P3_CPROD))-IF(ISNUMBER(L353),L353,E353*P1_LOG+F353*P2_LOG+G353*P3_LOG)</f>
        <v>0</v>
      </c>
      <c r="X353" s="33" t="n">
        <f aca="false">W353-(E353*P1_IVAN+F353*P2_IVAN+G353*IF($A353&lt;P3_DESDE,P3A_IVAN,P3_IVAN))-(H353+I353+J353)*(COSTE_DEV-IVA_DEV)-AM353-AO353</f>
        <v>0</v>
      </c>
      <c r="Y353" s="33" t="n">
        <f aca="false">AH353-AI353-AJ353-AK353-AL353-AM353-AO353</f>
        <v>0</v>
      </c>
      <c r="AA353" s="58" t="n">
        <f aca="false">MAX(0,B353-E353-H353)</f>
        <v>0</v>
      </c>
      <c r="AB353" s="58" t="n">
        <f aca="false">MAX(0,C353-F353-I353)</f>
        <v>0</v>
      </c>
      <c r="AC353" s="58" t="n">
        <f aca="false">MAX(0,D353-G353-J353)</f>
        <v>0</v>
      </c>
      <c r="AD353" s="59" t="n">
        <f aca="false">E353+AA353*AQ353</f>
        <v>0</v>
      </c>
      <c r="AE353" s="59" t="n">
        <f aca="false">F353+AB353*AQ353</f>
        <v>0</v>
      </c>
      <c r="AF353" s="59" t="n">
        <f aca="false">G353+AC353*AQ353</f>
        <v>0</v>
      </c>
      <c r="AG353" s="59" t="n">
        <f aca="false">H353+I353+J353+(AA353+AB353+AC353)*(1-AQ353)</f>
        <v>0</v>
      </c>
      <c r="AH353" s="60" t="n">
        <f aca="false">AD353*P1_PVP+AE353*P2_PVP+AF353*IF($A353&lt;P3_DESDE,P3A_PVP,P3_PVP)</f>
        <v>0</v>
      </c>
      <c r="AI353" s="60" t="n">
        <f aca="false">AD353*P1_CPROD+AE353*P2_CPROD+AF353*IF($A353&lt;P3_DESDE,P3A_CPROD,P3_CPROD)</f>
        <v>0</v>
      </c>
      <c r="AJ353" s="60" t="n">
        <f aca="false">IF(ISNUMBER(L353),L353,E353*P1_LOG+F353*P2_LOG+G353*P3_LOG)+IF(ISNUMBER(M353),M353,AA353*P1_LOG+AB353*P2_LOG+AC353*P3_LOG)*AQ353</f>
        <v>0</v>
      </c>
      <c r="AK353" s="60" t="n">
        <f aca="false">AG353*COSTE_DEV</f>
        <v>0</v>
      </c>
      <c r="AL353" s="60" t="n">
        <f aca="false">AD353*P1_IVAN+AE353*P2_IVAN+AF353*IF($A353&lt;P3_DESDE,P3A_IVAN,P3_IVAN)-AG353*IVA_DEV</f>
        <v>0</v>
      </c>
      <c r="AM353" s="60" t="n">
        <f aca="false">N353*(1+RECARGO_ADS)</f>
        <v>0</v>
      </c>
      <c r="AN353" s="58" t="n">
        <f aca="false">IF(ISNUMBER(L353),E353+F353+G353+AA353+AB353+AC353,0)</f>
        <v>0</v>
      </c>
      <c r="AO353" s="60" t="n">
        <f aca="false">P353*COMISION</f>
        <v>0</v>
      </c>
      <c r="AP353" s="58" t="n">
        <f aca="false">MIN(N(K353),Q353)</f>
        <v>0</v>
      </c>
      <c r="AQ353" s="61" t="n">
        <f aca="false">IF(Q353&gt;0,((Q353-AP353)*AT353+AP353*TASA_INC)/Q353,AT353)</f>
        <v>0.659887072235414</v>
      </c>
      <c r="AR353" s="58" t="n">
        <f aca="false">IF($A353&lt;FECHA_EXPORT,NETWORKDAYS($A353+1,FECHA_EXPORT,FESTIVOS),0)</f>
        <v>0</v>
      </c>
      <c r="AS353" s="61" t="n">
        <f aca="false">IF(AR353&gt;=5,1,INDEX(CDF_INC,1,AR353+1))</f>
        <v>0.14</v>
      </c>
      <c r="AT353" s="61" t="n">
        <f aca="false">TASA_USADA+(TASA_INC-TASA_USADA)*Q_INC*(1-AS353)/(1-Q_INC*AS353)</f>
        <v>0.659887072235414</v>
      </c>
    </row>
    <row r="354" customFormat="false" ht="15" hidden="false" customHeight="false" outlineLevel="0" collapsed="false">
      <c r="A354" s="53" t="n">
        <v>46648</v>
      </c>
      <c r="B354" s="54"/>
      <c r="C354" s="54"/>
      <c r="D354" s="54"/>
      <c r="E354" s="54"/>
      <c r="F354" s="54"/>
      <c r="G354" s="54"/>
      <c r="H354" s="54"/>
      <c r="I354" s="54"/>
      <c r="J354" s="54"/>
      <c r="K354" s="54"/>
      <c r="L354" s="55"/>
      <c r="M354" s="55"/>
      <c r="N354" s="55"/>
      <c r="O354" s="56"/>
      <c r="P354" s="31" t="n">
        <f aca="false">B354+C354+D354</f>
        <v>0</v>
      </c>
      <c r="Q354" s="31" t="n">
        <f aca="false">AA354+AB354+AC354</f>
        <v>0</v>
      </c>
      <c r="R354" s="32" t="n">
        <f aca="false">B354*P1_PVP+C354*P2_PVP+D354*IF($A354&lt;P3_DESDE,P3A_PVP,P3_PVP)</f>
        <v>0</v>
      </c>
      <c r="S354" s="32" t="str">
        <f aca="false">IF(P354&gt;0,R354/P354,"")</f>
        <v/>
      </c>
      <c r="T354" s="32" t="str">
        <f aca="false">IF(P354&gt;0,N354/P354,"")</f>
        <v/>
      </c>
      <c r="U354" s="57" t="str">
        <f aca="false">IF(N354&gt;0,R354/N354,"")</f>
        <v/>
      </c>
      <c r="V354" s="34" t="str">
        <f aca="false">IF(E354+F354+G354+H354+I354+J354&gt;0,(E354+F354+G354)/(E354+F354+G354+H354+I354+J354),"")</f>
        <v/>
      </c>
      <c r="W354" s="33" t="n">
        <f aca="false">E354*(P1_PVP-P1_CPROD)+F354*(P2_PVP-P2_CPROD)+G354*(IF($A354&lt;P3_DESDE,P3A_PVP,P3_PVP)-IF($A354&lt;P3_DESDE,P3A_CPROD,P3_CPROD))-IF(ISNUMBER(L354),L354,E354*P1_LOG+F354*P2_LOG+G354*P3_LOG)</f>
        <v>0</v>
      </c>
      <c r="X354" s="33" t="n">
        <f aca="false">W354-(E354*P1_IVAN+F354*P2_IVAN+G354*IF($A354&lt;P3_DESDE,P3A_IVAN,P3_IVAN))-(H354+I354+J354)*(COSTE_DEV-IVA_DEV)-AM354-AO354</f>
        <v>0</v>
      </c>
      <c r="Y354" s="33" t="n">
        <f aca="false">AH354-AI354-AJ354-AK354-AL354-AM354-AO354</f>
        <v>0</v>
      </c>
      <c r="AA354" s="58" t="n">
        <f aca="false">MAX(0,B354-E354-H354)</f>
        <v>0</v>
      </c>
      <c r="AB354" s="58" t="n">
        <f aca="false">MAX(0,C354-F354-I354)</f>
        <v>0</v>
      </c>
      <c r="AC354" s="58" t="n">
        <f aca="false">MAX(0,D354-G354-J354)</f>
        <v>0</v>
      </c>
      <c r="AD354" s="59" t="n">
        <f aca="false">E354+AA354*AQ354</f>
        <v>0</v>
      </c>
      <c r="AE354" s="59" t="n">
        <f aca="false">F354+AB354*AQ354</f>
        <v>0</v>
      </c>
      <c r="AF354" s="59" t="n">
        <f aca="false">G354+AC354*AQ354</f>
        <v>0</v>
      </c>
      <c r="AG354" s="59" t="n">
        <f aca="false">H354+I354+J354+(AA354+AB354+AC354)*(1-AQ354)</f>
        <v>0</v>
      </c>
      <c r="AH354" s="60" t="n">
        <f aca="false">AD354*P1_PVP+AE354*P2_PVP+AF354*IF($A354&lt;P3_DESDE,P3A_PVP,P3_PVP)</f>
        <v>0</v>
      </c>
      <c r="AI354" s="60" t="n">
        <f aca="false">AD354*P1_CPROD+AE354*P2_CPROD+AF354*IF($A354&lt;P3_DESDE,P3A_CPROD,P3_CPROD)</f>
        <v>0</v>
      </c>
      <c r="AJ354" s="60" t="n">
        <f aca="false">IF(ISNUMBER(L354),L354,E354*P1_LOG+F354*P2_LOG+G354*P3_LOG)+IF(ISNUMBER(M354),M354,AA354*P1_LOG+AB354*P2_LOG+AC354*P3_LOG)*AQ354</f>
        <v>0</v>
      </c>
      <c r="AK354" s="60" t="n">
        <f aca="false">AG354*COSTE_DEV</f>
        <v>0</v>
      </c>
      <c r="AL354" s="60" t="n">
        <f aca="false">AD354*P1_IVAN+AE354*P2_IVAN+AF354*IF($A354&lt;P3_DESDE,P3A_IVAN,P3_IVAN)-AG354*IVA_DEV</f>
        <v>0</v>
      </c>
      <c r="AM354" s="60" t="n">
        <f aca="false">N354*(1+RECARGO_ADS)</f>
        <v>0</v>
      </c>
      <c r="AN354" s="58" t="n">
        <f aca="false">IF(ISNUMBER(L354),E354+F354+G354+AA354+AB354+AC354,0)</f>
        <v>0</v>
      </c>
      <c r="AO354" s="60" t="n">
        <f aca="false">P354*COMISION</f>
        <v>0</v>
      </c>
      <c r="AP354" s="58" t="n">
        <f aca="false">MIN(N(K354),Q354)</f>
        <v>0</v>
      </c>
      <c r="AQ354" s="61" t="n">
        <f aca="false">IF(Q354&gt;0,((Q354-AP354)*AT354+AP354*TASA_INC)/Q354,AT354)</f>
        <v>0.659887072235414</v>
      </c>
      <c r="AR354" s="58" t="n">
        <f aca="false">IF($A354&lt;FECHA_EXPORT,NETWORKDAYS($A354+1,FECHA_EXPORT,FESTIVOS),0)</f>
        <v>0</v>
      </c>
      <c r="AS354" s="61" t="n">
        <f aca="false">IF(AR354&gt;=5,1,INDEX(CDF_INC,1,AR354+1))</f>
        <v>0.14</v>
      </c>
      <c r="AT354" s="61" t="n">
        <f aca="false">TASA_USADA+(TASA_INC-TASA_USADA)*Q_INC*(1-AS354)/(1-Q_INC*AS354)</f>
        <v>0.659887072235414</v>
      </c>
    </row>
    <row r="355" customFormat="false" ht="15" hidden="false" customHeight="false" outlineLevel="0" collapsed="false">
      <c r="A355" s="53" t="n">
        <v>46649</v>
      </c>
      <c r="B355" s="54"/>
      <c r="C355" s="54"/>
      <c r="D355" s="54"/>
      <c r="E355" s="54"/>
      <c r="F355" s="54"/>
      <c r="G355" s="54"/>
      <c r="H355" s="54"/>
      <c r="I355" s="54"/>
      <c r="J355" s="54"/>
      <c r="K355" s="54"/>
      <c r="L355" s="55"/>
      <c r="M355" s="55"/>
      <c r="N355" s="55"/>
      <c r="O355" s="56"/>
      <c r="P355" s="31" t="n">
        <f aca="false">B355+C355+D355</f>
        <v>0</v>
      </c>
      <c r="Q355" s="31" t="n">
        <f aca="false">AA355+AB355+AC355</f>
        <v>0</v>
      </c>
      <c r="R355" s="32" t="n">
        <f aca="false">B355*P1_PVP+C355*P2_PVP+D355*IF($A355&lt;P3_DESDE,P3A_PVP,P3_PVP)</f>
        <v>0</v>
      </c>
      <c r="S355" s="32" t="str">
        <f aca="false">IF(P355&gt;0,R355/P355,"")</f>
        <v/>
      </c>
      <c r="T355" s="32" t="str">
        <f aca="false">IF(P355&gt;0,N355/P355,"")</f>
        <v/>
      </c>
      <c r="U355" s="57" t="str">
        <f aca="false">IF(N355&gt;0,R355/N355,"")</f>
        <v/>
      </c>
      <c r="V355" s="34" t="str">
        <f aca="false">IF(E355+F355+G355+H355+I355+J355&gt;0,(E355+F355+G355)/(E355+F355+G355+H355+I355+J355),"")</f>
        <v/>
      </c>
      <c r="W355" s="33" t="n">
        <f aca="false">E355*(P1_PVP-P1_CPROD)+F355*(P2_PVP-P2_CPROD)+G355*(IF($A355&lt;P3_DESDE,P3A_PVP,P3_PVP)-IF($A355&lt;P3_DESDE,P3A_CPROD,P3_CPROD))-IF(ISNUMBER(L355),L355,E355*P1_LOG+F355*P2_LOG+G355*P3_LOG)</f>
        <v>0</v>
      </c>
      <c r="X355" s="33" t="n">
        <f aca="false">W355-(E355*P1_IVAN+F355*P2_IVAN+G355*IF($A355&lt;P3_DESDE,P3A_IVAN,P3_IVAN))-(H355+I355+J355)*(COSTE_DEV-IVA_DEV)-AM355-AO355</f>
        <v>0</v>
      </c>
      <c r="Y355" s="33" t="n">
        <f aca="false">AH355-AI355-AJ355-AK355-AL355-AM355-AO355</f>
        <v>0</v>
      </c>
      <c r="AA355" s="58" t="n">
        <f aca="false">MAX(0,B355-E355-H355)</f>
        <v>0</v>
      </c>
      <c r="AB355" s="58" t="n">
        <f aca="false">MAX(0,C355-F355-I355)</f>
        <v>0</v>
      </c>
      <c r="AC355" s="58" t="n">
        <f aca="false">MAX(0,D355-G355-J355)</f>
        <v>0</v>
      </c>
      <c r="AD355" s="59" t="n">
        <f aca="false">E355+AA355*AQ355</f>
        <v>0</v>
      </c>
      <c r="AE355" s="59" t="n">
        <f aca="false">F355+AB355*AQ355</f>
        <v>0</v>
      </c>
      <c r="AF355" s="59" t="n">
        <f aca="false">G355+AC355*AQ355</f>
        <v>0</v>
      </c>
      <c r="AG355" s="59" t="n">
        <f aca="false">H355+I355+J355+(AA355+AB355+AC355)*(1-AQ355)</f>
        <v>0</v>
      </c>
      <c r="AH355" s="60" t="n">
        <f aca="false">AD355*P1_PVP+AE355*P2_PVP+AF355*IF($A355&lt;P3_DESDE,P3A_PVP,P3_PVP)</f>
        <v>0</v>
      </c>
      <c r="AI355" s="60" t="n">
        <f aca="false">AD355*P1_CPROD+AE355*P2_CPROD+AF355*IF($A355&lt;P3_DESDE,P3A_CPROD,P3_CPROD)</f>
        <v>0</v>
      </c>
      <c r="AJ355" s="60" t="n">
        <f aca="false">IF(ISNUMBER(L355),L355,E355*P1_LOG+F355*P2_LOG+G355*P3_LOG)+IF(ISNUMBER(M355),M355,AA355*P1_LOG+AB355*P2_LOG+AC355*P3_LOG)*AQ355</f>
        <v>0</v>
      </c>
      <c r="AK355" s="60" t="n">
        <f aca="false">AG355*COSTE_DEV</f>
        <v>0</v>
      </c>
      <c r="AL355" s="60" t="n">
        <f aca="false">AD355*P1_IVAN+AE355*P2_IVAN+AF355*IF($A355&lt;P3_DESDE,P3A_IVAN,P3_IVAN)-AG355*IVA_DEV</f>
        <v>0</v>
      </c>
      <c r="AM355" s="60" t="n">
        <f aca="false">N355*(1+RECARGO_ADS)</f>
        <v>0</v>
      </c>
      <c r="AN355" s="58" t="n">
        <f aca="false">IF(ISNUMBER(L355),E355+F355+G355+AA355+AB355+AC355,0)</f>
        <v>0</v>
      </c>
      <c r="AO355" s="60" t="n">
        <f aca="false">P355*COMISION</f>
        <v>0</v>
      </c>
      <c r="AP355" s="58" t="n">
        <f aca="false">MIN(N(K355),Q355)</f>
        <v>0</v>
      </c>
      <c r="AQ355" s="61" t="n">
        <f aca="false">IF(Q355&gt;0,((Q355-AP355)*AT355+AP355*TASA_INC)/Q355,AT355)</f>
        <v>0.659887072235414</v>
      </c>
      <c r="AR355" s="58" t="n">
        <f aca="false">IF($A355&lt;FECHA_EXPORT,NETWORKDAYS($A355+1,FECHA_EXPORT,FESTIVOS),0)</f>
        <v>0</v>
      </c>
      <c r="AS355" s="61" t="n">
        <f aca="false">IF(AR355&gt;=5,1,INDEX(CDF_INC,1,AR355+1))</f>
        <v>0.14</v>
      </c>
      <c r="AT355" s="61" t="n">
        <f aca="false">TASA_USADA+(TASA_INC-TASA_USADA)*Q_INC*(1-AS355)/(1-Q_INC*AS355)</f>
        <v>0.659887072235414</v>
      </c>
    </row>
    <row r="356" customFormat="false" ht="15" hidden="false" customHeight="false" outlineLevel="0" collapsed="false">
      <c r="A356" s="53" t="n">
        <v>46650</v>
      </c>
      <c r="B356" s="54"/>
      <c r="C356" s="54"/>
      <c r="D356" s="54"/>
      <c r="E356" s="54"/>
      <c r="F356" s="54"/>
      <c r="G356" s="54"/>
      <c r="H356" s="54"/>
      <c r="I356" s="54"/>
      <c r="J356" s="54"/>
      <c r="K356" s="54"/>
      <c r="L356" s="55"/>
      <c r="M356" s="55"/>
      <c r="N356" s="55"/>
      <c r="O356" s="56"/>
      <c r="P356" s="31" t="n">
        <f aca="false">B356+C356+D356</f>
        <v>0</v>
      </c>
      <c r="Q356" s="31" t="n">
        <f aca="false">AA356+AB356+AC356</f>
        <v>0</v>
      </c>
      <c r="R356" s="32" t="n">
        <f aca="false">B356*P1_PVP+C356*P2_PVP+D356*IF($A356&lt;P3_DESDE,P3A_PVP,P3_PVP)</f>
        <v>0</v>
      </c>
      <c r="S356" s="32" t="str">
        <f aca="false">IF(P356&gt;0,R356/P356,"")</f>
        <v/>
      </c>
      <c r="T356" s="32" t="str">
        <f aca="false">IF(P356&gt;0,N356/P356,"")</f>
        <v/>
      </c>
      <c r="U356" s="57" t="str">
        <f aca="false">IF(N356&gt;0,R356/N356,"")</f>
        <v/>
      </c>
      <c r="V356" s="34" t="str">
        <f aca="false">IF(E356+F356+G356+H356+I356+J356&gt;0,(E356+F356+G356)/(E356+F356+G356+H356+I356+J356),"")</f>
        <v/>
      </c>
      <c r="W356" s="33" t="n">
        <f aca="false">E356*(P1_PVP-P1_CPROD)+F356*(P2_PVP-P2_CPROD)+G356*(IF($A356&lt;P3_DESDE,P3A_PVP,P3_PVP)-IF($A356&lt;P3_DESDE,P3A_CPROD,P3_CPROD))-IF(ISNUMBER(L356),L356,E356*P1_LOG+F356*P2_LOG+G356*P3_LOG)</f>
        <v>0</v>
      </c>
      <c r="X356" s="33" t="n">
        <f aca="false">W356-(E356*P1_IVAN+F356*P2_IVAN+G356*IF($A356&lt;P3_DESDE,P3A_IVAN,P3_IVAN))-(H356+I356+J356)*(COSTE_DEV-IVA_DEV)-AM356-AO356</f>
        <v>0</v>
      </c>
      <c r="Y356" s="33" t="n">
        <f aca="false">AH356-AI356-AJ356-AK356-AL356-AM356-AO356</f>
        <v>0</v>
      </c>
      <c r="AA356" s="58" t="n">
        <f aca="false">MAX(0,B356-E356-H356)</f>
        <v>0</v>
      </c>
      <c r="AB356" s="58" t="n">
        <f aca="false">MAX(0,C356-F356-I356)</f>
        <v>0</v>
      </c>
      <c r="AC356" s="58" t="n">
        <f aca="false">MAX(0,D356-G356-J356)</f>
        <v>0</v>
      </c>
      <c r="AD356" s="59" t="n">
        <f aca="false">E356+AA356*AQ356</f>
        <v>0</v>
      </c>
      <c r="AE356" s="59" t="n">
        <f aca="false">F356+AB356*AQ356</f>
        <v>0</v>
      </c>
      <c r="AF356" s="59" t="n">
        <f aca="false">G356+AC356*AQ356</f>
        <v>0</v>
      </c>
      <c r="AG356" s="59" t="n">
        <f aca="false">H356+I356+J356+(AA356+AB356+AC356)*(1-AQ356)</f>
        <v>0</v>
      </c>
      <c r="AH356" s="60" t="n">
        <f aca="false">AD356*P1_PVP+AE356*P2_PVP+AF356*IF($A356&lt;P3_DESDE,P3A_PVP,P3_PVP)</f>
        <v>0</v>
      </c>
      <c r="AI356" s="60" t="n">
        <f aca="false">AD356*P1_CPROD+AE356*P2_CPROD+AF356*IF($A356&lt;P3_DESDE,P3A_CPROD,P3_CPROD)</f>
        <v>0</v>
      </c>
      <c r="AJ356" s="60" t="n">
        <f aca="false">IF(ISNUMBER(L356),L356,E356*P1_LOG+F356*P2_LOG+G356*P3_LOG)+IF(ISNUMBER(M356),M356,AA356*P1_LOG+AB356*P2_LOG+AC356*P3_LOG)*AQ356</f>
        <v>0</v>
      </c>
      <c r="AK356" s="60" t="n">
        <f aca="false">AG356*COSTE_DEV</f>
        <v>0</v>
      </c>
      <c r="AL356" s="60" t="n">
        <f aca="false">AD356*P1_IVAN+AE356*P2_IVAN+AF356*IF($A356&lt;P3_DESDE,P3A_IVAN,P3_IVAN)-AG356*IVA_DEV</f>
        <v>0</v>
      </c>
      <c r="AM356" s="60" t="n">
        <f aca="false">N356*(1+RECARGO_ADS)</f>
        <v>0</v>
      </c>
      <c r="AN356" s="58" t="n">
        <f aca="false">IF(ISNUMBER(L356),E356+F356+G356+AA356+AB356+AC356,0)</f>
        <v>0</v>
      </c>
      <c r="AO356" s="60" t="n">
        <f aca="false">P356*COMISION</f>
        <v>0</v>
      </c>
      <c r="AP356" s="58" t="n">
        <f aca="false">MIN(N(K356),Q356)</f>
        <v>0</v>
      </c>
      <c r="AQ356" s="61" t="n">
        <f aca="false">IF(Q356&gt;0,((Q356-AP356)*AT356+AP356*TASA_INC)/Q356,AT356)</f>
        <v>0.659887072235414</v>
      </c>
      <c r="AR356" s="58" t="n">
        <f aca="false">IF($A356&lt;FECHA_EXPORT,NETWORKDAYS($A356+1,FECHA_EXPORT,FESTIVOS),0)</f>
        <v>0</v>
      </c>
      <c r="AS356" s="61" t="n">
        <f aca="false">IF(AR356&gt;=5,1,INDEX(CDF_INC,1,AR356+1))</f>
        <v>0.14</v>
      </c>
      <c r="AT356" s="61" t="n">
        <f aca="false">TASA_USADA+(TASA_INC-TASA_USADA)*Q_INC*(1-AS356)/(1-Q_INC*AS356)</f>
        <v>0.659887072235414</v>
      </c>
    </row>
    <row r="357" customFormat="false" ht="15" hidden="false" customHeight="false" outlineLevel="0" collapsed="false">
      <c r="A357" s="53" t="n">
        <v>46651</v>
      </c>
      <c r="B357" s="54"/>
      <c r="C357" s="54"/>
      <c r="D357" s="54"/>
      <c r="E357" s="54"/>
      <c r="F357" s="54"/>
      <c r="G357" s="54"/>
      <c r="H357" s="54"/>
      <c r="I357" s="54"/>
      <c r="J357" s="54"/>
      <c r="K357" s="54"/>
      <c r="L357" s="55"/>
      <c r="M357" s="55"/>
      <c r="N357" s="55"/>
      <c r="O357" s="56"/>
      <c r="P357" s="31" t="n">
        <f aca="false">B357+C357+D357</f>
        <v>0</v>
      </c>
      <c r="Q357" s="31" t="n">
        <f aca="false">AA357+AB357+AC357</f>
        <v>0</v>
      </c>
      <c r="R357" s="32" t="n">
        <f aca="false">B357*P1_PVP+C357*P2_PVP+D357*IF($A357&lt;P3_DESDE,P3A_PVP,P3_PVP)</f>
        <v>0</v>
      </c>
      <c r="S357" s="32" t="str">
        <f aca="false">IF(P357&gt;0,R357/P357,"")</f>
        <v/>
      </c>
      <c r="T357" s="32" t="str">
        <f aca="false">IF(P357&gt;0,N357/P357,"")</f>
        <v/>
      </c>
      <c r="U357" s="57" t="str">
        <f aca="false">IF(N357&gt;0,R357/N357,"")</f>
        <v/>
      </c>
      <c r="V357" s="34" t="str">
        <f aca="false">IF(E357+F357+G357+H357+I357+J357&gt;0,(E357+F357+G357)/(E357+F357+G357+H357+I357+J357),"")</f>
        <v/>
      </c>
      <c r="W357" s="33" t="n">
        <f aca="false">E357*(P1_PVP-P1_CPROD)+F357*(P2_PVP-P2_CPROD)+G357*(IF($A357&lt;P3_DESDE,P3A_PVP,P3_PVP)-IF($A357&lt;P3_DESDE,P3A_CPROD,P3_CPROD))-IF(ISNUMBER(L357),L357,E357*P1_LOG+F357*P2_LOG+G357*P3_LOG)</f>
        <v>0</v>
      </c>
      <c r="X357" s="33" t="n">
        <f aca="false">W357-(E357*P1_IVAN+F357*P2_IVAN+G357*IF($A357&lt;P3_DESDE,P3A_IVAN,P3_IVAN))-(H357+I357+J357)*(COSTE_DEV-IVA_DEV)-AM357-AO357</f>
        <v>0</v>
      </c>
      <c r="Y357" s="33" t="n">
        <f aca="false">AH357-AI357-AJ357-AK357-AL357-AM357-AO357</f>
        <v>0</v>
      </c>
      <c r="AA357" s="58" t="n">
        <f aca="false">MAX(0,B357-E357-H357)</f>
        <v>0</v>
      </c>
      <c r="AB357" s="58" t="n">
        <f aca="false">MAX(0,C357-F357-I357)</f>
        <v>0</v>
      </c>
      <c r="AC357" s="58" t="n">
        <f aca="false">MAX(0,D357-G357-J357)</f>
        <v>0</v>
      </c>
      <c r="AD357" s="59" t="n">
        <f aca="false">E357+AA357*AQ357</f>
        <v>0</v>
      </c>
      <c r="AE357" s="59" t="n">
        <f aca="false">F357+AB357*AQ357</f>
        <v>0</v>
      </c>
      <c r="AF357" s="59" t="n">
        <f aca="false">G357+AC357*AQ357</f>
        <v>0</v>
      </c>
      <c r="AG357" s="59" t="n">
        <f aca="false">H357+I357+J357+(AA357+AB357+AC357)*(1-AQ357)</f>
        <v>0</v>
      </c>
      <c r="AH357" s="60" t="n">
        <f aca="false">AD357*P1_PVP+AE357*P2_PVP+AF357*IF($A357&lt;P3_DESDE,P3A_PVP,P3_PVP)</f>
        <v>0</v>
      </c>
      <c r="AI357" s="60" t="n">
        <f aca="false">AD357*P1_CPROD+AE357*P2_CPROD+AF357*IF($A357&lt;P3_DESDE,P3A_CPROD,P3_CPROD)</f>
        <v>0</v>
      </c>
      <c r="AJ357" s="60" t="n">
        <f aca="false">IF(ISNUMBER(L357),L357,E357*P1_LOG+F357*P2_LOG+G357*P3_LOG)+IF(ISNUMBER(M357),M357,AA357*P1_LOG+AB357*P2_LOG+AC357*P3_LOG)*AQ357</f>
        <v>0</v>
      </c>
      <c r="AK357" s="60" t="n">
        <f aca="false">AG357*COSTE_DEV</f>
        <v>0</v>
      </c>
      <c r="AL357" s="60" t="n">
        <f aca="false">AD357*P1_IVAN+AE357*P2_IVAN+AF357*IF($A357&lt;P3_DESDE,P3A_IVAN,P3_IVAN)-AG357*IVA_DEV</f>
        <v>0</v>
      </c>
      <c r="AM357" s="60" t="n">
        <f aca="false">N357*(1+RECARGO_ADS)</f>
        <v>0</v>
      </c>
      <c r="AN357" s="58" t="n">
        <f aca="false">IF(ISNUMBER(L357),E357+F357+G357+AA357+AB357+AC357,0)</f>
        <v>0</v>
      </c>
      <c r="AO357" s="60" t="n">
        <f aca="false">P357*COMISION</f>
        <v>0</v>
      </c>
      <c r="AP357" s="58" t="n">
        <f aca="false">MIN(N(K357),Q357)</f>
        <v>0</v>
      </c>
      <c r="AQ357" s="61" t="n">
        <f aca="false">IF(Q357&gt;0,((Q357-AP357)*AT357+AP357*TASA_INC)/Q357,AT357)</f>
        <v>0.659887072235414</v>
      </c>
      <c r="AR357" s="58" t="n">
        <f aca="false">IF($A357&lt;FECHA_EXPORT,NETWORKDAYS($A357+1,FECHA_EXPORT,FESTIVOS),0)</f>
        <v>0</v>
      </c>
      <c r="AS357" s="61" t="n">
        <f aca="false">IF(AR357&gt;=5,1,INDEX(CDF_INC,1,AR357+1))</f>
        <v>0.14</v>
      </c>
      <c r="AT357" s="61" t="n">
        <f aca="false">TASA_USADA+(TASA_INC-TASA_USADA)*Q_INC*(1-AS357)/(1-Q_INC*AS357)</f>
        <v>0.659887072235414</v>
      </c>
    </row>
    <row r="358" customFormat="false" ht="15" hidden="false" customHeight="false" outlineLevel="0" collapsed="false">
      <c r="A358" s="53" t="n">
        <v>46652</v>
      </c>
      <c r="B358" s="54"/>
      <c r="C358" s="54"/>
      <c r="D358" s="54"/>
      <c r="E358" s="54"/>
      <c r="F358" s="54"/>
      <c r="G358" s="54"/>
      <c r="H358" s="54"/>
      <c r="I358" s="54"/>
      <c r="J358" s="54"/>
      <c r="K358" s="54"/>
      <c r="L358" s="55"/>
      <c r="M358" s="55"/>
      <c r="N358" s="55"/>
      <c r="O358" s="56"/>
      <c r="P358" s="31" t="n">
        <f aca="false">B358+C358+D358</f>
        <v>0</v>
      </c>
      <c r="Q358" s="31" t="n">
        <f aca="false">AA358+AB358+AC358</f>
        <v>0</v>
      </c>
      <c r="R358" s="32" t="n">
        <f aca="false">B358*P1_PVP+C358*P2_PVP+D358*IF($A358&lt;P3_DESDE,P3A_PVP,P3_PVP)</f>
        <v>0</v>
      </c>
      <c r="S358" s="32" t="str">
        <f aca="false">IF(P358&gt;0,R358/P358,"")</f>
        <v/>
      </c>
      <c r="T358" s="32" t="str">
        <f aca="false">IF(P358&gt;0,N358/P358,"")</f>
        <v/>
      </c>
      <c r="U358" s="57" t="str">
        <f aca="false">IF(N358&gt;0,R358/N358,"")</f>
        <v/>
      </c>
      <c r="V358" s="34" t="str">
        <f aca="false">IF(E358+F358+G358+H358+I358+J358&gt;0,(E358+F358+G358)/(E358+F358+G358+H358+I358+J358),"")</f>
        <v/>
      </c>
      <c r="W358" s="33" t="n">
        <f aca="false">E358*(P1_PVP-P1_CPROD)+F358*(P2_PVP-P2_CPROD)+G358*(IF($A358&lt;P3_DESDE,P3A_PVP,P3_PVP)-IF($A358&lt;P3_DESDE,P3A_CPROD,P3_CPROD))-IF(ISNUMBER(L358),L358,E358*P1_LOG+F358*P2_LOG+G358*P3_LOG)</f>
        <v>0</v>
      </c>
      <c r="X358" s="33" t="n">
        <f aca="false">W358-(E358*P1_IVAN+F358*P2_IVAN+G358*IF($A358&lt;P3_DESDE,P3A_IVAN,P3_IVAN))-(H358+I358+J358)*(COSTE_DEV-IVA_DEV)-AM358-AO358</f>
        <v>0</v>
      </c>
      <c r="Y358" s="33" t="n">
        <f aca="false">AH358-AI358-AJ358-AK358-AL358-AM358-AO358</f>
        <v>0</v>
      </c>
      <c r="AA358" s="58" t="n">
        <f aca="false">MAX(0,B358-E358-H358)</f>
        <v>0</v>
      </c>
      <c r="AB358" s="58" t="n">
        <f aca="false">MAX(0,C358-F358-I358)</f>
        <v>0</v>
      </c>
      <c r="AC358" s="58" t="n">
        <f aca="false">MAX(0,D358-G358-J358)</f>
        <v>0</v>
      </c>
      <c r="AD358" s="59" t="n">
        <f aca="false">E358+AA358*AQ358</f>
        <v>0</v>
      </c>
      <c r="AE358" s="59" t="n">
        <f aca="false">F358+AB358*AQ358</f>
        <v>0</v>
      </c>
      <c r="AF358" s="59" t="n">
        <f aca="false">G358+AC358*AQ358</f>
        <v>0</v>
      </c>
      <c r="AG358" s="59" t="n">
        <f aca="false">H358+I358+J358+(AA358+AB358+AC358)*(1-AQ358)</f>
        <v>0</v>
      </c>
      <c r="AH358" s="60" t="n">
        <f aca="false">AD358*P1_PVP+AE358*P2_PVP+AF358*IF($A358&lt;P3_DESDE,P3A_PVP,P3_PVP)</f>
        <v>0</v>
      </c>
      <c r="AI358" s="60" t="n">
        <f aca="false">AD358*P1_CPROD+AE358*P2_CPROD+AF358*IF($A358&lt;P3_DESDE,P3A_CPROD,P3_CPROD)</f>
        <v>0</v>
      </c>
      <c r="AJ358" s="60" t="n">
        <f aca="false">IF(ISNUMBER(L358),L358,E358*P1_LOG+F358*P2_LOG+G358*P3_LOG)+IF(ISNUMBER(M358),M358,AA358*P1_LOG+AB358*P2_LOG+AC358*P3_LOG)*AQ358</f>
        <v>0</v>
      </c>
      <c r="AK358" s="60" t="n">
        <f aca="false">AG358*COSTE_DEV</f>
        <v>0</v>
      </c>
      <c r="AL358" s="60" t="n">
        <f aca="false">AD358*P1_IVAN+AE358*P2_IVAN+AF358*IF($A358&lt;P3_DESDE,P3A_IVAN,P3_IVAN)-AG358*IVA_DEV</f>
        <v>0</v>
      </c>
      <c r="AM358" s="60" t="n">
        <f aca="false">N358*(1+RECARGO_ADS)</f>
        <v>0</v>
      </c>
      <c r="AN358" s="58" t="n">
        <f aca="false">IF(ISNUMBER(L358),E358+F358+G358+AA358+AB358+AC358,0)</f>
        <v>0</v>
      </c>
      <c r="AO358" s="60" t="n">
        <f aca="false">P358*COMISION</f>
        <v>0</v>
      </c>
      <c r="AP358" s="58" t="n">
        <f aca="false">MIN(N(K358),Q358)</f>
        <v>0</v>
      </c>
      <c r="AQ358" s="61" t="n">
        <f aca="false">IF(Q358&gt;0,((Q358-AP358)*AT358+AP358*TASA_INC)/Q358,AT358)</f>
        <v>0.659887072235414</v>
      </c>
      <c r="AR358" s="58" t="n">
        <f aca="false">IF($A358&lt;FECHA_EXPORT,NETWORKDAYS($A358+1,FECHA_EXPORT,FESTIVOS),0)</f>
        <v>0</v>
      </c>
      <c r="AS358" s="61" t="n">
        <f aca="false">IF(AR358&gt;=5,1,INDEX(CDF_INC,1,AR358+1))</f>
        <v>0.14</v>
      </c>
      <c r="AT358" s="61" t="n">
        <f aca="false">TASA_USADA+(TASA_INC-TASA_USADA)*Q_INC*(1-AS358)/(1-Q_INC*AS358)</f>
        <v>0.659887072235414</v>
      </c>
    </row>
    <row r="359" customFormat="false" ht="15" hidden="false" customHeight="false" outlineLevel="0" collapsed="false">
      <c r="A359" s="53" t="n">
        <v>46653</v>
      </c>
      <c r="B359" s="54"/>
      <c r="C359" s="54"/>
      <c r="D359" s="54"/>
      <c r="E359" s="54"/>
      <c r="F359" s="54"/>
      <c r="G359" s="54"/>
      <c r="H359" s="54"/>
      <c r="I359" s="54"/>
      <c r="J359" s="54"/>
      <c r="K359" s="54"/>
      <c r="L359" s="55"/>
      <c r="M359" s="55"/>
      <c r="N359" s="55"/>
      <c r="O359" s="56"/>
      <c r="P359" s="31" t="n">
        <f aca="false">B359+C359+D359</f>
        <v>0</v>
      </c>
      <c r="Q359" s="31" t="n">
        <f aca="false">AA359+AB359+AC359</f>
        <v>0</v>
      </c>
      <c r="R359" s="32" t="n">
        <f aca="false">B359*P1_PVP+C359*P2_PVP+D359*IF($A359&lt;P3_DESDE,P3A_PVP,P3_PVP)</f>
        <v>0</v>
      </c>
      <c r="S359" s="32" t="str">
        <f aca="false">IF(P359&gt;0,R359/P359,"")</f>
        <v/>
      </c>
      <c r="T359" s="32" t="str">
        <f aca="false">IF(P359&gt;0,N359/P359,"")</f>
        <v/>
      </c>
      <c r="U359" s="57" t="str">
        <f aca="false">IF(N359&gt;0,R359/N359,"")</f>
        <v/>
      </c>
      <c r="V359" s="34" t="str">
        <f aca="false">IF(E359+F359+G359+H359+I359+J359&gt;0,(E359+F359+G359)/(E359+F359+G359+H359+I359+J359),"")</f>
        <v/>
      </c>
      <c r="W359" s="33" t="n">
        <f aca="false">E359*(P1_PVP-P1_CPROD)+F359*(P2_PVP-P2_CPROD)+G359*(IF($A359&lt;P3_DESDE,P3A_PVP,P3_PVP)-IF($A359&lt;P3_DESDE,P3A_CPROD,P3_CPROD))-IF(ISNUMBER(L359),L359,E359*P1_LOG+F359*P2_LOG+G359*P3_LOG)</f>
        <v>0</v>
      </c>
      <c r="X359" s="33" t="n">
        <f aca="false">W359-(E359*P1_IVAN+F359*P2_IVAN+G359*IF($A359&lt;P3_DESDE,P3A_IVAN,P3_IVAN))-(H359+I359+J359)*(COSTE_DEV-IVA_DEV)-AM359-AO359</f>
        <v>0</v>
      </c>
      <c r="Y359" s="33" t="n">
        <f aca="false">AH359-AI359-AJ359-AK359-AL359-AM359-AO359</f>
        <v>0</v>
      </c>
      <c r="AA359" s="58" t="n">
        <f aca="false">MAX(0,B359-E359-H359)</f>
        <v>0</v>
      </c>
      <c r="AB359" s="58" t="n">
        <f aca="false">MAX(0,C359-F359-I359)</f>
        <v>0</v>
      </c>
      <c r="AC359" s="58" t="n">
        <f aca="false">MAX(0,D359-G359-J359)</f>
        <v>0</v>
      </c>
      <c r="AD359" s="59" t="n">
        <f aca="false">E359+AA359*AQ359</f>
        <v>0</v>
      </c>
      <c r="AE359" s="59" t="n">
        <f aca="false">F359+AB359*AQ359</f>
        <v>0</v>
      </c>
      <c r="AF359" s="59" t="n">
        <f aca="false">G359+AC359*AQ359</f>
        <v>0</v>
      </c>
      <c r="AG359" s="59" t="n">
        <f aca="false">H359+I359+J359+(AA359+AB359+AC359)*(1-AQ359)</f>
        <v>0</v>
      </c>
      <c r="AH359" s="60" t="n">
        <f aca="false">AD359*P1_PVP+AE359*P2_PVP+AF359*IF($A359&lt;P3_DESDE,P3A_PVP,P3_PVP)</f>
        <v>0</v>
      </c>
      <c r="AI359" s="60" t="n">
        <f aca="false">AD359*P1_CPROD+AE359*P2_CPROD+AF359*IF($A359&lt;P3_DESDE,P3A_CPROD,P3_CPROD)</f>
        <v>0</v>
      </c>
      <c r="AJ359" s="60" t="n">
        <f aca="false">IF(ISNUMBER(L359),L359,E359*P1_LOG+F359*P2_LOG+G359*P3_LOG)+IF(ISNUMBER(M359),M359,AA359*P1_LOG+AB359*P2_LOG+AC359*P3_LOG)*AQ359</f>
        <v>0</v>
      </c>
      <c r="AK359" s="60" t="n">
        <f aca="false">AG359*COSTE_DEV</f>
        <v>0</v>
      </c>
      <c r="AL359" s="60" t="n">
        <f aca="false">AD359*P1_IVAN+AE359*P2_IVAN+AF359*IF($A359&lt;P3_DESDE,P3A_IVAN,P3_IVAN)-AG359*IVA_DEV</f>
        <v>0</v>
      </c>
      <c r="AM359" s="60" t="n">
        <f aca="false">N359*(1+RECARGO_ADS)</f>
        <v>0</v>
      </c>
      <c r="AN359" s="58" t="n">
        <f aca="false">IF(ISNUMBER(L359),E359+F359+G359+AA359+AB359+AC359,0)</f>
        <v>0</v>
      </c>
      <c r="AO359" s="60" t="n">
        <f aca="false">P359*COMISION</f>
        <v>0</v>
      </c>
      <c r="AP359" s="58" t="n">
        <f aca="false">MIN(N(K359),Q359)</f>
        <v>0</v>
      </c>
      <c r="AQ359" s="61" t="n">
        <f aca="false">IF(Q359&gt;0,((Q359-AP359)*AT359+AP359*TASA_INC)/Q359,AT359)</f>
        <v>0.659887072235414</v>
      </c>
      <c r="AR359" s="58" t="n">
        <f aca="false">IF($A359&lt;FECHA_EXPORT,NETWORKDAYS($A359+1,FECHA_EXPORT,FESTIVOS),0)</f>
        <v>0</v>
      </c>
      <c r="AS359" s="61" t="n">
        <f aca="false">IF(AR359&gt;=5,1,INDEX(CDF_INC,1,AR359+1))</f>
        <v>0.14</v>
      </c>
      <c r="AT359" s="61" t="n">
        <f aca="false">TASA_USADA+(TASA_INC-TASA_USADA)*Q_INC*(1-AS359)/(1-Q_INC*AS359)</f>
        <v>0.659887072235414</v>
      </c>
    </row>
    <row r="360" customFormat="false" ht="15" hidden="false" customHeight="false" outlineLevel="0" collapsed="false">
      <c r="A360" s="53" t="n">
        <v>46654</v>
      </c>
      <c r="B360" s="54"/>
      <c r="C360" s="54"/>
      <c r="D360" s="54"/>
      <c r="E360" s="54"/>
      <c r="F360" s="54"/>
      <c r="G360" s="54"/>
      <c r="H360" s="54"/>
      <c r="I360" s="54"/>
      <c r="J360" s="54"/>
      <c r="K360" s="54"/>
      <c r="L360" s="55"/>
      <c r="M360" s="55"/>
      <c r="N360" s="55"/>
      <c r="O360" s="56"/>
      <c r="P360" s="31" t="n">
        <f aca="false">B360+C360+D360</f>
        <v>0</v>
      </c>
      <c r="Q360" s="31" t="n">
        <f aca="false">AA360+AB360+AC360</f>
        <v>0</v>
      </c>
      <c r="R360" s="32" t="n">
        <f aca="false">B360*P1_PVP+C360*P2_PVP+D360*IF($A360&lt;P3_DESDE,P3A_PVP,P3_PVP)</f>
        <v>0</v>
      </c>
      <c r="S360" s="32" t="str">
        <f aca="false">IF(P360&gt;0,R360/P360,"")</f>
        <v/>
      </c>
      <c r="T360" s="32" t="str">
        <f aca="false">IF(P360&gt;0,N360/P360,"")</f>
        <v/>
      </c>
      <c r="U360" s="57" t="str">
        <f aca="false">IF(N360&gt;0,R360/N360,"")</f>
        <v/>
      </c>
      <c r="V360" s="34" t="str">
        <f aca="false">IF(E360+F360+G360+H360+I360+J360&gt;0,(E360+F360+G360)/(E360+F360+G360+H360+I360+J360),"")</f>
        <v/>
      </c>
      <c r="W360" s="33" t="n">
        <f aca="false">E360*(P1_PVP-P1_CPROD)+F360*(P2_PVP-P2_CPROD)+G360*(IF($A360&lt;P3_DESDE,P3A_PVP,P3_PVP)-IF($A360&lt;P3_DESDE,P3A_CPROD,P3_CPROD))-IF(ISNUMBER(L360),L360,E360*P1_LOG+F360*P2_LOG+G360*P3_LOG)</f>
        <v>0</v>
      </c>
      <c r="X360" s="33" t="n">
        <f aca="false">W360-(E360*P1_IVAN+F360*P2_IVAN+G360*IF($A360&lt;P3_DESDE,P3A_IVAN,P3_IVAN))-(H360+I360+J360)*(COSTE_DEV-IVA_DEV)-AM360-AO360</f>
        <v>0</v>
      </c>
      <c r="Y360" s="33" t="n">
        <f aca="false">AH360-AI360-AJ360-AK360-AL360-AM360-AO360</f>
        <v>0</v>
      </c>
      <c r="AA360" s="58" t="n">
        <f aca="false">MAX(0,B360-E360-H360)</f>
        <v>0</v>
      </c>
      <c r="AB360" s="58" t="n">
        <f aca="false">MAX(0,C360-F360-I360)</f>
        <v>0</v>
      </c>
      <c r="AC360" s="58" t="n">
        <f aca="false">MAX(0,D360-G360-J360)</f>
        <v>0</v>
      </c>
      <c r="AD360" s="59" t="n">
        <f aca="false">E360+AA360*AQ360</f>
        <v>0</v>
      </c>
      <c r="AE360" s="59" t="n">
        <f aca="false">F360+AB360*AQ360</f>
        <v>0</v>
      </c>
      <c r="AF360" s="59" t="n">
        <f aca="false">G360+AC360*AQ360</f>
        <v>0</v>
      </c>
      <c r="AG360" s="59" t="n">
        <f aca="false">H360+I360+J360+(AA360+AB360+AC360)*(1-AQ360)</f>
        <v>0</v>
      </c>
      <c r="AH360" s="60" t="n">
        <f aca="false">AD360*P1_PVP+AE360*P2_PVP+AF360*IF($A360&lt;P3_DESDE,P3A_PVP,P3_PVP)</f>
        <v>0</v>
      </c>
      <c r="AI360" s="60" t="n">
        <f aca="false">AD360*P1_CPROD+AE360*P2_CPROD+AF360*IF($A360&lt;P3_DESDE,P3A_CPROD,P3_CPROD)</f>
        <v>0</v>
      </c>
      <c r="AJ360" s="60" t="n">
        <f aca="false">IF(ISNUMBER(L360),L360,E360*P1_LOG+F360*P2_LOG+G360*P3_LOG)+IF(ISNUMBER(M360),M360,AA360*P1_LOG+AB360*P2_LOG+AC360*P3_LOG)*AQ360</f>
        <v>0</v>
      </c>
      <c r="AK360" s="60" t="n">
        <f aca="false">AG360*COSTE_DEV</f>
        <v>0</v>
      </c>
      <c r="AL360" s="60" t="n">
        <f aca="false">AD360*P1_IVAN+AE360*P2_IVAN+AF360*IF($A360&lt;P3_DESDE,P3A_IVAN,P3_IVAN)-AG360*IVA_DEV</f>
        <v>0</v>
      </c>
      <c r="AM360" s="60" t="n">
        <f aca="false">N360*(1+RECARGO_ADS)</f>
        <v>0</v>
      </c>
      <c r="AN360" s="58" t="n">
        <f aca="false">IF(ISNUMBER(L360),E360+F360+G360+AA360+AB360+AC360,0)</f>
        <v>0</v>
      </c>
      <c r="AO360" s="60" t="n">
        <f aca="false">P360*COMISION</f>
        <v>0</v>
      </c>
      <c r="AP360" s="58" t="n">
        <f aca="false">MIN(N(K360),Q360)</f>
        <v>0</v>
      </c>
      <c r="AQ360" s="61" t="n">
        <f aca="false">IF(Q360&gt;0,((Q360-AP360)*AT360+AP360*TASA_INC)/Q360,AT360)</f>
        <v>0.659887072235414</v>
      </c>
      <c r="AR360" s="58" t="n">
        <f aca="false">IF($A360&lt;FECHA_EXPORT,NETWORKDAYS($A360+1,FECHA_EXPORT,FESTIVOS),0)</f>
        <v>0</v>
      </c>
      <c r="AS360" s="61" t="n">
        <f aca="false">IF(AR360&gt;=5,1,INDEX(CDF_INC,1,AR360+1))</f>
        <v>0.14</v>
      </c>
      <c r="AT360" s="61" t="n">
        <f aca="false">TASA_USADA+(TASA_INC-TASA_USADA)*Q_INC*(1-AS360)/(1-Q_INC*AS360)</f>
        <v>0.659887072235414</v>
      </c>
    </row>
    <row r="361" customFormat="false" ht="15" hidden="false" customHeight="false" outlineLevel="0" collapsed="false">
      <c r="A361" s="53" t="n">
        <v>46655</v>
      </c>
      <c r="B361" s="54"/>
      <c r="C361" s="54"/>
      <c r="D361" s="54"/>
      <c r="E361" s="54"/>
      <c r="F361" s="54"/>
      <c r="G361" s="54"/>
      <c r="H361" s="54"/>
      <c r="I361" s="54"/>
      <c r="J361" s="54"/>
      <c r="K361" s="54"/>
      <c r="L361" s="55"/>
      <c r="M361" s="55"/>
      <c r="N361" s="55"/>
      <c r="O361" s="56"/>
      <c r="P361" s="31" t="n">
        <f aca="false">B361+C361+D361</f>
        <v>0</v>
      </c>
      <c r="Q361" s="31" t="n">
        <f aca="false">AA361+AB361+AC361</f>
        <v>0</v>
      </c>
      <c r="R361" s="32" t="n">
        <f aca="false">B361*P1_PVP+C361*P2_PVP+D361*IF($A361&lt;P3_DESDE,P3A_PVP,P3_PVP)</f>
        <v>0</v>
      </c>
      <c r="S361" s="32" t="str">
        <f aca="false">IF(P361&gt;0,R361/P361,"")</f>
        <v/>
      </c>
      <c r="T361" s="32" t="str">
        <f aca="false">IF(P361&gt;0,N361/P361,"")</f>
        <v/>
      </c>
      <c r="U361" s="57" t="str">
        <f aca="false">IF(N361&gt;0,R361/N361,"")</f>
        <v/>
      </c>
      <c r="V361" s="34" t="str">
        <f aca="false">IF(E361+F361+G361+H361+I361+J361&gt;0,(E361+F361+G361)/(E361+F361+G361+H361+I361+J361),"")</f>
        <v/>
      </c>
      <c r="W361" s="33" t="n">
        <f aca="false">E361*(P1_PVP-P1_CPROD)+F361*(P2_PVP-P2_CPROD)+G361*(IF($A361&lt;P3_DESDE,P3A_PVP,P3_PVP)-IF($A361&lt;P3_DESDE,P3A_CPROD,P3_CPROD))-IF(ISNUMBER(L361),L361,E361*P1_LOG+F361*P2_LOG+G361*P3_LOG)</f>
        <v>0</v>
      </c>
      <c r="X361" s="33" t="n">
        <f aca="false">W361-(E361*P1_IVAN+F361*P2_IVAN+G361*IF($A361&lt;P3_DESDE,P3A_IVAN,P3_IVAN))-(H361+I361+J361)*(COSTE_DEV-IVA_DEV)-AM361-AO361</f>
        <v>0</v>
      </c>
      <c r="Y361" s="33" t="n">
        <f aca="false">AH361-AI361-AJ361-AK361-AL361-AM361-AO361</f>
        <v>0</v>
      </c>
      <c r="AA361" s="58" t="n">
        <f aca="false">MAX(0,B361-E361-H361)</f>
        <v>0</v>
      </c>
      <c r="AB361" s="58" t="n">
        <f aca="false">MAX(0,C361-F361-I361)</f>
        <v>0</v>
      </c>
      <c r="AC361" s="58" t="n">
        <f aca="false">MAX(0,D361-G361-J361)</f>
        <v>0</v>
      </c>
      <c r="AD361" s="59" t="n">
        <f aca="false">E361+AA361*AQ361</f>
        <v>0</v>
      </c>
      <c r="AE361" s="59" t="n">
        <f aca="false">F361+AB361*AQ361</f>
        <v>0</v>
      </c>
      <c r="AF361" s="59" t="n">
        <f aca="false">G361+AC361*AQ361</f>
        <v>0</v>
      </c>
      <c r="AG361" s="59" t="n">
        <f aca="false">H361+I361+J361+(AA361+AB361+AC361)*(1-AQ361)</f>
        <v>0</v>
      </c>
      <c r="AH361" s="60" t="n">
        <f aca="false">AD361*P1_PVP+AE361*P2_PVP+AF361*IF($A361&lt;P3_DESDE,P3A_PVP,P3_PVP)</f>
        <v>0</v>
      </c>
      <c r="AI361" s="60" t="n">
        <f aca="false">AD361*P1_CPROD+AE361*P2_CPROD+AF361*IF($A361&lt;P3_DESDE,P3A_CPROD,P3_CPROD)</f>
        <v>0</v>
      </c>
      <c r="AJ361" s="60" t="n">
        <f aca="false">IF(ISNUMBER(L361),L361,E361*P1_LOG+F361*P2_LOG+G361*P3_LOG)+IF(ISNUMBER(M361),M361,AA361*P1_LOG+AB361*P2_LOG+AC361*P3_LOG)*AQ361</f>
        <v>0</v>
      </c>
      <c r="AK361" s="60" t="n">
        <f aca="false">AG361*COSTE_DEV</f>
        <v>0</v>
      </c>
      <c r="AL361" s="60" t="n">
        <f aca="false">AD361*P1_IVAN+AE361*P2_IVAN+AF361*IF($A361&lt;P3_DESDE,P3A_IVAN,P3_IVAN)-AG361*IVA_DEV</f>
        <v>0</v>
      </c>
      <c r="AM361" s="60" t="n">
        <f aca="false">N361*(1+RECARGO_ADS)</f>
        <v>0</v>
      </c>
      <c r="AN361" s="58" t="n">
        <f aca="false">IF(ISNUMBER(L361),E361+F361+G361+AA361+AB361+AC361,0)</f>
        <v>0</v>
      </c>
      <c r="AO361" s="60" t="n">
        <f aca="false">P361*COMISION</f>
        <v>0</v>
      </c>
      <c r="AP361" s="58" t="n">
        <f aca="false">MIN(N(K361),Q361)</f>
        <v>0</v>
      </c>
      <c r="AQ361" s="61" t="n">
        <f aca="false">IF(Q361&gt;0,((Q361-AP361)*AT361+AP361*TASA_INC)/Q361,AT361)</f>
        <v>0.659887072235414</v>
      </c>
      <c r="AR361" s="58" t="n">
        <f aca="false">IF($A361&lt;FECHA_EXPORT,NETWORKDAYS($A361+1,FECHA_EXPORT,FESTIVOS),0)</f>
        <v>0</v>
      </c>
      <c r="AS361" s="61" t="n">
        <f aca="false">IF(AR361&gt;=5,1,INDEX(CDF_INC,1,AR361+1))</f>
        <v>0.14</v>
      </c>
      <c r="AT361" s="61" t="n">
        <f aca="false">TASA_USADA+(TASA_INC-TASA_USADA)*Q_INC*(1-AS361)/(1-Q_INC*AS361)</f>
        <v>0.659887072235414</v>
      </c>
    </row>
    <row r="362" customFormat="false" ht="15" hidden="false" customHeight="false" outlineLevel="0" collapsed="false">
      <c r="A362" s="53" t="n">
        <v>46656</v>
      </c>
      <c r="B362" s="54"/>
      <c r="C362" s="54"/>
      <c r="D362" s="54"/>
      <c r="E362" s="54"/>
      <c r="F362" s="54"/>
      <c r="G362" s="54"/>
      <c r="H362" s="54"/>
      <c r="I362" s="54"/>
      <c r="J362" s="54"/>
      <c r="K362" s="54"/>
      <c r="L362" s="55"/>
      <c r="M362" s="55"/>
      <c r="N362" s="55"/>
      <c r="O362" s="56"/>
      <c r="P362" s="31" t="n">
        <f aca="false">B362+C362+D362</f>
        <v>0</v>
      </c>
      <c r="Q362" s="31" t="n">
        <f aca="false">AA362+AB362+AC362</f>
        <v>0</v>
      </c>
      <c r="R362" s="32" t="n">
        <f aca="false">B362*P1_PVP+C362*P2_PVP+D362*IF($A362&lt;P3_DESDE,P3A_PVP,P3_PVP)</f>
        <v>0</v>
      </c>
      <c r="S362" s="32" t="str">
        <f aca="false">IF(P362&gt;0,R362/P362,"")</f>
        <v/>
      </c>
      <c r="T362" s="32" t="str">
        <f aca="false">IF(P362&gt;0,N362/P362,"")</f>
        <v/>
      </c>
      <c r="U362" s="57" t="str">
        <f aca="false">IF(N362&gt;0,R362/N362,"")</f>
        <v/>
      </c>
      <c r="V362" s="34" t="str">
        <f aca="false">IF(E362+F362+G362+H362+I362+J362&gt;0,(E362+F362+G362)/(E362+F362+G362+H362+I362+J362),"")</f>
        <v/>
      </c>
      <c r="W362" s="33" t="n">
        <f aca="false">E362*(P1_PVP-P1_CPROD)+F362*(P2_PVP-P2_CPROD)+G362*(IF($A362&lt;P3_DESDE,P3A_PVP,P3_PVP)-IF($A362&lt;P3_DESDE,P3A_CPROD,P3_CPROD))-IF(ISNUMBER(L362),L362,E362*P1_LOG+F362*P2_LOG+G362*P3_LOG)</f>
        <v>0</v>
      </c>
      <c r="X362" s="33" t="n">
        <f aca="false">W362-(E362*P1_IVAN+F362*P2_IVAN+G362*IF($A362&lt;P3_DESDE,P3A_IVAN,P3_IVAN))-(H362+I362+J362)*(COSTE_DEV-IVA_DEV)-AM362-AO362</f>
        <v>0</v>
      </c>
      <c r="Y362" s="33" t="n">
        <f aca="false">AH362-AI362-AJ362-AK362-AL362-AM362-AO362</f>
        <v>0</v>
      </c>
      <c r="AA362" s="58" t="n">
        <f aca="false">MAX(0,B362-E362-H362)</f>
        <v>0</v>
      </c>
      <c r="AB362" s="58" t="n">
        <f aca="false">MAX(0,C362-F362-I362)</f>
        <v>0</v>
      </c>
      <c r="AC362" s="58" t="n">
        <f aca="false">MAX(0,D362-G362-J362)</f>
        <v>0</v>
      </c>
      <c r="AD362" s="59" t="n">
        <f aca="false">E362+AA362*AQ362</f>
        <v>0</v>
      </c>
      <c r="AE362" s="59" t="n">
        <f aca="false">F362+AB362*AQ362</f>
        <v>0</v>
      </c>
      <c r="AF362" s="59" t="n">
        <f aca="false">G362+AC362*AQ362</f>
        <v>0</v>
      </c>
      <c r="AG362" s="59" t="n">
        <f aca="false">H362+I362+J362+(AA362+AB362+AC362)*(1-AQ362)</f>
        <v>0</v>
      </c>
      <c r="AH362" s="60" t="n">
        <f aca="false">AD362*P1_PVP+AE362*P2_PVP+AF362*IF($A362&lt;P3_DESDE,P3A_PVP,P3_PVP)</f>
        <v>0</v>
      </c>
      <c r="AI362" s="60" t="n">
        <f aca="false">AD362*P1_CPROD+AE362*P2_CPROD+AF362*IF($A362&lt;P3_DESDE,P3A_CPROD,P3_CPROD)</f>
        <v>0</v>
      </c>
      <c r="AJ362" s="60" t="n">
        <f aca="false">IF(ISNUMBER(L362),L362,E362*P1_LOG+F362*P2_LOG+G362*P3_LOG)+IF(ISNUMBER(M362),M362,AA362*P1_LOG+AB362*P2_LOG+AC362*P3_LOG)*AQ362</f>
        <v>0</v>
      </c>
      <c r="AK362" s="60" t="n">
        <f aca="false">AG362*COSTE_DEV</f>
        <v>0</v>
      </c>
      <c r="AL362" s="60" t="n">
        <f aca="false">AD362*P1_IVAN+AE362*P2_IVAN+AF362*IF($A362&lt;P3_DESDE,P3A_IVAN,P3_IVAN)-AG362*IVA_DEV</f>
        <v>0</v>
      </c>
      <c r="AM362" s="60" t="n">
        <f aca="false">N362*(1+RECARGO_ADS)</f>
        <v>0</v>
      </c>
      <c r="AN362" s="58" t="n">
        <f aca="false">IF(ISNUMBER(L362),E362+F362+G362+AA362+AB362+AC362,0)</f>
        <v>0</v>
      </c>
      <c r="AO362" s="60" t="n">
        <f aca="false">P362*COMISION</f>
        <v>0</v>
      </c>
      <c r="AP362" s="58" t="n">
        <f aca="false">MIN(N(K362),Q362)</f>
        <v>0</v>
      </c>
      <c r="AQ362" s="61" t="n">
        <f aca="false">IF(Q362&gt;0,((Q362-AP362)*AT362+AP362*TASA_INC)/Q362,AT362)</f>
        <v>0.659887072235414</v>
      </c>
      <c r="AR362" s="58" t="n">
        <f aca="false">IF($A362&lt;FECHA_EXPORT,NETWORKDAYS($A362+1,FECHA_EXPORT,FESTIVOS),0)</f>
        <v>0</v>
      </c>
      <c r="AS362" s="61" t="n">
        <f aca="false">IF(AR362&gt;=5,1,INDEX(CDF_INC,1,AR362+1))</f>
        <v>0.14</v>
      </c>
      <c r="AT362" s="61" t="n">
        <f aca="false">TASA_USADA+(TASA_INC-TASA_USADA)*Q_INC*(1-AS362)/(1-Q_INC*AS362)</f>
        <v>0.659887072235414</v>
      </c>
    </row>
    <row r="363" customFormat="false" ht="15" hidden="false" customHeight="false" outlineLevel="0" collapsed="false">
      <c r="A363" s="53" t="n">
        <v>46657</v>
      </c>
      <c r="B363" s="54"/>
      <c r="C363" s="54"/>
      <c r="D363" s="54"/>
      <c r="E363" s="54"/>
      <c r="F363" s="54"/>
      <c r="G363" s="54"/>
      <c r="H363" s="54"/>
      <c r="I363" s="54"/>
      <c r="J363" s="54"/>
      <c r="K363" s="54"/>
      <c r="L363" s="55"/>
      <c r="M363" s="55"/>
      <c r="N363" s="55"/>
      <c r="O363" s="56"/>
      <c r="P363" s="31" t="n">
        <f aca="false">B363+C363+D363</f>
        <v>0</v>
      </c>
      <c r="Q363" s="31" t="n">
        <f aca="false">AA363+AB363+AC363</f>
        <v>0</v>
      </c>
      <c r="R363" s="32" t="n">
        <f aca="false">B363*P1_PVP+C363*P2_PVP+D363*IF($A363&lt;P3_DESDE,P3A_PVP,P3_PVP)</f>
        <v>0</v>
      </c>
      <c r="S363" s="32" t="str">
        <f aca="false">IF(P363&gt;0,R363/P363,"")</f>
        <v/>
      </c>
      <c r="T363" s="32" t="str">
        <f aca="false">IF(P363&gt;0,N363/P363,"")</f>
        <v/>
      </c>
      <c r="U363" s="57" t="str">
        <f aca="false">IF(N363&gt;0,R363/N363,"")</f>
        <v/>
      </c>
      <c r="V363" s="34" t="str">
        <f aca="false">IF(E363+F363+G363+H363+I363+J363&gt;0,(E363+F363+G363)/(E363+F363+G363+H363+I363+J363),"")</f>
        <v/>
      </c>
      <c r="W363" s="33" t="n">
        <f aca="false">E363*(P1_PVP-P1_CPROD)+F363*(P2_PVP-P2_CPROD)+G363*(IF($A363&lt;P3_DESDE,P3A_PVP,P3_PVP)-IF($A363&lt;P3_DESDE,P3A_CPROD,P3_CPROD))-IF(ISNUMBER(L363),L363,E363*P1_LOG+F363*P2_LOG+G363*P3_LOG)</f>
        <v>0</v>
      </c>
      <c r="X363" s="33" t="n">
        <f aca="false">W363-(E363*P1_IVAN+F363*P2_IVAN+G363*IF($A363&lt;P3_DESDE,P3A_IVAN,P3_IVAN))-(H363+I363+J363)*(COSTE_DEV-IVA_DEV)-AM363-AO363</f>
        <v>0</v>
      </c>
      <c r="Y363" s="33" t="n">
        <f aca="false">AH363-AI363-AJ363-AK363-AL363-AM363-AO363</f>
        <v>0</v>
      </c>
      <c r="AA363" s="58" t="n">
        <f aca="false">MAX(0,B363-E363-H363)</f>
        <v>0</v>
      </c>
      <c r="AB363" s="58" t="n">
        <f aca="false">MAX(0,C363-F363-I363)</f>
        <v>0</v>
      </c>
      <c r="AC363" s="58" t="n">
        <f aca="false">MAX(0,D363-G363-J363)</f>
        <v>0</v>
      </c>
      <c r="AD363" s="59" t="n">
        <f aca="false">E363+AA363*AQ363</f>
        <v>0</v>
      </c>
      <c r="AE363" s="59" t="n">
        <f aca="false">F363+AB363*AQ363</f>
        <v>0</v>
      </c>
      <c r="AF363" s="59" t="n">
        <f aca="false">G363+AC363*AQ363</f>
        <v>0</v>
      </c>
      <c r="AG363" s="59" t="n">
        <f aca="false">H363+I363+J363+(AA363+AB363+AC363)*(1-AQ363)</f>
        <v>0</v>
      </c>
      <c r="AH363" s="60" t="n">
        <f aca="false">AD363*P1_PVP+AE363*P2_PVP+AF363*IF($A363&lt;P3_DESDE,P3A_PVP,P3_PVP)</f>
        <v>0</v>
      </c>
      <c r="AI363" s="60" t="n">
        <f aca="false">AD363*P1_CPROD+AE363*P2_CPROD+AF363*IF($A363&lt;P3_DESDE,P3A_CPROD,P3_CPROD)</f>
        <v>0</v>
      </c>
      <c r="AJ363" s="60" t="n">
        <f aca="false">IF(ISNUMBER(L363),L363,E363*P1_LOG+F363*P2_LOG+G363*P3_LOG)+IF(ISNUMBER(M363),M363,AA363*P1_LOG+AB363*P2_LOG+AC363*P3_LOG)*AQ363</f>
        <v>0</v>
      </c>
      <c r="AK363" s="60" t="n">
        <f aca="false">AG363*COSTE_DEV</f>
        <v>0</v>
      </c>
      <c r="AL363" s="60" t="n">
        <f aca="false">AD363*P1_IVAN+AE363*P2_IVAN+AF363*IF($A363&lt;P3_DESDE,P3A_IVAN,P3_IVAN)-AG363*IVA_DEV</f>
        <v>0</v>
      </c>
      <c r="AM363" s="60" t="n">
        <f aca="false">N363*(1+RECARGO_ADS)</f>
        <v>0</v>
      </c>
      <c r="AN363" s="58" t="n">
        <f aca="false">IF(ISNUMBER(L363),E363+F363+G363+AA363+AB363+AC363,0)</f>
        <v>0</v>
      </c>
      <c r="AO363" s="60" t="n">
        <f aca="false">P363*COMISION</f>
        <v>0</v>
      </c>
      <c r="AP363" s="58" t="n">
        <f aca="false">MIN(N(K363),Q363)</f>
        <v>0</v>
      </c>
      <c r="AQ363" s="61" t="n">
        <f aca="false">IF(Q363&gt;0,((Q363-AP363)*AT363+AP363*TASA_INC)/Q363,AT363)</f>
        <v>0.659887072235414</v>
      </c>
      <c r="AR363" s="58" t="n">
        <f aca="false">IF($A363&lt;FECHA_EXPORT,NETWORKDAYS($A363+1,FECHA_EXPORT,FESTIVOS),0)</f>
        <v>0</v>
      </c>
      <c r="AS363" s="61" t="n">
        <f aca="false">IF(AR363&gt;=5,1,INDEX(CDF_INC,1,AR363+1))</f>
        <v>0.14</v>
      </c>
      <c r="AT363" s="61" t="n">
        <f aca="false">TASA_USADA+(TASA_INC-TASA_USADA)*Q_INC*(1-AS363)/(1-Q_INC*AS363)</f>
        <v>0.659887072235414</v>
      </c>
    </row>
    <row r="364" customFormat="false" ht="15" hidden="false" customHeight="false" outlineLevel="0" collapsed="false">
      <c r="A364" s="53" t="n">
        <v>46658</v>
      </c>
      <c r="B364" s="54"/>
      <c r="C364" s="54"/>
      <c r="D364" s="54"/>
      <c r="E364" s="54"/>
      <c r="F364" s="54"/>
      <c r="G364" s="54"/>
      <c r="H364" s="54"/>
      <c r="I364" s="54"/>
      <c r="J364" s="54"/>
      <c r="K364" s="54"/>
      <c r="L364" s="55"/>
      <c r="M364" s="55"/>
      <c r="N364" s="55"/>
      <c r="O364" s="56"/>
      <c r="P364" s="31" t="n">
        <f aca="false">B364+C364+D364</f>
        <v>0</v>
      </c>
      <c r="Q364" s="31" t="n">
        <f aca="false">AA364+AB364+AC364</f>
        <v>0</v>
      </c>
      <c r="R364" s="32" t="n">
        <f aca="false">B364*P1_PVP+C364*P2_PVP+D364*IF($A364&lt;P3_DESDE,P3A_PVP,P3_PVP)</f>
        <v>0</v>
      </c>
      <c r="S364" s="32" t="str">
        <f aca="false">IF(P364&gt;0,R364/P364,"")</f>
        <v/>
      </c>
      <c r="T364" s="32" t="str">
        <f aca="false">IF(P364&gt;0,N364/P364,"")</f>
        <v/>
      </c>
      <c r="U364" s="57" t="str">
        <f aca="false">IF(N364&gt;0,R364/N364,"")</f>
        <v/>
      </c>
      <c r="V364" s="34" t="str">
        <f aca="false">IF(E364+F364+G364+H364+I364+J364&gt;0,(E364+F364+G364)/(E364+F364+G364+H364+I364+J364),"")</f>
        <v/>
      </c>
      <c r="W364" s="33" t="n">
        <f aca="false">E364*(P1_PVP-P1_CPROD)+F364*(P2_PVP-P2_CPROD)+G364*(IF($A364&lt;P3_DESDE,P3A_PVP,P3_PVP)-IF($A364&lt;P3_DESDE,P3A_CPROD,P3_CPROD))-IF(ISNUMBER(L364),L364,E364*P1_LOG+F364*P2_LOG+G364*P3_LOG)</f>
        <v>0</v>
      </c>
      <c r="X364" s="33" t="n">
        <f aca="false">W364-(E364*P1_IVAN+F364*P2_IVAN+G364*IF($A364&lt;P3_DESDE,P3A_IVAN,P3_IVAN))-(H364+I364+J364)*(COSTE_DEV-IVA_DEV)-AM364-AO364</f>
        <v>0</v>
      </c>
      <c r="Y364" s="33" t="n">
        <f aca="false">AH364-AI364-AJ364-AK364-AL364-AM364-AO364</f>
        <v>0</v>
      </c>
      <c r="AA364" s="58" t="n">
        <f aca="false">MAX(0,B364-E364-H364)</f>
        <v>0</v>
      </c>
      <c r="AB364" s="58" t="n">
        <f aca="false">MAX(0,C364-F364-I364)</f>
        <v>0</v>
      </c>
      <c r="AC364" s="58" t="n">
        <f aca="false">MAX(0,D364-G364-J364)</f>
        <v>0</v>
      </c>
      <c r="AD364" s="59" t="n">
        <f aca="false">E364+AA364*AQ364</f>
        <v>0</v>
      </c>
      <c r="AE364" s="59" t="n">
        <f aca="false">F364+AB364*AQ364</f>
        <v>0</v>
      </c>
      <c r="AF364" s="59" t="n">
        <f aca="false">G364+AC364*AQ364</f>
        <v>0</v>
      </c>
      <c r="AG364" s="59" t="n">
        <f aca="false">H364+I364+J364+(AA364+AB364+AC364)*(1-AQ364)</f>
        <v>0</v>
      </c>
      <c r="AH364" s="60" t="n">
        <f aca="false">AD364*P1_PVP+AE364*P2_PVP+AF364*IF($A364&lt;P3_DESDE,P3A_PVP,P3_PVP)</f>
        <v>0</v>
      </c>
      <c r="AI364" s="60" t="n">
        <f aca="false">AD364*P1_CPROD+AE364*P2_CPROD+AF364*IF($A364&lt;P3_DESDE,P3A_CPROD,P3_CPROD)</f>
        <v>0</v>
      </c>
      <c r="AJ364" s="60" t="n">
        <f aca="false">IF(ISNUMBER(L364),L364,E364*P1_LOG+F364*P2_LOG+G364*P3_LOG)+IF(ISNUMBER(M364),M364,AA364*P1_LOG+AB364*P2_LOG+AC364*P3_LOG)*AQ364</f>
        <v>0</v>
      </c>
      <c r="AK364" s="60" t="n">
        <f aca="false">AG364*COSTE_DEV</f>
        <v>0</v>
      </c>
      <c r="AL364" s="60" t="n">
        <f aca="false">AD364*P1_IVAN+AE364*P2_IVAN+AF364*IF($A364&lt;P3_DESDE,P3A_IVAN,P3_IVAN)-AG364*IVA_DEV</f>
        <v>0</v>
      </c>
      <c r="AM364" s="60" t="n">
        <f aca="false">N364*(1+RECARGO_ADS)</f>
        <v>0</v>
      </c>
      <c r="AN364" s="58" t="n">
        <f aca="false">IF(ISNUMBER(L364),E364+F364+G364+AA364+AB364+AC364,0)</f>
        <v>0</v>
      </c>
      <c r="AO364" s="60" t="n">
        <f aca="false">P364*COMISION</f>
        <v>0</v>
      </c>
      <c r="AP364" s="58" t="n">
        <f aca="false">MIN(N(K364),Q364)</f>
        <v>0</v>
      </c>
      <c r="AQ364" s="61" t="n">
        <f aca="false">IF(Q364&gt;0,((Q364-AP364)*AT364+AP364*TASA_INC)/Q364,AT364)</f>
        <v>0.659887072235414</v>
      </c>
      <c r="AR364" s="58" t="n">
        <f aca="false">IF($A364&lt;FECHA_EXPORT,NETWORKDAYS($A364+1,FECHA_EXPORT,FESTIVOS),0)</f>
        <v>0</v>
      </c>
      <c r="AS364" s="61" t="n">
        <f aca="false">IF(AR364&gt;=5,1,INDEX(CDF_INC,1,AR364+1))</f>
        <v>0.14</v>
      </c>
      <c r="AT364" s="61" t="n">
        <f aca="false">TASA_USADA+(TASA_INC-TASA_USADA)*Q_INC*(1-AS364)/(1-Q_INC*AS364)</f>
        <v>0.659887072235414</v>
      </c>
    </row>
    <row r="365" customFormat="false" ht="15" hidden="false" customHeight="false" outlineLevel="0" collapsed="false">
      <c r="A365" s="53" t="n">
        <v>46659</v>
      </c>
      <c r="B365" s="54"/>
      <c r="C365" s="54"/>
      <c r="D365" s="54"/>
      <c r="E365" s="54"/>
      <c r="F365" s="54"/>
      <c r="G365" s="54"/>
      <c r="H365" s="54"/>
      <c r="I365" s="54"/>
      <c r="J365" s="54"/>
      <c r="K365" s="54"/>
      <c r="L365" s="55"/>
      <c r="M365" s="55"/>
      <c r="N365" s="55"/>
      <c r="O365" s="56"/>
      <c r="P365" s="31" t="n">
        <f aca="false">B365+C365+D365</f>
        <v>0</v>
      </c>
      <c r="Q365" s="31" t="n">
        <f aca="false">AA365+AB365+AC365</f>
        <v>0</v>
      </c>
      <c r="R365" s="32" t="n">
        <f aca="false">B365*P1_PVP+C365*P2_PVP+D365*IF($A365&lt;P3_DESDE,P3A_PVP,P3_PVP)</f>
        <v>0</v>
      </c>
      <c r="S365" s="32" t="str">
        <f aca="false">IF(P365&gt;0,R365/P365,"")</f>
        <v/>
      </c>
      <c r="T365" s="32" t="str">
        <f aca="false">IF(P365&gt;0,N365/P365,"")</f>
        <v/>
      </c>
      <c r="U365" s="57" t="str">
        <f aca="false">IF(N365&gt;0,R365/N365,"")</f>
        <v/>
      </c>
      <c r="V365" s="34" t="str">
        <f aca="false">IF(E365+F365+G365+H365+I365+J365&gt;0,(E365+F365+G365)/(E365+F365+G365+H365+I365+J365),"")</f>
        <v/>
      </c>
      <c r="W365" s="33" t="n">
        <f aca="false">E365*(P1_PVP-P1_CPROD)+F365*(P2_PVP-P2_CPROD)+G365*(IF($A365&lt;P3_DESDE,P3A_PVP,P3_PVP)-IF($A365&lt;P3_DESDE,P3A_CPROD,P3_CPROD))-IF(ISNUMBER(L365),L365,E365*P1_LOG+F365*P2_LOG+G365*P3_LOG)</f>
        <v>0</v>
      </c>
      <c r="X365" s="33" t="n">
        <f aca="false">W365-(E365*P1_IVAN+F365*P2_IVAN+G365*IF($A365&lt;P3_DESDE,P3A_IVAN,P3_IVAN))-(H365+I365+J365)*(COSTE_DEV-IVA_DEV)-AM365-AO365</f>
        <v>0</v>
      </c>
      <c r="Y365" s="33" t="n">
        <f aca="false">AH365-AI365-AJ365-AK365-AL365-AM365-AO365</f>
        <v>0</v>
      </c>
      <c r="AA365" s="58" t="n">
        <f aca="false">MAX(0,B365-E365-H365)</f>
        <v>0</v>
      </c>
      <c r="AB365" s="58" t="n">
        <f aca="false">MAX(0,C365-F365-I365)</f>
        <v>0</v>
      </c>
      <c r="AC365" s="58" t="n">
        <f aca="false">MAX(0,D365-G365-J365)</f>
        <v>0</v>
      </c>
      <c r="AD365" s="59" t="n">
        <f aca="false">E365+AA365*AQ365</f>
        <v>0</v>
      </c>
      <c r="AE365" s="59" t="n">
        <f aca="false">F365+AB365*AQ365</f>
        <v>0</v>
      </c>
      <c r="AF365" s="59" t="n">
        <f aca="false">G365+AC365*AQ365</f>
        <v>0</v>
      </c>
      <c r="AG365" s="59" t="n">
        <f aca="false">H365+I365+J365+(AA365+AB365+AC365)*(1-AQ365)</f>
        <v>0</v>
      </c>
      <c r="AH365" s="60" t="n">
        <f aca="false">AD365*P1_PVP+AE365*P2_PVP+AF365*IF($A365&lt;P3_DESDE,P3A_PVP,P3_PVP)</f>
        <v>0</v>
      </c>
      <c r="AI365" s="60" t="n">
        <f aca="false">AD365*P1_CPROD+AE365*P2_CPROD+AF365*IF($A365&lt;P3_DESDE,P3A_CPROD,P3_CPROD)</f>
        <v>0</v>
      </c>
      <c r="AJ365" s="60" t="n">
        <f aca="false">IF(ISNUMBER(L365),L365,E365*P1_LOG+F365*P2_LOG+G365*P3_LOG)+IF(ISNUMBER(M365),M365,AA365*P1_LOG+AB365*P2_LOG+AC365*P3_LOG)*AQ365</f>
        <v>0</v>
      </c>
      <c r="AK365" s="60" t="n">
        <f aca="false">AG365*COSTE_DEV</f>
        <v>0</v>
      </c>
      <c r="AL365" s="60" t="n">
        <f aca="false">AD365*P1_IVAN+AE365*P2_IVAN+AF365*IF($A365&lt;P3_DESDE,P3A_IVAN,P3_IVAN)-AG365*IVA_DEV</f>
        <v>0</v>
      </c>
      <c r="AM365" s="60" t="n">
        <f aca="false">N365*(1+RECARGO_ADS)</f>
        <v>0</v>
      </c>
      <c r="AN365" s="58" t="n">
        <f aca="false">IF(ISNUMBER(L365),E365+F365+G365+AA365+AB365+AC365,0)</f>
        <v>0</v>
      </c>
      <c r="AO365" s="60" t="n">
        <f aca="false">P365*COMISION</f>
        <v>0</v>
      </c>
      <c r="AP365" s="58" t="n">
        <f aca="false">MIN(N(K365),Q365)</f>
        <v>0</v>
      </c>
      <c r="AQ365" s="61" t="n">
        <f aca="false">IF(Q365&gt;0,((Q365-AP365)*AT365+AP365*TASA_INC)/Q365,AT365)</f>
        <v>0.659887072235414</v>
      </c>
      <c r="AR365" s="58" t="n">
        <f aca="false">IF($A365&lt;FECHA_EXPORT,NETWORKDAYS($A365+1,FECHA_EXPORT,FESTIVOS),0)</f>
        <v>0</v>
      </c>
      <c r="AS365" s="61" t="n">
        <f aca="false">IF(AR365&gt;=5,1,INDEX(CDF_INC,1,AR365+1))</f>
        <v>0.14</v>
      </c>
      <c r="AT365" s="61" t="n">
        <f aca="false">TASA_USADA+(TASA_INC-TASA_USADA)*Q_INC*(1-AS365)/(1-Q_INC*AS365)</f>
        <v>0.659887072235414</v>
      </c>
    </row>
    <row r="366" customFormat="false" ht="15" hidden="false" customHeight="false" outlineLevel="0" collapsed="false">
      <c r="A366" s="53" t="n">
        <v>46660</v>
      </c>
      <c r="B366" s="54"/>
      <c r="C366" s="54"/>
      <c r="D366" s="54"/>
      <c r="E366" s="54"/>
      <c r="F366" s="54"/>
      <c r="G366" s="54"/>
      <c r="H366" s="54"/>
      <c r="I366" s="54"/>
      <c r="J366" s="54"/>
      <c r="K366" s="54"/>
      <c r="L366" s="55"/>
      <c r="M366" s="55"/>
      <c r="N366" s="55"/>
      <c r="O366" s="56"/>
      <c r="P366" s="31" t="n">
        <f aca="false">B366+C366+D366</f>
        <v>0</v>
      </c>
      <c r="Q366" s="31" t="n">
        <f aca="false">AA366+AB366+AC366</f>
        <v>0</v>
      </c>
      <c r="R366" s="32" t="n">
        <f aca="false">B366*P1_PVP+C366*P2_PVP+D366*IF($A366&lt;P3_DESDE,P3A_PVP,P3_PVP)</f>
        <v>0</v>
      </c>
      <c r="S366" s="32" t="str">
        <f aca="false">IF(P366&gt;0,R366/P366,"")</f>
        <v/>
      </c>
      <c r="T366" s="32" t="str">
        <f aca="false">IF(P366&gt;0,N366/P366,"")</f>
        <v/>
      </c>
      <c r="U366" s="57" t="str">
        <f aca="false">IF(N366&gt;0,R366/N366,"")</f>
        <v/>
      </c>
      <c r="V366" s="34" t="str">
        <f aca="false">IF(E366+F366+G366+H366+I366+J366&gt;0,(E366+F366+G366)/(E366+F366+G366+H366+I366+J366),"")</f>
        <v/>
      </c>
      <c r="W366" s="33" t="n">
        <f aca="false">E366*(P1_PVP-P1_CPROD)+F366*(P2_PVP-P2_CPROD)+G366*(IF($A366&lt;P3_DESDE,P3A_PVP,P3_PVP)-IF($A366&lt;P3_DESDE,P3A_CPROD,P3_CPROD))-IF(ISNUMBER(L366),L366,E366*P1_LOG+F366*P2_LOG+G366*P3_LOG)</f>
        <v>0</v>
      </c>
      <c r="X366" s="33" t="n">
        <f aca="false">W366-(E366*P1_IVAN+F366*P2_IVAN+G366*IF($A366&lt;P3_DESDE,P3A_IVAN,P3_IVAN))-(H366+I366+J366)*(COSTE_DEV-IVA_DEV)-AM366-AO366</f>
        <v>0</v>
      </c>
      <c r="Y366" s="33" t="n">
        <f aca="false">AH366-AI366-AJ366-AK366-AL366-AM366-AO366</f>
        <v>0</v>
      </c>
      <c r="AA366" s="58" t="n">
        <f aca="false">MAX(0,B366-E366-H366)</f>
        <v>0</v>
      </c>
      <c r="AB366" s="58" t="n">
        <f aca="false">MAX(0,C366-F366-I366)</f>
        <v>0</v>
      </c>
      <c r="AC366" s="58" t="n">
        <f aca="false">MAX(0,D366-G366-J366)</f>
        <v>0</v>
      </c>
      <c r="AD366" s="59" t="n">
        <f aca="false">E366+AA366*AQ366</f>
        <v>0</v>
      </c>
      <c r="AE366" s="59" t="n">
        <f aca="false">F366+AB366*AQ366</f>
        <v>0</v>
      </c>
      <c r="AF366" s="59" t="n">
        <f aca="false">G366+AC366*AQ366</f>
        <v>0</v>
      </c>
      <c r="AG366" s="59" t="n">
        <f aca="false">H366+I366+J366+(AA366+AB366+AC366)*(1-AQ366)</f>
        <v>0</v>
      </c>
      <c r="AH366" s="60" t="n">
        <f aca="false">AD366*P1_PVP+AE366*P2_PVP+AF366*IF($A366&lt;P3_DESDE,P3A_PVP,P3_PVP)</f>
        <v>0</v>
      </c>
      <c r="AI366" s="60" t="n">
        <f aca="false">AD366*P1_CPROD+AE366*P2_CPROD+AF366*IF($A366&lt;P3_DESDE,P3A_CPROD,P3_CPROD)</f>
        <v>0</v>
      </c>
      <c r="AJ366" s="60" t="n">
        <f aca="false">IF(ISNUMBER(L366),L366,E366*P1_LOG+F366*P2_LOG+G366*P3_LOG)+IF(ISNUMBER(M366),M366,AA366*P1_LOG+AB366*P2_LOG+AC366*P3_LOG)*AQ366</f>
        <v>0</v>
      </c>
      <c r="AK366" s="60" t="n">
        <f aca="false">AG366*COSTE_DEV</f>
        <v>0</v>
      </c>
      <c r="AL366" s="60" t="n">
        <f aca="false">AD366*P1_IVAN+AE366*P2_IVAN+AF366*IF($A366&lt;P3_DESDE,P3A_IVAN,P3_IVAN)-AG366*IVA_DEV</f>
        <v>0</v>
      </c>
      <c r="AM366" s="60" t="n">
        <f aca="false">N366*(1+RECARGO_ADS)</f>
        <v>0</v>
      </c>
      <c r="AN366" s="58" t="n">
        <f aca="false">IF(ISNUMBER(L366),E366+F366+G366+AA366+AB366+AC366,0)</f>
        <v>0</v>
      </c>
      <c r="AO366" s="60" t="n">
        <f aca="false">P366*COMISION</f>
        <v>0</v>
      </c>
      <c r="AP366" s="58" t="n">
        <f aca="false">MIN(N(K366),Q366)</f>
        <v>0</v>
      </c>
      <c r="AQ366" s="61" t="n">
        <f aca="false">IF(Q366&gt;0,((Q366-AP366)*AT366+AP366*TASA_INC)/Q366,AT366)</f>
        <v>0.659887072235414</v>
      </c>
      <c r="AR366" s="58" t="n">
        <f aca="false">IF($A366&lt;FECHA_EXPORT,NETWORKDAYS($A366+1,FECHA_EXPORT,FESTIVOS),0)</f>
        <v>0</v>
      </c>
      <c r="AS366" s="61" t="n">
        <f aca="false">IF(AR366&gt;=5,1,INDEX(CDF_INC,1,AR366+1))</f>
        <v>0.14</v>
      </c>
      <c r="AT366" s="61" t="n">
        <f aca="false">TASA_USADA+(TASA_INC-TASA_USADA)*Q_INC*(1-AS366)/(1-Q_INC*AS366)</f>
        <v>0.659887072235414</v>
      </c>
    </row>
    <row r="367" customFormat="false" ht="15" hidden="false" customHeight="false" outlineLevel="0" collapsed="false">
      <c r="A367" s="53" t="n">
        <v>46661</v>
      </c>
      <c r="B367" s="54"/>
      <c r="C367" s="54"/>
      <c r="D367" s="54"/>
      <c r="E367" s="54"/>
      <c r="F367" s="54"/>
      <c r="G367" s="54"/>
      <c r="H367" s="54"/>
      <c r="I367" s="54"/>
      <c r="J367" s="54"/>
      <c r="K367" s="54"/>
      <c r="L367" s="55"/>
      <c r="M367" s="55"/>
      <c r="N367" s="55"/>
      <c r="O367" s="56"/>
      <c r="P367" s="31" t="n">
        <f aca="false">B367+C367+D367</f>
        <v>0</v>
      </c>
      <c r="Q367" s="31" t="n">
        <f aca="false">AA367+AB367+AC367</f>
        <v>0</v>
      </c>
      <c r="R367" s="32" t="n">
        <f aca="false">B367*P1_PVP+C367*P2_PVP+D367*IF($A367&lt;P3_DESDE,P3A_PVP,P3_PVP)</f>
        <v>0</v>
      </c>
      <c r="S367" s="32" t="str">
        <f aca="false">IF(P367&gt;0,R367/P367,"")</f>
        <v/>
      </c>
      <c r="T367" s="32" t="str">
        <f aca="false">IF(P367&gt;0,N367/P367,"")</f>
        <v/>
      </c>
      <c r="U367" s="57" t="str">
        <f aca="false">IF(N367&gt;0,R367/N367,"")</f>
        <v/>
      </c>
      <c r="V367" s="34" t="str">
        <f aca="false">IF(E367+F367+G367+H367+I367+J367&gt;0,(E367+F367+G367)/(E367+F367+G367+H367+I367+J367),"")</f>
        <v/>
      </c>
      <c r="W367" s="33" t="n">
        <f aca="false">E367*(P1_PVP-P1_CPROD)+F367*(P2_PVP-P2_CPROD)+G367*(IF($A367&lt;P3_DESDE,P3A_PVP,P3_PVP)-IF($A367&lt;P3_DESDE,P3A_CPROD,P3_CPROD))-IF(ISNUMBER(L367),L367,E367*P1_LOG+F367*P2_LOG+G367*P3_LOG)</f>
        <v>0</v>
      </c>
      <c r="X367" s="33" t="n">
        <f aca="false">W367-(E367*P1_IVAN+F367*P2_IVAN+G367*IF($A367&lt;P3_DESDE,P3A_IVAN,P3_IVAN))-(H367+I367+J367)*(COSTE_DEV-IVA_DEV)-AM367-AO367</f>
        <v>0</v>
      </c>
      <c r="Y367" s="33" t="n">
        <f aca="false">AH367-AI367-AJ367-AK367-AL367-AM367-AO367</f>
        <v>0</v>
      </c>
      <c r="AA367" s="58" t="n">
        <f aca="false">MAX(0,B367-E367-H367)</f>
        <v>0</v>
      </c>
      <c r="AB367" s="58" t="n">
        <f aca="false">MAX(0,C367-F367-I367)</f>
        <v>0</v>
      </c>
      <c r="AC367" s="58" t="n">
        <f aca="false">MAX(0,D367-G367-J367)</f>
        <v>0</v>
      </c>
      <c r="AD367" s="59" t="n">
        <f aca="false">E367+AA367*AQ367</f>
        <v>0</v>
      </c>
      <c r="AE367" s="59" t="n">
        <f aca="false">F367+AB367*AQ367</f>
        <v>0</v>
      </c>
      <c r="AF367" s="59" t="n">
        <f aca="false">G367+AC367*AQ367</f>
        <v>0</v>
      </c>
      <c r="AG367" s="59" t="n">
        <f aca="false">H367+I367+J367+(AA367+AB367+AC367)*(1-AQ367)</f>
        <v>0</v>
      </c>
      <c r="AH367" s="60" t="n">
        <f aca="false">AD367*P1_PVP+AE367*P2_PVP+AF367*IF($A367&lt;P3_DESDE,P3A_PVP,P3_PVP)</f>
        <v>0</v>
      </c>
      <c r="AI367" s="60" t="n">
        <f aca="false">AD367*P1_CPROD+AE367*P2_CPROD+AF367*IF($A367&lt;P3_DESDE,P3A_CPROD,P3_CPROD)</f>
        <v>0</v>
      </c>
      <c r="AJ367" s="60" t="n">
        <f aca="false">IF(ISNUMBER(L367),L367,E367*P1_LOG+F367*P2_LOG+G367*P3_LOG)+IF(ISNUMBER(M367),M367,AA367*P1_LOG+AB367*P2_LOG+AC367*P3_LOG)*AQ367</f>
        <v>0</v>
      </c>
      <c r="AK367" s="60" t="n">
        <f aca="false">AG367*COSTE_DEV</f>
        <v>0</v>
      </c>
      <c r="AL367" s="60" t="n">
        <f aca="false">AD367*P1_IVAN+AE367*P2_IVAN+AF367*IF($A367&lt;P3_DESDE,P3A_IVAN,P3_IVAN)-AG367*IVA_DEV</f>
        <v>0</v>
      </c>
      <c r="AM367" s="60" t="n">
        <f aca="false">N367*(1+RECARGO_ADS)</f>
        <v>0</v>
      </c>
      <c r="AN367" s="58" t="n">
        <f aca="false">IF(ISNUMBER(L367),E367+F367+G367+AA367+AB367+AC367,0)</f>
        <v>0</v>
      </c>
      <c r="AO367" s="60" t="n">
        <f aca="false">P367*COMISION</f>
        <v>0</v>
      </c>
      <c r="AP367" s="58" t="n">
        <f aca="false">MIN(N(K367),Q367)</f>
        <v>0</v>
      </c>
      <c r="AQ367" s="61" t="n">
        <f aca="false">IF(Q367&gt;0,((Q367-AP367)*AT367+AP367*TASA_INC)/Q367,AT367)</f>
        <v>0.659887072235414</v>
      </c>
      <c r="AR367" s="58" t="n">
        <f aca="false">IF($A367&lt;FECHA_EXPORT,NETWORKDAYS($A367+1,FECHA_EXPORT,FESTIVOS),0)</f>
        <v>0</v>
      </c>
      <c r="AS367" s="61" t="n">
        <f aca="false">IF(AR367&gt;=5,1,INDEX(CDF_INC,1,AR367+1))</f>
        <v>0.14</v>
      </c>
      <c r="AT367" s="61" t="n">
        <f aca="false">TASA_USADA+(TASA_INC-TASA_USADA)*Q_INC*(1-AS367)/(1-Q_INC*AS367)</f>
        <v>0.659887072235414</v>
      </c>
    </row>
    <row r="368" customFormat="false" ht="15" hidden="false" customHeight="false" outlineLevel="0" collapsed="false">
      <c r="A368" s="53" t="n">
        <v>46662</v>
      </c>
      <c r="B368" s="54"/>
      <c r="C368" s="54"/>
      <c r="D368" s="54"/>
      <c r="E368" s="54"/>
      <c r="F368" s="54"/>
      <c r="G368" s="54"/>
      <c r="H368" s="54"/>
      <c r="I368" s="54"/>
      <c r="J368" s="54"/>
      <c r="K368" s="54"/>
      <c r="L368" s="55"/>
      <c r="M368" s="55"/>
      <c r="N368" s="55"/>
      <c r="O368" s="56"/>
      <c r="P368" s="31" t="n">
        <f aca="false">B368+C368+D368</f>
        <v>0</v>
      </c>
      <c r="Q368" s="31" t="n">
        <f aca="false">AA368+AB368+AC368</f>
        <v>0</v>
      </c>
      <c r="R368" s="32" t="n">
        <f aca="false">B368*P1_PVP+C368*P2_PVP+D368*IF($A368&lt;P3_DESDE,P3A_PVP,P3_PVP)</f>
        <v>0</v>
      </c>
      <c r="S368" s="32" t="str">
        <f aca="false">IF(P368&gt;0,R368/P368,"")</f>
        <v/>
      </c>
      <c r="T368" s="32" t="str">
        <f aca="false">IF(P368&gt;0,N368/P368,"")</f>
        <v/>
      </c>
      <c r="U368" s="57" t="str">
        <f aca="false">IF(N368&gt;0,R368/N368,"")</f>
        <v/>
      </c>
      <c r="V368" s="34" t="str">
        <f aca="false">IF(E368+F368+G368+H368+I368+J368&gt;0,(E368+F368+G368)/(E368+F368+G368+H368+I368+J368),"")</f>
        <v/>
      </c>
      <c r="W368" s="33" t="n">
        <f aca="false">E368*(P1_PVP-P1_CPROD)+F368*(P2_PVP-P2_CPROD)+G368*(IF($A368&lt;P3_DESDE,P3A_PVP,P3_PVP)-IF($A368&lt;P3_DESDE,P3A_CPROD,P3_CPROD))-IF(ISNUMBER(L368),L368,E368*P1_LOG+F368*P2_LOG+G368*P3_LOG)</f>
        <v>0</v>
      </c>
      <c r="X368" s="33" t="n">
        <f aca="false">W368-(E368*P1_IVAN+F368*P2_IVAN+G368*IF($A368&lt;P3_DESDE,P3A_IVAN,P3_IVAN))-(H368+I368+J368)*(COSTE_DEV-IVA_DEV)-AM368-AO368</f>
        <v>0</v>
      </c>
      <c r="Y368" s="33" t="n">
        <f aca="false">AH368-AI368-AJ368-AK368-AL368-AM368-AO368</f>
        <v>0</v>
      </c>
      <c r="AA368" s="58" t="n">
        <f aca="false">MAX(0,B368-E368-H368)</f>
        <v>0</v>
      </c>
      <c r="AB368" s="58" t="n">
        <f aca="false">MAX(0,C368-F368-I368)</f>
        <v>0</v>
      </c>
      <c r="AC368" s="58" t="n">
        <f aca="false">MAX(0,D368-G368-J368)</f>
        <v>0</v>
      </c>
      <c r="AD368" s="59" t="n">
        <f aca="false">E368+AA368*AQ368</f>
        <v>0</v>
      </c>
      <c r="AE368" s="59" t="n">
        <f aca="false">F368+AB368*AQ368</f>
        <v>0</v>
      </c>
      <c r="AF368" s="59" t="n">
        <f aca="false">G368+AC368*AQ368</f>
        <v>0</v>
      </c>
      <c r="AG368" s="59" t="n">
        <f aca="false">H368+I368+J368+(AA368+AB368+AC368)*(1-AQ368)</f>
        <v>0</v>
      </c>
      <c r="AH368" s="60" t="n">
        <f aca="false">AD368*P1_PVP+AE368*P2_PVP+AF368*IF($A368&lt;P3_DESDE,P3A_PVP,P3_PVP)</f>
        <v>0</v>
      </c>
      <c r="AI368" s="60" t="n">
        <f aca="false">AD368*P1_CPROD+AE368*P2_CPROD+AF368*IF($A368&lt;P3_DESDE,P3A_CPROD,P3_CPROD)</f>
        <v>0</v>
      </c>
      <c r="AJ368" s="60" t="n">
        <f aca="false">IF(ISNUMBER(L368),L368,E368*P1_LOG+F368*P2_LOG+G368*P3_LOG)+IF(ISNUMBER(M368),M368,AA368*P1_LOG+AB368*P2_LOG+AC368*P3_LOG)*AQ368</f>
        <v>0</v>
      </c>
      <c r="AK368" s="60" t="n">
        <f aca="false">AG368*COSTE_DEV</f>
        <v>0</v>
      </c>
      <c r="AL368" s="60" t="n">
        <f aca="false">AD368*P1_IVAN+AE368*P2_IVAN+AF368*IF($A368&lt;P3_DESDE,P3A_IVAN,P3_IVAN)-AG368*IVA_DEV</f>
        <v>0</v>
      </c>
      <c r="AM368" s="60" t="n">
        <f aca="false">N368*(1+RECARGO_ADS)</f>
        <v>0</v>
      </c>
      <c r="AN368" s="58" t="n">
        <f aca="false">IF(ISNUMBER(L368),E368+F368+G368+AA368+AB368+AC368,0)</f>
        <v>0</v>
      </c>
      <c r="AO368" s="60" t="n">
        <f aca="false">P368*COMISION</f>
        <v>0</v>
      </c>
      <c r="AP368" s="58" t="n">
        <f aca="false">MIN(N(K368),Q368)</f>
        <v>0</v>
      </c>
      <c r="AQ368" s="61" t="n">
        <f aca="false">IF(Q368&gt;0,((Q368-AP368)*AT368+AP368*TASA_INC)/Q368,AT368)</f>
        <v>0.659887072235414</v>
      </c>
      <c r="AR368" s="58" t="n">
        <f aca="false">IF($A368&lt;FECHA_EXPORT,NETWORKDAYS($A368+1,FECHA_EXPORT,FESTIVOS),0)</f>
        <v>0</v>
      </c>
      <c r="AS368" s="61" t="n">
        <f aca="false">IF(AR368&gt;=5,1,INDEX(CDF_INC,1,AR368+1))</f>
        <v>0.14</v>
      </c>
      <c r="AT368" s="61" t="n">
        <f aca="false">TASA_USADA+(TASA_INC-TASA_USADA)*Q_INC*(1-AS368)/(1-Q_INC*AS368)</f>
        <v>0.659887072235414</v>
      </c>
    </row>
    <row r="369" customFormat="false" ht="15" hidden="false" customHeight="false" outlineLevel="0" collapsed="false">
      <c r="A369" s="53" t="n">
        <v>46663</v>
      </c>
      <c r="B369" s="54"/>
      <c r="C369" s="54"/>
      <c r="D369" s="54"/>
      <c r="E369" s="54"/>
      <c r="F369" s="54"/>
      <c r="G369" s="54"/>
      <c r="H369" s="54"/>
      <c r="I369" s="54"/>
      <c r="J369" s="54"/>
      <c r="K369" s="54"/>
      <c r="L369" s="55"/>
      <c r="M369" s="55"/>
      <c r="N369" s="55"/>
      <c r="O369" s="56"/>
      <c r="P369" s="31" t="n">
        <f aca="false">B369+C369+D369</f>
        <v>0</v>
      </c>
      <c r="Q369" s="31" t="n">
        <f aca="false">AA369+AB369+AC369</f>
        <v>0</v>
      </c>
      <c r="R369" s="32" t="n">
        <f aca="false">B369*P1_PVP+C369*P2_PVP+D369*IF($A369&lt;P3_DESDE,P3A_PVP,P3_PVP)</f>
        <v>0</v>
      </c>
      <c r="S369" s="32" t="str">
        <f aca="false">IF(P369&gt;0,R369/P369,"")</f>
        <v/>
      </c>
      <c r="T369" s="32" t="str">
        <f aca="false">IF(P369&gt;0,N369/P369,"")</f>
        <v/>
      </c>
      <c r="U369" s="57" t="str">
        <f aca="false">IF(N369&gt;0,R369/N369,"")</f>
        <v/>
      </c>
      <c r="V369" s="34" t="str">
        <f aca="false">IF(E369+F369+G369+H369+I369+J369&gt;0,(E369+F369+G369)/(E369+F369+G369+H369+I369+J369),"")</f>
        <v/>
      </c>
      <c r="W369" s="33" t="n">
        <f aca="false">E369*(P1_PVP-P1_CPROD)+F369*(P2_PVP-P2_CPROD)+G369*(IF($A369&lt;P3_DESDE,P3A_PVP,P3_PVP)-IF($A369&lt;P3_DESDE,P3A_CPROD,P3_CPROD))-IF(ISNUMBER(L369),L369,E369*P1_LOG+F369*P2_LOG+G369*P3_LOG)</f>
        <v>0</v>
      </c>
      <c r="X369" s="33" t="n">
        <f aca="false">W369-(E369*P1_IVAN+F369*P2_IVAN+G369*IF($A369&lt;P3_DESDE,P3A_IVAN,P3_IVAN))-(H369+I369+J369)*(COSTE_DEV-IVA_DEV)-AM369-AO369</f>
        <v>0</v>
      </c>
      <c r="Y369" s="33" t="n">
        <f aca="false">AH369-AI369-AJ369-AK369-AL369-AM369-AO369</f>
        <v>0</v>
      </c>
      <c r="AA369" s="58" t="n">
        <f aca="false">MAX(0,B369-E369-H369)</f>
        <v>0</v>
      </c>
      <c r="AB369" s="58" t="n">
        <f aca="false">MAX(0,C369-F369-I369)</f>
        <v>0</v>
      </c>
      <c r="AC369" s="58" t="n">
        <f aca="false">MAX(0,D369-G369-J369)</f>
        <v>0</v>
      </c>
      <c r="AD369" s="59" t="n">
        <f aca="false">E369+AA369*AQ369</f>
        <v>0</v>
      </c>
      <c r="AE369" s="59" t="n">
        <f aca="false">F369+AB369*AQ369</f>
        <v>0</v>
      </c>
      <c r="AF369" s="59" t="n">
        <f aca="false">G369+AC369*AQ369</f>
        <v>0</v>
      </c>
      <c r="AG369" s="59" t="n">
        <f aca="false">H369+I369+J369+(AA369+AB369+AC369)*(1-AQ369)</f>
        <v>0</v>
      </c>
      <c r="AH369" s="60" t="n">
        <f aca="false">AD369*P1_PVP+AE369*P2_PVP+AF369*IF($A369&lt;P3_DESDE,P3A_PVP,P3_PVP)</f>
        <v>0</v>
      </c>
      <c r="AI369" s="60" t="n">
        <f aca="false">AD369*P1_CPROD+AE369*P2_CPROD+AF369*IF($A369&lt;P3_DESDE,P3A_CPROD,P3_CPROD)</f>
        <v>0</v>
      </c>
      <c r="AJ369" s="60" t="n">
        <f aca="false">IF(ISNUMBER(L369),L369,E369*P1_LOG+F369*P2_LOG+G369*P3_LOG)+IF(ISNUMBER(M369),M369,AA369*P1_LOG+AB369*P2_LOG+AC369*P3_LOG)*AQ369</f>
        <v>0</v>
      </c>
      <c r="AK369" s="60" t="n">
        <f aca="false">AG369*COSTE_DEV</f>
        <v>0</v>
      </c>
      <c r="AL369" s="60" t="n">
        <f aca="false">AD369*P1_IVAN+AE369*P2_IVAN+AF369*IF($A369&lt;P3_DESDE,P3A_IVAN,P3_IVAN)-AG369*IVA_DEV</f>
        <v>0</v>
      </c>
      <c r="AM369" s="60" t="n">
        <f aca="false">N369*(1+RECARGO_ADS)</f>
        <v>0</v>
      </c>
      <c r="AN369" s="58" t="n">
        <f aca="false">IF(ISNUMBER(L369),E369+F369+G369+AA369+AB369+AC369,0)</f>
        <v>0</v>
      </c>
      <c r="AO369" s="60" t="n">
        <f aca="false">P369*COMISION</f>
        <v>0</v>
      </c>
      <c r="AP369" s="58" t="n">
        <f aca="false">MIN(N(K369),Q369)</f>
        <v>0</v>
      </c>
      <c r="AQ369" s="61" t="n">
        <f aca="false">IF(Q369&gt;0,((Q369-AP369)*AT369+AP369*TASA_INC)/Q369,AT369)</f>
        <v>0.659887072235414</v>
      </c>
      <c r="AR369" s="58" t="n">
        <f aca="false">IF($A369&lt;FECHA_EXPORT,NETWORKDAYS($A369+1,FECHA_EXPORT,FESTIVOS),0)</f>
        <v>0</v>
      </c>
      <c r="AS369" s="61" t="n">
        <f aca="false">IF(AR369&gt;=5,1,INDEX(CDF_INC,1,AR369+1))</f>
        <v>0.14</v>
      </c>
      <c r="AT369" s="61" t="n">
        <f aca="false">TASA_USADA+(TASA_INC-TASA_USADA)*Q_INC*(1-AS369)/(1-Q_INC*AS369)</f>
        <v>0.659887072235414</v>
      </c>
    </row>
    <row r="370" customFormat="false" ht="15" hidden="false" customHeight="false" outlineLevel="0" collapsed="false">
      <c r="A370" s="53" t="n">
        <v>46664</v>
      </c>
      <c r="B370" s="54"/>
      <c r="C370" s="54"/>
      <c r="D370" s="54"/>
      <c r="E370" s="54"/>
      <c r="F370" s="54"/>
      <c r="G370" s="54"/>
      <c r="H370" s="54"/>
      <c r="I370" s="54"/>
      <c r="J370" s="54"/>
      <c r="K370" s="54"/>
      <c r="L370" s="55"/>
      <c r="M370" s="55"/>
      <c r="N370" s="55"/>
      <c r="O370" s="56"/>
      <c r="P370" s="31" t="n">
        <f aca="false">B370+C370+D370</f>
        <v>0</v>
      </c>
      <c r="Q370" s="31" t="n">
        <f aca="false">AA370+AB370+AC370</f>
        <v>0</v>
      </c>
      <c r="R370" s="32" t="n">
        <f aca="false">B370*P1_PVP+C370*P2_PVP+D370*IF($A370&lt;P3_DESDE,P3A_PVP,P3_PVP)</f>
        <v>0</v>
      </c>
      <c r="S370" s="32" t="str">
        <f aca="false">IF(P370&gt;0,R370/P370,"")</f>
        <v/>
      </c>
      <c r="T370" s="32" t="str">
        <f aca="false">IF(P370&gt;0,N370/P370,"")</f>
        <v/>
      </c>
      <c r="U370" s="57" t="str">
        <f aca="false">IF(N370&gt;0,R370/N370,"")</f>
        <v/>
      </c>
      <c r="V370" s="34" t="str">
        <f aca="false">IF(E370+F370+G370+H370+I370+J370&gt;0,(E370+F370+G370)/(E370+F370+G370+H370+I370+J370),"")</f>
        <v/>
      </c>
      <c r="W370" s="33" t="n">
        <f aca="false">E370*(P1_PVP-P1_CPROD)+F370*(P2_PVP-P2_CPROD)+G370*(IF($A370&lt;P3_DESDE,P3A_PVP,P3_PVP)-IF($A370&lt;P3_DESDE,P3A_CPROD,P3_CPROD))-IF(ISNUMBER(L370),L370,E370*P1_LOG+F370*P2_LOG+G370*P3_LOG)</f>
        <v>0</v>
      </c>
      <c r="X370" s="33" t="n">
        <f aca="false">W370-(E370*P1_IVAN+F370*P2_IVAN+G370*IF($A370&lt;P3_DESDE,P3A_IVAN,P3_IVAN))-(H370+I370+J370)*(COSTE_DEV-IVA_DEV)-AM370-AO370</f>
        <v>0</v>
      </c>
      <c r="Y370" s="33" t="n">
        <f aca="false">AH370-AI370-AJ370-AK370-AL370-AM370-AO370</f>
        <v>0</v>
      </c>
      <c r="AA370" s="58" t="n">
        <f aca="false">MAX(0,B370-E370-H370)</f>
        <v>0</v>
      </c>
      <c r="AB370" s="58" t="n">
        <f aca="false">MAX(0,C370-F370-I370)</f>
        <v>0</v>
      </c>
      <c r="AC370" s="58" t="n">
        <f aca="false">MAX(0,D370-G370-J370)</f>
        <v>0</v>
      </c>
      <c r="AD370" s="59" t="n">
        <f aca="false">E370+AA370*AQ370</f>
        <v>0</v>
      </c>
      <c r="AE370" s="59" t="n">
        <f aca="false">F370+AB370*AQ370</f>
        <v>0</v>
      </c>
      <c r="AF370" s="59" t="n">
        <f aca="false">G370+AC370*AQ370</f>
        <v>0</v>
      </c>
      <c r="AG370" s="59" t="n">
        <f aca="false">H370+I370+J370+(AA370+AB370+AC370)*(1-AQ370)</f>
        <v>0</v>
      </c>
      <c r="AH370" s="60" t="n">
        <f aca="false">AD370*P1_PVP+AE370*P2_PVP+AF370*IF($A370&lt;P3_DESDE,P3A_PVP,P3_PVP)</f>
        <v>0</v>
      </c>
      <c r="AI370" s="60" t="n">
        <f aca="false">AD370*P1_CPROD+AE370*P2_CPROD+AF370*IF($A370&lt;P3_DESDE,P3A_CPROD,P3_CPROD)</f>
        <v>0</v>
      </c>
      <c r="AJ370" s="60" t="n">
        <f aca="false">IF(ISNUMBER(L370),L370,E370*P1_LOG+F370*P2_LOG+G370*P3_LOG)+IF(ISNUMBER(M370),M370,AA370*P1_LOG+AB370*P2_LOG+AC370*P3_LOG)*AQ370</f>
        <v>0</v>
      </c>
      <c r="AK370" s="60" t="n">
        <f aca="false">AG370*COSTE_DEV</f>
        <v>0</v>
      </c>
      <c r="AL370" s="60" t="n">
        <f aca="false">AD370*P1_IVAN+AE370*P2_IVAN+AF370*IF($A370&lt;P3_DESDE,P3A_IVAN,P3_IVAN)-AG370*IVA_DEV</f>
        <v>0</v>
      </c>
      <c r="AM370" s="60" t="n">
        <f aca="false">N370*(1+RECARGO_ADS)</f>
        <v>0</v>
      </c>
      <c r="AN370" s="58" t="n">
        <f aca="false">IF(ISNUMBER(L370),E370+F370+G370+AA370+AB370+AC370,0)</f>
        <v>0</v>
      </c>
      <c r="AO370" s="60" t="n">
        <f aca="false">P370*COMISION</f>
        <v>0</v>
      </c>
      <c r="AP370" s="58" t="n">
        <f aca="false">MIN(N(K370),Q370)</f>
        <v>0</v>
      </c>
      <c r="AQ370" s="61" t="n">
        <f aca="false">IF(Q370&gt;0,((Q370-AP370)*AT370+AP370*TASA_INC)/Q370,AT370)</f>
        <v>0.659887072235414</v>
      </c>
      <c r="AR370" s="58" t="n">
        <f aca="false">IF($A370&lt;FECHA_EXPORT,NETWORKDAYS($A370+1,FECHA_EXPORT,FESTIVOS),0)</f>
        <v>0</v>
      </c>
      <c r="AS370" s="61" t="n">
        <f aca="false">IF(AR370&gt;=5,1,INDEX(CDF_INC,1,AR370+1))</f>
        <v>0.14</v>
      </c>
      <c r="AT370" s="61" t="n">
        <f aca="false">TASA_USADA+(TASA_INC-TASA_USADA)*Q_INC*(1-AS370)/(1-Q_INC*AS370)</f>
        <v>0.659887072235414</v>
      </c>
    </row>
  </sheetData>
  <conditionalFormatting sqref="B6:D370">
    <cfRule type="expression" priority="2" aboveAverage="0" equalAverage="0" bottom="0" percent="0" rank="0" text="" dxfId="9">
      <formula>AND($N6&gt;0,$B6="",$C6="",$D6="",$A6&lt;TODAY())</formula>
    </cfRule>
  </conditionalFormatting>
  <conditionalFormatting sqref="K6:K370">
    <cfRule type="cellIs" priority="3" operator="greaterThan" aboveAverage="0" equalAverage="0" bottom="0" percent="0" rank="0" text="" dxfId="9">
      <formula>0</formula>
    </cfRule>
  </conditionalFormatting>
  <conditionalFormatting sqref="A6:A370">
    <cfRule type="expression" priority="4" aboveAverage="0" equalAverage="0" bottom="0" percent="0" rank="0" text="" dxfId="10">
      <formula>$A6=TODAY()</formula>
    </cfRule>
  </conditionalFormatting>
  <conditionalFormatting sqref="X6:Y370">
    <cfRule type="cellIs" priority="5" operator="greaterThan" aboveAverage="0" equalAverage="0" bottom="0" percent="0" rank="0" text="" dxfId="6">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8"/>
    <col collapsed="false" customWidth="true" hidden="false" outlineLevel="0" max="4" min="4" style="0" width="13"/>
    <col collapsed="false" customWidth="true" hidden="false" outlineLevel="0" max="5" min="5" style="0" width="40"/>
  </cols>
  <sheetData>
    <row r="1" customFormat="false" ht="19.7" hidden="false" customHeight="false" outlineLevel="0" collapsed="false">
      <c r="A1" s="1" t="s">
        <v>61</v>
      </c>
    </row>
    <row r="2" customFormat="false" ht="15" hidden="false" customHeight="false" outlineLevel="0" collapsed="false">
      <c r="A2" s="2" t="s">
        <v>113</v>
      </c>
    </row>
    <row r="3" customFormat="false" ht="15" hidden="false" customHeight="false" outlineLevel="0" collapsed="false">
      <c r="A3" s="2" t="s">
        <v>114</v>
      </c>
    </row>
    <row r="4" customFormat="false" ht="15" hidden="false" customHeight="false" outlineLevel="0" collapsed="false">
      <c r="A4" s="52" t="s">
        <v>49</v>
      </c>
      <c r="B4" s="52" t="s">
        <v>115</v>
      </c>
      <c r="C4" s="52" t="s">
        <v>116</v>
      </c>
      <c r="D4" s="52" t="s">
        <v>117</v>
      </c>
      <c r="E4" s="52" t="s">
        <v>84</v>
      </c>
    </row>
    <row r="5" customFormat="false" ht="15" hidden="false" customHeight="false" outlineLevel="0" collapsed="false">
      <c r="A5" s="62"/>
      <c r="B5" s="56"/>
      <c r="C5" s="56"/>
      <c r="D5" s="55"/>
      <c r="E5" s="56"/>
    </row>
    <row r="6" customFormat="false" ht="15" hidden="false" customHeight="false" outlineLevel="0" collapsed="false">
      <c r="A6" s="62"/>
      <c r="B6" s="56"/>
      <c r="C6" s="56"/>
      <c r="D6" s="55"/>
      <c r="E6" s="56"/>
    </row>
    <row r="7" customFormat="false" ht="15" hidden="false" customHeight="false" outlineLevel="0" collapsed="false">
      <c r="A7" s="62"/>
      <c r="B7" s="56"/>
      <c r="C7" s="56"/>
      <c r="D7" s="55"/>
      <c r="E7" s="56"/>
    </row>
    <row r="8" customFormat="false" ht="15" hidden="false" customHeight="false" outlineLevel="0" collapsed="false">
      <c r="A8" s="62"/>
      <c r="B8" s="56"/>
      <c r="C8" s="56"/>
      <c r="D8" s="55"/>
      <c r="E8" s="56"/>
    </row>
    <row r="9" customFormat="false" ht="15" hidden="false" customHeight="false" outlineLevel="0" collapsed="false">
      <c r="A9" s="62"/>
      <c r="B9" s="56"/>
      <c r="C9" s="56"/>
      <c r="D9" s="55"/>
      <c r="E9" s="56"/>
    </row>
    <row r="10" customFormat="false" ht="15" hidden="false" customHeight="false" outlineLevel="0" collapsed="false">
      <c r="A10" s="62"/>
      <c r="B10" s="56"/>
      <c r="C10" s="56"/>
      <c r="D10" s="55"/>
      <c r="E10" s="56"/>
    </row>
    <row r="11" customFormat="false" ht="15" hidden="false" customHeight="false" outlineLevel="0" collapsed="false">
      <c r="A11" s="62"/>
      <c r="B11" s="56"/>
      <c r="C11" s="56"/>
      <c r="D11" s="55"/>
      <c r="E11" s="56"/>
    </row>
    <row r="12" customFormat="false" ht="15" hidden="false" customHeight="false" outlineLevel="0" collapsed="false">
      <c r="A12" s="62"/>
      <c r="B12" s="56"/>
      <c r="C12" s="56"/>
      <c r="D12" s="55"/>
      <c r="E12" s="56"/>
    </row>
    <row r="13" customFormat="false" ht="15" hidden="false" customHeight="false" outlineLevel="0" collapsed="false">
      <c r="A13" s="62"/>
      <c r="B13" s="56"/>
      <c r="C13" s="56"/>
      <c r="D13" s="55"/>
      <c r="E13" s="56"/>
    </row>
    <row r="14" customFormat="false" ht="15" hidden="false" customHeight="false" outlineLevel="0" collapsed="false">
      <c r="A14" s="62"/>
      <c r="B14" s="56"/>
      <c r="C14" s="56"/>
      <c r="D14" s="55"/>
      <c r="E14" s="56"/>
    </row>
    <row r="15" customFormat="false" ht="15" hidden="false" customHeight="false" outlineLevel="0" collapsed="false">
      <c r="A15" s="62"/>
      <c r="B15" s="56"/>
      <c r="C15" s="56"/>
      <c r="D15" s="55"/>
      <c r="E15" s="56"/>
    </row>
    <row r="16" customFormat="false" ht="15" hidden="false" customHeight="false" outlineLevel="0" collapsed="false">
      <c r="A16" s="62"/>
      <c r="B16" s="56"/>
      <c r="C16" s="56"/>
      <c r="D16" s="55"/>
      <c r="E16" s="56"/>
    </row>
    <row r="17" customFormat="false" ht="15" hidden="false" customHeight="false" outlineLevel="0" collapsed="false">
      <c r="A17" s="62"/>
      <c r="B17" s="56"/>
      <c r="C17" s="56"/>
      <c r="D17" s="55"/>
      <c r="E17" s="56"/>
    </row>
    <row r="18" customFormat="false" ht="15" hidden="false" customHeight="false" outlineLevel="0" collapsed="false">
      <c r="A18" s="62"/>
      <c r="B18" s="56"/>
      <c r="C18" s="56"/>
      <c r="D18" s="55"/>
      <c r="E18" s="56"/>
    </row>
    <row r="19" customFormat="false" ht="15" hidden="false" customHeight="false" outlineLevel="0" collapsed="false">
      <c r="A19" s="62"/>
      <c r="B19" s="56"/>
      <c r="C19" s="56"/>
      <c r="D19" s="55"/>
      <c r="E19" s="56"/>
    </row>
    <row r="20" customFormat="false" ht="15" hidden="false" customHeight="false" outlineLevel="0" collapsed="false">
      <c r="A20" s="62"/>
      <c r="B20" s="56"/>
      <c r="C20" s="56"/>
      <c r="D20" s="55"/>
      <c r="E20" s="56"/>
    </row>
    <row r="21" customFormat="false" ht="15" hidden="false" customHeight="false" outlineLevel="0" collapsed="false">
      <c r="A21" s="62"/>
      <c r="B21" s="56"/>
      <c r="C21" s="56"/>
      <c r="D21" s="55"/>
      <c r="E21" s="56"/>
    </row>
    <row r="22" customFormat="false" ht="15" hidden="false" customHeight="false" outlineLevel="0" collapsed="false">
      <c r="A22" s="62"/>
      <c r="B22" s="56"/>
      <c r="C22" s="56"/>
      <c r="D22" s="55"/>
      <c r="E22" s="56"/>
    </row>
    <row r="23" customFormat="false" ht="15" hidden="false" customHeight="false" outlineLevel="0" collapsed="false">
      <c r="A23" s="62"/>
      <c r="B23" s="56"/>
      <c r="C23" s="56"/>
      <c r="D23" s="55"/>
      <c r="E23" s="56"/>
    </row>
    <row r="24" customFormat="false" ht="15" hidden="false" customHeight="false" outlineLevel="0" collapsed="false">
      <c r="A24" s="62"/>
      <c r="B24" s="56"/>
      <c r="C24" s="56"/>
      <c r="D24" s="55"/>
      <c r="E24" s="56"/>
    </row>
    <row r="25" customFormat="false" ht="15" hidden="false" customHeight="false" outlineLevel="0" collapsed="false">
      <c r="A25" s="62"/>
      <c r="B25" s="56"/>
      <c r="C25" s="56"/>
      <c r="D25" s="55"/>
      <c r="E25" s="56"/>
    </row>
    <row r="26" customFormat="false" ht="15" hidden="false" customHeight="false" outlineLevel="0" collapsed="false">
      <c r="A26" s="62"/>
      <c r="B26" s="56"/>
      <c r="C26" s="56"/>
      <c r="D26" s="55"/>
      <c r="E26" s="56"/>
    </row>
    <row r="27" customFormat="false" ht="15" hidden="false" customHeight="false" outlineLevel="0" collapsed="false">
      <c r="A27" s="62"/>
      <c r="B27" s="56"/>
      <c r="C27" s="56"/>
      <c r="D27" s="55"/>
      <c r="E27" s="56"/>
    </row>
    <row r="28" customFormat="false" ht="15" hidden="false" customHeight="false" outlineLevel="0" collapsed="false">
      <c r="A28" s="62"/>
      <c r="B28" s="56"/>
      <c r="C28" s="56"/>
      <c r="D28" s="55"/>
      <c r="E28" s="56"/>
    </row>
    <row r="29" customFormat="false" ht="15" hidden="false" customHeight="false" outlineLevel="0" collapsed="false">
      <c r="A29" s="62"/>
      <c r="B29" s="56"/>
      <c r="C29" s="56"/>
      <c r="D29" s="55"/>
      <c r="E29" s="56"/>
    </row>
    <row r="30" customFormat="false" ht="15" hidden="false" customHeight="false" outlineLevel="0" collapsed="false">
      <c r="A30" s="62"/>
      <c r="B30" s="56"/>
      <c r="C30" s="56"/>
      <c r="D30" s="55"/>
      <c r="E30" s="56"/>
    </row>
    <row r="31" customFormat="false" ht="15" hidden="false" customHeight="false" outlineLevel="0" collapsed="false">
      <c r="A31" s="62"/>
      <c r="B31" s="56"/>
      <c r="C31" s="56"/>
      <c r="D31" s="55"/>
      <c r="E31" s="56"/>
    </row>
    <row r="32" customFormat="false" ht="15" hidden="false" customHeight="false" outlineLevel="0" collapsed="false">
      <c r="A32" s="62"/>
      <c r="B32" s="56"/>
      <c r="C32" s="56"/>
      <c r="D32" s="55"/>
      <c r="E32" s="56"/>
    </row>
    <row r="33" customFormat="false" ht="15" hidden="false" customHeight="false" outlineLevel="0" collapsed="false">
      <c r="A33" s="62"/>
      <c r="B33" s="56"/>
      <c r="C33" s="56"/>
      <c r="D33" s="55"/>
      <c r="E33" s="56"/>
    </row>
    <row r="34" customFormat="false" ht="15" hidden="false" customHeight="false" outlineLevel="0" collapsed="false">
      <c r="A34" s="62"/>
      <c r="B34" s="56"/>
      <c r="C34" s="56"/>
      <c r="D34" s="55"/>
      <c r="E34" s="56"/>
    </row>
    <row r="35" customFormat="false" ht="15" hidden="false" customHeight="false" outlineLevel="0" collapsed="false">
      <c r="A35" s="62"/>
      <c r="B35" s="56"/>
      <c r="C35" s="56"/>
      <c r="D35" s="55"/>
      <c r="E35" s="56"/>
    </row>
    <row r="36" customFormat="false" ht="15" hidden="false" customHeight="false" outlineLevel="0" collapsed="false">
      <c r="A36" s="62"/>
      <c r="B36" s="56"/>
      <c r="C36" s="56"/>
      <c r="D36" s="55"/>
      <c r="E36" s="56"/>
    </row>
    <row r="37" customFormat="false" ht="15" hidden="false" customHeight="false" outlineLevel="0" collapsed="false">
      <c r="A37" s="62"/>
      <c r="B37" s="56"/>
      <c r="C37" s="56"/>
      <c r="D37" s="55"/>
      <c r="E37" s="56"/>
    </row>
    <row r="38" customFormat="false" ht="15" hidden="false" customHeight="false" outlineLevel="0" collapsed="false">
      <c r="A38" s="62"/>
      <c r="B38" s="56"/>
      <c r="C38" s="56"/>
      <c r="D38" s="55"/>
      <c r="E38" s="56"/>
    </row>
    <row r="39" customFormat="false" ht="15" hidden="false" customHeight="false" outlineLevel="0" collapsed="false">
      <c r="A39" s="62"/>
      <c r="B39" s="56"/>
      <c r="C39" s="56"/>
      <c r="D39" s="55"/>
      <c r="E39" s="56"/>
    </row>
    <row r="40" customFormat="false" ht="15" hidden="false" customHeight="false" outlineLevel="0" collapsed="false">
      <c r="A40" s="62"/>
      <c r="B40" s="56"/>
      <c r="C40" s="56"/>
      <c r="D40" s="55"/>
      <c r="E40" s="56"/>
    </row>
    <row r="41" customFormat="false" ht="15" hidden="false" customHeight="false" outlineLevel="0" collapsed="false">
      <c r="A41" s="62"/>
      <c r="B41" s="56"/>
      <c r="C41" s="56"/>
      <c r="D41" s="55"/>
      <c r="E41" s="56"/>
    </row>
    <row r="42" customFormat="false" ht="15" hidden="false" customHeight="false" outlineLevel="0" collapsed="false">
      <c r="A42" s="62"/>
      <c r="B42" s="56"/>
      <c r="C42" s="56"/>
      <c r="D42" s="55"/>
      <c r="E42" s="56"/>
    </row>
    <row r="43" customFormat="false" ht="15" hidden="false" customHeight="false" outlineLevel="0" collapsed="false">
      <c r="A43" s="62"/>
      <c r="B43" s="56"/>
      <c r="C43" s="56"/>
      <c r="D43" s="55"/>
      <c r="E43" s="56"/>
    </row>
    <row r="44" customFormat="false" ht="15" hidden="false" customHeight="false" outlineLevel="0" collapsed="false">
      <c r="A44" s="62"/>
      <c r="B44" s="56"/>
      <c r="C44" s="56"/>
      <c r="D44" s="55"/>
      <c r="E44" s="56"/>
    </row>
    <row r="45" customFormat="false" ht="15" hidden="false" customHeight="false" outlineLevel="0" collapsed="false">
      <c r="A45" s="62"/>
      <c r="B45" s="56"/>
      <c r="C45" s="56"/>
      <c r="D45" s="55"/>
      <c r="E45" s="56"/>
    </row>
    <row r="46" customFormat="false" ht="15" hidden="false" customHeight="false" outlineLevel="0" collapsed="false">
      <c r="A46" s="62"/>
      <c r="B46" s="56"/>
      <c r="C46" s="56"/>
      <c r="D46" s="55"/>
      <c r="E46" s="56"/>
    </row>
    <row r="47" customFormat="false" ht="15" hidden="false" customHeight="false" outlineLevel="0" collapsed="false">
      <c r="A47" s="62"/>
      <c r="B47" s="56"/>
      <c r="C47" s="56"/>
      <c r="D47" s="55"/>
      <c r="E47" s="56"/>
    </row>
    <row r="48" customFormat="false" ht="15" hidden="false" customHeight="false" outlineLevel="0" collapsed="false">
      <c r="A48" s="62"/>
      <c r="B48" s="56"/>
      <c r="C48" s="56"/>
      <c r="D48" s="55"/>
      <c r="E48" s="56"/>
    </row>
    <row r="49" customFormat="false" ht="15" hidden="false" customHeight="false" outlineLevel="0" collapsed="false">
      <c r="A49" s="62"/>
      <c r="B49" s="56"/>
      <c r="C49" s="56"/>
      <c r="D49" s="55"/>
      <c r="E49" s="56"/>
    </row>
    <row r="50" customFormat="false" ht="15" hidden="false" customHeight="false" outlineLevel="0" collapsed="false">
      <c r="A50" s="62"/>
      <c r="B50" s="56"/>
      <c r="C50" s="56"/>
      <c r="D50" s="55"/>
      <c r="E50" s="56"/>
    </row>
    <row r="51" customFormat="false" ht="15" hidden="false" customHeight="false" outlineLevel="0" collapsed="false">
      <c r="A51" s="62"/>
      <c r="B51" s="56"/>
      <c r="C51" s="56"/>
      <c r="D51" s="55"/>
      <c r="E51" s="56"/>
    </row>
    <row r="52" customFormat="false" ht="15" hidden="false" customHeight="false" outlineLevel="0" collapsed="false">
      <c r="A52" s="62"/>
      <c r="B52" s="56"/>
      <c r="C52" s="56"/>
      <c r="D52" s="55"/>
      <c r="E52" s="56"/>
    </row>
    <row r="53" customFormat="false" ht="15" hidden="false" customHeight="false" outlineLevel="0" collapsed="false">
      <c r="A53" s="62"/>
      <c r="B53" s="56"/>
      <c r="C53" s="56"/>
      <c r="D53" s="55"/>
      <c r="E53" s="56"/>
    </row>
    <row r="54" customFormat="false" ht="15" hidden="false" customHeight="false" outlineLevel="0" collapsed="false">
      <c r="A54" s="62"/>
      <c r="B54" s="56"/>
      <c r="C54" s="56"/>
      <c r="D54" s="55"/>
      <c r="E54" s="56"/>
    </row>
    <row r="55" customFormat="false" ht="15" hidden="false" customHeight="false" outlineLevel="0" collapsed="false">
      <c r="A55" s="62"/>
      <c r="B55" s="56"/>
      <c r="C55" s="56"/>
      <c r="D55" s="55"/>
      <c r="E55" s="56"/>
    </row>
    <row r="56" customFormat="false" ht="15" hidden="false" customHeight="false" outlineLevel="0" collapsed="false">
      <c r="A56" s="62"/>
      <c r="B56" s="56"/>
      <c r="C56" s="56"/>
      <c r="D56" s="55"/>
      <c r="E56" s="56"/>
    </row>
    <row r="57" customFormat="false" ht="15" hidden="false" customHeight="false" outlineLevel="0" collapsed="false">
      <c r="A57" s="62"/>
      <c r="B57" s="56"/>
      <c r="C57" s="56"/>
      <c r="D57" s="55"/>
      <c r="E57" s="56"/>
    </row>
    <row r="58" customFormat="false" ht="15" hidden="false" customHeight="false" outlineLevel="0" collapsed="false">
      <c r="A58" s="62"/>
      <c r="B58" s="56"/>
      <c r="C58" s="56"/>
      <c r="D58" s="55"/>
      <c r="E58" s="56"/>
    </row>
    <row r="59" customFormat="false" ht="15" hidden="false" customHeight="false" outlineLevel="0" collapsed="false">
      <c r="A59" s="62"/>
      <c r="B59" s="56"/>
      <c r="C59" s="56"/>
      <c r="D59" s="55"/>
      <c r="E59" s="56"/>
    </row>
    <row r="60" customFormat="false" ht="15" hidden="false" customHeight="false" outlineLevel="0" collapsed="false">
      <c r="A60" s="62"/>
      <c r="B60" s="56"/>
      <c r="C60" s="56"/>
      <c r="D60" s="55"/>
      <c r="E60" s="56"/>
    </row>
    <row r="61" customFormat="false" ht="15" hidden="false" customHeight="false" outlineLevel="0" collapsed="false">
      <c r="A61" s="62"/>
      <c r="B61" s="56"/>
      <c r="C61" s="56"/>
      <c r="D61" s="55"/>
      <c r="E61" s="56"/>
    </row>
    <row r="62" customFormat="false" ht="15" hidden="false" customHeight="false" outlineLevel="0" collapsed="false">
      <c r="A62" s="62"/>
      <c r="B62" s="56"/>
      <c r="C62" s="56"/>
      <c r="D62" s="55"/>
      <c r="E62" s="56"/>
    </row>
    <row r="63" customFormat="false" ht="15" hidden="false" customHeight="false" outlineLevel="0" collapsed="false">
      <c r="A63" s="62"/>
      <c r="B63" s="56"/>
      <c r="C63" s="56"/>
      <c r="D63" s="55"/>
      <c r="E63" s="56"/>
    </row>
    <row r="64" customFormat="false" ht="15" hidden="false" customHeight="false" outlineLevel="0" collapsed="false">
      <c r="A64" s="62"/>
      <c r="B64" s="56"/>
      <c r="C64" s="56"/>
      <c r="D64" s="55"/>
      <c r="E64" s="56"/>
    </row>
    <row r="65" customFormat="false" ht="15" hidden="false" customHeight="false" outlineLevel="0" collapsed="false">
      <c r="A65" s="62"/>
      <c r="B65" s="56"/>
      <c r="C65" s="56"/>
      <c r="D65" s="55"/>
      <c r="E65" s="56"/>
    </row>
    <row r="66" customFormat="false" ht="15" hidden="false" customHeight="false" outlineLevel="0" collapsed="false">
      <c r="A66" s="62"/>
      <c r="B66" s="56"/>
      <c r="C66" s="56"/>
      <c r="D66" s="55"/>
      <c r="E66" s="56"/>
    </row>
    <row r="67" customFormat="false" ht="15" hidden="false" customHeight="false" outlineLevel="0" collapsed="false">
      <c r="A67" s="62"/>
      <c r="B67" s="56"/>
      <c r="C67" s="56"/>
      <c r="D67" s="55"/>
      <c r="E67" s="56"/>
    </row>
    <row r="68" customFormat="false" ht="15" hidden="false" customHeight="false" outlineLevel="0" collapsed="false">
      <c r="A68" s="62"/>
      <c r="B68" s="56"/>
      <c r="C68" s="56"/>
      <c r="D68" s="55"/>
      <c r="E68" s="56"/>
    </row>
    <row r="69" customFormat="false" ht="15" hidden="false" customHeight="false" outlineLevel="0" collapsed="false">
      <c r="A69" s="62"/>
      <c r="B69" s="56"/>
      <c r="C69" s="56"/>
      <c r="D69" s="55"/>
      <c r="E69" s="56"/>
    </row>
    <row r="70" customFormat="false" ht="15" hidden="false" customHeight="false" outlineLevel="0" collapsed="false">
      <c r="A70" s="62"/>
      <c r="B70" s="56"/>
      <c r="C70" s="56"/>
      <c r="D70" s="55"/>
      <c r="E70" s="56"/>
    </row>
    <row r="71" customFormat="false" ht="15" hidden="false" customHeight="false" outlineLevel="0" collapsed="false">
      <c r="A71" s="62"/>
      <c r="B71" s="56"/>
      <c r="C71" s="56"/>
      <c r="D71" s="55"/>
      <c r="E71" s="56"/>
    </row>
    <row r="72" customFormat="false" ht="15" hidden="false" customHeight="false" outlineLevel="0" collapsed="false">
      <c r="A72" s="62"/>
      <c r="B72" s="56"/>
      <c r="C72" s="56"/>
      <c r="D72" s="55"/>
      <c r="E72" s="56"/>
    </row>
    <row r="73" customFormat="false" ht="15" hidden="false" customHeight="false" outlineLevel="0" collapsed="false">
      <c r="A73" s="62"/>
      <c r="B73" s="56"/>
      <c r="C73" s="56"/>
      <c r="D73" s="55"/>
      <c r="E73" s="56"/>
    </row>
    <row r="74" customFormat="false" ht="15" hidden="false" customHeight="false" outlineLevel="0" collapsed="false">
      <c r="A74" s="62"/>
      <c r="B74" s="56"/>
      <c r="C74" s="56"/>
      <c r="D74" s="55"/>
      <c r="E74" s="56"/>
    </row>
    <row r="75" customFormat="false" ht="15" hidden="false" customHeight="false" outlineLevel="0" collapsed="false">
      <c r="A75" s="62"/>
      <c r="B75" s="56"/>
      <c r="C75" s="56"/>
      <c r="D75" s="55"/>
      <c r="E75" s="56"/>
    </row>
    <row r="76" customFormat="false" ht="15" hidden="false" customHeight="false" outlineLevel="0" collapsed="false">
      <c r="A76" s="62"/>
      <c r="B76" s="56"/>
      <c r="C76" s="56"/>
      <c r="D76" s="55"/>
      <c r="E76" s="56"/>
    </row>
    <row r="77" customFormat="false" ht="15" hidden="false" customHeight="false" outlineLevel="0" collapsed="false">
      <c r="A77" s="62"/>
      <c r="B77" s="56"/>
      <c r="C77" s="56"/>
      <c r="D77" s="55"/>
      <c r="E77" s="56"/>
    </row>
    <row r="78" customFormat="false" ht="15" hidden="false" customHeight="false" outlineLevel="0" collapsed="false">
      <c r="A78" s="62"/>
      <c r="B78" s="56"/>
      <c r="C78" s="56"/>
      <c r="D78" s="55"/>
      <c r="E78" s="56"/>
    </row>
    <row r="79" customFormat="false" ht="15" hidden="false" customHeight="false" outlineLevel="0" collapsed="false">
      <c r="A79" s="62"/>
      <c r="B79" s="56"/>
      <c r="C79" s="56"/>
      <c r="D79" s="55"/>
      <c r="E79" s="56"/>
    </row>
    <row r="80" customFormat="false" ht="15" hidden="false" customHeight="false" outlineLevel="0" collapsed="false">
      <c r="A80" s="62"/>
      <c r="B80" s="56"/>
      <c r="C80" s="56"/>
      <c r="D80" s="55"/>
      <c r="E80" s="56"/>
    </row>
    <row r="81" customFormat="false" ht="15" hidden="false" customHeight="false" outlineLevel="0" collapsed="false">
      <c r="A81" s="62"/>
      <c r="B81" s="56"/>
      <c r="C81" s="56"/>
      <c r="D81" s="55"/>
      <c r="E81" s="56"/>
    </row>
    <row r="82" customFormat="false" ht="15" hidden="false" customHeight="false" outlineLevel="0" collapsed="false">
      <c r="A82" s="62"/>
      <c r="B82" s="56"/>
      <c r="C82" s="56"/>
      <c r="D82" s="55"/>
      <c r="E82" s="56"/>
    </row>
    <row r="83" customFormat="false" ht="15" hidden="false" customHeight="false" outlineLevel="0" collapsed="false">
      <c r="A83" s="62"/>
      <c r="B83" s="56"/>
      <c r="C83" s="56"/>
      <c r="D83" s="55"/>
      <c r="E83" s="56"/>
    </row>
    <row r="84" customFormat="false" ht="15" hidden="false" customHeight="false" outlineLevel="0" collapsed="false">
      <c r="A84" s="62"/>
      <c r="B84" s="56"/>
      <c r="C84" s="56"/>
      <c r="D84" s="55"/>
      <c r="E84" s="56"/>
    </row>
    <row r="85" customFormat="false" ht="15" hidden="false" customHeight="false" outlineLevel="0" collapsed="false">
      <c r="A85" s="62"/>
      <c r="B85" s="56"/>
      <c r="C85" s="56"/>
      <c r="D85" s="55"/>
      <c r="E85" s="56"/>
    </row>
    <row r="86" customFormat="false" ht="15" hidden="false" customHeight="false" outlineLevel="0" collapsed="false">
      <c r="A86" s="62"/>
      <c r="B86" s="56"/>
      <c r="C86" s="56"/>
      <c r="D86" s="55"/>
      <c r="E86" s="56"/>
    </row>
    <row r="87" customFormat="false" ht="15" hidden="false" customHeight="false" outlineLevel="0" collapsed="false">
      <c r="A87" s="62"/>
      <c r="B87" s="56"/>
      <c r="C87" s="56"/>
      <c r="D87" s="55"/>
      <c r="E87" s="56"/>
    </row>
    <row r="88" customFormat="false" ht="15" hidden="false" customHeight="false" outlineLevel="0" collapsed="false">
      <c r="A88" s="62"/>
      <c r="B88" s="56"/>
      <c r="C88" s="56"/>
      <c r="D88" s="55"/>
      <c r="E88" s="56"/>
    </row>
    <row r="89" customFormat="false" ht="15" hidden="false" customHeight="false" outlineLevel="0" collapsed="false">
      <c r="A89" s="62"/>
      <c r="B89" s="56"/>
      <c r="C89" s="56"/>
      <c r="D89" s="55"/>
      <c r="E89" s="56"/>
    </row>
    <row r="90" customFormat="false" ht="15" hidden="false" customHeight="false" outlineLevel="0" collapsed="false">
      <c r="A90" s="62"/>
      <c r="B90" s="56"/>
      <c r="C90" s="56"/>
      <c r="D90" s="55"/>
      <c r="E90" s="56"/>
    </row>
    <row r="91" customFormat="false" ht="15" hidden="false" customHeight="false" outlineLevel="0" collapsed="false">
      <c r="A91" s="62"/>
      <c r="B91" s="56"/>
      <c r="C91" s="56"/>
      <c r="D91" s="55"/>
      <c r="E91" s="56"/>
    </row>
    <row r="92" customFormat="false" ht="15" hidden="false" customHeight="false" outlineLevel="0" collapsed="false">
      <c r="A92" s="62"/>
      <c r="B92" s="56"/>
      <c r="C92" s="56"/>
      <c r="D92" s="55"/>
      <c r="E92" s="56"/>
    </row>
    <row r="93" customFormat="false" ht="15" hidden="false" customHeight="false" outlineLevel="0" collapsed="false">
      <c r="A93" s="62"/>
      <c r="B93" s="56"/>
      <c r="C93" s="56"/>
      <c r="D93" s="55"/>
      <c r="E93" s="56"/>
    </row>
    <row r="94" customFormat="false" ht="15" hidden="false" customHeight="false" outlineLevel="0" collapsed="false">
      <c r="A94" s="62"/>
      <c r="B94" s="56"/>
      <c r="C94" s="56"/>
      <c r="D94" s="55"/>
      <c r="E94" s="56"/>
    </row>
    <row r="95" customFormat="false" ht="15" hidden="false" customHeight="false" outlineLevel="0" collapsed="false">
      <c r="A95" s="62"/>
      <c r="B95" s="56"/>
      <c r="C95" s="56"/>
      <c r="D95" s="55"/>
      <c r="E95" s="56"/>
    </row>
    <row r="96" customFormat="false" ht="15" hidden="false" customHeight="false" outlineLevel="0" collapsed="false">
      <c r="A96" s="62"/>
      <c r="B96" s="56"/>
      <c r="C96" s="56"/>
      <c r="D96" s="55"/>
      <c r="E96" s="56"/>
    </row>
    <row r="97" customFormat="false" ht="15" hidden="false" customHeight="false" outlineLevel="0" collapsed="false">
      <c r="A97" s="62"/>
      <c r="B97" s="56"/>
      <c r="C97" s="56"/>
      <c r="D97" s="55"/>
      <c r="E97" s="56"/>
    </row>
    <row r="98" customFormat="false" ht="15" hidden="false" customHeight="false" outlineLevel="0" collapsed="false">
      <c r="A98" s="62"/>
      <c r="B98" s="56"/>
      <c r="C98" s="56"/>
      <c r="D98" s="55"/>
      <c r="E98" s="56"/>
    </row>
    <row r="99" customFormat="false" ht="15" hidden="false" customHeight="false" outlineLevel="0" collapsed="false">
      <c r="A99" s="62"/>
      <c r="B99" s="56"/>
      <c r="C99" s="56"/>
      <c r="D99" s="55"/>
      <c r="E99" s="56"/>
    </row>
    <row r="100" customFormat="false" ht="15" hidden="false" customHeight="false" outlineLevel="0" collapsed="false">
      <c r="A100" s="62"/>
      <c r="B100" s="56"/>
      <c r="C100" s="56"/>
      <c r="D100" s="55"/>
      <c r="E100" s="56"/>
    </row>
    <row r="101" customFormat="false" ht="15" hidden="false" customHeight="false" outlineLevel="0" collapsed="false">
      <c r="A101" s="62"/>
      <c r="B101" s="56"/>
      <c r="C101" s="56"/>
      <c r="D101" s="55"/>
      <c r="E101" s="56"/>
    </row>
    <row r="102" customFormat="false" ht="15" hidden="false" customHeight="false" outlineLevel="0" collapsed="false">
      <c r="A102" s="62"/>
      <c r="B102" s="56"/>
      <c r="C102" s="56"/>
      <c r="D102" s="55"/>
      <c r="E102" s="56"/>
    </row>
    <row r="103" customFormat="false" ht="15" hidden="false" customHeight="false" outlineLevel="0" collapsed="false">
      <c r="A103" s="62"/>
      <c r="B103" s="56"/>
      <c r="C103" s="56"/>
      <c r="D103" s="55"/>
      <c r="E103" s="56"/>
    </row>
    <row r="104" customFormat="false" ht="15" hidden="false" customHeight="false" outlineLevel="0" collapsed="false">
      <c r="A104" s="62"/>
      <c r="B104" s="56"/>
      <c r="C104" s="56"/>
      <c r="D104" s="55"/>
      <c r="E104" s="56"/>
    </row>
    <row r="105" customFormat="false" ht="15" hidden="false" customHeight="false" outlineLevel="0" collapsed="false">
      <c r="A105" s="62"/>
      <c r="B105" s="56"/>
      <c r="C105" s="56"/>
      <c r="D105" s="55"/>
      <c r="E105" s="56"/>
    </row>
    <row r="106" customFormat="false" ht="15" hidden="false" customHeight="false" outlineLevel="0" collapsed="false">
      <c r="A106" s="62"/>
      <c r="B106" s="56"/>
      <c r="C106" s="56"/>
      <c r="D106" s="55"/>
      <c r="E106" s="56"/>
    </row>
    <row r="107" customFormat="false" ht="15" hidden="false" customHeight="false" outlineLevel="0" collapsed="false">
      <c r="A107" s="62"/>
      <c r="B107" s="56"/>
      <c r="C107" s="56"/>
      <c r="D107" s="55"/>
      <c r="E107" s="56"/>
    </row>
    <row r="108" customFormat="false" ht="15" hidden="false" customHeight="false" outlineLevel="0" collapsed="false">
      <c r="A108" s="62"/>
      <c r="B108" s="56"/>
      <c r="C108" s="56"/>
      <c r="D108" s="55"/>
      <c r="E108" s="56"/>
    </row>
    <row r="109" customFormat="false" ht="15" hidden="false" customHeight="false" outlineLevel="0" collapsed="false">
      <c r="A109" s="62"/>
      <c r="B109" s="56"/>
      <c r="C109" s="56"/>
      <c r="D109" s="55"/>
      <c r="E109" s="56"/>
    </row>
    <row r="110" customFormat="false" ht="15" hidden="false" customHeight="false" outlineLevel="0" collapsed="false">
      <c r="A110" s="62"/>
      <c r="B110" s="56"/>
      <c r="C110" s="56"/>
      <c r="D110" s="55"/>
      <c r="E110" s="56"/>
    </row>
    <row r="111" customFormat="false" ht="15" hidden="false" customHeight="false" outlineLevel="0" collapsed="false">
      <c r="A111" s="62"/>
      <c r="B111" s="56"/>
      <c r="C111" s="56"/>
      <c r="D111" s="55"/>
      <c r="E111" s="56"/>
    </row>
    <row r="112" customFormat="false" ht="15" hidden="false" customHeight="false" outlineLevel="0" collapsed="false">
      <c r="A112" s="62"/>
      <c r="B112" s="56"/>
      <c r="C112" s="56"/>
      <c r="D112" s="55"/>
      <c r="E112" s="56"/>
    </row>
    <row r="113" customFormat="false" ht="15" hidden="false" customHeight="false" outlineLevel="0" collapsed="false">
      <c r="A113" s="62"/>
      <c r="B113" s="56"/>
      <c r="C113" s="56"/>
      <c r="D113" s="55"/>
      <c r="E113" s="56"/>
    </row>
    <row r="114" customFormat="false" ht="15" hidden="false" customHeight="false" outlineLevel="0" collapsed="false">
      <c r="A114" s="62"/>
      <c r="B114" s="56"/>
      <c r="C114" s="56"/>
      <c r="D114" s="55"/>
      <c r="E114" s="56"/>
    </row>
    <row r="115" customFormat="false" ht="15" hidden="false" customHeight="false" outlineLevel="0" collapsed="false">
      <c r="A115" s="62"/>
      <c r="B115" s="56"/>
      <c r="C115" s="56"/>
      <c r="D115" s="55"/>
      <c r="E115" s="56"/>
    </row>
    <row r="116" customFormat="false" ht="15" hidden="false" customHeight="false" outlineLevel="0" collapsed="false">
      <c r="A116" s="62"/>
      <c r="B116" s="56"/>
      <c r="C116" s="56"/>
      <c r="D116" s="55"/>
      <c r="E116" s="56"/>
    </row>
    <row r="117" customFormat="false" ht="15" hidden="false" customHeight="false" outlineLevel="0" collapsed="false">
      <c r="A117" s="62"/>
      <c r="B117" s="56"/>
      <c r="C117" s="56"/>
      <c r="D117" s="55"/>
      <c r="E117" s="56"/>
    </row>
    <row r="118" customFormat="false" ht="15" hidden="false" customHeight="false" outlineLevel="0" collapsed="false">
      <c r="A118" s="62"/>
      <c r="B118" s="56"/>
      <c r="C118" s="56"/>
      <c r="D118" s="55"/>
      <c r="E118" s="56"/>
    </row>
    <row r="119" customFormat="false" ht="15" hidden="false" customHeight="false" outlineLevel="0" collapsed="false">
      <c r="A119" s="62"/>
      <c r="B119" s="56"/>
      <c r="C119" s="56"/>
      <c r="D119" s="55"/>
      <c r="E119" s="56"/>
    </row>
    <row r="120" customFormat="false" ht="15" hidden="false" customHeight="false" outlineLevel="0" collapsed="false">
      <c r="A120" s="62"/>
      <c r="B120" s="56"/>
      <c r="C120" s="56"/>
      <c r="D120" s="55"/>
      <c r="E120" s="56"/>
    </row>
    <row r="121" customFormat="false" ht="15" hidden="false" customHeight="false" outlineLevel="0" collapsed="false">
      <c r="A121" s="62"/>
      <c r="B121" s="56"/>
      <c r="C121" s="56"/>
      <c r="D121" s="55"/>
      <c r="E121" s="56"/>
    </row>
    <row r="122" customFormat="false" ht="15" hidden="false" customHeight="false" outlineLevel="0" collapsed="false">
      <c r="A122" s="62"/>
      <c r="B122" s="56"/>
      <c r="C122" s="56"/>
      <c r="D122" s="55"/>
      <c r="E122" s="56"/>
    </row>
    <row r="123" customFormat="false" ht="15" hidden="false" customHeight="false" outlineLevel="0" collapsed="false">
      <c r="A123" s="62"/>
      <c r="B123" s="56"/>
      <c r="C123" s="56"/>
      <c r="D123" s="55"/>
      <c r="E123" s="56"/>
    </row>
    <row r="124" customFormat="false" ht="15" hidden="false" customHeight="false" outlineLevel="0" collapsed="false">
      <c r="A124" s="62"/>
      <c r="B124" s="56"/>
      <c r="C124" s="56"/>
      <c r="D124" s="55"/>
      <c r="E124" s="56"/>
    </row>
    <row r="125" customFormat="false" ht="15" hidden="false" customHeight="false" outlineLevel="0" collapsed="false">
      <c r="A125" s="62"/>
      <c r="B125" s="56"/>
      <c r="C125" s="56"/>
      <c r="D125" s="55"/>
      <c r="E125" s="56"/>
    </row>
    <row r="126" customFormat="false" ht="15" hidden="false" customHeight="false" outlineLevel="0" collapsed="false">
      <c r="A126" s="62"/>
      <c r="B126" s="56"/>
      <c r="C126" s="56"/>
      <c r="D126" s="55"/>
      <c r="E126" s="56"/>
    </row>
    <row r="127" customFormat="false" ht="15" hidden="false" customHeight="false" outlineLevel="0" collapsed="false">
      <c r="A127" s="62"/>
      <c r="B127" s="56"/>
      <c r="C127" s="56"/>
      <c r="D127" s="55"/>
      <c r="E127" s="56"/>
    </row>
    <row r="128" customFormat="false" ht="15" hidden="false" customHeight="false" outlineLevel="0" collapsed="false">
      <c r="A128" s="62"/>
      <c r="B128" s="56"/>
      <c r="C128" s="56"/>
      <c r="D128" s="55"/>
      <c r="E128" s="56"/>
    </row>
    <row r="129" customFormat="false" ht="15" hidden="false" customHeight="false" outlineLevel="0" collapsed="false">
      <c r="A129" s="62"/>
      <c r="B129" s="56"/>
      <c r="C129" s="56"/>
      <c r="D129" s="55"/>
      <c r="E129" s="56"/>
    </row>
    <row r="130" customFormat="false" ht="15" hidden="false" customHeight="false" outlineLevel="0" collapsed="false">
      <c r="A130" s="62"/>
      <c r="B130" s="56"/>
      <c r="C130" s="56"/>
      <c r="D130" s="55"/>
      <c r="E130" s="56"/>
    </row>
    <row r="131" customFormat="false" ht="15" hidden="false" customHeight="false" outlineLevel="0" collapsed="false">
      <c r="A131" s="62"/>
      <c r="B131" s="56"/>
      <c r="C131" s="56"/>
      <c r="D131" s="55"/>
      <c r="E131" s="56"/>
    </row>
    <row r="132" customFormat="false" ht="15" hidden="false" customHeight="false" outlineLevel="0" collapsed="false">
      <c r="A132" s="62"/>
      <c r="B132" s="56"/>
      <c r="C132" s="56"/>
      <c r="D132" s="55"/>
      <c r="E132" s="56"/>
    </row>
    <row r="133" customFormat="false" ht="15" hidden="false" customHeight="false" outlineLevel="0" collapsed="false">
      <c r="A133" s="62"/>
      <c r="B133" s="56"/>
      <c r="C133" s="56"/>
      <c r="D133" s="55"/>
      <c r="E133" s="56"/>
    </row>
    <row r="134" customFormat="false" ht="15" hidden="false" customHeight="false" outlineLevel="0" collapsed="false">
      <c r="A134" s="62"/>
      <c r="B134" s="56"/>
      <c r="C134" s="56"/>
      <c r="D134" s="55"/>
      <c r="E134" s="56"/>
    </row>
    <row r="135" customFormat="false" ht="15" hidden="false" customHeight="false" outlineLevel="0" collapsed="false">
      <c r="A135" s="62"/>
      <c r="B135" s="56"/>
      <c r="C135" s="56"/>
      <c r="D135" s="55"/>
      <c r="E135" s="56"/>
    </row>
    <row r="136" customFormat="false" ht="15" hidden="false" customHeight="false" outlineLevel="0" collapsed="false">
      <c r="A136" s="62"/>
      <c r="B136" s="56"/>
      <c r="C136" s="56"/>
      <c r="D136" s="55"/>
      <c r="E136" s="56"/>
    </row>
    <row r="137" customFormat="false" ht="15" hidden="false" customHeight="false" outlineLevel="0" collapsed="false">
      <c r="A137" s="62"/>
      <c r="B137" s="56"/>
      <c r="C137" s="56"/>
      <c r="D137" s="55"/>
      <c r="E137" s="56"/>
    </row>
    <row r="138" customFormat="false" ht="15" hidden="false" customHeight="false" outlineLevel="0" collapsed="false">
      <c r="A138" s="62"/>
      <c r="B138" s="56"/>
      <c r="C138" s="56"/>
      <c r="D138" s="55"/>
      <c r="E138" s="56"/>
    </row>
    <row r="139" customFormat="false" ht="15" hidden="false" customHeight="false" outlineLevel="0" collapsed="false">
      <c r="A139" s="62"/>
      <c r="B139" s="56"/>
      <c r="C139" s="56"/>
      <c r="D139" s="55"/>
      <c r="E139" s="56"/>
    </row>
    <row r="140" customFormat="false" ht="15" hidden="false" customHeight="false" outlineLevel="0" collapsed="false">
      <c r="A140" s="62"/>
      <c r="B140" s="56"/>
      <c r="C140" s="56"/>
      <c r="D140" s="55"/>
      <c r="E140" s="56"/>
    </row>
    <row r="141" customFormat="false" ht="15" hidden="false" customHeight="false" outlineLevel="0" collapsed="false">
      <c r="A141" s="62"/>
      <c r="B141" s="56"/>
      <c r="C141" s="56"/>
      <c r="D141" s="55"/>
      <c r="E141" s="56"/>
    </row>
    <row r="142" customFormat="false" ht="15" hidden="false" customHeight="false" outlineLevel="0" collapsed="false">
      <c r="A142" s="62"/>
      <c r="B142" s="56"/>
      <c r="C142" s="56"/>
      <c r="D142" s="55"/>
      <c r="E142" s="56"/>
    </row>
    <row r="143" customFormat="false" ht="15" hidden="false" customHeight="false" outlineLevel="0" collapsed="false">
      <c r="A143" s="62"/>
      <c r="B143" s="56"/>
      <c r="C143" s="56"/>
      <c r="D143" s="55"/>
      <c r="E143" s="56"/>
    </row>
    <row r="144" customFormat="false" ht="15" hidden="false" customHeight="false" outlineLevel="0" collapsed="false">
      <c r="A144" s="62"/>
      <c r="B144" s="56"/>
      <c r="C144" s="56"/>
      <c r="D144" s="55"/>
      <c r="E144" s="56"/>
    </row>
    <row r="145" customFormat="false" ht="15" hidden="false" customHeight="false" outlineLevel="0" collapsed="false">
      <c r="A145" s="62"/>
      <c r="B145" s="56"/>
      <c r="C145" s="56"/>
      <c r="D145" s="55"/>
      <c r="E145" s="56"/>
    </row>
    <row r="146" customFormat="false" ht="15" hidden="false" customHeight="false" outlineLevel="0" collapsed="false">
      <c r="A146" s="62"/>
      <c r="B146" s="56"/>
      <c r="C146" s="56"/>
      <c r="D146" s="55"/>
      <c r="E146" s="56"/>
    </row>
    <row r="147" customFormat="false" ht="15" hidden="false" customHeight="false" outlineLevel="0" collapsed="false">
      <c r="A147" s="62"/>
      <c r="B147" s="56"/>
      <c r="C147" s="56"/>
      <c r="D147" s="55"/>
      <c r="E147" s="56"/>
    </row>
    <row r="148" customFormat="false" ht="15" hidden="false" customHeight="false" outlineLevel="0" collapsed="false">
      <c r="A148" s="62"/>
      <c r="B148" s="56"/>
      <c r="C148" s="56"/>
      <c r="D148" s="55"/>
      <c r="E148" s="56"/>
    </row>
    <row r="149" customFormat="false" ht="15" hidden="false" customHeight="false" outlineLevel="0" collapsed="false">
      <c r="A149" s="62"/>
      <c r="B149" s="56"/>
      <c r="C149" s="56"/>
      <c r="D149" s="55"/>
      <c r="E149" s="56"/>
    </row>
    <row r="150" customFormat="false" ht="15" hidden="false" customHeight="false" outlineLevel="0" collapsed="false">
      <c r="A150" s="62"/>
      <c r="B150" s="56"/>
      <c r="C150" s="56"/>
      <c r="D150" s="55"/>
      <c r="E150" s="56"/>
    </row>
    <row r="151" customFormat="false" ht="15" hidden="false" customHeight="false" outlineLevel="0" collapsed="false">
      <c r="A151" s="62"/>
      <c r="B151" s="56"/>
      <c r="C151" s="56"/>
      <c r="D151" s="55"/>
      <c r="E151" s="56"/>
    </row>
    <row r="152" customFormat="false" ht="15" hidden="false" customHeight="false" outlineLevel="0" collapsed="false">
      <c r="A152" s="62"/>
      <c r="B152" s="56"/>
      <c r="C152" s="56"/>
      <c r="D152" s="55"/>
      <c r="E152" s="56"/>
    </row>
    <row r="153" customFormat="false" ht="15" hidden="false" customHeight="false" outlineLevel="0" collapsed="false">
      <c r="A153" s="62"/>
      <c r="B153" s="56"/>
      <c r="C153" s="56"/>
      <c r="D153" s="55"/>
      <c r="E153" s="56"/>
    </row>
    <row r="154" customFormat="false" ht="15" hidden="false" customHeight="false" outlineLevel="0" collapsed="false">
      <c r="A154" s="62"/>
      <c r="B154" s="56"/>
      <c r="C154" s="56"/>
      <c r="D154" s="55"/>
      <c r="E154" s="56"/>
    </row>
    <row r="155" customFormat="false" ht="15" hidden="false" customHeight="false" outlineLevel="0" collapsed="false">
      <c r="A155" s="62"/>
      <c r="B155" s="56"/>
      <c r="C155" s="56"/>
      <c r="D155" s="55"/>
      <c r="E155" s="56"/>
    </row>
    <row r="156" customFormat="false" ht="15" hidden="false" customHeight="false" outlineLevel="0" collapsed="false">
      <c r="A156" s="62"/>
      <c r="B156" s="56"/>
      <c r="C156" s="56"/>
      <c r="D156" s="55"/>
      <c r="E156" s="56"/>
    </row>
    <row r="157" customFormat="false" ht="15" hidden="false" customHeight="false" outlineLevel="0" collapsed="false">
      <c r="A157" s="62"/>
      <c r="B157" s="56"/>
      <c r="C157" s="56"/>
      <c r="D157" s="55"/>
      <c r="E157" s="56"/>
    </row>
    <row r="158" customFormat="false" ht="15" hidden="false" customHeight="false" outlineLevel="0" collapsed="false">
      <c r="A158" s="62"/>
      <c r="B158" s="56"/>
      <c r="C158" s="56"/>
      <c r="D158" s="55"/>
      <c r="E158" s="56"/>
    </row>
    <row r="159" customFormat="false" ht="15" hidden="false" customHeight="false" outlineLevel="0" collapsed="false">
      <c r="A159" s="62"/>
      <c r="B159" s="56"/>
      <c r="C159" s="56"/>
      <c r="D159" s="55"/>
      <c r="E159" s="56"/>
    </row>
    <row r="160" customFormat="false" ht="15" hidden="false" customHeight="false" outlineLevel="0" collapsed="false">
      <c r="A160" s="62"/>
      <c r="B160" s="56"/>
      <c r="C160" s="56"/>
      <c r="D160" s="55"/>
      <c r="E160" s="56"/>
    </row>
    <row r="161" customFormat="false" ht="15" hidden="false" customHeight="false" outlineLevel="0" collapsed="false">
      <c r="A161" s="62"/>
      <c r="B161" s="56"/>
      <c r="C161" s="56"/>
      <c r="D161" s="55"/>
      <c r="E161" s="56"/>
    </row>
    <row r="162" customFormat="false" ht="15" hidden="false" customHeight="false" outlineLevel="0" collapsed="false">
      <c r="A162" s="62"/>
      <c r="B162" s="56"/>
      <c r="C162" s="56"/>
      <c r="D162" s="55"/>
      <c r="E162" s="56"/>
    </row>
    <row r="163" customFormat="false" ht="15" hidden="false" customHeight="false" outlineLevel="0" collapsed="false">
      <c r="A163" s="62"/>
      <c r="B163" s="56"/>
      <c r="C163" s="56"/>
      <c r="D163" s="55"/>
      <c r="E163" s="56"/>
    </row>
    <row r="164" customFormat="false" ht="15" hidden="false" customHeight="false" outlineLevel="0" collapsed="false">
      <c r="A164" s="62"/>
      <c r="B164" s="56"/>
      <c r="C164" s="56"/>
      <c r="D164" s="55"/>
      <c r="E164" s="56"/>
    </row>
    <row r="165" customFormat="false" ht="15" hidden="false" customHeight="false" outlineLevel="0" collapsed="false">
      <c r="A165" s="62"/>
      <c r="B165" s="56"/>
      <c r="C165" s="56"/>
      <c r="D165" s="55"/>
      <c r="E165" s="56"/>
    </row>
    <row r="166" customFormat="false" ht="15" hidden="false" customHeight="false" outlineLevel="0" collapsed="false">
      <c r="A166" s="62"/>
      <c r="B166" s="56"/>
      <c r="C166" s="56"/>
      <c r="D166" s="55"/>
      <c r="E166" s="56"/>
    </row>
    <row r="167" customFormat="false" ht="15" hidden="false" customHeight="false" outlineLevel="0" collapsed="false">
      <c r="A167" s="62"/>
      <c r="B167" s="56"/>
      <c r="C167" s="56"/>
      <c r="D167" s="55"/>
      <c r="E167" s="56"/>
    </row>
    <row r="168" customFormat="false" ht="15" hidden="false" customHeight="false" outlineLevel="0" collapsed="false">
      <c r="A168" s="62"/>
      <c r="B168" s="56"/>
      <c r="C168" s="56"/>
      <c r="D168" s="55"/>
      <c r="E168" s="56"/>
    </row>
    <row r="169" customFormat="false" ht="15" hidden="false" customHeight="false" outlineLevel="0" collapsed="false">
      <c r="A169" s="62"/>
      <c r="B169" s="56"/>
      <c r="C169" s="56"/>
      <c r="D169" s="55"/>
      <c r="E169" s="56"/>
    </row>
    <row r="170" customFormat="false" ht="15" hidden="false" customHeight="false" outlineLevel="0" collapsed="false">
      <c r="A170" s="62"/>
      <c r="B170" s="56"/>
      <c r="C170" s="56"/>
      <c r="D170" s="55"/>
      <c r="E170" s="56"/>
    </row>
    <row r="171" customFormat="false" ht="15" hidden="false" customHeight="false" outlineLevel="0" collapsed="false">
      <c r="A171" s="62"/>
      <c r="B171" s="56"/>
      <c r="C171" s="56"/>
      <c r="D171" s="55"/>
      <c r="E171" s="56"/>
    </row>
    <row r="172" customFormat="false" ht="15" hidden="false" customHeight="false" outlineLevel="0" collapsed="false">
      <c r="A172" s="62"/>
      <c r="B172" s="56"/>
      <c r="C172" s="56"/>
      <c r="D172" s="55"/>
      <c r="E172" s="56"/>
    </row>
    <row r="173" customFormat="false" ht="15" hidden="false" customHeight="false" outlineLevel="0" collapsed="false">
      <c r="A173" s="62"/>
      <c r="B173" s="56"/>
      <c r="C173" s="56"/>
      <c r="D173" s="55"/>
      <c r="E173" s="56"/>
    </row>
    <row r="174" customFormat="false" ht="15" hidden="false" customHeight="false" outlineLevel="0" collapsed="false">
      <c r="A174" s="62"/>
      <c r="B174" s="56"/>
      <c r="C174" s="56"/>
      <c r="D174" s="55"/>
      <c r="E174" s="56"/>
    </row>
    <row r="175" customFormat="false" ht="15" hidden="false" customHeight="false" outlineLevel="0" collapsed="false">
      <c r="A175" s="62"/>
      <c r="B175" s="56"/>
      <c r="C175" s="56"/>
      <c r="D175" s="55"/>
      <c r="E175" s="56"/>
    </row>
    <row r="176" customFormat="false" ht="15" hidden="false" customHeight="false" outlineLevel="0" collapsed="false">
      <c r="A176" s="62"/>
      <c r="B176" s="56"/>
      <c r="C176" s="56"/>
      <c r="D176" s="55"/>
      <c r="E176" s="56"/>
    </row>
    <row r="177" customFormat="false" ht="15" hidden="false" customHeight="false" outlineLevel="0" collapsed="false">
      <c r="A177" s="62"/>
      <c r="B177" s="56"/>
      <c r="C177" s="56"/>
      <c r="D177" s="55"/>
      <c r="E177" s="56"/>
    </row>
    <row r="178" customFormat="false" ht="15" hidden="false" customHeight="false" outlineLevel="0" collapsed="false">
      <c r="A178" s="62"/>
      <c r="B178" s="56"/>
      <c r="C178" s="56"/>
      <c r="D178" s="55"/>
      <c r="E178" s="56"/>
    </row>
    <row r="179" customFormat="false" ht="15" hidden="false" customHeight="false" outlineLevel="0" collapsed="false">
      <c r="A179" s="62"/>
      <c r="B179" s="56"/>
      <c r="C179" s="56"/>
      <c r="D179" s="55"/>
      <c r="E179" s="56"/>
    </row>
    <row r="180" customFormat="false" ht="15" hidden="false" customHeight="false" outlineLevel="0" collapsed="false">
      <c r="A180" s="62"/>
      <c r="B180" s="56"/>
      <c r="C180" s="56"/>
      <c r="D180" s="55"/>
      <c r="E180" s="56"/>
    </row>
    <row r="181" customFormat="false" ht="15" hidden="false" customHeight="false" outlineLevel="0" collapsed="false">
      <c r="A181" s="62"/>
      <c r="B181" s="56"/>
      <c r="C181" s="56"/>
      <c r="D181" s="55"/>
      <c r="E181" s="56"/>
    </row>
    <row r="182" customFormat="false" ht="15" hidden="false" customHeight="false" outlineLevel="0" collapsed="false">
      <c r="A182" s="62"/>
      <c r="B182" s="56"/>
      <c r="C182" s="56"/>
      <c r="D182" s="55"/>
      <c r="E182" s="56"/>
    </row>
    <row r="183" customFormat="false" ht="15" hidden="false" customHeight="false" outlineLevel="0" collapsed="false">
      <c r="A183" s="62"/>
      <c r="B183" s="56"/>
      <c r="C183" s="56"/>
      <c r="D183" s="55"/>
      <c r="E183" s="56"/>
    </row>
    <row r="184" customFormat="false" ht="15" hidden="false" customHeight="false" outlineLevel="0" collapsed="false">
      <c r="A184" s="62"/>
      <c r="B184" s="56"/>
      <c r="C184" s="56"/>
      <c r="D184" s="55"/>
      <c r="E184" s="56"/>
    </row>
    <row r="185" customFormat="false" ht="15" hidden="false" customHeight="false" outlineLevel="0" collapsed="false">
      <c r="A185" s="62"/>
      <c r="B185" s="56"/>
      <c r="C185" s="56"/>
      <c r="D185" s="55"/>
      <c r="E185" s="56"/>
    </row>
    <row r="186" customFormat="false" ht="15" hidden="false" customHeight="false" outlineLevel="0" collapsed="false">
      <c r="A186" s="62"/>
      <c r="B186" s="56"/>
      <c r="C186" s="56"/>
      <c r="D186" s="55"/>
      <c r="E186" s="56"/>
    </row>
    <row r="187" customFormat="false" ht="15" hidden="false" customHeight="false" outlineLevel="0" collapsed="false">
      <c r="A187" s="62"/>
      <c r="B187" s="56"/>
      <c r="C187" s="56"/>
      <c r="D187" s="55"/>
      <c r="E187" s="56"/>
    </row>
    <row r="188" customFormat="false" ht="15" hidden="false" customHeight="false" outlineLevel="0" collapsed="false">
      <c r="A188" s="62"/>
      <c r="B188" s="56"/>
      <c r="C188" s="56"/>
      <c r="D188" s="55"/>
      <c r="E188" s="56"/>
    </row>
    <row r="189" customFormat="false" ht="15" hidden="false" customHeight="false" outlineLevel="0" collapsed="false">
      <c r="A189" s="62"/>
      <c r="B189" s="56"/>
      <c r="C189" s="56"/>
      <c r="D189" s="55"/>
      <c r="E189" s="56"/>
    </row>
    <row r="190" customFormat="false" ht="15" hidden="false" customHeight="false" outlineLevel="0" collapsed="false">
      <c r="A190" s="62"/>
      <c r="B190" s="56"/>
      <c r="C190" s="56"/>
      <c r="D190" s="55"/>
      <c r="E190" s="56"/>
    </row>
    <row r="191" customFormat="false" ht="15" hidden="false" customHeight="false" outlineLevel="0" collapsed="false">
      <c r="A191" s="62"/>
      <c r="B191" s="56"/>
      <c r="C191" s="56"/>
      <c r="D191" s="55"/>
      <c r="E191" s="56"/>
    </row>
    <row r="192" customFormat="false" ht="15" hidden="false" customHeight="false" outlineLevel="0" collapsed="false">
      <c r="A192" s="62"/>
      <c r="B192" s="56"/>
      <c r="C192" s="56"/>
      <c r="D192" s="55"/>
      <c r="E192" s="56"/>
    </row>
    <row r="193" customFormat="false" ht="15" hidden="false" customHeight="false" outlineLevel="0" collapsed="false">
      <c r="A193" s="62"/>
      <c r="B193" s="56"/>
      <c r="C193" s="56"/>
      <c r="D193" s="55"/>
      <c r="E193" s="56"/>
    </row>
    <row r="194" customFormat="false" ht="15" hidden="false" customHeight="false" outlineLevel="0" collapsed="false">
      <c r="A194" s="62"/>
      <c r="B194" s="56"/>
      <c r="C194" s="56"/>
      <c r="D194" s="55"/>
      <c r="E194" s="56"/>
    </row>
    <row r="195" customFormat="false" ht="15" hidden="false" customHeight="false" outlineLevel="0" collapsed="false">
      <c r="A195" s="62"/>
      <c r="B195" s="56"/>
      <c r="C195" s="56"/>
      <c r="D195" s="55"/>
      <c r="E195" s="56"/>
    </row>
    <row r="196" customFormat="false" ht="15" hidden="false" customHeight="false" outlineLevel="0" collapsed="false">
      <c r="A196" s="62"/>
      <c r="B196" s="56"/>
      <c r="C196" s="56"/>
      <c r="D196" s="55"/>
      <c r="E196" s="56"/>
    </row>
    <row r="197" customFormat="false" ht="15" hidden="false" customHeight="false" outlineLevel="0" collapsed="false">
      <c r="A197" s="62"/>
      <c r="B197" s="56"/>
      <c r="C197" s="56"/>
      <c r="D197" s="55"/>
      <c r="E197" s="56"/>
    </row>
    <row r="198" customFormat="false" ht="15" hidden="false" customHeight="false" outlineLevel="0" collapsed="false">
      <c r="A198" s="62"/>
      <c r="B198" s="56"/>
      <c r="C198" s="56"/>
      <c r="D198" s="55"/>
      <c r="E198" s="56"/>
    </row>
    <row r="199" customFormat="false" ht="15" hidden="false" customHeight="false" outlineLevel="0" collapsed="false">
      <c r="A199" s="62"/>
      <c r="B199" s="56"/>
      <c r="C199" s="56"/>
      <c r="D199" s="55"/>
      <c r="E199" s="56"/>
    </row>
    <row r="200" customFormat="false" ht="15" hidden="false" customHeight="false" outlineLevel="0" collapsed="false">
      <c r="A200" s="62"/>
      <c r="B200" s="56"/>
      <c r="C200" s="56"/>
      <c r="D200" s="55"/>
      <c r="E200" s="56"/>
    </row>
    <row r="201" customFormat="false" ht="15" hidden="false" customHeight="false" outlineLevel="0" collapsed="false">
      <c r="A201" s="62"/>
      <c r="B201" s="56"/>
      <c r="C201" s="56"/>
      <c r="D201" s="55"/>
      <c r="E201" s="56"/>
    </row>
    <row r="202" customFormat="false" ht="15" hidden="false" customHeight="false" outlineLevel="0" collapsed="false">
      <c r="A202" s="62"/>
      <c r="B202" s="56"/>
      <c r="C202" s="56"/>
      <c r="D202" s="55"/>
      <c r="E202" s="56"/>
    </row>
    <row r="203" customFormat="false" ht="15" hidden="false" customHeight="false" outlineLevel="0" collapsed="false">
      <c r="A203" s="62"/>
      <c r="B203" s="56"/>
      <c r="C203" s="56"/>
      <c r="D203" s="55"/>
      <c r="E203" s="56"/>
    </row>
    <row r="204" customFormat="false" ht="15" hidden="false" customHeight="false" outlineLevel="0" collapsed="false">
      <c r="A204" s="62"/>
      <c r="B204" s="56"/>
      <c r="C204" s="56"/>
      <c r="D204" s="55"/>
      <c r="E204" s="56"/>
    </row>
    <row r="205" customFormat="false" ht="15" hidden="false" customHeight="false" outlineLevel="0" collapsed="false">
      <c r="A205" s="62"/>
      <c r="B205" s="56"/>
      <c r="C205" s="56"/>
      <c r="D205" s="55"/>
      <c r="E205" s="56"/>
    </row>
    <row r="206" customFormat="false" ht="15" hidden="false" customHeight="false" outlineLevel="0" collapsed="false">
      <c r="A206" s="62"/>
      <c r="B206" s="56"/>
      <c r="C206" s="56"/>
      <c r="D206" s="55"/>
      <c r="E206" s="56"/>
    </row>
    <row r="207" customFormat="false" ht="15" hidden="false" customHeight="false" outlineLevel="0" collapsed="false">
      <c r="A207" s="62"/>
      <c r="B207" s="56"/>
      <c r="C207" s="56"/>
      <c r="D207" s="55"/>
      <c r="E207" s="56"/>
    </row>
    <row r="208" customFormat="false" ht="15" hidden="false" customHeight="false" outlineLevel="0" collapsed="false">
      <c r="A208" s="62"/>
      <c r="B208" s="56"/>
      <c r="C208" s="56"/>
      <c r="D208" s="55"/>
      <c r="E208" s="56"/>
    </row>
    <row r="209" customFormat="false" ht="15" hidden="false" customHeight="false" outlineLevel="0" collapsed="false">
      <c r="A209" s="62"/>
      <c r="B209" s="56"/>
      <c r="C209" s="56"/>
      <c r="D209" s="55"/>
      <c r="E209" s="56"/>
    </row>
    <row r="210" customFormat="false" ht="15" hidden="false" customHeight="false" outlineLevel="0" collapsed="false">
      <c r="A210" s="62"/>
      <c r="B210" s="56"/>
      <c r="C210" s="56"/>
      <c r="D210" s="55"/>
      <c r="E210" s="56"/>
    </row>
    <row r="211" customFormat="false" ht="15" hidden="false" customHeight="false" outlineLevel="0" collapsed="false">
      <c r="A211" s="62"/>
      <c r="B211" s="56"/>
      <c r="C211" s="56"/>
      <c r="D211" s="55"/>
      <c r="E211" s="56"/>
    </row>
    <row r="212" customFormat="false" ht="15" hidden="false" customHeight="false" outlineLevel="0" collapsed="false">
      <c r="A212" s="62"/>
      <c r="B212" s="56"/>
      <c r="C212" s="56"/>
      <c r="D212" s="55"/>
      <c r="E212" s="56"/>
    </row>
    <row r="213" customFormat="false" ht="15" hidden="false" customHeight="false" outlineLevel="0" collapsed="false">
      <c r="A213" s="62"/>
      <c r="B213" s="56"/>
      <c r="C213" s="56"/>
      <c r="D213" s="55"/>
      <c r="E213" s="56"/>
    </row>
    <row r="214" customFormat="false" ht="15" hidden="false" customHeight="false" outlineLevel="0" collapsed="false">
      <c r="A214" s="62"/>
      <c r="B214" s="56"/>
      <c r="C214" s="56"/>
      <c r="D214" s="55"/>
      <c r="E214" s="56"/>
    </row>
    <row r="215" customFormat="false" ht="15" hidden="false" customHeight="false" outlineLevel="0" collapsed="false">
      <c r="A215" s="62"/>
      <c r="B215" s="56"/>
      <c r="C215" s="56"/>
      <c r="D215" s="55"/>
      <c r="E215" s="56"/>
    </row>
    <row r="216" customFormat="false" ht="15" hidden="false" customHeight="false" outlineLevel="0" collapsed="false">
      <c r="A216" s="62"/>
      <c r="B216" s="56"/>
      <c r="C216" s="56"/>
      <c r="D216" s="55"/>
      <c r="E216" s="56"/>
    </row>
    <row r="217" customFormat="false" ht="15" hidden="false" customHeight="false" outlineLevel="0" collapsed="false">
      <c r="A217" s="62"/>
      <c r="B217" s="56"/>
      <c r="C217" s="56"/>
      <c r="D217" s="55"/>
      <c r="E217" s="56"/>
    </row>
    <row r="218" customFormat="false" ht="15" hidden="false" customHeight="false" outlineLevel="0" collapsed="false">
      <c r="A218" s="62"/>
      <c r="B218" s="56"/>
      <c r="C218" s="56"/>
      <c r="D218" s="55"/>
      <c r="E218" s="56"/>
    </row>
    <row r="219" customFormat="false" ht="15" hidden="false" customHeight="false" outlineLevel="0" collapsed="false">
      <c r="A219" s="62"/>
      <c r="B219" s="56"/>
      <c r="C219" s="56"/>
      <c r="D219" s="55"/>
      <c r="E219" s="56"/>
    </row>
    <row r="220" customFormat="false" ht="15" hidden="false" customHeight="false" outlineLevel="0" collapsed="false">
      <c r="A220" s="62"/>
      <c r="B220" s="56"/>
      <c r="C220" s="56"/>
      <c r="D220" s="55"/>
      <c r="E220" s="56"/>
    </row>
    <row r="221" customFormat="false" ht="15" hidden="false" customHeight="false" outlineLevel="0" collapsed="false">
      <c r="A221" s="62"/>
      <c r="B221" s="56"/>
      <c r="C221" s="56"/>
      <c r="D221" s="55"/>
      <c r="E221" s="56"/>
    </row>
    <row r="222" customFormat="false" ht="15" hidden="false" customHeight="false" outlineLevel="0" collapsed="false">
      <c r="A222" s="62"/>
      <c r="B222" s="56"/>
      <c r="C222" s="56"/>
      <c r="D222" s="55"/>
      <c r="E222" s="56"/>
    </row>
    <row r="223" customFormat="false" ht="15" hidden="false" customHeight="false" outlineLevel="0" collapsed="false">
      <c r="A223" s="62"/>
      <c r="B223" s="56"/>
      <c r="C223" s="56"/>
      <c r="D223" s="55"/>
      <c r="E223" s="56"/>
    </row>
    <row r="224" customFormat="false" ht="15" hidden="false" customHeight="false" outlineLevel="0" collapsed="false">
      <c r="A224" s="62"/>
      <c r="B224" s="56"/>
      <c r="C224" s="56"/>
      <c r="D224" s="55"/>
      <c r="E224" s="56"/>
    </row>
    <row r="225" customFormat="false" ht="15" hidden="false" customHeight="false" outlineLevel="0" collapsed="false">
      <c r="A225" s="62"/>
      <c r="B225" s="56"/>
      <c r="C225" s="56"/>
      <c r="D225" s="55"/>
      <c r="E225" s="56"/>
    </row>
    <row r="226" customFormat="false" ht="15" hidden="false" customHeight="false" outlineLevel="0" collapsed="false">
      <c r="A226" s="62"/>
      <c r="B226" s="56"/>
      <c r="C226" s="56"/>
      <c r="D226" s="55"/>
      <c r="E226" s="56"/>
    </row>
    <row r="227" customFormat="false" ht="15" hidden="false" customHeight="false" outlineLevel="0" collapsed="false">
      <c r="A227" s="62"/>
      <c r="B227" s="56"/>
      <c r="C227" s="56"/>
      <c r="D227" s="55"/>
      <c r="E227" s="56"/>
    </row>
    <row r="228" customFormat="false" ht="15" hidden="false" customHeight="false" outlineLevel="0" collapsed="false">
      <c r="A228" s="62"/>
      <c r="B228" s="56"/>
      <c r="C228" s="56"/>
      <c r="D228" s="55"/>
      <c r="E228" s="56"/>
    </row>
    <row r="229" customFormat="false" ht="15" hidden="false" customHeight="false" outlineLevel="0" collapsed="false">
      <c r="A229" s="62"/>
      <c r="B229" s="56"/>
      <c r="C229" s="56"/>
      <c r="D229" s="55"/>
      <c r="E229" s="56"/>
    </row>
    <row r="230" customFormat="false" ht="15" hidden="false" customHeight="false" outlineLevel="0" collapsed="false">
      <c r="A230" s="62"/>
      <c r="B230" s="56"/>
      <c r="C230" s="56"/>
      <c r="D230" s="55"/>
      <c r="E230" s="56"/>
    </row>
    <row r="231" customFormat="false" ht="15" hidden="false" customHeight="false" outlineLevel="0" collapsed="false">
      <c r="A231" s="62"/>
      <c r="B231" s="56"/>
      <c r="C231" s="56"/>
      <c r="D231" s="55"/>
      <c r="E231" s="56"/>
    </row>
    <row r="232" customFormat="false" ht="15" hidden="false" customHeight="false" outlineLevel="0" collapsed="false">
      <c r="A232" s="62"/>
      <c r="B232" s="56"/>
      <c r="C232" s="56"/>
      <c r="D232" s="55"/>
      <c r="E232" s="56"/>
    </row>
    <row r="233" customFormat="false" ht="15" hidden="false" customHeight="false" outlineLevel="0" collapsed="false">
      <c r="A233" s="62"/>
      <c r="B233" s="56"/>
      <c r="C233" s="56"/>
      <c r="D233" s="55"/>
      <c r="E233" s="56"/>
    </row>
    <row r="234" customFormat="false" ht="15" hidden="false" customHeight="false" outlineLevel="0" collapsed="false">
      <c r="A234" s="62"/>
      <c r="B234" s="56"/>
      <c r="C234" s="56"/>
      <c r="D234" s="55"/>
      <c r="E234" s="56"/>
    </row>
    <row r="235" customFormat="false" ht="15" hidden="false" customHeight="false" outlineLevel="0" collapsed="false">
      <c r="A235" s="62"/>
      <c r="B235" s="56"/>
      <c r="C235" s="56"/>
      <c r="D235" s="55"/>
      <c r="E235" s="56"/>
    </row>
    <row r="236" customFormat="false" ht="15" hidden="false" customHeight="false" outlineLevel="0" collapsed="false">
      <c r="A236" s="62"/>
      <c r="B236" s="56"/>
      <c r="C236" s="56"/>
      <c r="D236" s="55"/>
      <c r="E236" s="56"/>
    </row>
    <row r="237" customFormat="false" ht="15" hidden="false" customHeight="false" outlineLevel="0" collapsed="false">
      <c r="A237" s="62"/>
      <c r="B237" s="56"/>
      <c r="C237" s="56"/>
      <c r="D237" s="55"/>
      <c r="E237" s="56"/>
    </row>
    <row r="238" customFormat="false" ht="15" hidden="false" customHeight="false" outlineLevel="0" collapsed="false">
      <c r="A238" s="62"/>
      <c r="B238" s="56"/>
      <c r="C238" s="56"/>
      <c r="D238" s="55"/>
      <c r="E238" s="56"/>
    </row>
    <row r="239" customFormat="false" ht="15" hidden="false" customHeight="false" outlineLevel="0" collapsed="false">
      <c r="A239" s="62"/>
      <c r="B239" s="56"/>
      <c r="C239" s="56"/>
      <c r="D239" s="55"/>
      <c r="E239" s="56"/>
    </row>
    <row r="240" customFormat="false" ht="15" hidden="false" customHeight="false" outlineLevel="0" collapsed="false">
      <c r="A240" s="62"/>
      <c r="B240" s="56"/>
      <c r="C240" s="56"/>
      <c r="D240" s="55"/>
      <c r="E240" s="56"/>
    </row>
    <row r="241" customFormat="false" ht="15" hidden="false" customHeight="false" outlineLevel="0" collapsed="false">
      <c r="A241" s="62"/>
      <c r="B241" s="56"/>
      <c r="C241" s="56"/>
      <c r="D241" s="55"/>
      <c r="E241" s="56"/>
    </row>
    <row r="242" customFormat="false" ht="15" hidden="false" customHeight="false" outlineLevel="0" collapsed="false">
      <c r="A242" s="62"/>
      <c r="B242" s="56"/>
      <c r="C242" s="56"/>
      <c r="D242" s="55"/>
      <c r="E242" s="56"/>
    </row>
    <row r="243" customFormat="false" ht="15" hidden="false" customHeight="false" outlineLevel="0" collapsed="false">
      <c r="A243" s="62"/>
      <c r="B243" s="56"/>
      <c r="C243" s="56"/>
      <c r="D243" s="55"/>
      <c r="E243" s="56"/>
    </row>
    <row r="244" customFormat="false" ht="15" hidden="false" customHeight="false" outlineLevel="0" collapsed="false">
      <c r="A244" s="62"/>
      <c r="B244" s="56"/>
      <c r="C244" s="56"/>
      <c r="D244" s="55"/>
      <c r="E244" s="56"/>
    </row>
    <row r="245" customFormat="false" ht="15" hidden="false" customHeight="false" outlineLevel="0" collapsed="false">
      <c r="A245" s="62"/>
      <c r="B245" s="56"/>
      <c r="C245" s="56"/>
      <c r="D245" s="55"/>
      <c r="E245" s="56"/>
    </row>
    <row r="246" customFormat="false" ht="15" hidden="false" customHeight="false" outlineLevel="0" collapsed="false">
      <c r="A246" s="62"/>
      <c r="B246" s="56"/>
      <c r="C246" s="56"/>
      <c r="D246" s="55"/>
      <c r="E246" s="56"/>
    </row>
    <row r="247" customFormat="false" ht="15" hidden="false" customHeight="false" outlineLevel="0" collapsed="false">
      <c r="A247" s="62"/>
      <c r="B247" s="56"/>
      <c r="C247" s="56"/>
      <c r="D247" s="55"/>
      <c r="E247" s="56"/>
    </row>
    <row r="248" customFormat="false" ht="15" hidden="false" customHeight="false" outlineLevel="0" collapsed="false">
      <c r="A248" s="62"/>
      <c r="B248" s="56"/>
      <c r="C248" s="56"/>
      <c r="D248" s="55"/>
      <c r="E248" s="56"/>
    </row>
    <row r="249" customFormat="false" ht="15" hidden="false" customHeight="false" outlineLevel="0" collapsed="false">
      <c r="A249" s="62"/>
      <c r="B249" s="56"/>
      <c r="C249" s="56"/>
      <c r="D249" s="55"/>
      <c r="E249" s="56"/>
    </row>
    <row r="250" customFormat="false" ht="15" hidden="false" customHeight="false" outlineLevel="0" collapsed="false">
      <c r="A250" s="62"/>
      <c r="B250" s="56"/>
      <c r="C250" s="56"/>
      <c r="D250" s="55"/>
      <c r="E250" s="56"/>
    </row>
    <row r="251" customFormat="false" ht="15" hidden="false" customHeight="false" outlineLevel="0" collapsed="false">
      <c r="A251" s="62"/>
      <c r="B251" s="56"/>
      <c r="C251" s="56"/>
      <c r="D251" s="55"/>
      <c r="E251" s="56"/>
    </row>
    <row r="252" customFormat="false" ht="15" hidden="false" customHeight="false" outlineLevel="0" collapsed="false">
      <c r="A252" s="62"/>
      <c r="B252" s="56"/>
      <c r="C252" s="56"/>
      <c r="D252" s="55"/>
      <c r="E252" s="56"/>
    </row>
    <row r="253" customFormat="false" ht="15" hidden="false" customHeight="false" outlineLevel="0" collapsed="false">
      <c r="A253" s="62"/>
      <c r="B253" s="56"/>
      <c r="C253" s="56"/>
      <c r="D253" s="55"/>
      <c r="E253" s="56"/>
    </row>
    <row r="254" customFormat="false" ht="15" hidden="false" customHeight="false" outlineLevel="0" collapsed="false">
      <c r="A254" s="62"/>
      <c r="B254" s="56"/>
      <c r="C254" s="56"/>
      <c r="D254" s="55"/>
      <c r="E254" s="56"/>
    </row>
    <row r="255" customFormat="false" ht="15" hidden="false" customHeight="false" outlineLevel="0" collapsed="false">
      <c r="A255" s="62"/>
      <c r="B255" s="56"/>
      <c r="C255" s="56"/>
      <c r="D255" s="55"/>
      <c r="E255" s="56"/>
    </row>
    <row r="256" customFormat="false" ht="15" hidden="false" customHeight="false" outlineLevel="0" collapsed="false">
      <c r="A256" s="62"/>
      <c r="B256" s="56"/>
      <c r="C256" s="56"/>
      <c r="D256" s="55"/>
      <c r="E256" s="56"/>
    </row>
    <row r="257" customFormat="false" ht="15" hidden="false" customHeight="false" outlineLevel="0" collapsed="false">
      <c r="A257" s="62"/>
      <c r="B257" s="56"/>
      <c r="C257" s="56"/>
      <c r="D257" s="55"/>
      <c r="E257" s="56"/>
    </row>
    <row r="258" customFormat="false" ht="15" hidden="false" customHeight="false" outlineLevel="0" collapsed="false">
      <c r="A258" s="62"/>
      <c r="B258" s="56"/>
      <c r="C258" s="56"/>
      <c r="D258" s="55"/>
      <c r="E258" s="56"/>
    </row>
    <row r="259" customFormat="false" ht="15" hidden="false" customHeight="false" outlineLevel="0" collapsed="false">
      <c r="A259" s="62"/>
      <c r="B259" s="56"/>
      <c r="C259" s="56"/>
      <c r="D259" s="55"/>
      <c r="E259" s="56"/>
    </row>
    <row r="260" customFormat="false" ht="15" hidden="false" customHeight="false" outlineLevel="0" collapsed="false">
      <c r="A260" s="62"/>
      <c r="B260" s="56"/>
      <c r="C260" s="56"/>
      <c r="D260" s="55"/>
      <c r="E260" s="56"/>
    </row>
    <row r="261" customFormat="false" ht="15" hidden="false" customHeight="false" outlineLevel="0" collapsed="false">
      <c r="A261" s="62"/>
      <c r="B261" s="56"/>
      <c r="C261" s="56"/>
      <c r="D261" s="55"/>
      <c r="E261" s="56"/>
    </row>
    <row r="262" customFormat="false" ht="15" hidden="false" customHeight="false" outlineLevel="0" collapsed="false">
      <c r="A262" s="62"/>
      <c r="B262" s="56"/>
      <c r="C262" s="56"/>
      <c r="D262" s="55"/>
      <c r="E262" s="56"/>
    </row>
    <row r="263" customFormat="false" ht="15" hidden="false" customHeight="false" outlineLevel="0" collapsed="false">
      <c r="A263" s="62"/>
      <c r="B263" s="56"/>
      <c r="C263" s="56"/>
      <c r="D263" s="55"/>
      <c r="E263" s="56"/>
    </row>
    <row r="264" customFormat="false" ht="15" hidden="false" customHeight="false" outlineLevel="0" collapsed="false">
      <c r="A264" s="62"/>
      <c r="B264" s="56"/>
      <c r="C264" s="56"/>
      <c r="D264" s="55"/>
      <c r="E264" s="56"/>
    </row>
    <row r="265" customFormat="false" ht="15" hidden="false" customHeight="false" outlineLevel="0" collapsed="false">
      <c r="A265" s="62"/>
      <c r="B265" s="56"/>
      <c r="C265" s="56"/>
      <c r="D265" s="55"/>
      <c r="E265" s="56"/>
    </row>
    <row r="266" customFormat="false" ht="15" hidden="false" customHeight="false" outlineLevel="0" collapsed="false">
      <c r="A266" s="62"/>
      <c r="B266" s="56"/>
      <c r="C266" s="56"/>
      <c r="D266" s="55"/>
      <c r="E266" s="56"/>
    </row>
    <row r="267" customFormat="false" ht="15" hidden="false" customHeight="false" outlineLevel="0" collapsed="false">
      <c r="A267" s="62"/>
      <c r="B267" s="56"/>
      <c r="C267" s="56"/>
      <c r="D267" s="55"/>
      <c r="E267" s="56"/>
    </row>
    <row r="268" customFormat="false" ht="15" hidden="false" customHeight="false" outlineLevel="0" collapsed="false">
      <c r="A268" s="62"/>
      <c r="B268" s="56"/>
      <c r="C268" s="56"/>
      <c r="D268" s="55"/>
      <c r="E268" s="56"/>
    </row>
    <row r="269" customFormat="false" ht="15" hidden="false" customHeight="false" outlineLevel="0" collapsed="false">
      <c r="A269" s="62"/>
      <c r="B269" s="56"/>
      <c r="C269" s="56"/>
      <c r="D269" s="55"/>
      <c r="E269" s="56"/>
    </row>
    <row r="270" customFormat="false" ht="15" hidden="false" customHeight="false" outlineLevel="0" collapsed="false">
      <c r="A270" s="62"/>
      <c r="B270" s="56"/>
      <c r="C270" s="56"/>
      <c r="D270" s="55"/>
      <c r="E270" s="56"/>
    </row>
    <row r="271" customFormat="false" ht="15" hidden="false" customHeight="false" outlineLevel="0" collapsed="false">
      <c r="A271" s="62"/>
      <c r="B271" s="56"/>
      <c r="C271" s="56"/>
      <c r="D271" s="55"/>
      <c r="E271" s="56"/>
    </row>
    <row r="272" customFormat="false" ht="15" hidden="false" customHeight="false" outlineLevel="0" collapsed="false">
      <c r="A272" s="62"/>
      <c r="B272" s="56"/>
      <c r="C272" s="56"/>
      <c r="D272" s="55"/>
      <c r="E272" s="56"/>
    </row>
    <row r="273" customFormat="false" ht="15" hidden="false" customHeight="false" outlineLevel="0" collapsed="false">
      <c r="A273" s="62"/>
      <c r="B273" s="56"/>
      <c r="C273" s="56"/>
      <c r="D273" s="55"/>
      <c r="E273" s="56"/>
    </row>
    <row r="274" customFormat="false" ht="15" hidden="false" customHeight="false" outlineLevel="0" collapsed="false">
      <c r="A274" s="62"/>
      <c r="B274" s="56"/>
      <c r="C274" s="56"/>
      <c r="D274" s="55"/>
      <c r="E274" s="56"/>
    </row>
    <row r="275" customFormat="false" ht="15" hidden="false" customHeight="false" outlineLevel="0" collapsed="false">
      <c r="A275" s="62"/>
      <c r="B275" s="56"/>
      <c r="C275" s="56"/>
      <c r="D275" s="55"/>
      <c r="E275" s="56"/>
    </row>
    <row r="276" customFormat="false" ht="15" hidden="false" customHeight="false" outlineLevel="0" collapsed="false">
      <c r="A276" s="62"/>
      <c r="B276" s="56"/>
      <c r="C276" s="56"/>
      <c r="D276" s="55"/>
      <c r="E276" s="56"/>
    </row>
    <row r="277" customFormat="false" ht="15" hidden="false" customHeight="false" outlineLevel="0" collapsed="false">
      <c r="A277" s="62"/>
      <c r="B277" s="56"/>
      <c r="C277" s="56"/>
      <c r="D277" s="55"/>
      <c r="E277" s="56"/>
    </row>
    <row r="278" customFormat="false" ht="15" hidden="false" customHeight="false" outlineLevel="0" collapsed="false">
      <c r="A278" s="62"/>
      <c r="B278" s="56"/>
      <c r="C278" s="56"/>
      <c r="D278" s="55"/>
      <c r="E278" s="56"/>
    </row>
    <row r="279" customFormat="false" ht="15" hidden="false" customHeight="false" outlineLevel="0" collapsed="false">
      <c r="A279" s="62"/>
      <c r="B279" s="56"/>
      <c r="C279" s="56"/>
      <c r="D279" s="55"/>
      <c r="E279" s="56"/>
    </row>
    <row r="280" customFormat="false" ht="15" hidden="false" customHeight="false" outlineLevel="0" collapsed="false">
      <c r="A280" s="62"/>
      <c r="B280" s="56"/>
      <c r="C280" s="56"/>
      <c r="D280" s="55"/>
      <c r="E280" s="56"/>
    </row>
    <row r="281" customFormat="false" ht="15" hidden="false" customHeight="false" outlineLevel="0" collapsed="false">
      <c r="A281" s="62"/>
      <c r="B281" s="56"/>
      <c r="C281" s="56"/>
      <c r="D281" s="55"/>
      <c r="E281" s="56"/>
    </row>
    <row r="282" customFormat="false" ht="15" hidden="false" customHeight="false" outlineLevel="0" collapsed="false">
      <c r="A282" s="62"/>
      <c r="B282" s="56"/>
      <c r="C282" s="56"/>
      <c r="D282" s="55"/>
      <c r="E282" s="56"/>
    </row>
    <row r="283" customFormat="false" ht="15" hidden="false" customHeight="false" outlineLevel="0" collapsed="false">
      <c r="A283" s="62"/>
      <c r="B283" s="56"/>
      <c r="C283" s="56"/>
      <c r="D283" s="55"/>
      <c r="E283" s="56"/>
    </row>
    <row r="284" customFormat="false" ht="15" hidden="false" customHeight="false" outlineLevel="0" collapsed="false">
      <c r="A284" s="62"/>
      <c r="B284" s="56"/>
      <c r="C284" s="56"/>
      <c r="D284" s="55"/>
      <c r="E284" s="56"/>
    </row>
    <row r="285" customFormat="false" ht="15" hidden="false" customHeight="false" outlineLevel="0" collapsed="false">
      <c r="A285" s="62"/>
      <c r="B285" s="56"/>
      <c r="C285" s="56"/>
      <c r="D285" s="55"/>
      <c r="E285" s="56"/>
    </row>
    <row r="286" customFormat="false" ht="15" hidden="false" customHeight="false" outlineLevel="0" collapsed="false">
      <c r="A286" s="62"/>
      <c r="B286" s="56"/>
      <c r="C286" s="56"/>
      <c r="D286" s="55"/>
      <c r="E286" s="56"/>
    </row>
    <row r="287" customFormat="false" ht="15" hidden="false" customHeight="false" outlineLevel="0" collapsed="false">
      <c r="A287" s="62"/>
      <c r="B287" s="56"/>
      <c r="C287" s="56"/>
      <c r="D287" s="55"/>
      <c r="E287" s="56"/>
    </row>
    <row r="288" customFormat="false" ht="15" hidden="false" customHeight="false" outlineLevel="0" collapsed="false">
      <c r="A288" s="62"/>
      <c r="B288" s="56"/>
      <c r="C288" s="56"/>
      <c r="D288" s="55"/>
      <c r="E288" s="56"/>
    </row>
    <row r="289" customFormat="false" ht="15" hidden="false" customHeight="false" outlineLevel="0" collapsed="false">
      <c r="A289" s="62"/>
      <c r="B289" s="56"/>
      <c r="C289" s="56"/>
      <c r="D289" s="55"/>
      <c r="E289" s="56"/>
    </row>
    <row r="290" customFormat="false" ht="15" hidden="false" customHeight="false" outlineLevel="0" collapsed="false">
      <c r="A290" s="62"/>
      <c r="B290" s="56"/>
      <c r="C290" s="56"/>
      <c r="D290" s="55"/>
      <c r="E290" s="56"/>
    </row>
    <row r="291" customFormat="false" ht="15" hidden="false" customHeight="false" outlineLevel="0" collapsed="false">
      <c r="A291" s="62"/>
      <c r="B291" s="56"/>
      <c r="C291" s="56"/>
      <c r="D291" s="55"/>
      <c r="E291" s="56"/>
    </row>
    <row r="292" customFormat="false" ht="15" hidden="false" customHeight="false" outlineLevel="0" collapsed="false">
      <c r="A292" s="62"/>
      <c r="B292" s="56"/>
      <c r="C292" s="56"/>
      <c r="D292" s="55"/>
      <c r="E292" s="56"/>
    </row>
    <row r="293" customFormat="false" ht="15" hidden="false" customHeight="false" outlineLevel="0" collapsed="false">
      <c r="A293" s="62"/>
      <c r="B293" s="56"/>
      <c r="C293" s="56"/>
      <c r="D293" s="55"/>
      <c r="E293" s="56"/>
    </row>
    <row r="294" customFormat="false" ht="15" hidden="false" customHeight="false" outlineLevel="0" collapsed="false">
      <c r="A294" s="62"/>
      <c r="B294" s="56"/>
      <c r="C294" s="56"/>
      <c r="D294" s="55"/>
      <c r="E294" s="56"/>
    </row>
    <row r="295" customFormat="false" ht="15" hidden="false" customHeight="false" outlineLevel="0" collapsed="false">
      <c r="A295" s="62"/>
      <c r="B295" s="56"/>
      <c r="C295" s="56"/>
      <c r="D295" s="55"/>
      <c r="E295" s="56"/>
    </row>
    <row r="296" customFormat="false" ht="15" hidden="false" customHeight="false" outlineLevel="0" collapsed="false">
      <c r="A296" s="62"/>
      <c r="B296" s="56"/>
      <c r="C296" s="56"/>
      <c r="D296" s="55"/>
      <c r="E296" s="56"/>
    </row>
    <row r="297" customFormat="false" ht="15" hidden="false" customHeight="false" outlineLevel="0" collapsed="false">
      <c r="A297" s="62"/>
      <c r="B297" s="56"/>
      <c r="C297" s="56"/>
      <c r="D297" s="55"/>
      <c r="E297" s="56"/>
    </row>
    <row r="298" customFormat="false" ht="15" hidden="false" customHeight="false" outlineLevel="0" collapsed="false">
      <c r="A298" s="62"/>
      <c r="B298" s="56"/>
      <c r="C298" s="56"/>
      <c r="D298" s="55"/>
      <c r="E298" s="56"/>
    </row>
    <row r="299" customFormat="false" ht="15" hidden="false" customHeight="false" outlineLevel="0" collapsed="false">
      <c r="A299" s="62"/>
      <c r="B299" s="56"/>
      <c r="C299" s="56"/>
      <c r="D299" s="55"/>
      <c r="E299" s="56"/>
    </row>
    <row r="300" customFormat="false" ht="15" hidden="false" customHeight="false" outlineLevel="0" collapsed="false">
      <c r="A300" s="62"/>
      <c r="B300" s="56"/>
      <c r="C300" s="56"/>
      <c r="D300" s="55"/>
      <c r="E300" s="56"/>
    </row>
    <row r="301" customFormat="false" ht="15" hidden="false" customHeight="false" outlineLevel="0" collapsed="false">
      <c r="A301" s="62"/>
      <c r="B301" s="56"/>
      <c r="C301" s="56"/>
      <c r="D301" s="55"/>
      <c r="E301" s="56"/>
    </row>
    <row r="302" customFormat="false" ht="15" hidden="false" customHeight="false" outlineLevel="0" collapsed="false">
      <c r="A302" s="62"/>
      <c r="B302" s="56"/>
      <c r="C302" s="56"/>
      <c r="D302" s="55"/>
      <c r="E302" s="56"/>
    </row>
    <row r="303" customFormat="false" ht="15" hidden="false" customHeight="false" outlineLevel="0" collapsed="false">
      <c r="A303" s="62"/>
      <c r="B303" s="56"/>
      <c r="C303" s="56"/>
      <c r="D303" s="55"/>
      <c r="E303" s="56"/>
    </row>
    <row r="304" customFormat="false" ht="15" hidden="false" customHeight="false" outlineLevel="0" collapsed="false">
      <c r="A304" s="62"/>
      <c r="B304" s="56"/>
      <c r="C304" s="56"/>
      <c r="D304" s="55"/>
      <c r="E304" s="56"/>
    </row>
  </sheetData>
  <dataValidations count="1">
    <dataValidation allowBlank="true" errorStyle="stop" operator="between" showDropDown="false" showErrorMessage="false" showInputMessage="false" sqref="C5:C304" type="list">
      <formula1>"Suscripciones,Apps,Contenido / UGC,Muestras,Herramientas,Gestoría,Comisiones,Otros"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5"/>
    <col collapsed="false" customWidth="true" hidden="false" outlineLevel="0" max="6" min="6" style="0" width="72"/>
    <col collapsed="false" customWidth="true" hidden="false" outlineLevel="0" max="7" min="7" style="0" width="17"/>
  </cols>
  <sheetData>
    <row r="1" customFormat="false" ht="19.7" hidden="false" customHeight="false" outlineLevel="0" collapsed="false">
      <c r="B1" s="1" t="s">
        <v>118</v>
      </c>
    </row>
    <row r="2" customFormat="false" ht="15" hidden="false" customHeight="false" outlineLevel="0" collapsed="false">
      <c r="B2" s="2" t="s">
        <v>119</v>
      </c>
    </row>
    <row r="4" customFormat="false" ht="22.35" hidden="false" customHeight="false" outlineLevel="0" collapsed="false">
      <c r="B4" s="63" t="s">
        <v>120</v>
      </c>
      <c r="C4" s="29" t="s">
        <v>121</v>
      </c>
      <c r="D4" s="29" t="s">
        <v>122</v>
      </c>
      <c r="E4" s="29" t="s">
        <v>123</v>
      </c>
      <c r="F4" s="29" t="s">
        <v>124</v>
      </c>
      <c r="G4" s="29" t="s">
        <v>125</v>
      </c>
    </row>
    <row r="5" customFormat="false" ht="15" hidden="false" customHeight="false" outlineLevel="0" collapsed="false">
      <c r="B5" s="64" t="s">
        <v>126</v>
      </c>
      <c r="C5" s="65" t="n">
        <v>29.99</v>
      </c>
      <c r="D5" s="65" t="n">
        <v>39.99</v>
      </c>
      <c r="E5" s="65" t="n">
        <v>59.99</v>
      </c>
      <c r="F5" s="66" t="s">
        <v>127</v>
      </c>
      <c r="G5" s="65" t="n">
        <v>49.99</v>
      </c>
    </row>
    <row r="6" customFormat="false" ht="15" hidden="false" customHeight="false" outlineLevel="0" collapsed="false">
      <c r="B6" s="64" t="s">
        <v>128</v>
      </c>
      <c r="C6" s="67" t="n">
        <v>1</v>
      </c>
      <c r="D6" s="67" t="n">
        <v>2</v>
      </c>
      <c r="E6" s="67" t="n">
        <v>3</v>
      </c>
      <c r="F6" s="66" t="s">
        <v>129</v>
      </c>
      <c r="G6" s="67" t="n">
        <v>3</v>
      </c>
    </row>
    <row r="7" customFormat="false" ht="22.35" hidden="false" customHeight="false" outlineLevel="0" collapsed="false">
      <c r="B7" s="64" t="s">
        <v>130</v>
      </c>
      <c r="C7" s="65" t="n">
        <v>1.99</v>
      </c>
      <c r="D7" s="65" t="n">
        <v>1.99</v>
      </c>
      <c r="E7" s="65" t="n">
        <v>3.3867</v>
      </c>
      <c r="F7" s="66" t="s">
        <v>131</v>
      </c>
      <c r="G7" s="65" t="n">
        <v>1.99</v>
      </c>
    </row>
    <row r="8" customFormat="false" ht="22.35" hidden="false" customHeight="false" outlineLevel="0" collapsed="false">
      <c r="B8" s="64" t="s">
        <v>132</v>
      </c>
      <c r="C8" s="65" t="n">
        <v>7.55</v>
      </c>
      <c r="D8" s="65" t="n">
        <v>7.55</v>
      </c>
      <c r="E8" s="65" t="n">
        <v>7.55</v>
      </c>
      <c r="F8" s="66" t="s">
        <v>133</v>
      </c>
      <c r="G8" s="65" t="n">
        <v>7.55</v>
      </c>
    </row>
    <row r="9" customFormat="false" ht="15" hidden="false" customHeight="false" outlineLevel="0" collapsed="false">
      <c r="B9" s="64" t="s">
        <v>134</v>
      </c>
      <c r="C9" s="32" t="n">
        <f aca="false">C6*C7*(1+IVA_PROD)</f>
        <v>2.4079</v>
      </c>
      <c r="D9" s="32" t="n">
        <f aca="false">D6*D7*(1+IVA_PROD)</f>
        <v>4.8158</v>
      </c>
      <c r="E9" s="32" t="n">
        <f aca="false">E6*E7*(1+IVA_PROD)</f>
        <v>12.293721</v>
      </c>
      <c r="F9" s="68" t="s">
        <v>135</v>
      </c>
      <c r="G9" s="32" t="n">
        <f aca="false">G6*G7*(1+IVA_PROD)</f>
        <v>7.2237</v>
      </c>
    </row>
    <row r="10" customFormat="false" ht="15" hidden="false" customHeight="false" outlineLevel="0" collapsed="false">
      <c r="B10" s="64" t="s">
        <v>136</v>
      </c>
      <c r="C10" s="32" t="n">
        <f aca="false">C9+C8</f>
        <v>9.9579</v>
      </c>
      <c r="D10" s="32" t="n">
        <f aca="false">D9+D8</f>
        <v>12.3658</v>
      </c>
      <c r="E10" s="32" t="n">
        <f aca="false">E9+E8</f>
        <v>19.843721</v>
      </c>
      <c r="F10" s="68" t="s">
        <v>137</v>
      </c>
      <c r="G10" s="32" t="n">
        <f aca="false">G9+G8</f>
        <v>14.7737</v>
      </c>
    </row>
    <row r="11" customFormat="false" ht="15" hidden="false" customHeight="false" outlineLevel="0" collapsed="false">
      <c r="B11" s="69" t="s">
        <v>138</v>
      </c>
      <c r="C11" s="33" t="n">
        <f aca="false">C5-C10</f>
        <v>20.0321</v>
      </c>
      <c r="D11" s="33" t="n">
        <f aca="false">D5-D10</f>
        <v>27.6242</v>
      </c>
      <c r="E11" s="33" t="n">
        <f aca="false">E5-E10</f>
        <v>40.146279</v>
      </c>
      <c r="F11" s="68" t="s">
        <v>139</v>
      </c>
      <c r="G11" s="33" t="n">
        <f aca="false">G5-G10</f>
        <v>35.2163</v>
      </c>
    </row>
    <row r="12" customFormat="false" ht="15" hidden="false" customHeight="false" outlineLevel="0" collapsed="false">
      <c r="B12" s="64" t="s">
        <v>140</v>
      </c>
      <c r="C12" s="32" t="n">
        <f aca="false">C5*IVA_VENTAS/(1+IVA_VENTAS)</f>
        <v>5.20487603305785</v>
      </c>
      <c r="D12" s="32" t="n">
        <f aca="false">D5*IVA_VENTAS/(1+IVA_VENTAS)</f>
        <v>6.9404132231405</v>
      </c>
      <c r="E12" s="32" t="n">
        <f aca="false">E5*IVA_VENTAS/(1+IVA_VENTAS)</f>
        <v>10.4114876033058</v>
      </c>
      <c r="F12" s="68" t="s">
        <v>141</v>
      </c>
      <c r="G12" s="32" t="n">
        <f aca="false">G5*IVA_VENTAS/(1+IVA_VENTAS)</f>
        <v>8.67595041322314</v>
      </c>
    </row>
    <row r="13" customFormat="false" ht="15" hidden="false" customHeight="false" outlineLevel="0" collapsed="false">
      <c r="B13" s="64" t="s">
        <v>142</v>
      </c>
      <c r="C13" s="32" t="n">
        <f aca="false">C6*C7*IVA_PROD+IF(LOG_IVA=1,C8*IVA_VENTAS/(1+IVA_VENTAS),0)</f>
        <v>0.4179</v>
      </c>
      <c r="D13" s="32" t="n">
        <f aca="false">D6*D7*IVA_PROD+IF(LOG_IVA=1,D8*IVA_VENTAS/(1+IVA_VENTAS),0)</f>
        <v>0.8358</v>
      </c>
      <c r="E13" s="32" t="n">
        <f aca="false">E6*E7*IVA_PROD+IF(LOG_IVA=1,E8*IVA_VENTAS/(1+IVA_VENTAS),0)</f>
        <v>2.133621</v>
      </c>
      <c r="F13" s="68" t="s">
        <v>143</v>
      </c>
      <c r="G13" s="32" t="n">
        <f aca="false">G6*G7*IVA_PROD+IF(LOG_IVA=1,G8*IVA_VENTAS/(1+IVA_VENTAS),0)</f>
        <v>1.2537</v>
      </c>
    </row>
    <row r="14" customFormat="false" ht="15" hidden="false" customHeight="false" outlineLevel="0" collapsed="false">
      <c r="B14" s="64" t="s">
        <v>144</v>
      </c>
      <c r="C14" s="32" t="n">
        <f aca="false">IF(APLICA_IVA=1,C12-C13,0)</f>
        <v>0</v>
      </c>
      <c r="D14" s="32" t="n">
        <f aca="false">IF(APLICA_IVA=1,D12-D13,0)</f>
        <v>0</v>
      </c>
      <c r="E14" s="32" t="n">
        <f aca="false">IF(APLICA_IVA=1,E12-E13,0)</f>
        <v>0</v>
      </c>
      <c r="F14" s="68" t="s">
        <v>145</v>
      </c>
      <c r="G14" s="32" t="n">
        <f aca="false">IF(APLICA_IVA=1,G12-G13,0)</f>
        <v>0</v>
      </c>
    </row>
    <row r="15" customFormat="false" ht="15" hidden="false" customHeight="false" outlineLevel="0" collapsed="false">
      <c r="B15" s="69" t="s">
        <v>146</v>
      </c>
      <c r="C15" s="33" t="n">
        <f aca="false">C11-C14</f>
        <v>20.0321</v>
      </c>
      <c r="D15" s="33" t="n">
        <f aca="false">D11-D14</f>
        <v>27.6242</v>
      </c>
      <c r="E15" s="33" t="n">
        <f aca="false">E11-E14</f>
        <v>40.146279</v>
      </c>
      <c r="F15" s="68" t="s">
        <v>147</v>
      </c>
      <c r="G15" s="33" t="n">
        <f aca="false">G11-G14</f>
        <v>35.2163</v>
      </c>
    </row>
    <row r="16" customFormat="false" ht="15" hidden="false" customHeight="false" outlineLevel="0" collapsed="false">
      <c r="B16" s="64" t="s">
        <v>148</v>
      </c>
      <c r="C16" s="4" t="n">
        <v>46310</v>
      </c>
    </row>
    <row r="17" customFormat="false" ht="15" hidden="false" customHeight="false" outlineLevel="0" collapsed="false">
      <c r="B17" s="63" t="s">
        <v>149</v>
      </c>
      <c r="C17" s="29" t="s">
        <v>150</v>
      </c>
      <c r="D17" s="29"/>
      <c r="E17" s="29"/>
      <c r="F17" s="29" t="s">
        <v>151</v>
      </c>
    </row>
    <row r="18" customFormat="false" ht="15" hidden="false" customHeight="false" outlineLevel="0" collapsed="false">
      <c r="B18" s="64" t="s">
        <v>152</v>
      </c>
      <c r="C18" s="70" t="n">
        <v>0.21</v>
      </c>
      <c r="F18" s="66" t="s">
        <v>153</v>
      </c>
    </row>
    <row r="19" customFormat="false" ht="15" hidden="false" customHeight="false" outlineLevel="0" collapsed="false">
      <c r="B19" s="64" t="s">
        <v>154</v>
      </c>
      <c r="C19" s="70" t="n">
        <v>0.21</v>
      </c>
      <c r="F19" s="66" t="s">
        <v>155</v>
      </c>
    </row>
    <row r="20" customFormat="false" ht="22.35" hidden="false" customHeight="false" outlineLevel="0" collapsed="false">
      <c r="B20" s="64" t="s">
        <v>156</v>
      </c>
      <c r="C20" s="71" t="s">
        <v>157</v>
      </c>
      <c r="F20" s="66" t="s">
        <v>158</v>
      </c>
    </row>
    <row r="21" customFormat="false" ht="22.35" hidden="false" customHeight="false" outlineLevel="0" collapsed="false">
      <c r="B21" s="64" t="s">
        <v>159</v>
      </c>
      <c r="C21" s="71" t="s">
        <v>157</v>
      </c>
      <c r="F21" s="66" t="s">
        <v>160</v>
      </c>
    </row>
    <row r="22" customFormat="false" ht="22.35" hidden="false" customHeight="false" outlineLevel="0" collapsed="false">
      <c r="B22" s="64" t="s">
        <v>161</v>
      </c>
      <c r="C22" s="65" t="n">
        <v>7.55</v>
      </c>
      <c r="F22" s="66" t="s">
        <v>162</v>
      </c>
    </row>
    <row r="23" customFormat="false" ht="15" hidden="false" customHeight="false" outlineLevel="0" collapsed="false">
      <c r="B23" s="64" t="s">
        <v>163</v>
      </c>
      <c r="C23" s="70" t="n">
        <v>0</v>
      </c>
      <c r="F23" s="66" t="s">
        <v>164</v>
      </c>
    </row>
    <row r="24" customFormat="false" ht="15" hidden="false" customHeight="false" outlineLevel="0" collapsed="false">
      <c r="B24" s="64" t="s">
        <v>165</v>
      </c>
      <c r="C24" s="70" t="n">
        <v>0.8</v>
      </c>
      <c r="F24" s="66" t="s">
        <v>166</v>
      </c>
    </row>
    <row r="25" customFormat="false" ht="15" hidden="false" customHeight="false" outlineLevel="0" collapsed="false">
      <c r="B25" s="64" t="s">
        <v>167</v>
      </c>
      <c r="C25" s="67" t="n">
        <v>30</v>
      </c>
      <c r="F25" s="66" t="s">
        <v>168</v>
      </c>
    </row>
    <row r="26" customFormat="false" ht="15" hidden="false" customHeight="false" outlineLevel="0" collapsed="false">
      <c r="B26" s="64" t="s">
        <v>169</v>
      </c>
      <c r="C26" s="70" t="n">
        <v>0.3</v>
      </c>
      <c r="D26" s="70" t="n">
        <v>0.05</v>
      </c>
      <c r="F26" s="66" t="s">
        <v>170</v>
      </c>
    </row>
    <row r="27" customFormat="false" ht="15" hidden="false" customHeight="false" outlineLevel="0" collapsed="false">
      <c r="B27" s="64" t="s">
        <v>29</v>
      </c>
      <c r="C27" s="72" t="n">
        <v>10000</v>
      </c>
      <c r="F27" s="66" t="s">
        <v>171</v>
      </c>
    </row>
    <row r="28" customFormat="false" ht="15" hidden="false" customHeight="false" outlineLevel="0" collapsed="false">
      <c r="B28" s="64" t="s">
        <v>172</v>
      </c>
      <c r="C28" s="4" t="n">
        <v>46300</v>
      </c>
      <c r="F28" s="66" t="s">
        <v>173</v>
      </c>
    </row>
    <row r="29" customFormat="false" ht="15" hidden="false" customHeight="false" outlineLevel="0" collapsed="false">
      <c r="B29" s="64" t="s">
        <v>174</v>
      </c>
      <c r="C29" s="71" t="s">
        <v>175</v>
      </c>
      <c r="F29" s="66" t="s">
        <v>176</v>
      </c>
    </row>
    <row r="30" customFormat="false" ht="15" hidden="false" customHeight="false" outlineLevel="0" collapsed="false">
      <c r="B30" s="64" t="s">
        <v>177</v>
      </c>
      <c r="C30" s="71" t="s">
        <v>178</v>
      </c>
      <c r="F30" s="66" t="s">
        <v>179</v>
      </c>
    </row>
    <row r="31" customFormat="false" ht="15" hidden="false" customHeight="false" outlineLevel="0" collapsed="false">
      <c r="B31" s="64" t="s">
        <v>180</v>
      </c>
      <c r="C31" s="65" t="n">
        <v>0.95</v>
      </c>
      <c r="F31" s="66" t="s">
        <v>181</v>
      </c>
    </row>
    <row r="32" customFormat="false" ht="19.5" hidden="false" customHeight="true" outlineLevel="0" collapsed="false">
      <c r="B32" s="63" t="s">
        <v>182</v>
      </c>
      <c r="C32" s="29" t="s">
        <v>150</v>
      </c>
      <c r="D32" s="29"/>
      <c r="E32" s="29"/>
      <c r="F32" s="29" t="s">
        <v>183</v>
      </c>
    </row>
    <row r="33" customFormat="false" ht="15" hidden="false" customHeight="false" outlineLevel="0" collapsed="false">
      <c r="B33" s="64" t="s">
        <v>184</v>
      </c>
      <c r="C33" s="31" t="n">
        <f aca="false">IF(C20="SÍ",1,0)</f>
        <v>0</v>
      </c>
      <c r="F33" s="68"/>
    </row>
    <row r="34" customFormat="false" ht="15" hidden="false" customHeight="false" outlineLevel="0" collapsed="false">
      <c r="B34" s="64" t="s">
        <v>185</v>
      </c>
      <c r="C34" s="31" t="n">
        <f aca="false">IF(C21="SÍ",1,0)</f>
        <v>0</v>
      </c>
      <c r="F34" s="68"/>
    </row>
    <row r="35" customFormat="false" ht="15" hidden="false" customHeight="false" outlineLevel="0" collapsed="false">
      <c r="B35" s="64" t="s">
        <v>186</v>
      </c>
      <c r="C35" s="32" t="n">
        <f aca="false">IF(AND(APLICA_IVA=1,LOG_IVA=1),C22*IVA_VENTAS/(1+IVA_VENTAS),0)</f>
        <v>0</v>
      </c>
      <c r="F35" s="68"/>
    </row>
    <row r="36" customFormat="false" ht="15" hidden="false" customHeight="false" outlineLevel="0" collapsed="false">
      <c r="B36" s="64" t="s">
        <v>187</v>
      </c>
      <c r="C36" s="32" t="n">
        <f aca="false">C22-C35</f>
        <v>7.55</v>
      </c>
      <c r="F36" s="68"/>
    </row>
    <row r="37" customFormat="false" ht="15" hidden="false" customHeight="false" outlineLevel="0" collapsed="false">
      <c r="B37" s="64" t="s">
        <v>188</v>
      </c>
      <c r="C37" s="31" t="n">
        <f aca="false">(SUM(Diario!$E$6:$E$370)+SUM(Diario!$F$6:$F$370)+SUM(Diario!$G$6:$G$370))+(SUM(Diario!$H$6:$H$370)+SUM(Diario!$I$6:$I$370)+SUM(Diario!$J$6:$J$370))</f>
        <v>108</v>
      </c>
      <c r="F37" s="68" t="s">
        <v>189</v>
      </c>
    </row>
    <row r="38" customFormat="false" ht="15" hidden="false" customHeight="false" outlineLevel="0" collapsed="false">
      <c r="B38" s="64" t="s">
        <v>190</v>
      </c>
      <c r="C38" s="34" t="n">
        <f aca="false">IF(C37&gt;0,(SUM(Diario!$E$6:$E$370)+SUM(Diario!$F$6:$F$370)+SUM(Diario!$G$6:$G$370))/C37,"")</f>
        <v>0.685185185185185</v>
      </c>
      <c r="F38" s="68" t="s">
        <v>191</v>
      </c>
    </row>
    <row r="39" customFormat="false" ht="15" hidden="false" customHeight="false" outlineLevel="0" collapsed="false">
      <c r="B39" s="64" t="s">
        <v>192</v>
      </c>
      <c r="C39" s="34" t="n">
        <f aca="false">IF(AND(C37-C52&gt;=C25,C55&lt;&gt;""),C55,C24)</f>
        <v>0.941176470588235</v>
      </c>
      <c r="F39" s="68" t="s">
        <v>193</v>
      </c>
    </row>
    <row r="40" customFormat="false" ht="15" hidden="false" customHeight="false" outlineLevel="0" collapsed="false">
      <c r="B40" s="64" t="s">
        <v>194</v>
      </c>
      <c r="C40" s="34" t="n">
        <f aca="false">IF(SUM(Diario!$P$6:$P$370)&gt;0,SUM(Diario!$C$6:$C$370)/SUM(Diario!$P$6:$P$370),"")</f>
        <v>0.358490566037736</v>
      </c>
      <c r="D40" s="34" t="n">
        <f aca="false">IF(SUM(Diario!$P$6:$P$370)&gt;0,SUM(Diario!$D$6:$D$370)/SUM(Diario!$P$6:$P$370),"")</f>
        <v>0.0817610062893082</v>
      </c>
      <c r="F40" s="68" t="s">
        <v>195</v>
      </c>
    </row>
    <row r="41" customFormat="false" ht="15" hidden="false" customHeight="false" outlineLevel="0" collapsed="false">
      <c r="B41" s="64" t="s">
        <v>196</v>
      </c>
      <c r="C41" s="34" t="n">
        <f aca="false">IF(C40="",C26,C40)</f>
        <v>0.358490566037736</v>
      </c>
      <c r="D41" s="34" t="n">
        <f aca="false">IF(D40="",D26,D40)</f>
        <v>0.0817610062893082</v>
      </c>
      <c r="F41" s="68"/>
    </row>
    <row r="42" customFormat="false" ht="15" hidden="false" customHeight="false" outlineLevel="0" collapsed="false">
      <c r="B42" s="64" t="s">
        <v>197</v>
      </c>
      <c r="C42" s="32" t="n">
        <f aca="false">IF(SUM(Diario!$AN$6:$AN$370)&gt;0,(SUM(Diario!$L$6:$L$370)+SUM(Diario!$M$6:$M$370))/SUM(Diario!$AN$6:$AN$370),"")</f>
        <v>7.25144</v>
      </c>
      <c r="F42" s="68" t="s">
        <v>198</v>
      </c>
    </row>
    <row r="43" customFormat="false" ht="15" hidden="false" customHeight="false" outlineLevel="0" collapsed="false">
      <c r="B43" s="64" t="s">
        <v>199</v>
      </c>
      <c r="C43" s="32" t="n">
        <f aca="false">(1-C41-D41)*C5+C41*D5+D41*E5</f>
        <v>36.0277358490566</v>
      </c>
      <c r="F43" s="68"/>
    </row>
    <row r="44" customFormat="false" ht="15" hidden="false" customHeight="false" outlineLevel="0" collapsed="false">
      <c r="B44" s="64" t="s">
        <v>200</v>
      </c>
      <c r="C44" s="32" t="n">
        <f aca="false">(1-C41-D41)*(C5-C9-IF(C42="",C8,C42)-C14)+C41*(D5-D9-IF(C42="",D8,C42)-D14)+D41*(E5-E9-IF(C42="",E8,C42)-E14)</f>
        <v>24.6969117421384</v>
      </c>
      <c r="F44" s="68" t="s">
        <v>201</v>
      </c>
    </row>
    <row r="45" customFormat="false" ht="15" hidden="false" customHeight="false" outlineLevel="0" collapsed="false">
      <c r="B45" s="64" t="s">
        <v>202</v>
      </c>
      <c r="C45" s="32" t="n">
        <f aca="false">TASA_BE*C44-(1-TASA_BE)*C36-COMISION</f>
        <v>11.8519320911406</v>
      </c>
      <c r="F45" s="68" t="s">
        <v>203</v>
      </c>
    </row>
    <row r="46" customFormat="false" ht="15" hidden="false" customHeight="false" outlineLevel="0" collapsed="false">
      <c r="B46" s="69" t="s">
        <v>204</v>
      </c>
      <c r="C46" s="33" t="n">
        <f aca="false">C45/(1+RECARGO_ADS)</f>
        <v>11.8519320911406</v>
      </c>
      <c r="F46" s="68" t="s">
        <v>205</v>
      </c>
    </row>
    <row r="47" customFormat="false" ht="15" hidden="false" customHeight="false" outlineLevel="0" collapsed="false">
      <c r="B47" s="69" t="s">
        <v>206</v>
      </c>
      <c r="C47" s="73" t="n">
        <f aca="false">IF(C46&gt;0,C43/C46,"")</f>
        <v>3.03981963210772</v>
      </c>
      <c r="F47" s="68" t="s">
        <v>207</v>
      </c>
    </row>
    <row r="49" customFormat="false" ht="15" hidden="false" customHeight="false" outlineLevel="0" collapsed="false">
      <c r="B49" s="63" t="s">
        <v>208</v>
      </c>
      <c r="C49" s="29" t="s">
        <v>150</v>
      </c>
      <c r="D49" s="29"/>
      <c r="E49" s="29"/>
      <c r="F49" s="29" t="s">
        <v>151</v>
      </c>
    </row>
    <row r="50" customFormat="false" ht="15" hidden="false" customHeight="false" outlineLevel="0" collapsed="false">
      <c r="B50" s="64" t="s">
        <v>209</v>
      </c>
      <c r="C50" s="70" t="n">
        <v>0.35</v>
      </c>
      <c r="F50" s="66" t="s">
        <v>210</v>
      </c>
    </row>
    <row r="51" customFormat="false" ht="22.35" hidden="false" customHeight="false" outlineLevel="0" collapsed="false">
      <c r="B51" s="64" t="s">
        <v>211</v>
      </c>
      <c r="C51" s="67" t="n">
        <v>10</v>
      </c>
      <c r="F51" s="66" t="s">
        <v>212</v>
      </c>
    </row>
    <row r="52" customFormat="false" ht="15" hidden="false" customHeight="false" outlineLevel="0" collapsed="false">
      <c r="B52" s="64" t="s">
        <v>213</v>
      </c>
      <c r="C52" s="67" t="n">
        <v>40</v>
      </c>
      <c r="F52" s="66" t="s">
        <v>214</v>
      </c>
    </row>
    <row r="53" customFormat="false" ht="15" hidden="false" customHeight="false" outlineLevel="0" collapsed="false">
      <c r="B53" s="64" t="s">
        <v>215</v>
      </c>
      <c r="C53" s="67" t="n">
        <v>10</v>
      </c>
      <c r="F53" s="66"/>
    </row>
    <row r="54" customFormat="false" ht="15" hidden="false" customHeight="false" outlineLevel="0" collapsed="false">
      <c r="B54" s="64" t="s">
        <v>216</v>
      </c>
      <c r="C54" s="34" t="n">
        <f aca="false">(C53+C50*C51)/(C52+C51)</f>
        <v>0.27</v>
      </c>
      <c r="F54" s="68" t="s">
        <v>217</v>
      </c>
    </row>
    <row r="55" customFormat="false" ht="15" hidden="false" customHeight="false" outlineLevel="0" collapsed="false">
      <c r="B55" s="64" t="s">
        <v>218</v>
      </c>
      <c r="C55" s="34" t="n">
        <f aca="false">IF(C37-C52&gt;0,((SUM(Diario!$E$6:$E$370)+SUM(Diario!$F$6:$F$370)+SUM(Diario!$G$6:$G$370))-C53)/(C37-C52),"")</f>
        <v>0.941176470588235</v>
      </c>
      <c r="F55" s="68" t="s">
        <v>219</v>
      </c>
    </row>
    <row r="56" customFormat="false" ht="15" hidden="false" customHeight="false" outlineLevel="0" collapsed="false">
      <c r="B56" s="64" t="s">
        <v>220</v>
      </c>
      <c r="C56" s="31" t="n">
        <f aca="false">SUM(Diario!$Q$6:$Q$370)</f>
        <v>51</v>
      </c>
      <c r="F56" s="68"/>
    </row>
    <row r="57" customFormat="false" ht="15" hidden="false" customHeight="false" outlineLevel="0" collapsed="false">
      <c r="B57" s="64" t="s">
        <v>221</v>
      </c>
      <c r="C57" s="31" t="n">
        <f aca="false">SUM(Diario!$AP$6:$AP$370)</f>
        <v>29</v>
      </c>
      <c r="F57" s="68"/>
    </row>
    <row r="58" customFormat="false" ht="15" hidden="false" customHeight="false" outlineLevel="0" collapsed="false">
      <c r="B58" s="69" t="s">
        <v>222</v>
      </c>
      <c r="C58" s="74" t="n">
        <f aca="false">IF(C37+C56&gt;0,((SUM(Diario!$E$6:$E$370)+SUM(Diario!$F$6:$F$370)+SUM(Diario!$G$6:$G$370))+SUMPRODUCT(Diario!$Q$6:$Q$370,Diario!$AQ$6:$AQ$370))/(C37+C56),C39)</f>
        <v>0.631128098525661</v>
      </c>
      <c r="F58" s="68" t="s">
        <v>223</v>
      </c>
    </row>
    <row r="60" customFormat="false" ht="15" hidden="false" customHeight="false" outlineLevel="0" collapsed="false">
      <c r="B60" s="63" t="s">
        <v>224</v>
      </c>
      <c r="C60" s="29" t="s">
        <v>150</v>
      </c>
      <c r="D60" s="29"/>
      <c r="E60" s="29"/>
      <c r="F60" s="29" t="s">
        <v>151</v>
      </c>
    </row>
    <row r="61" customFormat="false" ht="22.35" hidden="false" customHeight="false" outlineLevel="0" collapsed="false">
      <c r="B61" s="64" t="s">
        <v>225</v>
      </c>
      <c r="C61" s="70" t="n">
        <v>0.4562</v>
      </c>
      <c r="F61" s="66" t="s">
        <v>226</v>
      </c>
    </row>
    <row r="62" customFormat="false" ht="15" hidden="false" customHeight="false" outlineLevel="0" collapsed="false">
      <c r="B62" s="64" t="s">
        <v>227</v>
      </c>
      <c r="C62" s="4" t="n">
        <v>46318</v>
      </c>
      <c r="F62" s="68" t="s">
        <v>228</v>
      </c>
    </row>
    <row r="63" customFormat="false" ht="15" hidden="false" customHeight="false" outlineLevel="0" collapsed="false">
      <c r="B63" s="64" t="s">
        <v>229</v>
      </c>
      <c r="C63" s="70" t="n">
        <v>0.14</v>
      </c>
      <c r="D63" s="70" t="n">
        <v>0.3</v>
      </c>
      <c r="E63" s="70" t="n">
        <v>0.7</v>
      </c>
      <c r="F63" s="70" t="n">
        <v>0.92</v>
      </c>
      <c r="G63" s="70" t="n">
        <v>0.98</v>
      </c>
    </row>
    <row r="64" customFormat="false" ht="15" hidden="false" customHeight="false" outlineLevel="0" collapsed="false">
      <c r="B64" s="64" t="s">
        <v>230</v>
      </c>
      <c r="C64" s="4" t="n">
        <v>46307</v>
      </c>
      <c r="D64" s="4" t="n">
        <v>46364</v>
      </c>
      <c r="E64" s="4" t="n">
        <v>46381</v>
      </c>
      <c r="F64" s="4" t="n">
        <v>46388</v>
      </c>
      <c r="G64" s="4" t="n">
        <v>46393</v>
      </c>
      <c r="H64" s="4" t="n">
        <v>46472</v>
      </c>
      <c r="I64" s="4" t="n">
        <v>46672</v>
      </c>
      <c r="J64" s="4" t="n">
        <v>46692</v>
      </c>
      <c r="K64" s="4" t="n">
        <v>46727</v>
      </c>
      <c r="L64" s="4" t="n">
        <v>46729</v>
      </c>
    </row>
    <row r="65" customFormat="false" ht="15" hidden="false" customHeight="false" outlineLevel="0" collapsed="false">
      <c r="B65" s="69" t="s">
        <v>231</v>
      </c>
      <c r="C65" s="74" t="n">
        <f aca="false">(1-C61)*C39+C61*C54</f>
        <v>0.634985764705882</v>
      </c>
      <c r="F65" s="68" t="s">
        <v>232</v>
      </c>
    </row>
  </sheetData>
  <dataValidations count="1">
    <dataValidation allowBlank="false" errorStyle="stop" operator="between" showDropDown="false" showErrorMessage="false" showInputMessage="false" sqref="C20:C2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0"/>
  </cols>
  <sheetData>
    <row r="1" customFormat="false" ht="19.7" hidden="false" customHeight="false" outlineLevel="0" collapsed="false">
      <c r="B1" s="1" t="s">
        <v>233</v>
      </c>
    </row>
    <row r="4" customFormat="false" ht="15" hidden="false" customHeight="false" outlineLevel="0" collapsed="false">
      <c r="B4" s="75" t="s">
        <v>234</v>
      </c>
    </row>
    <row r="5" customFormat="false" ht="15" hidden="false" customHeight="false" outlineLevel="0" collapsed="false">
      <c r="B5" s="76" t="s">
        <v>235</v>
      </c>
    </row>
    <row r="6" customFormat="false" ht="15" hidden="false" customHeight="false" outlineLevel="0" collapsed="false">
      <c r="B6" s="76" t="s">
        <v>236</v>
      </c>
    </row>
    <row r="7" customFormat="false" ht="15" hidden="false" customHeight="false" outlineLevel="0" collapsed="false">
      <c r="B7" s="76" t="s">
        <v>237</v>
      </c>
    </row>
    <row r="8" customFormat="false" ht="15" hidden="false" customHeight="false" outlineLevel="0" collapsed="false">
      <c r="B8" s="76" t="s">
        <v>238</v>
      </c>
    </row>
    <row r="10" customFormat="false" ht="15" hidden="false" customHeight="false" outlineLevel="0" collapsed="false">
      <c r="B10" s="75" t="s">
        <v>239</v>
      </c>
    </row>
    <row r="11" customFormat="false" ht="23.85" hidden="false" customHeight="false" outlineLevel="0" collapsed="false">
      <c r="B11" s="76" t="s">
        <v>240</v>
      </c>
    </row>
    <row r="12" customFormat="false" ht="15" hidden="false" customHeight="false" outlineLevel="0" collapsed="false">
      <c r="B12" s="76" t="s">
        <v>241</v>
      </c>
    </row>
    <row r="13" customFormat="false" ht="15" hidden="false" customHeight="false" outlineLevel="0" collapsed="false">
      <c r="B13" s="76" t="s">
        <v>242</v>
      </c>
    </row>
    <row r="15" customFormat="false" ht="15" hidden="false" customHeight="false" outlineLevel="0" collapsed="false">
      <c r="B15" s="75" t="s">
        <v>243</v>
      </c>
    </row>
    <row r="16" customFormat="false" ht="15" hidden="false" customHeight="false" outlineLevel="0" collapsed="false">
      <c r="B16" s="76" t="s">
        <v>244</v>
      </c>
    </row>
    <row r="17" customFormat="false" ht="23.85" hidden="false" customHeight="false" outlineLevel="0" collapsed="false">
      <c r="B17" s="76" t="s">
        <v>245</v>
      </c>
    </row>
    <row r="18" customFormat="false" ht="15" hidden="false" customHeight="false" outlineLevel="0" collapsed="false">
      <c r="B18" s="76" t="s">
        <v>246</v>
      </c>
    </row>
    <row r="20" customFormat="false" ht="15" hidden="false" customHeight="false" outlineLevel="0" collapsed="false">
      <c r="B20" s="75" t="s">
        <v>247</v>
      </c>
    </row>
    <row r="21" customFormat="false" ht="15" hidden="false" customHeight="false" outlineLevel="0" collapsed="false">
      <c r="B21" s="76" t="s">
        <v>248</v>
      </c>
    </row>
    <row r="22" customFormat="false" ht="23.85" hidden="false" customHeight="false" outlineLevel="0" collapsed="false">
      <c r="B22" s="76" t="s">
        <v>249</v>
      </c>
    </row>
    <row r="23" customFormat="false" ht="23.85" hidden="false" customHeight="false" outlineLevel="0" collapsed="false">
      <c r="B23" s="76" t="s">
        <v>250</v>
      </c>
    </row>
    <row r="25" customFormat="false" ht="15" hidden="false" customHeight="false" outlineLevel="0" collapsed="false">
      <c r="B25" s="75" t="s">
        <v>251</v>
      </c>
    </row>
    <row r="26" customFormat="false" ht="15" hidden="false" customHeight="false" outlineLevel="0" collapsed="false">
      <c r="B26" s="76" t="s">
        <v>252</v>
      </c>
    </row>
    <row r="27" customFormat="false" ht="15" hidden="false" customHeight="false" outlineLevel="0" collapsed="false">
      <c r="B27" s="76" t="s">
        <v>253</v>
      </c>
    </row>
    <row r="28" customFormat="false" ht="15" hidden="false" customHeight="false" outlineLevel="0" collapsed="false">
      <c r="B28" s="76" t="s">
        <v>254</v>
      </c>
    </row>
    <row r="30" customFormat="false" ht="15" hidden="false" customHeight="false" outlineLevel="0" collapsed="false">
      <c r="B30" s="75" t="s">
        <v>255</v>
      </c>
    </row>
    <row r="31" customFormat="false" ht="15" hidden="false" customHeight="false" outlineLevel="0" collapsed="false">
      <c r="B31" s="76" t="s">
        <v>256</v>
      </c>
    </row>
    <row r="32" customFormat="false" ht="15" hidden="false" customHeight="false" outlineLevel="0" collapsed="false">
      <c r="B32" s="76" t="s">
        <v>257</v>
      </c>
    </row>
    <row r="33" customFormat="false" ht="15" hidden="false" customHeight="false" outlineLevel="0" collapsed="false">
      <c r="B33" s="76" t="s">
        <v>258</v>
      </c>
    </row>
    <row r="34" customFormat="false" ht="23.85" hidden="false" customHeight="false" outlineLevel="0" collapsed="false">
      <c r="B34" s="76" t="s">
        <v>259</v>
      </c>
    </row>
    <row r="36" customFormat="false" ht="15" hidden="false" customHeight="false" outlineLevel="0" collapsed="false">
      <c r="B36" s="75" t="s">
        <v>260</v>
      </c>
    </row>
    <row r="37" customFormat="false" ht="15" hidden="false" customHeight="false" outlineLevel="0" collapsed="false">
      <c r="B37" s="76"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2026-10-23T13:02:03Z</dcterms:created>
  <dc:creator>openpyxl</dc:creator>
  <dc:description/>
  <dc:language>en-US</dc:language>
  <cp:lastModifiedBy/>
  <dcterms:modified xsi:type="dcterms:W3CDTF">2026-10-23T13:02:09Z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