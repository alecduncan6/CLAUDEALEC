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iario" sheetId="2" state="visible" r:id="rId4"/>
    <sheet name="Gastos" sheetId="3" state="visible" r:id="rId5"/>
    <sheet name="Config" sheetId="4" state="visible" r:id="rId6"/>
    <sheet name="Guía" sheetId="5" state="visible" r:id="rId7"/>
  </sheets>
  <definedNames>
    <definedName function="false" hidden="false" name="APLICA_IVA" vbProcedure="false">Config!$C$32</definedName>
    <definedName function="false" hidden="false" name="BEN_PEDIDO" vbProcedure="false">Config!$C$42</definedName>
    <definedName function="false" hidden="false" name="COSTE_DEV" vbProcedure="false">Config!$C$21</definedName>
    <definedName function="false" hidden="false" name="CPA_BE" vbProcedure="false">Config!$C$43</definedName>
    <definedName function="false" hidden="false" name="FECHA_INICIO" vbProcedure="false">Config!$C$27</definedName>
    <definedName function="false" hidden="false" name="IVA_DEV" vbProcedure="false">Config!$C$33</definedName>
    <definedName function="false" hidden="false" name="IVA_PROD" vbProcedure="false">Config!$C$19</definedName>
    <definedName function="false" hidden="false" name="IVA_VENTAS" vbProcedure="false">Config!$C$18</definedName>
    <definedName function="false" hidden="false" name="OBJETIVO_MES" vbProcedure="false">Config!$C$26</definedName>
    <definedName function="false" hidden="false" name="P1_BEN" vbProcedure="false">Config!$C$11</definedName>
    <definedName function="false" hidden="false" name="P1_CPROD" vbProcedure="false">Config!$C$9</definedName>
    <definedName function="false" hidden="false" name="P1_IVAN" vbProcedure="false">Config!$C$14</definedName>
    <definedName function="false" hidden="false" name="P1_LOG" vbProcedure="false">Config!$C$8</definedName>
    <definedName function="false" hidden="false" name="P1_PVP" vbProcedure="false">Config!$C$5</definedName>
    <definedName function="false" hidden="false" name="P2_BEN" vbProcedure="false">Config!$D$11</definedName>
    <definedName function="false" hidden="false" name="P2_CPROD" vbProcedure="false">Config!$D$9</definedName>
    <definedName function="false" hidden="false" name="P2_IVAN" vbProcedure="false">Config!$D$14</definedName>
    <definedName function="false" hidden="false" name="P2_LOG" vbProcedure="false">Config!$D$8</definedName>
    <definedName function="false" hidden="false" name="P2_PVP" vbProcedure="false">Config!$D$5</definedName>
    <definedName function="false" hidden="false" name="RECARGO_ADS" vbProcedure="false">Config!$C$22</definedName>
    <definedName function="false" hidden="false" name="ROAS_BE" vbProcedure="false">Config!$C$44</definedName>
    <definedName function="false" hidden="false" name="TASA_USADA" vbProcedure="false">Config!$C$37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Escribe una fecha para fijar el periodo. Por defecto: día 1 del mes actual.</t>
        </r>
      </text>
    </comment>
    <comment ref="F3" authorId="0">
      <text>
        <r>
          <rPr>
            <sz val="10"/>
            <rFont val="Arial"/>
            <family val="2"/>
          </rPr>
          <t xml:space="preserve">Por defecto: hoy.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De los pedidos hechos ESE día, cuántos ya se han entregado (cobrados).</t>
        </r>
      </text>
    </comment>
    <comment ref="E5" authorId="0">
      <text>
        <r>
          <rPr>
            <sz val="10"/>
            <rFont val="Arial"/>
            <family val="2"/>
          </rPr>
          <t xml:space="preserve">De los pedidos hechos ESE día, cuántos han vuelto (devueltos / rechazados).</t>
        </r>
      </text>
    </comment>
    <comment ref="F5" authorId="0">
      <text>
        <r>
          <rPr>
            <sz val="10"/>
            <rFont val="Arial"/>
            <family val="2"/>
          </rPr>
          <t xml:space="preserve">Lo trae Claude del conector de Meta Ads (cuenta HeatioShop, campañas 'CeraLux').</t>
        </r>
      </text>
    </comment>
    <comment ref="O5" authorId="0">
      <text>
        <r>
          <rPr>
            <sz val="10"/>
            <rFont val="Arial"/>
            <family val="2"/>
          </rPr>
          <t xml:space="preserve">Dinero ya ganado: entregas cobradas − devoluciones − IVA − Ads. Los días recientes salen negativos porque aún hay pedidos en ruta.</t>
        </r>
      </text>
    </comment>
    <comment ref="P5" authorId="0">
      <text>
        <r>
          <rPr>
            <sz val="10"/>
            <rFont val="Arial"/>
            <family val="2"/>
          </rPr>
          <t xml:space="preserve">Lo que dejará el día cuando se resuelvan los pedidos en ruta, usando la tasa de entrega de Config.</t>
        </r>
      </text>
    </comment>
  </commentList>
</comments>
</file>

<file path=xl/sharedStrings.xml><?xml version="1.0" encoding="utf-8"?>
<sst xmlns="http://schemas.openxmlformats.org/spreadsheetml/2006/main" count="217" uniqueCount="201">
  <si>
    <t xml:space="preserve">CeraLux · Dashboard de rentabilidad</t>
  </si>
  <si>
    <t xml:space="preserve">Spray reparación de arañazos 120ml · contra reembolso · Ads: Meta (HeatioShop)</t>
  </si>
  <si>
    <t xml:space="preserve">Desde</t>
  </si>
  <si>
    <t xml:space="preserve">Hasta</t>
  </si>
  <si>
    <t xml:space="preserve">Días</t>
  </si>
  <si>
    <t xml:space="preserve">Tasa entrega usada</t>
  </si>
  <si>
    <t xml:space="preserve">RESUMEN DEL PERIODO</t>
  </si>
  <si>
    <t xml:space="preserve">BENEFICIO NETO PROYECTADO</t>
  </si>
  <si>
    <t xml:space="preserve">BENEFICIO COBRADO (REAL)</t>
  </si>
  <si>
    <t xml:space="preserve">PEDIDOS</t>
  </si>
  <si>
    <t xml:space="preserve">FACTURACIÓN BRUTA</t>
  </si>
  <si>
    <t xml:space="preserve">GASTO ADS</t>
  </si>
  <si>
    <t xml:space="preserve">OTROS GASTOS</t>
  </si>
  <si>
    <t xml:space="preserve">CPA (COSTE POR PEDIDO)</t>
  </si>
  <si>
    <t xml:space="preserve">CPA BREAK-EVEN</t>
  </si>
  <si>
    <t xml:space="preserve">ROAS</t>
  </si>
  <si>
    <t xml:space="preserve">ROAS BREAK-EVEN</t>
  </si>
  <si>
    <t xml:space="preserve">TICKET MEDIO</t>
  </si>
  <si>
    <t xml:space="preserve">% PACK 2</t>
  </si>
  <si>
    <t xml:space="preserve">ENTREGADOS</t>
  </si>
  <si>
    <t xml:space="preserve">EN RUTA</t>
  </si>
  <si>
    <t xml:space="preserve">DEVUELTOS</t>
  </si>
  <si>
    <t xml:space="preserve">TASA DE ENTREGA</t>
  </si>
  <si>
    <t xml:space="preserve">SEMÁFORO CAMPAÑA</t>
  </si>
  <si>
    <t xml:space="preserve">MARGEN NETO</t>
  </si>
  <si>
    <t xml:space="preserve">CUENTA DE RESULTADOS (proyectada)</t>
  </si>
  <si>
    <t xml:space="preserve">CAMINO A 10.000 €/MES</t>
  </si>
  <si>
    <t xml:space="preserve">Ventas esperadas (IVA incl.)</t>
  </si>
  <si>
    <t xml:space="preserve">% ventas</t>
  </si>
  <si>
    <t xml:space="preserve">Objetivo de beneficio neto mensual</t>
  </si>
  <si>
    <t xml:space="preserve">− Coste de producto</t>
  </si>
  <si>
    <t xml:space="preserve">Beneficio neto por día (periodo)</t>
  </si>
  <si>
    <t xml:space="preserve">− Logística</t>
  </si>
  <si>
    <t xml:space="preserve">Ritmo a 30 días</t>
  </si>
  <si>
    <t xml:space="preserve">− Devoluciones</t>
  </si>
  <si>
    <t xml:space="preserve">% del objetivo</t>
  </si>
  <si>
    <t xml:space="preserve">− IVA a liquidar (neto)</t>
  </si>
  <si>
    <t xml:space="preserve">Beneficio esperado por pedido (antes de Ads)</t>
  </si>
  <si>
    <t xml:space="preserve">− Publicidad Meta</t>
  </si>
  <si>
    <t xml:space="preserve">CPA actual</t>
  </si>
  <si>
    <t xml:space="preserve">Beneficio de campaña</t>
  </si>
  <si>
    <t xml:space="preserve">Margen por pedido después de Ads</t>
  </si>
  <si>
    <t xml:space="preserve">− Otros gastos</t>
  </si>
  <si>
    <t xml:space="preserve">Pedidos/día necesarios para el objetivo</t>
  </si>
  <si>
    <t xml:space="preserve">BENEFICIO NETO</t>
  </si>
  <si>
    <t xml:space="preserve">Inversión diaria en Ads a ese CPA</t>
  </si>
  <si>
    <t xml:space="preserve">Margen neto sobre ventas</t>
  </si>
  <si>
    <t xml:space="preserve">ÚLTIMOS 14 DÍAS (hasta la fecha 'Hasta')</t>
  </si>
  <si>
    <t xml:space="preserve">Fecha</t>
  </si>
  <si>
    <t xml:space="preserve">Pedidos</t>
  </si>
  <si>
    <t xml:space="preserve">Gasto Ads</t>
  </si>
  <si>
    <t xml:space="preserve">CPA</t>
  </si>
  <si>
    <t xml:space="preserve">Beneficio proyectado</t>
  </si>
  <si>
    <t xml:space="preserve">Tasa entrega</t>
  </si>
  <si>
    <t xml:space="preserve">RESUMEN MENSUAL</t>
  </si>
  <si>
    <t xml:space="preserve">Mes</t>
  </si>
  <si>
    <t xml:space="preserve">Facturación bruta</t>
  </si>
  <si>
    <t xml:space="preserve">Entregados</t>
  </si>
  <si>
    <t xml:space="preserve">Devueltos</t>
  </si>
  <si>
    <t xml:space="preserve">Beneficio campaña</t>
  </si>
  <si>
    <t xml:space="preserve">Otros gastos</t>
  </si>
  <si>
    <t xml:space="preserve">Beneficio neto</t>
  </si>
  <si>
    <t xml:space="preserve">% objetivo</t>
  </si>
  <si>
    <t xml:space="preserve">Objetivo</t>
  </si>
  <si>
    <t xml:space="preserve">TOTAL</t>
  </si>
  <si>
    <t xml:space="preserve">Diario de pedidos</t>
  </si>
  <si>
    <t xml:space="preserve">Una fila por día de PEDIDO. Rellena lo amarillo: pedidos de cada pack y, cuando se resuelvan, cuántos de ESOS pedidos se entregaron o devolvieron. 'En ruta' se calcula solo.</t>
  </si>
  <si>
    <t xml:space="preserve">Ejemplo: el 08/10 entran 9 Pack 1 y 4 Pack 2 → B=9, C=4. Una semana después, de esos 13: 11 entregados y 2 devueltos → D=11, E=2.</t>
  </si>
  <si>
    <t xml:space="preserve">Cálculos auxiliares (no tocar) →</t>
  </si>
  <si>
    <t xml:space="preserve">Fecha del pedido</t>
  </si>
  <si>
    <t xml:space="preserve">Pedidos Pack 1</t>
  </si>
  <si>
    <t xml:space="preserve">Pedidos Pack 2</t>
  </si>
  <si>
    <t xml:space="preserve">Gasto Ads Meta (€)</t>
  </si>
  <si>
    <t xml:space="preserve">Notas</t>
  </si>
  <si>
    <t xml:space="preserve">Pedidos totales</t>
  </si>
  <si>
    <t xml:space="preserve">En ruta / pendientes</t>
  </si>
  <si>
    <t xml:space="preserve">Ticket medio</t>
  </si>
  <si>
    <t xml:space="preserve">Tasa de entrega</t>
  </si>
  <si>
    <t xml:space="preserve">Beneficio cobrado (real)</t>
  </si>
  <si>
    <t xml:space="preserve">Entregados proy.</t>
  </si>
  <si>
    <t xml:space="preserve">Devueltos proy.</t>
  </si>
  <si>
    <t xml:space="preserve">Ventas proy. (IVA incl.)</t>
  </si>
  <si>
    <t xml:space="preserve">Coste producto proy.</t>
  </si>
  <si>
    <t xml:space="preserve">Logística proy.</t>
  </si>
  <si>
    <t xml:space="preserve">Devoluciones proy.</t>
  </si>
  <si>
    <t xml:space="preserve">IVA neto proy.</t>
  </si>
  <si>
    <t xml:space="preserve">Ads total (con recargo)</t>
  </si>
  <si>
    <t xml:space="preserve">Arranca campaña CeraLux ES - Test 3 ángulos</t>
  </si>
  <si>
    <t xml:space="preserve">Todo lo que no es producto, envío ni Ads: Shopify, apps, dominio, muestras, gestoría...</t>
  </si>
  <si>
    <t xml:space="preserve">Ejemplo de fila: 01/10/2026 | Shopify Basic | Suscripciones | 36,00 € | mensual</t>
  </si>
  <si>
    <t xml:space="preserve">Concepto</t>
  </si>
  <si>
    <t xml:space="preserve">Categoría</t>
  </si>
  <si>
    <t xml:space="preserve">Importe (€)</t>
  </si>
  <si>
    <t xml:space="preserve">Configuración · CeraLux</t>
  </si>
  <si>
    <t xml:space="preserve">Celdas azules con fondo amarillo = editables. Todo lo demás se calcula solo.</t>
  </si>
  <si>
    <t xml:space="preserve">Unit economics por pack</t>
  </si>
  <si>
    <t xml:space="preserve">Pack 1 ud</t>
  </si>
  <si>
    <t xml:space="preserve">Pack 2 uds</t>
  </si>
  <si>
    <t xml:space="preserve">De dónde sale</t>
  </si>
  <si>
    <t xml:space="preserve">PVP contra reembolso (IVA incl.)</t>
  </si>
  <si>
    <t xml:space="preserve">Importe que cobra el repartidor. Dato de Alec.</t>
  </si>
  <si>
    <t xml:space="preserve">Unidades en el pack</t>
  </si>
  <si>
    <t xml:space="preserve">Dato de Alec.</t>
  </si>
  <si>
    <t xml:space="preserve">Coste producto por unidad (sin IVA)</t>
  </si>
  <si>
    <t xml:space="preserve">Panel del almacén: 1,99 € por spray (sin IVA).</t>
  </si>
  <si>
    <t xml:space="preserve">Coste logística por envío</t>
  </si>
  <si>
    <t xml:space="preserve">Panel del almacén: 8,06 € por pedido. Se asume IVA incluido.</t>
  </si>
  <si>
    <t xml:space="preserve">Coste producto (IVA incl.)</t>
  </si>
  <si>
    <t xml:space="preserve">Uds × coste × (1 + IVA producto).</t>
  </si>
  <si>
    <t xml:space="preserve">Coste total del pedido (IVA incl.)</t>
  </si>
  <si>
    <t xml:space="preserve">Debe cuadrar con el panel: 10,47 € y 12,88 €.</t>
  </si>
  <si>
    <t xml:space="preserve">Beneficio dropshipper por pedido ENTREGADO</t>
  </si>
  <si>
    <t xml:space="preserve">Lo que te liquida el almacén: 19,52 € y 27,11 €.</t>
  </si>
  <si>
    <t xml:space="preserve">IVA repercutido (dentro del PVP)</t>
  </si>
  <si>
    <t xml:space="preserve">PVP × 21/121.</t>
  </si>
  <si>
    <t xml:space="preserve">IVA soportado deducible</t>
  </si>
  <si>
    <t xml:space="preserve">IVA del producto + IVA de la logística.</t>
  </si>
  <si>
    <t xml:space="preserve">IVA neto a pagar por pedido entregado</t>
  </si>
  <si>
    <t xml:space="preserve">0 si en Parámetros pones NO al IVA.</t>
  </si>
  <si>
    <t xml:space="preserve">Beneficio neto por pedido entregado (antes de Ads)</t>
  </si>
  <si>
    <t xml:space="preserve">Lo que te queda de verdad por cada entrega.</t>
  </si>
  <si>
    <t xml:space="preserve">Parámetros</t>
  </si>
  <si>
    <t xml:space="preserve">Valor</t>
  </si>
  <si>
    <t xml:space="preserve">Qué significa</t>
  </si>
  <si>
    <t xml:space="preserve">IVA de las ventas</t>
  </si>
  <si>
    <t xml:space="preserve">IVA general en España.</t>
  </si>
  <si>
    <t xml:space="preserve">IVA del producto (lo aplica el almacén)</t>
  </si>
  <si>
    <t xml:space="preserve">Del panel: 'Coste total (IVA incl.)'.</t>
  </si>
  <si>
    <t xml:space="preserve">¿Descontar el IVA del beneficio?</t>
  </si>
  <si>
    <t xml:space="preserve">SÍ</t>
  </si>
  <si>
    <t xml:space="preserve">SÍ si facturas como autónomo o SL (Hacienda se queda ~3,4 € por pedido). NO solo para ver el número bruto.</t>
  </si>
  <si>
    <t xml:space="preserve">Coste por pedido devuelto</t>
  </si>
  <si>
    <t xml:space="preserve">SUPUESTO: pierdes el envío (8,06 €) y el producto vuelve al stock. Confírmalo en tu panel y ajústalo.</t>
  </si>
  <si>
    <t xml:space="preserve">Recargo sobre el gasto en Ads</t>
  </si>
  <si>
    <t xml:space="preserve">0% si Meta factura sin IVA (alta en ROI) o lo deduces. 21% si te cobran IVA y no lo recuperas.</t>
  </si>
  <si>
    <t xml:space="preserve">Tasa de entrega estimada</t>
  </si>
  <si>
    <t xml:space="preserve">Para proyectar los pedidos en ruta mientras no tengas datos propios.</t>
  </si>
  <si>
    <t xml:space="preserve">Pedidos resueltos para usar tu tasa real</t>
  </si>
  <si>
    <t xml:space="preserve">Con estos entregados+devueltos, el libro pasa a usar tu tasa de entrega real.</t>
  </si>
  <si>
    <t xml:space="preserve">% de Pack 2 estimado (sin datos)</t>
  </si>
  <si>
    <t xml:space="preserve">Solo se usa hasta que haya pedidos.</t>
  </si>
  <si>
    <t xml:space="preserve">La meta: 10.000 €/mes.</t>
  </si>
  <si>
    <t xml:space="preserve">Fecha de inicio</t>
  </si>
  <si>
    <t xml:space="preserve">Primer día del Diario y del resumen mensual.</t>
  </si>
  <si>
    <t xml:space="preserve">Cuenta publicitaria Meta</t>
  </si>
  <si>
    <t xml:space="preserve">HeatioShop (26290722800581380)</t>
  </si>
  <si>
    <t xml:space="preserve">De aquí sale el gasto en Ads (conector de Meta).</t>
  </si>
  <si>
    <t xml:space="preserve">Filtro de campañas</t>
  </si>
  <si>
    <t xml:space="preserve">CeraLux</t>
  </si>
  <si>
    <t xml:space="preserve">Solo cuenta campañas cuyo nombre contiene este texto.</t>
  </si>
  <si>
    <t xml:space="preserve">Calculado con tus datos</t>
  </si>
  <si>
    <t xml:space="preserve">Cómo se calcula</t>
  </si>
  <si>
    <t xml:space="preserve">IVA aplicado (1 = sí)</t>
  </si>
  <si>
    <t xml:space="preserve">IVA recuperable por devolución</t>
  </si>
  <si>
    <t xml:space="preserve">El IVA del envío perdido se deduce.</t>
  </si>
  <si>
    <t xml:space="preserve">Coste neto por devolución</t>
  </si>
  <si>
    <t xml:space="preserve">Pedidos resueltos (entregados + devueltos)</t>
  </si>
  <si>
    <t xml:space="preserve">Histórico.</t>
  </si>
  <si>
    <t xml:space="preserve">Tasa de entrega real</t>
  </si>
  <si>
    <t xml:space="preserve">Entregados ÷ (entregados + devueltos).</t>
  </si>
  <si>
    <t xml:space="preserve">Tasa de entrega USADA en proyecciones</t>
  </si>
  <si>
    <t xml:space="preserve">Real si hay suficientes pedidos resueltos; si no, la estimada.</t>
  </si>
  <si>
    <t xml:space="preserve">% de Pack 2 real</t>
  </si>
  <si>
    <t xml:space="preserve">Upsell real.</t>
  </si>
  <si>
    <t xml:space="preserve">% de Pack 2 usado</t>
  </si>
  <si>
    <t xml:space="preserve">Ticket medio esperado</t>
  </si>
  <si>
    <t xml:space="preserve">Beneficio neto medio por pedido entregado</t>
  </si>
  <si>
    <t xml:space="preserve">Mezcla de packs.</t>
  </si>
  <si>
    <t xml:space="preserve">Beneficio esperado por pedido confirmado (antes de Ads)</t>
  </si>
  <si>
    <t xml:space="preserve">Tasa × beneficio por entrega − (1 − tasa) × coste de devolución.</t>
  </si>
  <si>
    <t xml:space="preserve">CPA break-even (máximo que puedes pagar por pedido)</t>
  </si>
  <si>
    <t xml:space="preserve">Por encima de este CPA pierdes dinero.</t>
  </si>
  <si>
    <t xml:space="preserve">ROAS break-even</t>
  </si>
  <si>
    <t xml:space="preserve">Facturación bruta ÷ Ads mínima para no perder.</t>
  </si>
  <si>
    <t xml:space="preserve">Cómo usar este libro</t>
  </si>
  <si>
    <t xml:space="preserve">Hojas</t>
  </si>
  <si>
    <t xml:space="preserve">Dashboard: tus números del periodo que elijas (celdas Desde / Hasta). Todo se calcula solo.</t>
  </si>
  <si>
    <t xml:space="preserve">Diario: una fila por día de pedido. Es lo único que se rellena a diario.</t>
  </si>
  <si>
    <t xml:space="preserve">Gastos: Shopify, apps, muestras, gestoría... todo lo que no es producto, envío ni Ads.</t>
  </si>
  <si>
    <t xml:space="preserve">Config: precios, costes de tus 2 packs y supuestos. Si el almacén cambia tarifas, se cambia aquí.</t>
  </si>
  <si>
    <t xml:space="preserve">Rutina diaria (2 minutos)</t>
  </si>
  <si>
    <t xml:space="preserve">1. Al cerrar el día, dile a Claude: "Hoy 9 Pack 1 y 4 Pack 2" (o apúntalo en el dashboard web).</t>
  </si>
  <si>
    <t xml:space="preserve">2. Claude trae el gasto de Meta Ads de ese día y lo apunta. En el dashboard web el gasto se lee en directo.</t>
  </si>
  <si>
    <t xml:space="preserve">Rutina semanal (10 minutos)</t>
  </si>
  <si>
    <t xml:space="preserve">En el panel del almacén, filtra por FECHA DE PEDIDO y pásale a Claude, por día: entregados y devueltos.</t>
  </si>
  <si>
    <t xml:space="preserve">Ejemplo: "Del 08/10: 11 entregados, 2 devueltos". Los que no estén ni entregados ni devueltos = en ruta.</t>
  </si>
  <si>
    <t xml:space="preserve">Por qué por fecha de pedido: así el gasto de Ads de un día se compara con lo que esos pedidos acaban dejando.</t>
  </si>
  <si>
    <t xml:space="preserve">Los dos beneficios</t>
  </si>
  <si>
    <t xml:space="preserve">Beneficio cobrado (real): entregas ya cobradas − devoluciones − IVA − Ads. Es caja. Los días recientes salen en negativo porque los pedidos aún están en ruta.</t>
  </si>
  <si>
    <t xml:space="preserve">Beneficio proyectado: lo mismo, suponiendo que los pedidos en ruta se entregan a tu tasa de entrega. Es el número para decidir si escalar o cortar.</t>
  </si>
  <si>
    <t xml:space="preserve">Semáforo de campaña (CPA = gasto en Ads ÷ pedidos confirmados)</t>
  </si>
  <si>
    <t xml:space="preserve">ESCALAR: CPA ≤ 75% del CPA break-even. Hay margen de sobra: sube presupuesto un 20-30% cada 48 h.</t>
  </si>
  <si>
    <t xml:space="preserve">VIGILAR: CPA entre el 75% y el 100% del break-even. Ganas poco: prueba creatividades nuevas antes de escalar.</t>
  </si>
  <si>
    <t xml:space="preserve">CORTAR: CPA por encima del break-even. Cada pedido te cuesta dinero: apaga o cambia el ángulo.</t>
  </si>
  <si>
    <t xml:space="preserve">Supuestos que debes confirmar (Config)</t>
  </si>
  <si>
    <t xml:space="preserve">• Coste de un pedido devuelto = 8,06 € (pierdes el envío, el producto vuelve). Si tu almacén cobra también el retorno, súbelo.</t>
  </si>
  <si>
    <t xml:space="preserve">• La logística de 8,06 € incluye IVA (el panel la suma al 'Coste total IVA incl.').</t>
  </si>
  <si>
    <t xml:space="preserve">• Meta te factura sin IVA (alta en ROI). Si no, pon 21% en 'Recargo sobre el gasto en Ads'.</t>
  </si>
  <si>
    <t xml:space="preserve">• El IVA se descuenta del beneficio (SÍ). Si aún no facturas con IVA, ponlo en NO para ver el bruto, pero esos ~3,4 € por pedido te los reclamará Hacienda cuando te des de alta.</t>
  </si>
  <si>
    <t xml:space="preserve">Colores</t>
  </si>
  <si>
    <t xml:space="preserve">Azul sobre amarillo = dato que escribes tú. Negro = fórmula. Verde = viene de otra hoja.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</si>
</sst>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d/mm/yyyy"/>
    <numFmt numFmtId="166" formatCode="#,##0;[RED]\-#,##0;\-"/>
    <numFmt numFmtId="167" formatCode="0.0%;[RED]\-0.0%;\-"/>
    <numFmt numFmtId="168" formatCode="#,##0.00&quot; €&quot;;[RED]\-#,##0.00&quot; €&quot;;\-"/>
    <numFmt numFmtId="169" formatCode="0.00\x;[RED]\-0.00\x;\-"/>
    <numFmt numFmtId="170" formatCode="#,##0&quot; €&quot;;[RED]\-#,##0&quot; €&quot;;\-"/>
    <numFmt numFmtId="171" formatCode="0.0%;\-0.0%;\-"/>
    <numFmt numFmtId="172" formatCode="ddd\ dd/mm"/>
    <numFmt numFmtId="173" formatCode="mmm\ yyyy"/>
    <numFmt numFmtId="174" formatCode="#,##0&quot; €&quot;"/>
    <numFmt numFmtId="175" formatCode="0.0;\-0.0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2537"/>
      <name val="Arial"/>
      <family val="0"/>
      <charset val="1"/>
    </font>
    <font>
      <i val="true"/>
      <sz val="9"/>
      <color rgb="FF6B7686"/>
      <name val="Arial"/>
      <family val="0"/>
      <charset val="1"/>
    </font>
    <font>
      <b val="true"/>
      <sz val="10"/>
      <color rgb="FF1B253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6B7686"/>
      <name val="Arial"/>
      <family val="0"/>
      <charset val="1"/>
    </font>
    <font>
      <b val="true"/>
      <sz val="15"/>
      <color rgb="FF1B2537"/>
      <name val="Arial"/>
      <family val="0"/>
      <charset val="1"/>
    </font>
    <font>
      <sz val="10"/>
      <color rgb="FF000000"/>
      <name val="Arial"/>
      <family val="0"/>
      <charset val="1"/>
    </font>
    <font>
      <sz val="8"/>
      <color rgb="FF6B7686"/>
      <name val="Arial"/>
      <family val="0"/>
      <charset val="1"/>
    </font>
    <font>
      <sz val="9"/>
      <color rgb="FF6B7686"/>
      <name val="Arial"/>
      <family val="0"/>
      <charset val="1"/>
    </font>
    <font>
      <i val="true"/>
      <sz val="10"/>
      <color rgb="FF6B7686"/>
      <name val="Arial"/>
      <family val="0"/>
      <charset val="1"/>
    </font>
    <font>
      <b val="true"/>
      <sz val="9"/>
      <color rgb="FF1B2537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9"/>
      <color rgb="FF5A4300"/>
      <name val="Arial"/>
      <family val="0"/>
      <charset val="1"/>
    </font>
    <font>
      <sz val="10"/>
      <color rgb="FF6B7686"/>
      <name val="Arial"/>
      <family val="0"/>
      <charset val="1"/>
    </font>
    <font>
      <b val="true"/>
      <sz val="11"/>
      <color rgb="FF1B2537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4CC"/>
        <bgColor rgb="FFF5E6C4"/>
      </patternFill>
    </fill>
    <fill>
      <patternFill patternType="solid">
        <fgColor rgb="FF1B2537"/>
        <bgColor rgb="FF003366"/>
      </patternFill>
    </fill>
    <fill>
      <patternFill patternType="solid">
        <fgColor rgb="FFF3F5F8"/>
        <bgColor rgb="FFF9F9F9"/>
      </patternFill>
    </fill>
    <fill>
      <patternFill patternType="solid">
        <fgColor rgb="FFE6EAF0"/>
        <bgColor rgb="FFF3F5F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 style="thin">
        <color rgb="FFD5DBE3"/>
      </bottom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/>
      <diagonal/>
    </border>
    <border diagonalUp="false" diagonalDown="false">
      <left style="thin">
        <color rgb="FFD5DBE3"/>
      </left>
      <right style="thin">
        <color rgb="FFD5DBE3"/>
      </right>
      <top/>
      <bottom style="thin">
        <color rgb="FFD5DBE3"/>
      </bottom>
      <diagonal/>
    </border>
    <border diagonalUp="false" diagonalDown="false">
      <left/>
      <right/>
      <top/>
      <bottom style="thin">
        <color rgb="FFAEB7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Arial"/>
        <charset val="1"/>
        <family val="0"/>
        <b val="1"/>
        <color rgb="FFFFFFFF"/>
        <sz val="15"/>
      </font>
      <fill>
        <patternFill>
          <bgColor rgb="FF1E8449"/>
        </patternFill>
      </fill>
    </dxf>
    <dxf>
      <font>
        <name val="Arial"/>
        <charset val="1"/>
        <family val="0"/>
        <b val="1"/>
        <color rgb="FFFFFFFF"/>
        <sz val="15"/>
      </font>
      <fill>
        <patternFill>
          <bgColor rgb="FFB9770E"/>
        </patternFill>
      </fill>
    </dxf>
    <dxf>
      <font>
        <name val="Arial"/>
        <charset val="1"/>
        <family val="0"/>
        <b val="1"/>
        <color rgb="FFFFFFFF"/>
        <sz val="15"/>
      </font>
      <fill>
        <patternFill>
          <bgColor rgb="FFC0392B"/>
        </patternFill>
      </fill>
    </dxf>
    <dxf>
      <font>
        <name val="Arial"/>
        <charset val="1"/>
        <family val="0"/>
        <b val="1"/>
        <color rgb="FFC0392B"/>
        <sz val="15"/>
      </font>
    </dxf>
    <dxf>
      <font>
        <name val="Arial"/>
        <charset val="1"/>
        <family val="0"/>
        <b val="1"/>
        <color rgb="FF1E8449"/>
        <sz val="15"/>
      </font>
    </dxf>
    <dxf>
      <font>
        <name val="Arial"/>
        <charset val="1"/>
        <family val="0"/>
        <b val="1"/>
        <color rgb="FF1E8449"/>
      </font>
    </dxf>
    <dxf>
      <font>
        <name val="Arial"/>
        <charset val="1"/>
        <family val="0"/>
        <b val="1"/>
        <color rgb="FFC0392B"/>
      </font>
    </dxf>
    <dxf>
      <fill>
        <patternFill>
          <bgColor rgb="FFD5F0DD"/>
        </patternFill>
      </fill>
    </dxf>
    <dxf>
      <fill>
        <patternFill>
          <bgColor rgb="FFFAD7A0"/>
        </patternFill>
      </fill>
    </dxf>
    <dxf>
      <font>
        <name val="Arial"/>
        <charset val="1"/>
        <family val="0"/>
        <b val="1"/>
      </font>
      <fill>
        <patternFill>
          <bgColor rgb="FFF5E6C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AEB7C4"/>
      <rgbColor rgb="FF878787"/>
      <rgbColor rgb="FF9999FF"/>
      <rgbColor rgb="FF993366"/>
      <rgbColor rgb="FFFFF4CC"/>
      <rgbColor rgb="FFE6EAF0"/>
      <rgbColor rgb="FF660066"/>
      <rgbColor rgb="FFFF8080"/>
      <rgbColor rgb="FF0066CC"/>
      <rgbColor rgb="FFD5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8"/>
      <rgbColor rgb="FFD5F0DD"/>
      <rgbColor rgb="FFF5E6C4"/>
      <rgbColor rgb="FFD9D9D9"/>
      <rgbColor rgb="FFF9F9F9"/>
      <rgbColor rgb="FFCC99FF"/>
      <rgbColor rgb="FFFAD7A0"/>
      <rgbColor rgb="FF3366FF"/>
      <rgbColor rgb="FF33CCCC"/>
      <rgbColor rgb="FF99CC00"/>
      <rgbColor rgb="FFFFCC00"/>
      <rgbColor rgb="FFFF9900"/>
      <rgbColor rgb="FFFF6600"/>
      <rgbColor rgb="FF6B7686"/>
      <rgbColor rgb="FFB7862B"/>
      <rgbColor rgb="FF003366"/>
      <rgbColor rgb="FF1E8449"/>
      <rgbColor rgb="FF003300"/>
      <rgbColor rgb="FF5A4300"/>
      <rgbColor rgb="FFC0392B"/>
      <rgbColor rgb="FF993366"/>
      <rgbColor rgb="FF333399"/>
      <rgbColor rgb="FF1B25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Beneficio proyectado vs gasto en Ads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Dashboard!F28</c:f>
              <c:strCache>
                <c:ptCount val="1"/>
                <c:pt idx="0">
                  <c:v>Beneficio proyectado</c:v>
                </c:pt>
              </c:strCache>
            </c:strRef>
          </c:tx>
          <c:spPr>
            <a:solidFill>
              <a:srgbClr val="1b253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Dashboard!$B$29:$B$42</c:f>
              <c:strCache>
                <c:ptCount val="14"/>
                <c:pt idx="0">
                  <c:v>Thu 24/09</c:v>
                </c:pt>
                <c:pt idx="1">
                  <c:v>Fri 25/09</c:v>
                </c:pt>
                <c:pt idx="2">
                  <c:v>Sat 26/09</c:v>
                </c:pt>
                <c:pt idx="3">
                  <c:v>Sun 27/09</c:v>
                </c:pt>
                <c:pt idx="4">
                  <c:v>Mon 28/09</c:v>
                </c:pt>
                <c:pt idx="5">
                  <c:v>Tue 29/09</c:v>
                </c:pt>
                <c:pt idx="6">
                  <c:v>Wed 30/09</c:v>
                </c:pt>
                <c:pt idx="7">
                  <c:v>Thu 01/10</c:v>
                </c:pt>
                <c:pt idx="8">
                  <c:v>Fri 02/10</c:v>
                </c:pt>
                <c:pt idx="9">
                  <c:v>Sat 03/10</c:v>
                </c:pt>
                <c:pt idx="10">
                  <c:v>Sun 04/10</c:v>
                </c:pt>
                <c:pt idx="11">
                  <c:v>Mon 05/10</c:v>
                </c:pt>
                <c:pt idx="12">
                  <c:v>Tue 06/10</c:v>
                </c:pt>
                <c:pt idx="13">
                  <c:v>Wed 07/10</c:v>
                </c:pt>
              </c:strCache>
            </c:strRef>
          </c:cat>
          <c:val>
            <c:numRef>
              <c:f>Dashboard!$F$29:$F$42</c:f>
              <c:numCache>
                <c:formatCode>#,##0.00" €";[RED]\-#,##0.00" €";\-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-67.67</c:v>
                </c:pt>
                <c:pt idx="12">
                  <c:v>-70.13</c:v>
                </c:pt>
                <c:pt idx="13">
                  <c:v>0</c:v>
                </c:pt>
              </c:numCache>
            </c:numRef>
          </c:val>
        </c:ser>
        <c:gapWidth val="150"/>
        <c:overlap val="0"/>
        <c:axId val="60019116"/>
        <c:axId val="44189042"/>
      </c:barChart>
      <c:lineChart>
        <c:grouping val="standard"/>
        <c:varyColors val="0"/>
        <c:ser>
          <c:idx val="1"/>
          <c:order val="1"/>
          <c:tx>
            <c:strRef>
              <c:f>Dashboard!D28</c:f>
              <c:strCache>
                <c:ptCount val="1"/>
                <c:pt idx="0">
                  <c:v>Gasto Ads</c:v>
                </c:pt>
              </c:strCache>
            </c:strRef>
          </c:tx>
          <c:spPr>
            <a:solidFill>
              <a:srgbClr val="b7862b"/>
            </a:solidFill>
            <a:ln w="28080">
              <a:solidFill>
                <a:srgbClr val="b7862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Dashboard!$B$29:$B$42</c:f>
              <c:strCache>
                <c:ptCount val="14"/>
                <c:pt idx="0">
                  <c:v>Thu 24/09</c:v>
                </c:pt>
                <c:pt idx="1">
                  <c:v>Fri 25/09</c:v>
                </c:pt>
                <c:pt idx="2">
                  <c:v>Sat 26/09</c:v>
                </c:pt>
                <c:pt idx="3">
                  <c:v>Sun 27/09</c:v>
                </c:pt>
                <c:pt idx="4">
                  <c:v>Mon 28/09</c:v>
                </c:pt>
                <c:pt idx="5">
                  <c:v>Tue 29/09</c:v>
                </c:pt>
                <c:pt idx="6">
                  <c:v>Wed 30/09</c:v>
                </c:pt>
                <c:pt idx="7">
                  <c:v>Thu 01/10</c:v>
                </c:pt>
                <c:pt idx="8">
                  <c:v>Fri 02/10</c:v>
                </c:pt>
                <c:pt idx="9">
                  <c:v>Sat 03/10</c:v>
                </c:pt>
                <c:pt idx="10">
                  <c:v>Sun 04/10</c:v>
                </c:pt>
                <c:pt idx="11">
                  <c:v>Mon 05/10</c:v>
                </c:pt>
                <c:pt idx="12">
                  <c:v>Tue 06/10</c:v>
                </c:pt>
                <c:pt idx="13">
                  <c:v>Wed 07/10</c:v>
                </c:pt>
              </c:strCache>
            </c:strRef>
          </c:cat>
          <c:val>
            <c:numRef>
              <c:f>Dashboard!$D$29:$D$42</c:f>
              <c:numCache>
                <c:formatCode>#,##0.00" €";[RED]\-#,##0.00" €";\-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67.67</c:v>
                </c:pt>
                <c:pt idx="12">
                  <c:v>70.13</c:v>
                </c:pt>
                <c:pt idx="13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0019116"/>
        <c:axId val="44189042"/>
      </c:lineChart>
      <c:catAx>
        <c:axId val="60019116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89042"/>
        <c:crosses val="autoZero"/>
        <c:auto val="1"/>
        <c:lblAlgn val="ctr"/>
        <c:lblOffset val="100"/>
        <c:noMultiLvlLbl val="0"/>
      </c:catAx>
      <c:valAx>
        <c:axId val="441890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191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Beneficio neto mensual vs objetivo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Dashboard!L46</c:f>
              <c:strCache>
                <c:ptCount val="1"/>
                <c:pt idx="0">
                  <c:v>Beneficio neto</c:v>
                </c:pt>
              </c:strCache>
            </c:strRef>
          </c:tx>
          <c:spPr>
            <a:solidFill>
              <a:srgbClr val="1b253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Dashboard!$B$47:$B$58</c:f>
              <c:strCache>
                <c:ptCount val="12"/>
                <c:pt idx="0">
                  <c:v>Oct 2026</c:v>
                </c:pt>
                <c:pt idx="1">
                  <c:v>Nov 2026</c:v>
                </c:pt>
                <c:pt idx="2">
                  <c:v>Dec 2026</c:v>
                </c:pt>
                <c:pt idx="3">
                  <c:v>Jan 2027</c:v>
                </c:pt>
                <c:pt idx="4">
                  <c:v>Feb 2027</c:v>
                </c:pt>
                <c:pt idx="5">
                  <c:v>Mar 2027</c:v>
                </c:pt>
                <c:pt idx="6">
                  <c:v>Apr 2027</c:v>
                </c:pt>
                <c:pt idx="7">
                  <c:v>May 2027</c:v>
                </c:pt>
                <c:pt idx="8">
                  <c:v>Jun 2027</c:v>
                </c:pt>
                <c:pt idx="9">
                  <c:v>Jul 2027</c:v>
                </c:pt>
                <c:pt idx="10">
                  <c:v>Aug 2027</c:v>
                </c:pt>
                <c:pt idx="11">
                  <c:v>Sep 2027</c:v>
                </c:pt>
              </c:strCache>
            </c:strRef>
          </c:cat>
          <c:val>
            <c:numRef>
              <c:f>Dashboard!$L$47:$L$58</c:f>
              <c:numCache>
                <c:formatCode>#,##0" €";[RED]\-#,##0" €";\-</c:formatCode>
                <c:ptCount val="12"/>
                <c:pt idx="0">
                  <c:v>-137.8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5949302"/>
        <c:axId val="62532872"/>
      </c:barChart>
      <c:lineChart>
        <c:grouping val="standard"/>
        <c:varyColors val="0"/>
        <c:ser>
          <c:idx val="1"/>
          <c:order val="1"/>
          <c:tx>
            <c:strRef>
              <c:f>Dashboard!O46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7862b"/>
            </a:solidFill>
            <a:ln w="47520">
              <a:solidFill>
                <a:srgbClr val="b7862b"/>
              </a:solidFill>
              <a:prstDash val="dash"/>
              <a:round/>
            </a:ln>
          </c:spPr>
          <c:marker>
            <c:symbol val="none"/>
          </c:marker>
          <c:cat>
            <c:strRef>
              <c:f>Dashboard!$B$47:$B$58</c:f>
              <c:strCache>
                <c:ptCount val="12"/>
                <c:pt idx="0">
                  <c:v>Oct 2026</c:v>
                </c:pt>
                <c:pt idx="1">
                  <c:v>Nov 2026</c:v>
                </c:pt>
                <c:pt idx="2">
                  <c:v>Dec 2026</c:v>
                </c:pt>
                <c:pt idx="3">
                  <c:v>Jan 2027</c:v>
                </c:pt>
                <c:pt idx="4">
                  <c:v>Feb 2027</c:v>
                </c:pt>
                <c:pt idx="5">
                  <c:v>Mar 2027</c:v>
                </c:pt>
                <c:pt idx="6">
                  <c:v>Apr 2027</c:v>
                </c:pt>
                <c:pt idx="7">
                  <c:v>May 2027</c:v>
                </c:pt>
                <c:pt idx="8">
                  <c:v>Jun 2027</c:v>
                </c:pt>
                <c:pt idx="9">
                  <c:v>Jul 2027</c:v>
                </c:pt>
                <c:pt idx="10">
                  <c:v>Aug 2027</c:v>
                </c:pt>
                <c:pt idx="11">
                  <c:v>Sep 2027</c:v>
                </c:pt>
              </c:strCache>
            </c:strRef>
          </c:cat>
          <c:val>
            <c:numRef>
              <c:f>Dashboard!$O$47:$O$58</c:f>
              <c:numCache>
                <c:formatCode>General</c:formatCode>
                <c:ptCount val="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5949302"/>
        <c:axId val="62532872"/>
      </c:lineChart>
      <c:catAx>
        <c:axId val="35949302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532872"/>
        <c:crosses val="autoZero"/>
        <c:auto val="1"/>
        <c:lblAlgn val="ctr"/>
        <c:lblOffset val="100"/>
        <c:noMultiLvlLbl val="0"/>
      </c:catAx>
      <c:valAx>
        <c:axId val="625328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9493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25</xdr:row>
      <xdr:rowOff>131040</xdr:rowOff>
    </xdr:from>
    <xdr:to>
      <xdr:col>15</xdr:col>
      <xdr:colOff>573480</xdr:colOff>
      <xdr:row>39</xdr:row>
      <xdr:rowOff>106200</xdr:rowOff>
    </xdr:to>
    <xdr:graphicFrame>
      <xdr:nvGraphicFramePr>
        <xdr:cNvPr id="0" name="Chart 1"/>
        <xdr:cNvGraphicFramePr/>
      </xdr:nvGraphicFramePr>
      <xdr:xfrm>
        <a:off x="5006520" y="5524560"/>
        <a:ext cx="557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59</xdr:row>
      <xdr:rowOff>37440</xdr:rowOff>
    </xdr:from>
    <xdr:to>
      <xdr:col>17</xdr:col>
      <xdr:colOff>65160</xdr:colOff>
      <xdr:row>74</xdr:row>
      <xdr:rowOff>59400</xdr:rowOff>
    </xdr:to>
    <xdr:graphicFrame>
      <xdr:nvGraphicFramePr>
        <xdr:cNvPr id="1" name="Chart 2"/>
        <xdr:cNvGraphicFramePr/>
      </xdr:nvGraphicFramePr>
      <xdr:xfrm>
        <a:off x="141120" y="12163320"/>
        <a:ext cx="111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1.5"/>
    <col collapsed="false" customWidth="true" hidden="false" outlineLevel="0" max="14" min="14" style="0" width="2"/>
    <col collapsed="false" customWidth="true" hidden="true" outlineLevel="0" max="15" min="15" style="0" width="13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  <c r="C3" s="4" t="n">
        <f aca="true">DATE(YEAR(TODAY()),MONTH(TODAY()),1)</f>
        <v>46296</v>
      </c>
      <c r="D3" s="4"/>
      <c r="E3" s="3" t="s">
        <v>3</v>
      </c>
      <c r="F3" s="4" t="n">
        <f aca="true">TODAY()</f>
        <v>46302</v>
      </c>
      <c r="G3" s="4"/>
      <c r="H3" s="3" t="s">
        <v>4</v>
      </c>
      <c r="I3" s="5" t="n">
        <f aca="false">MAX(1,$F$3-$C$3+1)</f>
        <v>7</v>
      </c>
      <c r="J3" s="6" t="s">
        <v>5</v>
      </c>
      <c r="K3" s="6"/>
      <c r="L3" s="7" t="n">
        <f aca="false">TASA_USADA</f>
        <v>0.8</v>
      </c>
    </row>
    <row r="5" customFormat="false" ht="15" hidden="false" customHeight="false" outlineLevel="0" collapsed="false">
      <c r="B5" s="8" t="s">
        <v>6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customFormat="false" ht="15" hidden="false" customHeight="false" outlineLevel="0" collapsed="false">
      <c r="B6" s="9" t="s">
        <v>7</v>
      </c>
      <c r="C6" s="9"/>
      <c r="D6" s="9" t="s">
        <v>8</v>
      </c>
      <c r="E6" s="9"/>
      <c r="F6" s="9" t="s">
        <v>9</v>
      </c>
      <c r="G6" s="9"/>
      <c r="H6" s="9" t="s">
        <v>10</v>
      </c>
      <c r="I6" s="9"/>
      <c r="J6" s="9" t="s">
        <v>11</v>
      </c>
      <c r="K6" s="9"/>
      <c r="L6" s="9" t="s">
        <v>12</v>
      </c>
      <c r="M6" s="9"/>
    </row>
    <row r="7" customFormat="false" ht="30" hidden="false" customHeight="true" outlineLevel="0" collapsed="false">
      <c r="B7" s="10" t="n">
        <f aca="false">F24</f>
        <v>-137.8</v>
      </c>
      <c r="C7" s="10"/>
      <c r="D7" s="10" t="n">
        <f aca="false">SUMIFS(Diario!$O$6:$O$370,Diario!$A$6:$A$370,"&gt;="&amp;$C$3,Diario!$A$6:$A$370,"&lt;="&amp;$F$3)+F23</f>
        <v>-137.8</v>
      </c>
      <c r="E7" s="10"/>
      <c r="F7" s="11" t="n">
        <f aca="false">SUMIFS(Diario!$H$6:$H$370,Diario!$A$6:$A$370,"&gt;="&amp;$C$3,Diario!$A$6:$A$370,"&lt;="&amp;$F$3)</f>
        <v>0</v>
      </c>
      <c r="G7" s="11"/>
      <c r="H7" s="10" t="n">
        <f aca="false">SUMIFS(Diario!$J$6:$J$370,Diario!$A$6:$A$370,"&gt;="&amp;$C$3,Diario!$A$6:$A$370,"&lt;="&amp;$F$3)</f>
        <v>0</v>
      </c>
      <c r="I7" s="10"/>
      <c r="J7" s="10" t="n">
        <f aca="false">SUMIFS(Diario!$F$6:$F$370,Diario!$A$6:$A$370,"&gt;="&amp;$C$3,Diario!$A$6:$A$370,"&lt;="&amp;$F$3)</f>
        <v>137.8</v>
      </c>
      <c r="K7" s="10"/>
      <c r="L7" s="10" t="n">
        <f aca="false">SUMIFS(Gastos!$D$5:$D$304,Gastos!$A$5:$A$304,"&gt;="&amp;$C$3,Gastos!$A$5:$A$304,"&lt;="&amp;$F$3)</f>
        <v>0</v>
      </c>
      <c r="M7" s="10"/>
    </row>
    <row r="9" customFormat="false" ht="15" hidden="false" customHeight="false" outlineLevel="0" collapsed="false">
      <c r="B9" s="9" t="s">
        <v>13</v>
      </c>
      <c r="C9" s="9"/>
      <c r="D9" s="9" t="s">
        <v>14</v>
      </c>
      <c r="E9" s="9"/>
      <c r="F9" s="9" t="s">
        <v>15</v>
      </c>
      <c r="G9" s="9"/>
      <c r="H9" s="9" t="s">
        <v>16</v>
      </c>
      <c r="I9" s="9"/>
      <c r="J9" s="9" t="s">
        <v>17</v>
      </c>
      <c r="K9" s="9"/>
      <c r="L9" s="9" t="s">
        <v>18</v>
      </c>
      <c r="M9" s="9"/>
    </row>
    <row r="10" customFormat="false" ht="30" hidden="false" customHeight="true" outlineLevel="0" collapsed="false">
      <c r="B10" s="10" t="str">
        <f aca="false">IF(F7&gt;0,J7/F7,"")</f>
        <v/>
      </c>
      <c r="C10" s="10"/>
      <c r="D10" s="10" t="n">
        <f aca="false">CPA_BE</f>
        <v>13.0808132231405</v>
      </c>
      <c r="E10" s="10"/>
      <c r="F10" s="12" t="n">
        <f aca="false">IF(J7&gt;0,H7/J7,"")</f>
        <v>0</v>
      </c>
      <c r="G10" s="12"/>
      <c r="H10" s="12" t="n">
        <f aca="false">ROAS_BE</f>
        <v>2.52201445256013</v>
      </c>
      <c r="I10" s="12"/>
      <c r="J10" s="10" t="str">
        <f aca="false">IF(F7&gt;0,H7/F7,"")</f>
        <v/>
      </c>
      <c r="K10" s="10"/>
      <c r="L10" s="13" t="str">
        <f aca="false">IF(F7&gt;0,SUMIFS(Diario!$C$6:$C$370,Diario!$A$6:$A$370,"&gt;="&amp;$C$3,Diario!$A$6:$A$370,"&lt;="&amp;$F$3)/F7,"")</f>
        <v/>
      </c>
      <c r="M10" s="13"/>
    </row>
    <row r="12" customFormat="false" ht="15" hidden="false" customHeight="false" outlineLevel="0" collapsed="false">
      <c r="B12" s="9" t="s">
        <v>19</v>
      </c>
      <c r="C12" s="9"/>
      <c r="D12" s="9" t="s">
        <v>20</v>
      </c>
      <c r="E12" s="9"/>
      <c r="F12" s="9" t="s">
        <v>21</v>
      </c>
      <c r="G12" s="9"/>
      <c r="H12" s="9" t="s">
        <v>22</v>
      </c>
      <c r="I12" s="9"/>
      <c r="J12" s="9" t="s">
        <v>23</v>
      </c>
      <c r="K12" s="9"/>
      <c r="L12" s="9" t="s">
        <v>24</v>
      </c>
      <c r="M12" s="9"/>
    </row>
    <row r="13" customFormat="false" ht="30" hidden="false" customHeight="true" outlineLevel="0" collapsed="false">
      <c r="B13" s="11" t="n">
        <f aca="false">SUMIFS(Diario!$D$6:$D$370,Diario!$A$6:$A$370,"&gt;="&amp;$C$3,Diario!$A$6:$A$370,"&lt;="&amp;$F$3)</f>
        <v>0</v>
      </c>
      <c r="C13" s="11"/>
      <c r="D13" s="11" t="n">
        <f aca="false">SUMIFS(Diario!$I$6:$I$370,Diario!$A$6:$A$370,"&gt;="&amp;$C$3,Diario!$A$6:$A$370,"&lt;="&amp;$F$3)</f>
        <v>0</v>
      </c>
      <c r="E13" s="11"/>
      <c r="F13" s="11" t="n">
        <f aca="false">SUMIFS(Diario!$E$6:$E$370,Diario!$A$6:$A$370,"&gt;="&amp;$C$3,Diario!$A$6:$A$370,"&lt;="&amp;$F$3)</f>
        <v>0</v>
      </c>
      <c r="G13" s="11"/>
      <c r="H13" s="13" t="str">
        <f aca="false">IF(B13+F13&gt;0,B13/(B13+F13),"")</f>
        <v/>
      </c>
      <c r="I13" s="13"/>
      <c r="J13" s="14" t="str">
        <f aca="false">IF(B10="","SIN DATOS",IF(B10&lt;=D10*0.75,"ESCALAR",IF(B10&lt;=D10,"VIGILAR","CORTAR")))</f>
        <v>SIN DATOS</v>
      </c>
      <c r="K13" s="14"/>
      <c r="L13" s="13" t="str">
        <f aca="false">F25</f>
        <v/>
      </c>
      <c r="M13" s="13"/>
    </row>
    <row r="15" customFormat="false" ht="15" hidden="false" customHeight="false" outlineLevel="0" collapsed="false">
      <c r="B15" s="8" t="s">
        <v>25</v>
      </c>
      <c r="C15" s="8"/>
      <c r="D15" s="8"/>
      <c r="E15" s="8"/>
      <c r="F15" s="8"/>
      <c r="H15" s="8" t="s">
        <v>26</v>
      </c>
      <c r="I15" s="8"/>
      <c r="J15" s="8"/>
      <c r="K15" s="8"/>
      <c r="L15" s="8"/>
      <c r="M15" s="8"/>
    </row>
    <row r="16" customFormat="false" ht="15" hidden="false" customHeight="false" outlineLevel="0" collapsed="false">
      <c r="B16" s="15" t="s">
        <v>27</v>
      </c>
      <c r="C16" s="15"/>
      <c r="D16" s="15"/>
      <c r="E16" s="16" t="s">
        <v>28</v>
      </c>
      <c r="F16" s="17" t="n">
        <f aca="false">SUMIFS(Diario!$T$6:$T$370,Diario!$A$6:$A$370,"&gt;="&amp;$C$3,Diario!$A$6:$A$370,"&lt;="&amp;$F$3)</f>
        <v>0</v>
      </c>
      <c r="H16" s="15" t="s">
        <v>29</v>
      </c>
      <c r="I16" s="15"/>
      <c r="J16" s="15"/>
      <c r="K16" s="15"/>
      <c r="L16" s="18" t="n">
        <f aca="false">OBJETIVO_MES</f>
        <v>10000</v>
      </c>
      <c r="M16" s="18"/>
    </row>
    <row r="17" customFormat="false" ht="15" hidden="false" customHeight="false" outlineLevel="0" collapsed="false">
      <c r="B17" s="15" t="s">
        <v>30</v>
      </c>
      <c r="C17" s="15"/>
      <c r="D17" s="15"/>
      <c r="E17" s="19" t="str">
        <f aca="false">IF($F$16&gt;0,F17/$F$16,"")</f>
        <v/>
      </c>
      <c r="F17" s="17" t="n">
        <f aca="false">-SUMIFS(Diario!$U$6:$U$370,Diario!$A$6:$A$370,"&gt;="&amp;$C$3,Diario!$A$6:$A$370,"&lt;="&amp;$F$3)</f>
        <v>-0</v>
      </c>
      <c r="H17" s="15" t="s">
        <v>31</v>
      </c>
      <c r="I17" s="15"/>
      <c r="J17" s="15"/>
      <c r="K17" s="15"/>
      <c r="L17" s="20" t="n">
        <f aca="false">F24/I3</f>
        <v>-19.6857142857143</v>
      </c>
      <c r="M17" s="20"/>
    </row>
    <row r="18" customFormat="false" ht="15" hidden="false" customHeight="false" outlineLevel="0" collapsed="false">
      <c r="B18" s="15" t="s">
        <v>32</v>
      </c>
      <c r="C18" s="15"/>
      <c r="D18" s="15"/>
      <c r="E18" s="19" t="str">
        <f aca="false">IF($F$16&gt;0,F18/$F$16,"")</f>
        <v/>
      </c>
      <c r="F18" s="17" t="n">
        <f aca="false">-SUMIFS(Diario!$V$6:$V$370,Diario!$A$6:$A$370,"&gt;="&amp;$C$3,Diario!$A$6:$A$370,"&lt;="&amp;$F$3)</f>
        <v>-0</v>
      </c>
      <c r="H18" s="15" t="s">
        <v>33</v>
      </c>
      <c r="I18" s="15"/>
      <c r="J18" s="15"/>
      <c r="K18" s="15"/>
      <c r="L18" s="18" t="n">
        <f aca="false">L17*30</f>
        <v>-590.571428571429</v>
      </c>
      <c r="M18" s="18"/>
    </row>
    <row r="19" customFormat="false" ht="15" hidden="false" customHeight="false" outlineLevel="0" collapsed="false">
      <c r="B19" s="15" t="s">
        <v>34</v>
      </c>
      <c r="C19" s="15"/>
      <c r="D19" s="15"/>
      <c r="E19" s="19" t="str">
        <f aca="false">IF($F$16&gt;0,F19/$F$16,"")</f>
        <v/>
      </c>
      <c r="F19" s="17" t="n">
        <f aca="false">-SUMIFS(Diario!$W$6:$W$370,Diario!$A$6:$A$370,"&gt;="&amp;$C$3,Diario!$A$6:$A$370,"&lt;="&amp;$F$3)</f>
        <v>-0</v>
      </c>
      <c r="H19" s="21" t="s">
        <v>35</v>
      </c>
      <c r="I19" s="21"/>
      <c r="J19" s="21"/>
      <c r="K19" s="21"/>
      <c r="L19" s="22" t="n">
        <f aca="false">IF(L16&gt;0,L18/L16,"")</f>
        <v>-0.0590571428571429</v>
      </c>
      <c r="M19" s="22"/>
    </row>
    <row r="20" customFormat="false" ht="15" hidden="false" customHeight="false" outlineLevel="0" collapsed="false">
      <c r="B20" s="15" t="s">
        <v>36</v>
      </c>
      <c r="C20" s="15"/>
      <c r="D20" s="15"/>
      <c r="E20" s="19" t="str">
        <f aca="false">IF($F$16&gt;0,F20/$F$16,"")</f>
        <v/>
      </c>
      <c r="F20" s="17" t="n">
        <f aca="false">-SUMIFS(Diario!$X$6:$X$370,Diario!$A$6:$A$370,"&gt;="&amp;$C$3,Diario!$A$6:$A$370,"&lt;="&amp;$F$3)</f>
        <v>-0</v>
      </c>
      <c r="H20" s="15" t="s">
        <v>37</v>
      </c>
      <c r="I20" s="15"/>
      <c r="J20" s="15"/>
      <c r="K20" s="15"/>
      <c r="L20" s="20" t="n">
        <f aca="false">BEN_PEDIDO</f>
        <v>13.0808132231405</v>
      </c>
      <c r="M20" s="20"/>
    </row>
    <row r="21" customFormat="false" ht="15" hidden="false" customHeight="false" outlineLevel="0" collapsed="false">
      <c r="B21" s="15" t="s">
        <v>38</v>
      </c>
      <c r="C21" s="15"/>
      <c r="D21" s="15"/>
      <c r="E21" s="19" t="str">
        <f aca="false">IF($F$16&gt;0,F21/$F$16,"")</f>
        <v/>
      </c>
      <c r="F21" s="17" t="n">
        <f aca="false">-SUMIFS(Diario!$Y$6:$Y$370,Diario!$A$6:$A$370,"&gt;="&amp;$C$3,Diario!$A$6:$A$370,"&lt;="&amp;$F$3)</f>
        <v>-137.8</v>
      </c>
      <c r="H21" s="15" t="s">
        <v>39</v>
      </c>
      <c r="I21" s="15"/>
      <c r="J21" s="15"/>
      <c r="K21" s="15"/>
      <c r="L21" s="20" t="str">
        <f aca="false">B10</f>
        <v/>
      </c>
      <c r="M21" s="20"/>
    </row>
    <row r="22" customFormat="false" ht="15" hidden="false" customHeight="false" outlineLevel="0" collapsed="false">
      <c r="B22" s="23" t="s">
        <v>40</v>
      </c>
      <c r="C22" s="23"/>
      <c r="D22" s="23"/>
      <c r="E22" s="24" t="str">
        <f aca="false">IF($F$16&gt;0,F22/$F$16,"")</f>
        <v/>
      </c>
      <c r="F22" s="25" t="n">
        <f aca="false">SUM(F16:F21)</f>
        <v>-137.8</v>
      </c>
      <c r="H22" s="15" t="s">
        <v>41</v>
      </c>
      <c r="I22" s="15"/>
      <c r="J22" s="15"/>
      <c r="K22" s="15"/>
      <c r="L22" s="20" t="str">
        <f aca="false">IF(ISNUMBER(L21),L20-L21*(1+RECARGO_ADS),"")</f>
        <v/>
      </c>
      <c r="M22" s="20"/>
    </row>
    <row r="23" customFormat="false" ht="15" hidden="false" customHeight="false" outlineLevel="0" collapsed="false">
      <c r="B23" s="15" t="s">
        <v>42</v>
      </c>
      <c r="C23" s="15"/>
      <c r="D23" s="15"/>
      <c r="E23" s="19" t="str">
        <f aca="false">IF($F$16&gt;0,F23/$F$16,"")</f>
        <v/>
      </c>
      <c r="F23" s="17" t="n">
        <f aca="false">-L7</f>
        <v>-0</v>
      </c>
      <c r="H23" s="21" t="s">
        <v>43</v>
      </c>
      <c r="I23" s="21"/>
      <c r="J23" s="21"/>
      <c r="K23" s="21"/>
      <c r="L23" s="26" t="str">
        <f aca="false">IF(NOT(ISNUMBER(L22)),"",IF(L22&lt;=0,"Baja el CPA",ROUNDUP((L16-F23/I3*30)/30/L22,0)))</f>
        <v/>
      </c>
      <c r="M23" s="26"/>
    </row>
    <row r="24" customFormat="false" ht="15" hidden="false" customHeight="false" outlineLevel="0" collapsed="false">
      <c r="B24" s="23" t="s">
        <v>44</v>
      </c>
      <c r="C24" s="23"/>
      <c r="D24" s="23"/>
      <c r="E24" s="24" t="str">
        <f aca="false">IF($F$16&gt;0,F24/$F$16,"")</f>
        <v/>
      </c>
      <c r="F24" s="25" t="n">
        <f aca="false">F22+F23</f>
        <v>-137.8</v>
      </c>
      <c r="H24" s="15" t="s">
        <v>45</v>
      </c>
      <c r="I24" s="15"/>
      <c r="J24" s="15"/>
      <c r="K24" s="15"/>
      <c r="L24" s="18" t="str">
        <f aca="false">IF(ISNUMBER(L23),L23*L21,"")</f>
        <v/>
      </c>
      <c r="M24" s="18"/>
    </row>
    <row r="25" customFormat="false" ht="15" hidden="false" customHeight="false" outlineLevel="0" collapsed="false">
      <c r="B25" s="27" t="s">
        <v>46</v>
      </c>
      <c r="C25" s="27"/>
      <c r="D25" s="27"/>
      <c r="F25" s="28" t="str">
        <f aca="false">IF(F16&gt;0,F24/F16,"")</f>
        <v/>
      </c>
    </row>
    <row r="27" customFormat="false" ht="15" hidden="false" customHeight="false" outlineLevel="0" collapsed="false">
      <c r="B27" s="8" t="s">
        <v>47</v>
      </c>
      <c r="C27" s="8"/>
      <c r="D27" s="8"/>
      <c r="E27" s="8"/>
      <c r="F27" s="8"/>
      <c r="G27" s="8"/>
    </row>
    <row r="28" customFormat="false" ht="22.35" hidden="false" customHeight="false" outlineLevel="0" collapsed="false">
      <c r="B28" s="29" t="s">
        <v>48</v>
      </c>
      <c r="C28" s="29" t="s">
        <v>49</v>
      </c>
      <c r="D28" s="29" t="s">
        <v>50</v>
      </c>
      <c r="E28" s="29" t="s">
        <v>51</v>
      </c>
      <c r="F28" s="29" t="s">
        <v>52</v>
      </c>
      <c r="G28" s="29" t="s">
        <v>53</v>
      </c>
    </row>
    <row r="29" customFormat="false" ht="15" hidden="false" customHeight="false" outlineLevel="0" collapsed="false">
      <c r="B29" s="30" t="n">
        <f aca="false">$F$3-13</f>
        <v>46289</v>
      </c>
      <c r="C29" s="31" t="n">
        <f aca="false">SUMIFS(Diario!$H$6:$H$370,Diario!$A$6:$A$370,$B29)</f>
        <v>0</v>
      </c>
      <c r="D29" s="32" t="n">
        <f aca="false">SUMIFS(Diario!$F$6:$F$370,Diario!$A$6:$A$370,$B29)</f>
        <v>0</v>
      </c>
      <c r="E29" s="32" t="str">
        <f aca="false">IF(C29&gt;0,D29/C29,"")</f>
        <v/>
      </c>
      <c r="F29" s="33" t="n">
        <f aca="false">SUMIFS(Diario!$P$6:$P$370,Diario!$A$6:$A$370,$B29)</f>
        <v>0</v>
      </c>
      <c r="G29" s="34" t="str">
        <f aca="false">IF(SUMIFS(Diario!$D$6:$D$370,Diario!$A$6:$A$370,$B29)+SUMIFS(Diario!$E$6:$E$370,Diario!$A$6:$A$370,$B29)&gt;0,SUMIFS(Diario!$D$6:$D$370,Diario!$A$6:$A$370,$B29)/(SUMIFS(Diario!$D$6:$D$370,Diario!$A$6:$A$370,$B29)+SUMIFS(Diario!$E$6:$E$370,Diario!$A$6:$A$370,$B29)),"")</f>
        <v/>
      </c>
    </row>
    <row r="30" customFormat="false" ht="15" hidden="false" customHeight="false" outlineLevel="0" collapsed="false">
      <c r="B30" s="30" t="n">
        <f aca="false">$F$3-12</f>
        <v>46290</v>
      </c>
      <c r="C30" s="31" t="n">
        <f aca="false">SUMIFS(Diario!$H$6:$H$370,Diario!$A$6:$A$370,$B30)</f>
        <v>0</v>
      </c>
      <c r="D30" s="32" t="n">
        <f aca="false">SUMIFS(Diario!$F$6:$F$370,Diario!$A$6:$A$370,$B30)</f>
        <v>0</v>
      </c>
      <c r="E30" s="32" t="str">
        <f aca="false">IF(C30&gt;0,D30/C30,"")</f>
        <v/>
      </c>
      <c r="F30" s="33" t="n">
        <f aca="false">SUMIFS(Diario!$P$6:$P$370,Diario!$A$6:$A$370,$B30)</f>
        <v>0</v>
      </c>
      <c r="G30" s="34" t="str">
        <f aca="false">IF(SUMIFS(Diario!$D$6:$D$370,Diario!$A$6:$A$370,$B30)+SUMIFS(Diario!$E$6:$E$370,Diario!$A$6:$A$370,$B30)&gt;0,SUMIFS(Diario!$D$6:$D$370,Diario!$A$6:$A$370,$B30)/(SUMIFS(Diario!$D$6:$D$370,Diario!$A$6:$A$370,$B30)+SUMIFS(Diario!$E$6:$E$370,Diario!$A$6:$A$370,$B30)),"")</f>
        <v/>
      </c>
    </row>
    <row r="31" customFormat="false" ht="15" hidden="false" customHeight="false" outlineLevel="0" collapsed="false">
      <c r="B31" s="30" t="n">
        <f aca="false">$F$3-11</f>
        <v>46291</v>
      </c>
      <c r="C31" s="31" t="n">
        <f aca="false">SUMIFS(Diario!$H$6:$H$370,Diario!$A$6:$A$370,$B31)</f>
        <v>0</v>
      </c>
      <c r="D31" s="32" t="n">
        <f aca="false">SUMIFS(Diario!$F$6:$F$370,Diario!$A$6:$A$370,$B31)</f>
        <v>0</v>
      </c>
      <c r="E31" s="32" t="str">
        <f aca="false">IF(C31&gt;0,D31/C31,"")</f>
        <v/>
      </c>
      <c r="F31" s="33" t="n">
        <f aca="false">SUMIFS(Diario!$P$6:$P$370,Diario!$A$6:$A$370,$B31)</f>
        <v>0</v>
      </c>
      <c r="G31" s="34" t="str">
        <f aca="false">IF(SUMIFS(Diario!$D$6:$D$370,Diario!$A$6:$A$370,$B31)+SUMIFS(Diario!$E$6:$E$370,Diario!$A$6:$A$370,$B31)&gt;0,SUMIFS(Diario!$D$6:$D$370,Diario!$A$6:$A$370,$B31)/(SUMIFS(Diario!$D$6:$D$370,Diario!$A$6:$A$370,$B31)+SUMIFS(Diario!$E$6:$E$370,Diario!$A$6:$A$370,$B31)),"")</f>
        <v/>
      </c>
    </row>
    <row r="32" customFormat="false" ht="15" hidden="false" customHeight="false" outlineLevel="0" collapsed="false">
      <c r="B32" s="30" t="n">
        <f aca="false">$F$3-10</f>
        <v>46292</v>
      </c>
      <c r="C32" s="31" t="n">
        <f aca="false">SUMIFS(Diario!$H$6:$H$370,Diario!$A$6:$A$370,$B32)</f>
        <v>0</v>
      </c>
      <c r="D32" s="32" t="n">
        <f aca="false">SUMIFS(Diario!$F$6:$F$370,Diario!$A$6:$A$370,$B32)</f>
        <v>0</v>
      </c>
      <c r="E32" s="32" t="str">
        <f aca="false">IF(C32&gt;0,D32/C32,"")</f>
        <v/>
      </c>
      <c r="F32" s="33" t="n">
        <f aca="false">SUMIFS(Diario!$P$6:$P$370,Diario!$A$6:$A$370,$B32)</f>
        <v>0</v>
      </c>
      <c r="G32" s="34" t="str">
        <f aca="false">IF(SUMIFS(Diario!$D$6:$D$370,Diario!$A$6:$A$370,$B32)+SUMIFS(Diario!$E$6:$E$370,Diario!$A$6:$A$370,$B32)&gt;0,SUMIFS(Diario!$D$6:$D$370,Diario!$A$6:$A$370,$B32)/(SUMIFS(Diario!$D$6:$D$370,Diario!$A$6:$A$370,$B32)+SUMIFS(Diario!$E$6:$E$370,Diario!$A$6:$A$370,$B32)),"")</f>
        <v/>
      </c>
    </row>
    <row r="33" customFormat="false" ht="15" hidden="false" customHeight="false" outlineLevel="0" collapsed="false">
      <c r="B33" s="30" t="n">
        <f aca="false">$F$3-9</f>
        <v>46293</v>
      </c>
      <c r="C33" s="31" t="n">
        <f aca="false">SUMIFS(Diario!$H$6:$H$370,Diario!$A$6:$A$370,$B33)</f>
        <v>0</v>
      </c>
      <c r="D33" s="32" t="n">
        <f aca="false">SUMIFS(Diario!$F$6:$F$370,Diario!$A$6:$A$370,$B33)</f>
        <v>0</v>
      </c>
      <c r="E33" s="32" t="str">
        <f aca="false">IF(C33&gt;0,D33/C33,"")</f>
        <v/>
      </c>
      <c r="F33" s="33" t="n">
        <f aca="false">SUMIFS(Diario!$P$6:$P$370,Diario!$A$6:$A$370,$B33)</f>
        <v>0</v>
      </c>
      <c r="G33" s="34" t="str">
        <f aca="false">IF(SUMIFS(Diario!$D$6:$D$370,Diario!$A$6:$A$370,$B33)+SUMIFS(Diario!$E$6:$E$370,Diario!$A$6:$A$370,$B33)&gt;0,SUMIFS(Diario!$D$6:$D$370,Diario!$A$6:$A$370,$B33)/(SUMIFS(Diario!$D$6:$D$370,Diario!$A$6:$A$370,$B33)+SUMIFS(Diario!$E$6:$E$370,Diario!$A$6:$A$370,$B33)),"")</f>
        <v/>
      </c>
    </row>
    <row r="34" customFormat="false" ht="15" hidden="false" customHeight="false" outlineLevel="0" collapsed="false">
      <c r="B34" s="30" t="n">
        <f aca="false">$F$3-8</f>
        <v>46294</v>
      </c>
      <c r="C34" s="31" t="n">
        <f aca="false">SUMIFS(Diario!$H$6:$H$370,Diario!$A$6:$A$370,$B34)</f>
        <v>0</v>
      </c>
      <c r="D34" s="32" t="n">
        <f aca="false">SUMIFS(Diario!$F$6:$F$370,Diario!$A$6:$A$370,$B34)</f>
        <v>0</v>
      </c>
      <c r="E34" s="32" t="str">
        <f aca="false">IF(C34&gt;0,D34/C34,"")</f>
        <v/>
      </c>
      <c r="F34" s="33" t="n">
        <f aca="false">SUMIFS(Diario!$P$6:$P$370,Diario!$A$6:$A$370,$B34)</f>
        <v>0</v>
      </c>
      <c r="G34" s="34" t="str">
        <f aca="false">IF(SUMIFS(Diario!$D$6:$D$370,Diario!$A$6:$A$370,$B34)+SUMIFS(Diario!$E$6:$E$370,Diario!$A$6:$A$370,$B34)&gt;0,SUMIFS(Diario!$D$6:$D$370,Diario!$A$6:$A$370,$B34)/(SUMIFS(Diario!$D$6:$D$370,Diario!$A$6:$A$370,$B34)+SUMIFS(Diario!$E$6:$E$370,Diario!$A$6:$A$370,$B34)),"")</f>
        <v/>
      </c>
    </row>
    <row r="35" customFormat="false" ht="15" hidden="false" customHeight="false" outlineLevel="0" collapsed="false">
      <c r="B35" s="30" t="n">
        <f aca="false">$F$3-7</f>
        <v>46295</v>
      </c>
      <c r="C35" s="31" t="n">
        <f aca="false">SUMIFS(Diario!$H$6:$H$370,Diario!$A$6:$A$370,$B35)</f>
        <v>0</v>
      </c>
      <c r="D35" s="32" t="n">
        <f aca="false">SUMIFS(Diario!$F$6:$F$370,Diario!$A$6:$A$370,$B35)</f>
        <v>0</v>
      </c>
      <c r="E35" s="32" t="str">
        <f aca="false">IF(C35&gt;0,D35/C35,"")</f>
        <v/>
      </c>
      <c r="F35" s="33" t="n">
        <f aca="false">SUMIFS(Diario!$P$6:$P$370,Diario!$A$6:$A$370,$B35)</f>
        <v>0</v>
      </c>
      <c r="G35" s="34" t="str">
        <f aca="false">IF(SUMIFS(Diario!$D$6:$D$370,Diario!$A$6:$A$370,$B35)+SUMIFS(Diario!$E$6:$E$370,Diario!$A$6:$A$370,$B35)&gt;0,SUMIFS(Diario!$D$6:$D$370,Diario!$A$6:$A$370,$B35)/(SUMIFS(Diario!$D$6:$D$370,Diario!$A$6:$A$370,$B35)+SUMIFS(Diario!$E$6:$E$370,Diario!$A$6:$A$370,$B35)),"")</f>
        <v/>
      </c>
    </row>
    <row r="36" customFormat="false" ht="15" hidden="false" customHeight="false" outlineLevel="0" collapsed="false">
      <c r="B36" s="30" t="n">
        <f aca="false">$F$3-6</f>
        <v>46296</v>
      </c>
      <c r="C36" s="31" t="n">
        <f aca="false">SUMIFS(Diario!$H$6:$H$370,Diario!$A$6:$A$370,$B36)</f>
        <v>0</v>
      </c>
      <c r="D36" s="32" t="n">
        <f aca="false">SUMIFS(Diario!$F$6:$F$370,Diario!$A$6:$A$370,$B36)</f>
        <v>0</v>
      </c>
      <c r="E36" s="32" t="str">
        <f aca="false">IF(C36&gt;0,D36/C36,"")</f>
        <v/>
      </c>
      <c r="F36" s="33" t="n">
        <f aca="false">SUMIFS(Diario!$P$6:$P$370,Diario!$A$6:$A$370,$B36)</f>
        <v>0</v>
      </c>
      <c r="G36" s="34" t="str">
        <f aca="false">IF(SUMIFS(Diario!$D$6:$D$370,Diario!$A$6:$A$370,$B36)+SUMIFS(Diario!$E$6:$E$370,Diario!$A$6:$A$370,$B36)&gt;0,SUMIFS(Diario!$D$6:$D$370,Diario!$A$6:$A$370,$B36)/(SUMIFS(Diario!$D$6:$D$370,Diario!$A$6:$A$370,$B36)+SUMIFS(Diario!$E$6:$E$370,Diario!$A$6:$A$370,$B36)),"")</f>
        <v/>
      </c>
    </row>
    <row r="37" customFormat="false" ht="15" hidden="false" customHeight="false" outlineLevel="0" collapsed="false">
      <c r="B37" s="30" t="n">
        <f aca="false">$F$3-5</f>
        <v>46297</v>
      </c>
      <c r="C37" s="31" t="n">
        <f aca="false">SUMIFS(Diario!$H$6:$H$370,Diario!$A$6:$A$370,$B37)</f>
        <v>0</v>
      </c>
      <c r="D37" s="32" t="n">
        <f aca="false">SUMIFS(Diario!$F$6:$F$370,Diario!$A$6:$A$370,$B37)</f>
        <v>0</v>
      </c>
      <c r="E37" s="32" t="str">
        <f aca="false">IF(C37&gt;0,D37/C37,"")</f>
        <v/>
      </c>
      <c r="F37" s="33" t="n">
        <f aca="false">SUMIFS(Diario!$P$6:$P$370,Diario!$A$6:$A$370,$B37)</f>
        <v>0</v>
      </c>
      <c r="G37" s="34" t="str">
        <f aca="false">IF(SUMIFS(Diario!$D$6:$D$370,Diario!$A$6:$A$370,$B37)+SUMIFS(Diario!$E$6:$E$370,Diario!$A$6:$A$370,$B37)&gt;0,SUMIFS(Diario!$D$6:$D$370,Diario!$A$6:$A$370,$B37)/(SUMIFS(Diario!$D$6:$D$370,Diario!$A$6:$A$370,$B37)+SUMIFS(Diario!$E$6:$E$370,Diario!$A$6:$A$370,$B37)),"")</f>
        <v/>
      </c>
    </row>
    <row r="38" customFormat="false" ht="15" hidden="false" customHeight="false" outlineLevel="0" collapsed="false">
      <c r="B38" s="30" t="n">
        <f aca="false">$F$3-4</f>
        <v>46298</v>
      </c>
      <c r="C38" s="31" t="n">
        <f aca="false">SUMIFS(Diario!$H$6:$H$370,Diario!$A$6:$A$370,$B38)</f>
        <v>0</v>
      </c>
      <c r="D38" s="32" t="n">
        <f aca="false">SUMIFS(Diario!$F$6:$F$370,Diario!$A$6:$A$370,$B38)</f>
        <v>0</v>
      </c>
      <c r="E38" s="32" t="str">
        <f aca="false">IF(C38&gt;0,D38/C38,"")</f>
        <v/>
      </c>
      <c r="F38" s="33" t="n">
        <f aca="false">SUMIFS(Diario!$P$6:$P$370,Diario!$A$6:$A$370,$B38)</f>
        <v>0</v>
      </c>
      <c r="G38" s="34" t="str">
        <f aca="false">IF(SUMIFS(Diario!$D$6:$D$370,Diario!$A$6:$A$370,$B38)+SUMIFS(Diario!$E$6:$E$370,Diario!$A$6:$A$370,$B38)&gt;0,SUMIFS(Diario!$D$6:$D$370,Diario!$A$6:$A$370,$B38)/(SUMIFS(Diario!$D$6:$D$370,Diario!$A$6:$A$370,$B38)+SUMIFS(Diario!$E$6:$E$370,Diario!$A$6:$A$370,$B38)),"")</f>
        <v/>
      </c>
    </row>
    <row r="39" customFormat="false" ht="15" hidden="false" customHeight="false" outlineLevel="0" collapsed="false">
      <c r="B39" s="30" t="n">
        <f aca="false">$F$3-3</f>
        <v>46299</v>
      </c>
      <c r="C39" s="31" t="n">
        <f aca="false">SUMIFS(Diario!$H$6:$H$370,Diario!$A$6:$A$370,$B39)</f>
        <v>0</v>
      </c>
      <c r="D39" s="32" t="n">
        <f aca="false">SUMIFS(Diario!$F$6:$F$370,Diario!$A$6:$A$370,$B39)</f>
        <v>0</v>
      </c>
      <c r="E39" s="32" t="str">
        <f aca="false">IF(C39&gt;0,D39/C39,"")</f>
        <v/>
      </c>
      <c r="F39" s="33" t="n">
        <f aca="false">SUMIFS(Diario!$P$6:$P$370,Diario!$A$6:$A$370,$B39)</f>
        <v>0</v>
      </c>
      <c r="G39" s="34" t="str">
        <f aca="false">IF(SUMIFS(Diario!$D$6:$D$370,Diario!$A$6:$A$370,$B39)+SUMIFS(Diario!$E$6:$E$370,Diario!$A$6:$A$370,$B39)&gt;0,SUMIFS(Diario!$D$6:$D$370,Diario!$A$6:$A$370,$B39)/(SUMIFS(Diario!$D$6:$D$370,Diario!$A$6:$A$370,$B39)+SUMIFS(Diario!$E$6:$E$370,Diario!$A$6:$A$370,$B39)),"")</f>
        <v/>
      </c>
    </row>
    <row r="40" customFormat="false" ht="15" hidden="false" customHeight="false" outlineLevel="0" collapsed="false">
      <c r="B40" s="30" t="n">
        <f aca="false">$F$3-2</f>
        <v>46300</v>
      </c>
      <c r="C40" s="31" t="n">
        <f aca="false">SUMIFS(Diario!$H$6:$H$370,Diario!$A$6:$A$370,$B40)</f>
        <v>0</v>
      </c>
      <c r="D40" s="32" t="n">
        <f aca="false">SUMIFS(Diario!$F$6:$F$370,Diario!$A$6:$A$370,$B40)</f>
        <v>67.67</v>
      </c>
      <c r="E40" s="32" t="str">
        <f aca="false">IF(C40&gt;0,D40/C40,"")</f>
        <v/>
      </c>
      <c r="F40" s="33" t="n">
        <f aca="false">SUMIFS(Diario!$P$6:$P$370,Diario!$A$6:$A$370,$B40)</f>
        <v>-67.67</v>
      </c>
      <c r="G40" s="34" t="str">
        <f aca="false">IF(SUMIFS(Diario!$D$6:$D$370,Diario!$A$6:$A$370,$B40)+SUMIFS(Diario!$E$6:$E$370,Diario!$A$6:$A$370,$B40)&gt;0,SUMIFS(Diario!$D$6:$D$370,Diario!$A$6:$A$370,$B40)/(SUMIFS(Diario!$D$6:$D$370,Diario!$A$6:$A$370,$B40)+SUMIFS(Diario!$E$6:$E$370,Diario!$A$6:$A$370,$B40)),"")</f>
        <v/>
      </c>
    </row>
    <row r="41" customFormat="false" ht="15" hidden="false" customHeight="false" outlineLevel="0" collapsed="false">
      <c r="B41" s="30" t="n">
        <f aca="false">$F$3-1</f>
        <v>46301</v>
      </c>
      <c r="C41" s="31" t="n">
        <f aca="false">SUMIFS(Diario!$H$6:$H$370,Diario!$A$6:$A$370,$B41)</f>
        <v>0</v>
      </c>
      <c r="D41" s="32" t="n">
        <f aca="false">SUMIFS(Diario!$F$6:$F$370,Diario!$A$6:$A$370,$B41)</f>
        <v>70.13</v>
      </c>
      <c r="E41" s="32" t="str">
        <f aca="false">IF(C41&gt;0,D41/C41,"")</f>
        <v/>
      </c>
      <c r="F41" s="33" t="n">
        <f aca="false">SUMIFS(Diario!$P$6:$P$370,Diario!$A$6:$A$370,$B41)</f>
        <v>-70.13</v>
      </c>
      <c r="G41" s="34" t="str">
        <f aca="false">IF(SUMIFS(Diario!$D$6:$D$370,Diario!$A$6:$A$370,$B41)+SUMIFS(Diario!$E$6:$E$370,Diario!$A$6:$A$370,$B41)&gt;0,SUMIFS(Diario!$D$6:$D$370,Diario!$A$6:$A$370,$B41)/(SUMIFS(Diario!$D$6:$D$370,Diario!$A$6:$A$370,$B41)+SUMIFS(Diario!$E$6:$E$370,Diario!$A$6:$A$370,$B41)),"")</f>
        <v/>
      </c>
    </row>
    <row r="42" customFormat="false" ht="15" hidden="false" customHeight="false" outlineLevel="0" collapsed="false">
      <c r="B42" s="30" t="n">
        <f aca="false">$F$3-0</f>
        <v>46302</v>
      </c>
      <c r="C42" s="31" t="n">
        <f aca="false">SUMIFS(Diario!$H$6:$H$370,Diario!$A$6:$A$370,$B42)</f>
        <v>0</v>
      </c>
      <c r="D42" s="32" t="n">
        <f aca="false">SUMIFS(Diario!$F$6:$F$370,Diario!$A$6:$A$370,$B42)</f>
        <v>0</v>
      </c>
      <c r="E42" s="32" t="str">
        <f aca="false">IF(C42&gt;0,D42/C42,"")</f>
        <v/>
      </c>
      <c r="F42" s="33" t="n">
        <f aca="false">SUMIFS(Diario!$P$6:$P$370,Diario!$A$6:$A$370,$B42)</f>
        <v>0</v>
      </c>
      <c r="G42" s="34" t="str">
        <f aca="false">IF(SUMIFS(Diario!$D$6:$D$370,Diario!$A$6:$A$370,$B42)+SUMIFS(Diario!$E$6:$E$370,Diario!$A$6:$A$370,$B42)&gt;0,SUMIFS(Diario!$D$6:$D$370,Diario!$A$6:$A$370,$B42)/(SUMIFS(Diario!$D$6:$D$370,Diario!$A$6:$A$370,$B42)+SUMIFS(Diario!$E$6:$E$370,Diario!$A$6:$A$370,$B42)),"")</f>
        <v/>
      </c>
    </row>
    <row r="45" customFormat="false" ht="15" hidden="false" customHeight="false" outlineLevel="0" collapsed="false">
      <c r="B45" s="8" t="s">
        <v>54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 customFormat="false" ht="27.75" hidden="false" customHeight="true" outlineLevel="0" collapsed="false">
      <c r="B46" s="29" t="s">
        <v>55</v>
      </c>
      <c r="C46" s="29" t="s">
        <v>49</v>
      </c>
      <c r="D46" s="29" t="s">
        <v>50</v>
      </c>
      <c r="E46" s="29" t="s">
        <v>51</v>
      </c>
      <c r="F46" s="29" t="s">
        <v>56</v>
      </c>
      <c r="G46" s="29" t="s">
        <v>57</v>
      </c>
      <c r="H46" s="29" t="s">
        <v>58</v>
      </c>
      <c r="I46" s="29" t="s">
        <v>53</v>
      </c>
      <c r="J46" s="29" t="s">
        <v>59</v>
      </c>
      <c r="K46" s="29" t="s">
        <v>60</v>
      </c>
      <c r="L46" s="29" t="s">
        <v>61</v>
      </c>
      <c r="M46" s="29" t="s">
        <v>62</v>
      </c>
      <c r="O46" s="35" t="s">
        <v>63</v>
      </c>
    </row>
    <row r="47" customFormat="false" ht="15" hidden="false" customHeight="false" outlineLevel="0" collapsed="false">
      <c r="B47" s="36" t="n">
        <f aca="false">DATE(YEAR(FECHA_INICIO),MONTH(FECHA_INICIO)+0,1)</f>
        <v>46296</v>
      </c>
      <c r="C47" s="31" t="n">
        <f aca="false">SUMIFS(Diario!$H$6:$H$370,Diario!$A$6:$A$370,"&gt;="&amp;$B47,Diario!$A$6:$A$370,"&lt;="&amp;EOMONTH($B47,0))</f>
        <v>0</v>
      </c>
      <c r="D47" s="37" t="n">
        <f aca="false">SUMIFS(Diario!$F$6:$F$370,Diario!$A$6:$A$370,"&gt;="&amp;$B47,Diario!$A$6:$A$370,"&lt;="&amp;EOMONTH($B47,0))</f>
        <v>137.8</v>
      </c>
      <c r="E47" s="32" t="str">
        <f aca="false">IF(C47&gt;0,D47/C47,"")</f>
        <v/>
      </c>
      <c r="F47" s="37" t="n">
        <f aca="false">SUMIFS(Diario!$J$6:$J$370,Diario!$A$6:$A$370,"&gt;="&amp;$B47,Diario!$A$6:$A$370,"&lt;="&amp;EOMONTH($B47,0))</f>
        <v>0</v>
      </c>
      <c r="G47" s="31" t="n">
        <f aca="false">SUMIFS(Diario!$D$6:$D$370,Diario!$A$6:$A$370,"&gt;="&amp;$B47,Diario!$A$6:$A$370,"&lt;="&amp;EOMONTH($B47,0))</f>
        <v>0</v>
      </c>
      <c r="H47" s="31" t="n">
        <f aca="false">SUMIFS(Diario!$E$6:$E$370,Diario!$A$6:$A$370,"&gt;="&amp;$B47,Diario!$A$6:$A$370,"&lt;="&amp;EOMONTH($B47,0))</f>
        <v>0</v>
      </c>
      <c r="I47" s="34" t="str">
        <f aca="false">IF(G47+H47&gt;0,G47/(G47+H47),"")</f>
        <v/>
      </c>
      <c r="J47" s="37" t="n">
        <f aca="false">SUMIFS(Diario!$P$6:$P$370,Diario!$A$6:$A$370,"&gt;="&amp;$B47,Diario!$A$6:$A$370,"&lt;="&amp;EOMONTH($B47,0))</f>
        <v>-137.8</v>
      </c>
      <c r="K47" s="37" t="n">
        <f aca="false">-SUMIFS(Gastos!$D$5:$D$304,Gastos!$A$5:$A$304,"&gt;="&amp;$B47,Gastos!$A$5:$A$304,"&lt;="&amp;EOMONTH($B47,0))</f>
        <v>-0</v>
      </c>
      <c r="L47" s="38" t="n">
        <f aca="false">J47+K47</f>
        <v>-137.8</v>
      </c>
      <c r="M47" s="34" t="n">
        <f aca="false">IF(OBJETIVO_MES&gt;0,L47/OBJETIVO_MES,"")</f>
        <v>-0.01378</v>
      </c>
      <c r="O47" s="39" t="n">
        <f aca="false">OBJETIVO_MES</f>
        <v>10000</v>
      </c>
    </row>
    <row r="48" customFormat="false" ht="15" hidden="false" customHeight="false" outlineLevel="0" collapsed="false">
      <c r="B48" s="36" t="n">
        <f aca="false">DATE(YEAR(FECHA_INICIO),MONTH(FECHA_INICIO)+1,1)</f>
        <v>46327</v>
      </c>
      <c r="C48" s="31" t="n">
        <f aca="false">SUMIFS(Diario!$H$6:$H$370,Diario!$A$6:$A$370,"&gt;="&amp;$B48,Diario!$A$6:$A$370,"&lt;="&amp;EOMONTH($B48,0))</f>
        <v>0</v>
      </c>
      <c r="D48" s="37" t="n">
        <f aca="false">SUMIFS(Diario!$F$6:$F$370,Diario!$A$6:$A$370,"&gt;="&amp;$B48,Diario!$A$6:$A$370,"&lt;="&amp;EOMONTH($B48,0))</f>
        <v>0</v>
      </c>
      <c r="E48" s="32" t="str">
        <f aca="false">IF(C48&gt;0,D48/C48,"")</f>
        <v/>
      </c>
      <c r="F48" s="37" t="n">
        <f aca="false">SUMIFS(Diario!$J$6:$J$370,Diario!$A$6:$A$370,"&gt;="&amp;$B48,Diario!$A$6:$A$370,"&lt;="&amp;EOMONTH($B48,0))</f>
        <v>0</v>
      </c>
      <c r="G48" s="31" t="n">
        <f aca="false">SUMIFS(Diario!$D$6:$D$370,Diario!$A$6:$A$370,"&gt;="&amp;$B48,Diario!$A$6:$A$370,"&lt;="&amp;EOMONTH($B48,0))</f>
        <v>0</v>
      </c>
      <c r="H48" s="31" t="n">
        <f aca="false">SUMIFS(Diario!$E$6:$E$370,Diario!$A$6:$A$370,"&gt;="&amp;$B48,Diario!$A$6:$A$370,"&lt;="&amp;EOMONTH($B48,0))</f>
        <v>0</v>
      </c>
      <c r="I48" s="34" t="str">
        <f aca="false">IF(G48+H48&gt;0,G48/(G48+H48),"")</f>
        <v/>
      </c>
      <c r="J48" s="37" t="n">
        <f aca="false">SUMIFS(Diario!$P$6:$P$370,Diario!$A$6:$A$370,"&gt;="&amp;$B48,Diario!$A$6:$A$370,"&lt;="&amp;EOMONTH($B48,0))</f>
        <v>0</v>
      </c>
      <c r="K48" s="37" t="n">
        <f aca="false">-SUMIFS(Gastos!$D$5:$D$304,Gastos!$A$5:$A$304,"&gt;="&amp;$B48,Gastos!$A$5:$A$304,"&lt;="&amp;EOMONTH($B48,0))</f>
        <v>-0</v>
      </c>
      <c r="L48" s="38" t="n">
        <f aca="false">J48+K48</f>
        <v>0</v>
      </c>
      <c r="M48" s="34" t="n">
        <f aca="false">IF(OBJETIVO_MES&gt;0,L48/OBJETIVO_MES,"")</f>
        <v>0</v>
      </c>
      <c r="O48" s="39" t="n">
        <f aca="false">OBJETIVO_MES</f>
        <v>10000</v>
      </c>
    </row>
    <row r="49" customFormat="false" ht="15" hidden="false" customHeight="false" outlineLevel="0" collapsed="false">
      <c r="B49" s="36" t="n">
        <f aca="false">DATE(YEAR(FECHA_INICIO),MONTH(FECHA_INICIO)+2,1)</f>
        <v>46357</v>
      </c>
      <c r="C49" s="31" t="n">
        <f aca="false">SUMIFS(Diario!$H$6:$H$370,Diario!$A$6:$A$370,"&gt;="&amp;$B49,Diario!$A$6:$A$370,"&lt;="&amp;EOMONTH($B49,0))</f>
        <v>0</v>
      </c>
      <c r="D49" s="37" t="n">
        <f aca="false">SUMIFS(Diario!$F$6:$F$370,Diario!$A$6:$A$370,"&gt;="&amp;$B49,Diario!$A$6:$A$370,"&lt;="&amp;EOMONTH($B49,0))</f>
        <v>0</v>
      </c>
      <c r="E49" s="32" t="str">
        <f aca="false">IF(C49&gt;0,D49/C49,"")</f>
        <v/>
      </c>
      <c r="F49" s="37" t="n">
        <f aca="false">SUMIFS(Diario!$J$6:$J$370,Diario!$A$6:$A$370,"&gt;="&amp;$B49,Diario!$A$6:$A$370,"&lt;="&amp;EOMONTH($B49,0))</f>
        <v>0</v>
      </c>
      <c r="G49" s="31" t="n">
        <f aca="false">SUMIFS(Diario!$D$6:$D$370,Diario!$A$6:$A$370,"&gt;="&amp;$B49,Diario!$A$6:$A$370,"&lt;="&amp;EOMONTH($B49,0))</f>
        <v>0</v>
      </c>
      <c r="H49" s="31" t="n">
        <f aca="false">SUMIFS(Diario!$E$6:$E$370,Diario!$A$6:$A$370,"&gt;="&amp;$B49,Diario!$A$6:$A$370,"&lt;="&amp;EOMONTH($B49,0))</f>
        <v>0</v>
      </c>
      <c r="I49" s="34" t="str">
        <f aca="false">IF(G49+H49&gt;0,G49/(G49+H49),"")</f>
        <v/>
      </c>
      <c r="J49" s="37" t="n">
        <f aca="false">SUMIFS(Diario!$P$6:$P$370,Diario!$A$6:$A$370,"&gt;="&amp;$B49,Diario!$A$6:$A$370,"&lt;="&amp;EOMONTH($B49,0))</f>
        <v>0</v>
      </c>
      <c r="K49" s="37" t="n">
        <f aca="false">-SUMIFS(Gastos!$D$5:$D$304,Gastos!$A$5:$A$304,"&gt;="&amp;$B49,Gastos!$A$5:$A$304,"&lt;="&amp;EOMONTH($B49,0))</f>
        <v>-0</v>
      </c>
      <c r="L49" s="38" t="n">
        <f aca="false">J49+K49</f>
        <v>0</v>
      </c>
      <c r="M49" s="34" t="n">
        <f aca="false">IF(OBJETIVO_MES&gt;0,L49/OBJETIVO_MES,"")</f>
        <v>0</v>
      </c>
      <c r="O49" s="39" t="n">
        <f aca="false">OBJETIVO_MES</f>
        <v>10000</v>
      </c>
    </row>
    <row r="50" customFormat="false" ht="15" hidden="false" customHeight="false" outlineLevel="0" collapsed="false">
      <c r="B50" s="36" t="n">
        <f aca="false">DATE(YEAR(FECHA_INICIO),MONTH(FECHA_INICIO)+3,1)</f>
        <v>46388</v>
      </c>
      <c r="C50" s="31" t="n">
        <f aca="false">SUMIFS(Diario!$H$6:$H$370,Diario!$A$6:$A$370,"&gt;="&amp;$B50,Diario!$A$6:$A$370,"&lt;="&amp;EOMONTH($B50,0))</f>
        <v>0</v>
      </c>
      <c r="D50" s="37" t="n">
        <f aca="false">SUMIFS(Diario!$F$6:$F$370,Diario!$A$6:$A$370,"&gt;="&amp;$B50,Diario!$A$6:$A$370,"&lt;="&amp;EOMONTH($B50,0))</f>
        <v>0</v>
      </c>
      <c r="E50" s="32" t="str">
        <f aca="false">IF(C50&gt;0,D50/C50,"")</f>
        <v/>
      </c>
      <c r="F50" s="37" t="n">
        <f aca="false">SUMIFS(Diario!$J$6:$J$370,Diario!$A$6:$A$370,"&gt;="&amp;$B50,Diario!$A$6:$A$370,"&lt;="&amp;EOMONTH($B50,0))</f>
        <v>0</v>
      </c>
      <c r="G50" s="31" t="n">
        <f aca="false">SUMIFS(Diario!$D$6:$D$370,Diario!$A$6:$A$370,"&gt;="&amp;$B50,Diario!$A$6:$A$370,"&lt;="&amp;EOMONTH($B50,0))</f>
        <v>0</v>
      </c>
      <c r="H50" s="31" t="n">
        <f aca="false">SUMIFS(Diario!$E$6:$E$370,Diario!$A$6:$A$370,"&gt;="&amp;$B50,Diario!$A$6:$A$370,"&lt;="&amp;EOMONTH($B50,0))</f>
        <v>0</v>
      </c>
      <c r="I50" s="34" t="str">
        <f aca="false">IF(G50+H50&gt;0,G50/(G50+H50),"")</f>
        <v/>
      </c>
      <c r="J50" s="37" t="n">
        <f aca="false">SUMIFS(Diario!$P$6:$P$370,Diario!$A$6:$A$370,"&gt;="&amp;$B50,Diario!$A$6:$A$370,"&lt;="&amp;EOMONTH($B50,0))</f>
        <v>0</v>
      </c>
      <c r="K50" s="37" t="n">
        <f aca="false">-SUMIFS(Gastos!$D$5:$D$304,Gastos!$A$5:$A$304,"&gt;="&amp;$B50,Gastos!$A$5:$A$304,"&lt;="&amp;EOMONTH($B50,0))</f>
        <v>-0</v>
      </c>
      <c r="L50" s="38" t="n">
        <f aca="false">J50+K50</f>
        <v>0</v>
      </c>
      <c r="M50" s="34" t="n">
        <f aca="false">IF(OBJETIVO_MES&gt;0,L50/OBJETIVO_MES,"")</f>
        <v>0</v>
      </c>
      <c r="O50" s="39" t="n">
        <f aca="false">OBJETIVO_MES</f>
        <v>10000</v>
      </c>
    </row>
    <row r="51" customFormat="false" ht="15" hidden="false" customHeight="false" outlineLevel="0" collapsed="false">
      <c r="B51" s="36" t="n">
        <f aca="false">DATE(YEAR(FECHA_INICIO),MONTH(FECHA_INICIO)+4,1)</f>
        <v>46419</v>
      </c>
      <c r="C51" s="31" t="n">
        <f aca="false">SUMIFS(Diario!$H$6:$H$370,Diario!$A$6:$A$370,"&gt;="&amp;$B51,Diario!$A$6:$A$370,"&lt;="&amp;EOMONTH($B51,0))</f>
        <v>0</v>
      </c>
      <c r="D51" s="37" t="n">
        <f aca="false">SUMIFS(Diario!$F$6:$F$370,Diario!$A$6:$A$370,"&gt;="&amp;$B51,Diario!$A$6:$A$370,"&lt;="&amp;EOMONTH($B51,0))</f>
        <v>0</v>
      </c>
      <c r="E51" s="32" t="str">
        <f aca="false">IF(C51&gt;0,D51/C51,"")</f>
        <v/>
      </c>
      <c r="F51" s="37" t="n">
        <f aca="false">SUMIFS(Diario!$J$6:$J$370,Diario!$A$6:$A$370,"&gt;="&amp;$B51,Diario!$A$6:$A$370,"&lt;="&amp;EOMONTH($B51,0))</f>
        <v>0</v>
      </c>
      <c r="G51" s="31" t="n">
        <f aca="false">SUMIFS(Diario!$D$6:$D$370,Diario!$A$6:$A$370,"&gt;="&amp;$B51,Diario!$A$6:$A$370,"&lt;="&amp;EOMONTH($B51,0))</f>
        <v>0</v>
      </c>
      <c r="H51" s="31" t="n">
        <f aca="false">SUMIFS(Diario!$E$6:$E$370,Diario!$A$6:$A$370,"&gt;="&amp;$B51,Diario!$A$6:$A$370,"&lt;="&amp;EOMONTH($B51,0))</f>
        <v>0</v>
      </c>
      <c r="I51" s="34" t="str">
        <f aca="false">IF(G51+H51&gt;0,G51/(G51+H51),"")</f>
        <v/>
      </c>
      <c r="J51" s="37" t="n">
        <f aca="false">SUMIFS(Diario!$P$6:$P$370,Diario!$A$6:$A$370,"&gt;="&amp;$B51,Diario!$A$6:$A$370,"&lt;="&amp;EOMONTH($B51,0))</f>
        <v>0</v>
      </c>
      <c r="K51" s="37" t="n">
        <f aca="false">-SUMIFS(Gastos!$D$5:$D$304,Gastos!$A$5:$A$304,"&gt;="&amp;$B51,Gastos!$A$5:$A$304,"&lt;="&amp;EOMONTH($B51,0))</f>
        <v>-0</v>
      </c>
      <c r="L51" s="38" t="n">
        <f aca="false">J51+K51</f>
        <v>0</v>
      </c>
      <c r="M51" s="34" t="n">
        <f aca="false">IF(OBJETIVO_MES&gt;0,L51/OBJETIVO_MES,"")</f>
        <v>0</v>
      </c>
      <c r="O51" s="39" t="n">
        <f aca="false">OBJETIVO_MES</f>
        <v>10000</v>
      </c>
    </row>
    <row r="52" customFormat="false" ht="15" hidden="false" customHeight="false" outlineLevel="0" collapsed="false">
      <c r="B52" s="36" t="n">
        <f aca="false">DATE(YEAR(FECHA_INICIO),MONTH(FECHA_INICIO)+5,1)</f>
        <v>46447</v>
      </c>
      <c r="C52" s="31" t="n">
        <f aca="false">SUMIFS(Diario!$H$6:$H$370,Diario!$A$6:$A$370,"&gt;="&amp;$B52,Diario!$A$6:$A$370,"&lt;="&amp;EOMONTH($B52,0))</f>
        <v>0</v>
      </c>
      <c r="D52" s="37" t="n">
        <f aca="false">SUMIFS(Diario!$F$6:$F$370,Diario!$A$6:$A$370,"&gt;="&amp;$B52,Diario!$A$6:$A$370,"&lt;="&amp;EOMONTH($B52,0))</f>
        <v>0</v>
      </c>
      <c r="E52" s="32" t="str">
        <f aca="false">IF(C52&gt;0,D52/C52,"")</f>
        <v/>
      </c>
      <c r="F52" s="37" t="n">
        <f aca="false">SUMIFS(Diario!$J$6:$J$370,Diario!$A$6:$A$370,"&gt;="&amp;$B52,Diario!$A$6:$A$370,"&lt;="&amp;EOMONTH($B52,0))</f>
        <v>0</v>
      </c>
      <c r="G52" s="31" t="n">
        <f aca="false">SUMIFS(Diario!$D$6:$D$370,Diario!$A$6:$A$370,"&gt;="&amp;$B52,Diario!$A$6:$A$370,"&lt;="&amp;EOMONTH($B52,0))</f>
        <v>0</v>
      </c>
      <c r="H52" s="31" t="n">
        <f aca="false">SUMIFS(Diario!$E$6:$E$370,Diario!$A$6:$A$370,"&gt;="&amp;$B52,Diario!$A$6:$A$370,"&lt;="&amp;EOMONTH($B52,0))</f>
        <v>0</v>
      </c>
      <c r="I52" s="34" t="str">
        <f aca="false">IF(G52+H52&gt;0,G52/(G52+H52),"")</f>
        <v/>
      </c>
      <c r="J52" s="37" t="n">
        <f aca="false">SUMIFS(Diario!$P$6:$P$370,Diario!$A$6:$A$370,"&gt;="&amp;$B52,Diario!$A$6:$A$370,"&lt;="&amp;EOMONTH($B52,0))</f>
        <v>0</v>
      </c>
      <c r="K52" s="37" t="n">
        <f aca="false">-SUMIFS(Gastos!$D$5:$D$304,Gastos!$A$5:$A$304,"&gt;="&amp;$B52,Gastos!$A$5:$A$304,"&lt;="&amp;EOMONTH($B52,0))</f>
        <v>-0</v>
      </c>
      <c r="L52" s="38" t="n">
        <f aca="false">J52+K52</f>
        <v>0</v>
      </c>
      <c r="M52" s="34" t="n">
        <f aca="false">IF(OBJETIVO_MES&gt;0,L52/OBJETIVO_MES,"")</f>
        <v>0</v>
      </c>
      <c r="O52" s="39" t="n">
        <f aca="false">OBJETIVO_MES</f>
        <v>10000</v>
      </c>
    </row>
    <row r="53" customFormat="false" ht="15" hidden="false" customHeight="false" outlineLevel="0" collapsed="false">
      <c r="B53" s="36" t="n">
        <f aca="false">DATE(YEAR(FECHA_INICIO),MONTH(FECHA_INICIO)+6,1)</f>
        <v>46478</v>
      </c>
      <c r="C53" s="31" t="n">
        <f aca="false">SUMIFS(Diario!$H$6:$H$370,Diario!$A$6:$A$370,"&gt;="&amp;$B53,Diario!$A$6:$A$370,"&lt;="&amp;EOMONTH($B53,0))</f>
        <v>0</v>
      </c>
      <c r="D53" s="37" t="n">
        <f aca="false">SUMIFS(Diario!$F$6:$F$370,Diario!$A$6:$A$370,"&gt;="&amp;$B53,Diario!$A$6:$A$370,"&lt;="&amp;EOMONTH($B53,0))</f>
        <v>0</v>
      </c>
      <c r="E53" s="32" t="str">
        <f aca="false">IF(C53&gt;0,D53/C53,"")</f>
        <v/>
      </c>
      <c r="F53" s="37" t="n">
        <f aca="false">SUMIFS(Diario!$J$6:$J$370,Diario!$A$6:$A$370,"&gt;="&amp;$B53,Diario!$A$6:$A$370,"&lt;="&amp;EOMONTH($B53,0))</f>
        <v>0</v>
      </c>
      <c r="G53" s="31" t="n">
        <f aca="false">SUMIFS(Diario!$D$6:$D$370,Diario!$A$6:$A$370,"&gt;="&amp;$B53,Diario!$A$6:$A$370,"&lt;="&amp;EOMONTH($B53,0))</f>
        <v>0</v>
      </c>
      <c r="H53" s="31" t="n">
        <f aca="false">SUMIFS(Diario!$E$6:$E$370,Diario!$A$6:$A$370,"&gt;="&amp;$B53,Diario!$A$6:$A$370,"&lt;="&amp;EOMONTH($B53,0))</f>
        <v>0</v>
      </c>
      <c r="I53" s="34" t="str">
        <f aca="false">IF(G53+H53&gt;0,G53/(G53+H53),"")</f>
        <v/>
      </c>
      <c r="J53" s="37" t="n">
        <f aca="false">SUMIFS(Diario!$P$6:$P$370,Diario!$A$6:$A$370,"&gt;="&amp;$B53,Diario!$A$6:$A$370,"&lt;="&amp;EOMONTH($B53,0))</f>
        <v>0</v>
      </c>
      <c r="K53" s="37" t="n">
        <f aca="false">-SUMIFS(Gastos!$D$5:$D$304,Gastos!$A$5:$A$304,"&gt;="&amp;$B53,Gastos!$A$5:$A$304,"&lt;="&amp;EOMONTH($B53,0))</f>
        <v>-0</v>
      </c>
      <c r="L53" s="38" t="n">
        <f aca="false">J53+K53</f>
        <v>0</v>
      </c>
      <c r="M53" s="34" t="n">
        <f aca="false">IF(OBJETIVO_MES&gt;0,L53/OBJETIVO_MES,"")</f>
        <v>0</v>
      </c>
      <c r="O53" s="39" t="n">
        <f aca="false">OBJETIVO_MES</f>
        <v>10000</v>
      </c>
    </row>
    <row r="54" customFormat="false" ht="15" hidden="false" customHeight="false" outlineLevel="0" collapsed="false">
      <c r="B54" s="36" t="n">
        <f aca="false">DATE(YEAR(FECHA_INICIO),MONTH(FECHA_INICIO)+7,1)</f>
        <v>46508</v>
      </c>
      <c r="C54" s="31" t="n">
        <f aca="false">SUMIFS(Diario!$H$6:$H$370,Diario!$A$6:$A$370,"&gt;="&amp;$B54,Diario!$A$6:$A$370,"&lt;="&amp;EOMONTH($B54,0))</f>
        <v>0</v>
      </c>
      <c r="D54" s="37" t="n">
        <f aca="false">SUMIFS(Diario!$F$6:$F$370,Diario!$A$6:$A$370,"&gt;="&amp;$B54,Diario!$A$6:$A$370,"&lt;="&amp;EOMONTH($B54,0))</f>
        <v>0</v>
      </c>
      <c r="E54" s="32" t="str">
        <f aca="false">IF(C54&gt;0,D54/C54,"")</f>
        <v/>
      </c>
      <c r="F54" s="37" t="n">
        <f aca="false">SUMIFS(Diario!$J$6:$J$370,Diario!$A$6:$A$370,"&gt;="&amp;$B54,Diario!$A$6:$A$370,"&lt;="&amp;EOMONTH($B54,0))</f>
        <v>0</v>
      </c>
      <c r="G54" s="31" t="n">
        <f aca="false">SUMIFS(Diario!$D$6:$D$370,Diario!$A$6:$A$370,"&gt;="&amp;$B54,Diario!$A$6:$A$370,"&lt;="&amp;EOMONTH($B54,0))</f>
        <v>0</v>
      </c>
      <c r="H54" s="31" t="n">
        <f aca="false">SUMIFS(Diario!$E$6:$E$370,Diario!$A$6:$A$370,"&gt;="&amp;$B54,Diario!$A$6:$A$370,"&lt;="&amp;EOMONTH($B54,0))</f>
        <v>0</v>
      </c>
      <c r="I54" s="34" t="str">
        <f aca="false">IF(G54+H54&gt;0,G54/(G54+H54),"")</f>
        <v/>
      </c>
      <c r="J54" s="37" t="n">
        <f aca="false">SUMIFS(Diario!$P$6:$P$370,Diario!$A$6:$A$370,"&gt;="&amp;$B54,Diario!$A$6:$A$370,"&lt;="&amp;EOMONTH($B54,0))</f>
        <v>0</v>
      </c>
      <c r="K54" s="37" t="n">
        <f aca="false">-SUMIFS(Gastos!$D$5:$D$304,Gastos!$A$5:$A$304,"&gt;="&amp;$B54,Gastos!$A$5:$A$304,"&lt;="&amp;EOMONTH($B54,0))</f>
        <v>-0</v>
      </c>
      <c r="L54" s="38" t="n">
        <f aca="false">J54+K54</f>
        <v>0</v>
      </c>
      <c r="M54" s="34" t="n">
        <f aca="false">IF(OBJETIVO_MES&gt;0,L54/OBJETIVO_MES,"")</f>
        <v>0</v>
      </c>
      <c r="O54" s="39" t="n">
        <f aca="false">OBJETIVO_MES</f>
        <v>10000</v>
      </c>
    </row>
    <row r="55" customFormat="false" ht="15" hidden="false" customHeight="false" outlineLevel="0" collapsed="false">
      <c r="B55" s="36" t="n">
        <f aca="false">DATE(YEAR(FECHA_INICIO),MONTH(FECHA_INICIO)+8,1)</f>
        <v>46539</v>
      </c>
      <c r="C55" s="31" t="n">
        <f aca="false">SUMIFS(Diario!$H$6:$H$370,Diario!$A$6:$A$370,"&gt;="&amp;$B55,Diario!$A$6:$A$370,"&lt;="&amp;EOMONTH($B55,0))</f>
        <v>0</v>
      </c>
      <c r="D55" s="37" t="n">
        <f aca="false">SUMIFS(Diario!$F$6:$F$370,Diario!$A$6:$A$370,"&gt;="&amp;$B55,Diario!$A$6:$A$370,"&lt;="&amp;EOMONTH($B55,0))</f>
        <v>0</v>
      </c>
      <c r="E55" s="32" t="str">
        <f aca="false">IF(C55&gt;0,D55/C55,"")</f>
        <v/>
      </c>
      <c r="F55" s="37" t="n">
        <f aca="false">SUMIFS(Diario!$J$6:$J$370,Diario!$A$6:$A$370,"&gt;="&amp;$B55,Diario!$A$6:$A$370,"&lt;="&amp;EOMONTH($B55,0))</f>
        <v>0</v>
      </c>
      <c r="G55" s="31" t="n">
        <f aca="false">SUMIFS(Diario!$D$6:$D$370,Diario!$A$6:$A$370,"&gt;="&amp;$B55,Diario!$A$6:$A$370,"&lt;="&amp;EOMONTH($B55,0))</f>
        <v>0</v>
      </c>
      <c r="H55" s="31" t="n">
        <f aca="false">SUMIFS(Diario!$E$6:$E$370,Diario!$A$6:$A$370,"&gt;="&amp;$B55,Diario!$A$6:$A$370,"&lt;="&amp;EOMONTH($B55,0))</f>
        <v>0</v>
      </c>
      <c r="I55" s="34" t="str">
        <f aca="false">IF(G55+H55&gt;0,G55/(G55+H55),"")</f>
        <v/>
      </c>
      <c r="J55" s="37" t="n">
        <f aca="false">SUMIFS(Diario!$P$6:$P$370,Diario!$A$6:$A$370,"&gt;="&amp;$B55,Diario!$A$6:$A$370,"&lt;="&amp;EOMONTH($B55,0))</f>
        <v>0</v>
      </c>
      <c r="K55" s="37" t="n">
        <f aca="false">-SUMIFS(Gastos!$D$5:$D$304,Gastos!$A$5:$A$304,"&gt;="&amp;$B55,Gastos!$A$5:$A$304,"&lt;="&amp;EOMONTH($B55,0))</f>
        <v>-0</v>
      </c>
      <c r="L55" s="38" t="n">
        <f aca="false">J55+K55</f>
        <v>0</v>
      </c>
      <c r="M55" s="34" t="n">
        <f aca="false">IF(OBJETIVO_MES&gt;0,L55/OBJETIVO_MES,"")</f>
        <v>0</v>
      </c>
      <c r="O55" s="39" t="n">
        <f aca="false">OBJETIVO_MES</f>
        <v>10000</v>
      </c>
    </row>
    <row r="56" customFormat="false" ht="15" hidden="false" customHeight="false" outlineLevel="0" collapsed="false">
      <c r="B56" s="36" t="n">
        <f aca="false">DATE(YEAR(FECHA_INICIO),MONTH(FECHA_INICIO)+9,1)</f>
        <v>46569</v>
      </c>
      <c r="C56" s="31" t="n">
        <f aca="false">SUMIFS(Diario!$H$6:$H$370,Diario!$A$6:$A$370,"&gt;="&amp;$B56,Diario!$A$6:$A$370,"&lt;="&amp;EOMONTH($B56,0))</f>
        <v>0</v>
      </c>
      <c r="D56" s="37" t="n">
        <f aca="false">SUMIFS(Diario!$F$6:$F$370,Diario!$A$6:$A$370,"&gt;="&amp;$B56,Diario!$A$6:$A$370,"&lt;="&amp;EOMONTH($B56,0))</f>
        <v>0</v>
      </c>
      <c r="E56" s="32" t="str">
        <f aca="false">IF(C56&gt;0,D56/C56,"")</f>
        <v/>
      </c>
      <c r="F56" s="37" t="n">
        <f aca="false">SUMIFS(Diario!$J$6:$J$370,Diario!$A$6:$A$370,"&gt;="&amp;$B56,Diario!$A$6:$A$370,"&lt;="&amp;EOMONTH($B56,0))</f>
        <v>0</v>
      </c>
      <c r="G56" s="31" t="n">
        <f aca="false">SUMIFS(Diario!$D$6:$D$370,Diario!$A$6:$A$370,"&gt;="&amp;$B56,Diario!$A$6:$A$370,"&lt;="&amp;EOMONTH($B56,0))</f>
        <v>0</v>
      </c>
      <c r="H56" s="31" t="n">
        <f aca="false">SUMIFS(Diario!$E$6:$E$370,Diario!$A$6:$A$370,"&gt;="&amp;$B56,Diario!$A$6:$A$370,"&lt;="&amp;EOMONTH($B56,0))</f>
        <v>0</v>
      </c>
      <c r="I56" s="34" t="str">
        <f aca="false">IF(G56+H56&gt;0,G56/(G56+H56),"")</f>
        <v/>
      </c>
      <c r="J56" s="37" t="n">
        <f aca="false">SUMIFS(Diario!$P$6:$P$370,Diario!$A$6:$A$370,"&gt;="&amp;$B56,Diario!$A$6:$A$370,"&lt;="&amp;EOMONTH($B56,0))</f>
        <v>0</v>
      </c>
      <c r="K56" s="37" t="n">
        <f aca="false">-SUMIFS(Gastos!$D$5:$D$304,Gastos!$A$5:$A$304,"&gt;="&amp;$B56,Gastos!$A$5:$A$304,"&lt;="&amp;EOMONTH($B56,0))</f>
        <v>-0</v>
      </c>
      <c r="L56" s="38" t="n">
        <f aca="false">J56+K56</f>
        <v>0</v>
      </c>
      <c r="M56" s="34" t="n">
        <f aca="false">IF(OBJETIVO_MES&gt;0,L56/OBJETIVO_MES,"")</f>
        <v>0</v>
      </c>
      <c r="O56" s="39" t="n">
        <f aca="false">OBJETIVO_MES</f>
        <v>10000</v>
      </c>
    </row>
    <row r="57" customFormat="false" ht="15" hidden="false" customHeight="false" outlineLevel="0" collapsed="false">
      <c r="B57" s="36" t="n">
        <f aca="false">DATE(YEAR(FECHA_INICIO),MONTH(FECHA_INICIO)+10,1)</f>
        <v>46600</v>
      </c>
      <c r="C57" s="31" t="n">
        <f aca="false">SUMIFS(Diario!$H$6:$H$370,Diario!$A$6:$A$370,"&gt;="&amp;$B57,Diario!$A$6:$A$370,"&lt;="&amp;EOMONTH($B57,0))</f>
        <v>0</v>
      </c>
      <c r="D57" s="37" t="n">
        <f aca="false">SUMIFS(Diario!$F$6:$F$370,Diario!$A$6:$A$370,"&gt;="&amp;$B57,Diario!$A$6:$A$370,"&lt;="&amp;EOMONTH($B57,0))</f>
        <v>0</v>
      </c>
      <c r="E57" s="32" t="str">
        <f aca="false">IF(C57&gt;0,D57/C57,"")</f>
        <v/>
      </c>
      <c r="F57" s="37" t="n">
        <f aca="false">SUMIFS(Diario!$J$6:$J$370,Diario!$A$6:$A$370,"&gt;="&amp;$B57,Diario!$A$6:$A$370,"&lt;="&amp;EOMONTH($B57,0))</f>
        <v>0</v>
      </c>
      <c r="G57" s="31" t="n">
        <f aca="false">SUMIFS(Diario!$D$6:$D$370,Diario!$A$6:$A$370,"&gt;="&amp;$B57,Diario!$A$6:$A$370,"&lt;="&amp;EOMONTH($B57,0))</f>
        <v>0</v>
      </c>
      <c r="H57" s="31" t="n">
        <f aca="false">SUMIFS(Diario!$E$6:$E$370,Diario!$A$6:$A$370,"&gt;="&amp;$B57,Diario!$A$6:$A$370,"&lt;="&amp;EOMONTH($B57,0))</f>
        <v>0</v>
      </c>
      <c r="I57" s="34" t="str">
        <f aca="false">IF(G57+H57&gt;0,G57/(G57+H57),"")</f>
        <v/>
      </c>
      <c r="J57" s="37" t="n">
        <f aca="false">SUMIFS(Diario!$P$6:$P$370,Diario!$A$6:$A$370,"&gt;="&amp;$B57,Diario!$A$6:$A$370,"&lt;="&amp;EOMONTH($B57,0))</f>
        <v>0</v>
      </c>
      <c r="K57" s="37" t="n">
        <f aca="false">-SUMIFS(Gastos!$D$5:$D$304,Gastos!$A$5:$A$304,"&gt;="&amp;$B57,Gastos!$A$5:$A$304,"&lt;="&amp;EOMONTH($B57,0))</f>
        <v>-0</v>
      </c>
      <c r="L57" s="38" t="n">
        <f aca="false">J57+K57</f>
        <v>0</v>
      </c>
      <c r="M57" s="34" t="n">
        <f aca="false">IF(OBJETIVO_MES&gt;0,L57/OBJETIVO_MES,"")</f>
        <v>0</v>
      </c>
      <c r="O57" s="39" t="n">
        <f aca="false">OBJETIVO_MES</f>
        <v>10000</v>
      </c>
    </row>
    <row r="58" customFormat="false" ht="15" hidden="false" customHeight="false" outlineLevel="0" collapsed="false">
      <c r="B58" s="36" t="n">
        <f aca="false">DATE(YEAR(FECHA_INICIO),MONTH(FECHA_INICIO)+11,1)</f>
        <v>46631</v>
      </c>
      <c r="C58" s="31" t="n">
        <f aca="false">SUMIFS(Diario!$H$6:$H$370,Diario!$A$6:$A$370,"&gt;="&amp;$B58,Diario!$A$6:$A$370,"&lt;="&amp;EOMONTH($B58,0))</f>
        <v>0</v>
      </c>
      <c r="D58" s="37" t="n">
        <f aca="false">SUMIFS(Diario!$F$6:$F$370,Diario!$A$6:$A$370,"&gt;="&amp;$B58,Diario!$A$6:$A$370,"&lt;="&amp;EOMONTH($B58,0))</f>
        <v>0</v>
      </c>
      <c r="E58" s="32" t="str">
        <f aca="false">IF(C58&gt;0,D58/C58,"")</f>
        <v/>
      </c>
      <c r="F58" s="37" t="n">
        <f aca="false">SUMIFS(Diario!$J$6:$J$370,Diario!$A$6:$A$370,"&gt;="&amp;$B58,Diario!$A$6:$A$370,"&lt;="&amp;EOMONTH($B58,0))</f>
        <v>0</v>
      </c>
      <c r="G58" s="31" t="n">
        <f aca="false">SUMIFS(Diario!$D$6:$D$370,Diario!$A$6:$A$370,"&gt;="&amp;$B58,Diario!$A$6:$A$370,"&lt;="&amp;EOMONTH($B58,0))</f>
        <v>0</v>
      </c>
      <c r="H58" s="31" t="n">
        <f aca="false">SUMIFS(Diario!$E$6:$E$370,Diario!$A$6:$A$370,"&gt;="&amp;$B58,Diario!$A$6:$A$370,"&lt;="&amp;EOMONTH($B58,0))</f>
        <v>0</v>
      </c>
      <c r="I58" s="34" t="str">
        <f aca="false">IF(G58+H58&gt;0,G58/(G58+H58),"")</f>
        <v/>
      </c>
      <c r="J58" s="37" t="n">
        <f aca="false">SUMIFS(Diario!$P$6:$P$370,Diario!$A$6:$A$370,"&gt;="&amp;$B58,Diario!$A$6:$A$370,"&lt;="&amp;EOMONTH($B58,0))</f>
        <v>0</v>
      </c>
      <c r="K58" s="37" t="n">
        <f aca="false">-SUMIFS(Gastos!$D$5:$D$304,Gastos!$A$5:$A$304,"&gt;="&amp;$B58,Gastos!$A$5:$A$304,"&lt;="&amp;EOMONTH($B58,0))</f>
        <v>-0</v>
      </c>
      <c r="L58" s="38" t="n">
        <f aca="false">J58+K58</f>
        <v>0</v>
      </c>
      <c r="M58" s="34" t="n">
        <f aca="false">IF(OBJETIVO_MES&gt;0,L58/OBJETIVO_MES,"")</f>
        <v>0</v>
      </c>
      <c r="O58" s="39" t="n">
        <f aca="false">OBJETIVO_MES</f>
        <v>10000</v>
      </c>
    </row>
    <row r="59" customFormat="false" ht="15" hidden="false" customHeight="false" outlineLevel="0" collapsed="false">
      <c r="B59" s="40" t="s">
        <v>64</v>
      </c>
      <c r="C59" s="41" t="n">
        <f aca="false">SUM(C47:C58)</f>
        <v>0</v>
      </c>
      <c r="D59" s="42" t="n">
        <f aca="false">SUM(D47:D58)</f>
        <v>137.8</v>
      </c>
      <c r="E59" s="43" t="str">
        <f aca="false">IF(C59&gt;0,D59/C59,"")</f>
        <v/>
      </c>
      <c r="F59" s="42" t="n">
        <f aca="false">SUM(F47:F58)</f>
        <v>0</v>
      </c>
      <c r="G59" s="41" t="n">
        <f aca="false">SUM(G47:G58)</f>
        <v>0</v>
      </c>
      <c r="H59" s="41" t="n">
        <f aca="false">SUM(H47:H58)</f>
        <v>0</v>
      </c>
      <c r="I59" s="44" t="str">
        <f aca="false">IF(G59+H59&gt;0,G59/(G59+H59),"")</f>
        <v/>
      </c>
      <c r="J59" s="42" t="n">
        <f aca="false">SUM(J47:J58)</f>
        <v>-137.8</v>
      </c>
      <c r="K59" s="42" t="n">
        <f aca="false">SUM(K47:K58)</f>
        <v>0</v>
      </c>
      <c r="L59" s="42" t="n">
        <f aca="false">SUM(L47:L58)</f>
        <v>-137.8</v>
      </c>
      <c r="M59" s="45"/>
    </row>
  </sheetData>
  <mergeCells count="72">
    <mergeCell ref="C3:D3"/>
    <mergeCell ref="F3:G3"/>
    <mergeCell ref="J3:K3"/>
    <mergeCell ref="B5:M5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5:F15"/>
    <mergeCell ref="H15:M15"/>
    <mergeCell ref="B16:D16"/>
    <mergeCell ref="H16:K16"/>
    <mergeCell ref="L16:M16"/>
    <mergeCell ref="B17:D17"/>
    <mergeCell ref="H17:K17"/>
    <mergeCell ref="L17:M17"/>
    <mergeCell ref="B18:D18"/>
    <mergeCell ref="H18:K18"/>
    <mergeCell ref="L18:M18"/>
    <mergeCell ref="B19:D19"/>
    <mergeCell ref="H19:K19"/>
    <mergeCell ref="L19:M19"/>
    <mergeCell ref="B20:D20"/>
    <mergeCell ref="H20:K20"/>
    <mergeCell ref="L20:M20"/>
    <mergeCell ref="B21:D21"/>
    <mergeCell ref="H21:K21"/>
    <mergeCell ref="L21:M21"/>
    <mergeCell ref="B22:D22"/>
    <mergeCell ref="H22:K22"/>
    <mergeCell ref="L22:M22"/>
    <mergeCell ref="B23:D23"/>
    <mergeCell ref="H23:K23"/>
    <mergeCell ref="L23:M23"/>
    <mergeCell ref="B24:D24"/>
    <mergeCell ref="H24:K24"/>
    <mergeCell ref="L24:M24"/>
    <mergeCell ref="B25:D25"/>
    <mergeCell ref="B27:G27"/>
    <mergeCell ref="B45:M45"/>
  </mergeCells>
  <conditionalFormatting sqref="J13">
    <cfRule type="cellIs" priority="2" operator="equal" aboveAverage="0" equalAverage="0" bottom="0" percent="0" rank="0" text="" dxfId="0">
      <formula>"ESCALAR"</formula>
    </cfRule>
    <cfRule type="cellIs" priority="3" operator="equal" aboveAverage="0" equalAverage="0" bottom="0" percent="0" rank="0" text="" dxfId="1">
      <formula>"VIGILAR"</formula>
    </cfRule>
    <cfRule type="cellIs" priority="4" operator="equal" aboveAverage="0" equalAverage="0" bottom="0" percent="0" rank="0" text="" dxfId="2">
      <formula>"CORTAR"</formula>
    </cfRule>
  </conditionalFormatting>
  <conditionalFormatting sqref="B7">
    <cfRule type="cellIs" priority="5" operator="lessThan" aboveAverage="0" equalAverage="0" bottom="0" percent="0" rank="0" text="" dxfId="3">
      <formula>0</formula>
    </cfRule>
    <cfRule type="cellIs" priority="6" operator="greaterThan" aboveAverage="0" equalAverage="0" bottom="0" percent="0" rank="0" text="" dxfId="4">
      <formula>0</formula>
    </cfRule>
  </conditionalFormatting>
  <conditionalFormatting sqref="B10">
    <cfRule type="expression" priority="7" aboveAverage="0" equalAverage="0" bottom="0" percent="0" rank="0" text="" dxfId="3">
      <formula>AND(ISNUMBER(B10),B10&gt;D10)</formula>
    </cfRule>
  </conditionalFormatting>
  <conditionalFormatting sqref="L19">
    <cfRule type="cellIs" priority="8" operator="greaterThanOrEqual" aboveAverage="0" equalAverage="0" bottom="0" percent="0" rank="0" text="" dxfId="5">
      <formula>1</formula>
    </cfRule>
  </conditionalFormatting>
  <conditionalFormatting sqref="L47:L58">
    <cfRule type="cellIs" priority="9" operator="lessThan" aboveAverage="0" equalAverage="0" bottom="0" percent="0" rank="0" text="" dxfId="6">
      <formula>0</formula>
    </cfRule>
  </conditionalFormatting>
  <conditionalFormatting sqref="M47:M58">
    <cfRule type="cellIs" priority="10" operator="greaterThanOrEqual" aboveAverage="0" equalAverage="0" bottom="0" percent="0" rank="0" text="" dxfId="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26"/>
    <col collapsed="false" customWidth="true" hidden="false" outlineLevel="0" max="9" min="8" style="0" width="9"/>
    <col collapsed="false" customWidth="true" hidden="false" outlineLevel="0" max="10" min="10" style="0" width="11"/>
    <col collapsed="false" customWidth="true" hidden="false" outlineLevel="0" max="12" min="11" style="0" width="9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6" min="15" style="0" width="12"/>
    <col collapsed="false" customWidth="true" hidden="false" outlineLevel="0" max="17" min="17" style="0" width="2"/>
    <col collapsed="false" customWidth="true" hidden="false" outlineLevel="0" max="19" min="18" style="0" width="9"/>
    <col collapsed="false" customWidth="true" hidden="false" outlineLevel="0" max="20" min="20" style="0" width="11"/>
    <col collapsed="false" customWidth="true" hidden="false" outlineLevel="0" max="25" min="21" style="0" width="10"/>
  </cols>
  <sheetData>
    <row r="1" customFormat="false" ht="19.7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3" customFormat="false" ht="15" hidden="false" customHeight="false" outlineLevel="0" collapsed="false">
      <c r="A3" s="2" t="s">
        <v>67</v>
      </c>
      <c r="R3" s="2" t="s">
        <v>68</v>
      </c>
    </row>
    <row r="4" customFormat="false" ht="15" hidden="false" customHeight="false" outlineLevel="0" collapsed="false">
      <c r="A4" s="46" t="s">
        <v>64</v>
      </c>
      <c r="B4" s="47" t="n">
        <f aca="false">SUM(B6:B370)</f>
        <v>0</v>
      </c>
      <c r="C4" s="47" t="n">
        <f aca="false">SUM(C6:C370)</f>
        <v>0</v>
      </c>
      <c r="D4" s="47" t="n">
        <f aca="false">SUM(D6:D370)</f>
        <v>0</v>
      </c>
      <c r="E4" s="47" t="n">
        <f aca="false">SUM(E6:E370)</f>
        <v>0</v>
      </c>
      <c r="F4" s="48" t="n">
        <f aca="false">SUM(F6:F370)</f>
        <v>137.8</v>
      </c>
      <c r="H4" s="47" t="n">
        <f aca="false">SUM(H6:H370)</f>
        <v>0</v>
      </c>
      <c r="I4" s="47" t="n">
        <f aca="false">SUM(I6:I370)</f>
        <v>0</v>
      </c>
      <c r="J4" s="48" t="n">
        <f aca="false">SUM(J6:J370)</f>
        <v>0</v>
      </c>
      <c r="K4" s="48" t="str">
        <f aca="false">IF(H4&gt;0,J4/H4,"")</f>
        <v/>
      </c>
      <c r="L4" s="48" t="str">
        <f aca="false">IF(H4&gt;0,F4/H4,"")</f>
        <v/>
      </c>
      <c r="M4" s="49" t="n">
        <f aca="false">IF(F4&gt;0,J4/F4,"")</f>
        <v>0</v>
      </c>
      <c r="N4" s="50" t="str">
        <f aca="false">IF(D4+E4&gt;0,D4/(D4+E4),"")</f>
        <v/>
      </c>
      <c r="O4" s="48" t="n">
        <f aca="false">SUM(O6:O370)</f>
        <v>-137.8</v>
      </c>
      <c r="P4" s="48" t="n">
        <f aca="false">SUM(P6:P370)</f>
        <v>-137.8</v>
      </c>
      <c r="R4" s="51" t="n">
        <f aca="false">SUM(R6:R370)</f>
        <v>0</v>
      </c>
      <c r="S4" s="51" t="n">
        <f aca="false">SUM(S6:S370)</f>
        <v>0</v>
      </c>
      <c r="T4" s="48" t="n">
        <f aca="false">SUM(T6:T370)</f>
        <v>0</v>
      </c>
      <c r="U4" s="48" t="n">
        <f aca="false">SUM(U6:U370)</f>
        <v>0</v>
      </c>
      <c r="V4" s="48" t="n">
        <f aca="false">SUM(V6:V370)</f>
        <v>0</v>
      </c>
      <c r="W4" s="48" t="n">
        <f aca="false">SUM(W6:W370)</f>
        <v>0</v>
      </c>
      <c r="X4" s="48" t="n">
        <f aca="false">SUM(X6:X370)</f>
        <v>0</v>
      </c>
      <c r="Y4" s="48" t="n">
        <f aca="false">SUM(Y6:Y370)</f>
        <v>137.8</v>
      </c>
    </row>
    <row r="5" customFormat="false" ht="42" hidden="false" customHeight="true" outlineLevel="0" collapsed="false">
      <c r="A5" s="29" t="s">
        <v>69</v>
      </c>
      <c r="B5" s="52" t="s">
        <v>70</v>
      </c>
      <c r="C5" s="52" t="s">
        <v>71</v>
      </c>
      <c r="D5" s="52" t="s">
        <v>57</v>
      </c>
      <c r="E5" s="52" t="s">
        <v>58</v>
      </c>
      <c r="F5" s="52" t="s">
        <v>72</v>
      </c>
      <c r="G5" s="52" t="s">
        <v>73</v>
      </c>
      <c r="H5" s="29" t="s">
        <v>74</v>
      </c>
      <c r="I5" s="29" t="s">
        <v>75</v>
      </c>
      <c r="J5" s="29" t="s">
        <v>56</v>
      </c>
      <c r="K5" s="29" t="s">
        <v>76</v>
      </c>
      <c r="L5" s="29" t="s">
        <v>51</v>
      </c>
      <c r="M5" s="29" t="s">
        <v>15</v>
      </c>
      <c r="N5" s="29" t="s">
        <v>77</v>
      </c>
      <c r="O5" s="29" t="s">
        <v>78</v>
      </c>
      <c r="P5" s="29" t="s">
        <v>52</v>
      </c>
      <c r="R5" s="29" t="s">
        <v>79</v>
      </c>
      <c r="S5" s="29" t="s">
        <v>80</v>
      </c>
      <c r="T5" s="29" t="s">
        <v>81</v>
      </c>
      <c r="U5" s="29" t="s">
        <v>82</v>
      </c>
      <c r="V5" s="29" t="s">
        <v>83</v>
      </c>
      <c r="W5" s="29" t="s">
        <v>84</v>
      </c>
      <c r="X5" s="29" t="s">
        <v>85</v>
      </c>
      <c r="Y5" s="29" t="s">
        <v>86</v>
      </c>
    </row>
    <row r="6" customFormat="false" ht="15" hidden="false" customHeight="false" outlineLevel="0" collapsed="false">
      <c r="A6" s="53" t="n">
        <v>46300</v>
      </c>
      <c r="B6" s="54"/>
      <c r="C6" s="54"/>
      <c r="D6" s="54"/>
      <c r="E6" s="54"/>
      <c r="F6" s="55" t="n">
        <v>67.67</v>
      </c>
      <c r="G6" s="56" t="s">
        <v>87</v>
      </c>
      <c r="H6" s="31" t="n">
        <f aca="false">B6+C6</f>
        <v>0</v>
      </c>
      <c r="I6" s="31" t="n">
        <f aca="false">MAX(0,H6-D6-E6)</f>
        <v>0</v>
      </c>
      <c r="J6" s="32" t="n">
        <f aca="false">B6*P1_PVP+C6*P2_PVP</f>
        <v>0</v>
      </c>
      <c r="K6" s="32" t="str">
        <f aca="false">IF(H6&gt;0,J6/H6,"")</f>
        <v/>
      </c>
      <c r="L6" s="32" t="str">
        <f aca="false">IF(H6&gt;0,F6/H6,"")</f>
        <v/>
      </c>
      <c r="M6" s="57" t="n">
        <f aca="false">IF(F6&gt;0,J6/F6,"")</f>
        <v>0</v>
      </c>
      <c r="N6" s="34" t="str">
        <f aca="false">IF(D6+E6&gt;0,D6/(D6+E6),"")</f>
        <v/>
      </c>
      <c r="O6" s="33" t="n">
        <f aca="false">IF(H6&gt;0,D6*(B6*(P1_BEN-P1_IVAN)+C6*(P2_BEN-P2_IVAN))/H6,0)-E6*(COSTE_DEV-IVA_DEV)-Y6</f>
        <v>-67.67</v>
      </c>
      <c r="P6" s="33" t="n">
        <f aca="false">T6-U6-V6-W6-X6-Y6</f>
        <v>-67.67</v>
      </c>
      <c r="R6" s="58" t="n">
        <f aca="false">D6+I6*TASA_USADA</f>
        <v>0</v>
      </c>
      <c r="S6" s="58" t="n">
        <f aca="false">E6+I6*(1-TASA_USADA)</f>
        <v>0</v>
      </c>
      <c r="T6" s="59" t="n">
        <f aca="false">IF(H6&gt;0,R6*J6/H6,0)</f>
        <v>0</v>
      </c>
      <c r="U6" s="59" t="n">
        <f aca="false">IF(H6&gt;0,R6*(B6*P1_CPROD+C6*P2_CPROD)/H6,0)</f>
        <v>0</v>
      </c>
      <c r="V6" s="59" t="n">
        <f aca="false">IF(H6&gt;0,R6*(B6*P1_LOG+C6*P2_LOG)/H6,0)</f>
        <v>0</v>
      </c>
      <c r="W6" s="59" t="n">
        <f aca="false">S6*COSTE_DEV</f>
        <v>0</v>
      </c>
      <c r="X6" s="59" t="n">
        <f aca="false">IF(H6&gt;0,R6*(B6*P1_IVAN+C6*P2_IVAN)/H6,0)-S6*IVA_DEV</f>
        <v>0</v>
      </c>
      <c r="Y6" s="59" t="n">
        <f aca="false">F6*(1+RECARGO_ADS)</f>
        <v>67.67</v>
      </c>
    </row>
    <row r="7" customFormat="false" ht="15" hidden="false" customHeight="false" outlineLevel="0" collapsed="false">
      <c r="A7" s="53" t="n">
        <v>46301</v>
      </c>
      <c r="B7" s="54"/>
      <c r="C7" s="54"/>
      <c r="D7" s="54"/>
      <c r="E7" s="54"/>
      <c r="F7" s="55" t="n">
        <v>70.13</v>
      </c>
      <c r="G7" s="56"/>
      <c r="H7" s="31" t="n">
        <f aca="false">B7+C7</f>
        <v>0</v>
      </c>
      <c r="I7" s="31" t="n">
        <f aca="false">MAX(0,H7-D7-E7)</f>
        <v>0</v>
      </c>
      <c r="J7" s="32" t="n">
        <f aca="false">B7*P1_PVP+C7*P2_PVP</f>
        <v>0</v>
      </c>
      <c r="K7" s="32" t="str">
        <f aca="false">IF(H7&gt;0,J7/H7,"")</f>
        <v/>
      </c>
      <c r="L7" s="32" t="str">
        <f aca="false">IF(H7&gt;0,F7/H7,"")</f>
        <v/>
      </c>
      <c r="M7" s="57" t="n">
        <f aca="false">IF(F7&gt;0,J7/F7,"")</f>
        <v>0</v>
      </c>
      <c r="N7" s="34" t="str">
        <f aca="false">IF(D7+E7&gt;0,D7/(D7+E7),"")</f>
        <v/>
      </c>
      <c r="O7" s="33" t="n">
        <f aca="false">IF(H7&gt;0,D7*(B7*(P1_BEN-P1_IVAN)+C7*(P2_BEN-P2_IVAN))/H7,0)-E7*(COSTE_DEV-IVA_DEV)-Y7</f>
        <v>-70.13</v>
      </c>
      <c r="P7" s="33" t="n">
        <f aca="false">T7-U7-V7-W7-X7-Y7</f>
        <v>-70.13</v>
      </c>
      <c r="R7" s="58" t="n">
        <f aca="false">D7+I7*TASA_USADA</f>
        <v>0</v>
      </c>
      <c r="S7" s="58" t="n">
        <f aca="false">E7+I7*(1-TASA_USADA)</f>
        <v>0</v>
      </c>
      <c r="T7" s="59" t="n">
        <f aca="false">IF(H7&gt;0,R7*J7/H7,0)</f>
        <v>0</v>
      </c>
      <c r="U7" s="59" t="n">
        <f aca="false">IF(H7&gt;0,R7*(B7*P1_CPROD+C7*P2_CPROD)/H7,0)</f>
        <v>0</v>
      </c>
      <c r="V7" s="59" t="n">
        <f aca="false">IF(H7&gt;0,R7*(B7*P1_LOG+C7*P2_LOG)/H7,0)</f>
        <v>0</v>
      </c>
      <c r="W7" s="59" t="n">
        <f aca="false">S7*COSTE_DEV</f>
        <v>0</v>
      </c>
      <c r="X7" s="59" t="n">
        <f aca="false">IF(H7&gt;0,R7*(B7*P1_IVAN+C7*P2_IVAN)/H7,0)-S7*IVA_DEV</f>
        <v>0</v>
      </c>
      <c r="Y7" s="59" t="n">
        <f aca="false">F7*(1+RECARGO_ADS)</f>
        <v>70.13</v>
      </c>
    </row>
    <row r="8" customFormat="false" ht="15" hidden="false" customHeight="false" outlineLevel="0" collapsed="false">
      <c r="A8" s="53" t="n">
        <v>46302</v>
      </c>
      <c r="B8" s="54"/>
      <c r="C8" s="54"/>
      <c r="D8" s="54"/>
      <c r="E8" s="54"/>
      <c r="F8" s="55"/>
      <c r="G8" s="56"/>
      <c r="H8" s="31" t="n">
        <f aca="false">B8+C8</f>
        <v>0</v>
      </c>
      <c r="I8" s="31" t="n">
        <f aca="false">MAX(0,H8-D8-E8)</f>
        <v>0</v>
      </c>
      <c r="J8" s="32" t="n">
        <f aca="false">B8*P1_PVP+C8*P2_PVP</f>
        <v>0</v>
      </c>
      <c r="K8" s="32" t="str">
        <f aca="false">IF(H8&gt;0,J8/H8,"")</f>
        <v/>
      </c>
      <c r="L8" s="32" t="str">
        <f aca="false">IF(H8&gt;0,F8/H8,"")</f>
        <v/>
      </c>
      <c r="M8" s="57" t="str">
        <f aca="false">IF(F8&gt;0,J8/F8,"")</f>
        <v/>
      </c>
      <c r="N8" s="34" t="str">
        <f aca="false">IF(D8+E8&gt;0,D8/(D8+E8),"")</f>
        <v/>
      </c>
      <c r="O8" s="33" t="n">
        <f aca="false">IF(H8&gt;0,D8*(B8*(P1_BEN-P1_IVAN)+C8*(P2_BEN-P2_IVAN))/H8,0)-E8*(COSTE_DEV-IVA_DEV)-Y8</f>
        <v>0</v>
      </c>
      <c r="P8" s="33" t="n">
        <f aca="false">T8-U8-V8-W8-X8-Y8</f>
        <v>0</v>
      </c>
      <c r="R8" s="58" t="n">
        <f aca="false">D8+I8*TASA_USADA</f>
        <v>0</v>
      </c>
      <c r="S8" s="58" t="n">
        <f aca="false">E8+I8*(1-TASA_USADA)</f>
        <v>0</v>
      </c>
      <c r="T8" s="59" t="n">
        <f aca="false">IF(H8&gt;0,R8*J8/H8,0)</f>
        <v>0</v>
      </c>
      <c r="U8" s="59" t="n">
        <f aca="false">IF(H8&gt;0,R8*(B8*P1_CPROD+C8*P2_CPROD)/H8,0)</f>
        <v>0</v>
      </c>
      <c r="V8" s="59" t="n">
        <f aca="false">IF(H8&gt;0,R8*(B8*P1_LOG+C8*P2_LOG)/H8,0)</f>
        <v>0</v>
      </c>
      <c r="W8" s="59" t="n">
        <f aca="false">S8*COSTE_DEV</f>
        <v>0</v>
      </c>
      <c r="X8" s="59" t="n">
        <f aca="false">IF(H8&gt;0,R8*(B8*P1_IVAN+C8*P2_IVAN)/H8,0)-S8*IVA_DEV</f>
        <v>0</v>
      </c>
      <c r="Y8" s="59" t="n">
        <f aca="false">F8*(1+RECARGO_ADS)</f>
        <v>0</v>
      </c>
    </row>
    <row r="9" customFormat="false" ht="15" hidden="false" customHeight="false" outlineLevel="0" collapsed="false">
      <c r="A9" s="53" t="n">
        <v>46303</v>
      </c>
      <c r="B9" s="54"/>
      <c r="C9" s="54"/>
      <c r="D9" s="54"/>
      <c r="E9" s="54"/>
      <c r="F9" s="55"/>
      <c r="G9" s="56"/>
      <c r="H9" s="31" t="n">
        <f aca="false">B9+C9</f>
        <v>0</v>
      </c>
      <c r="I9" s="31" t="n">
        <f aca="false">MAX(0,H9-D9-E9)</f>
        <v>0</v>
      </c>
      <c r="J9" s="32" t="n">
        <f aca="false">B9*P1_PVP+C9*P2_PVP</f>
        <v>0</v>
      </c>
      <c r="K9" s="32" t="str">
        <f aca="false">IF(H9&gt;0,J9/H9,"")</f>
        <v/>
      </c>
      <c r="L9" s="32" t="str">
        <f aca="false">IF(H9&gt;0,F9/H9,"")</f>
        <v/>
      </c>
      <c r="M9" s="57" t="str">
        <f aca="false">IF(F9&gt;0,J9/F9,"")</f>
        <v/>
      </c>
      <c r="N9" s="34" t="str">
        <f aca="false">IF(D9+E9&gt;0,D9/(D9+E9),"")</f>
        <v/>
      </c>
      <c r="O9" s="33" t="n">
        <f aca="false">IF(H9&gt;0,D9*(B9*(P1_BEN-P1_IVAN)+C9*(P2_BEN-P2_IVAN))/H9,0)-E9*(COSTE_DEV-IVA_DEV)-Y9</f>
        <v>0</v>
      </c>
      <c r="P9" s="33" t="n">
        <f aca="false">T9-U9-V9-W9-X9-Y9</f>
        <v>0</v>
      </c>
      <c r="R9" s="58" t="n">
        <f aca="false">D9+I9*TASA_USADA</f>
        <v>0</v>
      </c>
      <c r="S9" s="58" t="n">
        <f aca="false">E9+I9*(1-TASA_USADA)</f>
        <v>0</v>
      </c>
      <c r="T9" s="59" t="n">
        <f aca="false">IF(H9&gt;0,R9*J9/H9,0)</f>
        <v>0</v>
      </c>
      <c r="U9" s="59" t="n">
        <f aca="false">IF(H9&gt;0,R9*(B9*P1_CPROD+C9*P2_CPROD)/H9,0)</f>
        <v>0</v>
      </c>
      <c r="V9" s="59" t="n">
        <f aca="false">IF(H9&gt;0,R9*(B9*P1_LOG+C9*P2_LOG)/H9,0)</f>
        <v>0</v>
      </c>
      <c r="W9" s="59" t="n">
        <f aca="false">S9*COSTE_DEV</f>
        <v>0</v>
      </c>
      <c r="X9" s="59" t="n">
        <f aca="false">IF(H9&gt;0,R9*(B9*P1_IVAN+C9*P2_IVAN)/H9,0)-S9*IVA_DEV</f>
        <v>0</v>
      </c>
      <c r="Y9" s="59" t="n">
        <f aca="false">F9*(1+RECARGO_ADS)</f>
        <v>0</v>
      </c>
    </row>
    <row r="10" customFormat="false" ht="15" hidden="false" customHeight="false" outlineLevel="0" collapsed="false">
      <c r="A10" s="53" t="n">
        <v>46304</v>
      </c>
      <c r="B10" s="54"/>
      <c r="C10" s="54"/>
      <c r="D10" s="54"/>
      <c r="E10" s="54"/>
      <c r="F10" s="55"/>
      <c r="G10" s="56"/>
      <c r="H10" s="31" t="n">
        <f aca="false">B10+C10</f>
        <v>0</v>
      </c>
      <c r="I10" s="31" t="n">
        <f aca="false">MAX(0,H10-D10-E10)</f>
        <v>0</v>
      </c>
      <c r="J10" s="32" t="n">
        <f aca="false">B10*P1_PVP+C10*P2_PVP</f>
        <v>0</v>
      </c>
      <c r="K10" s="32" t="str">
        <f aca="false">IF(H10&gt;0,J10/H10,"")</f>
        <v/>
      </c>
      <c r="L10" s="32" t="str">
        <f aca="false">IF(H10&gt;0,F10/H10,"")</f>
        <v/>
      </c>
      <c r="M10" s="57" t="str">
        <f aca="false">IF(F10&gt;0,J10/F10,"")</f>
        <v/>
      </c>
      <c r="N10" s="34" t="str">
        <f aca="false">IF(D10+E10&gt;0,D10/(D10+E10),"")</f>
        <v/>
      </c>
      <c r="O10" s="33" t="n">
        <f aca="false">IF(H10&gt;0,D10*(B10*(P1_BEN-P1_IVAN)+C10*(P2_BEN-P2_IVAN))/H10,0)-E10*(COSTE_DEV-IVA_DEV)-Y10</f>
        <v>0</v>
      </c>
      <c r="P10" s="33" t="n">
        <f aca="false">T10-U10-V10-W10-X10-Y10</f>
        <v>0</v>
      </c>
      <c r="R10" s="58" t="n">
        <f aca="false">D10+I10*TASA_USADA</f>
        <v>0</v>
      </c>
      <c r="S10" s="58" t="n">
        <f aca="false">E10+I10*(1-TASA_USADA)</f>
        <v>0</v>
      </c>
      <c r="T10" s="59" t="n">
        <f aca="false">IF(H10&gt;0,R10*J10/H10,0)</f>
        <v>0</v>
      </c>
      <c r="U10" s="59" t="n">
        <f aca="false">IF(H10&gt;0,R10*(B10*P1_CPROD+C10*P2_CPROD)/H10,0)</f>
        <v>0</v>
      </c>
      <c r="V10" s="59" t="n">
        <f aca="false">IF(H10&gt;0,R10*(B10*P1_LOG+C10*P2_LOG)/H10,0)</f>
        <v>0</v>
      </c>
      <c r="W10" s="59" t="n">
        <f aca="false">S10*COSTE_DEV</f>
        <v>0</v>
      </c>
      <c r="X10" s="59" t="n">
        <f aca="false">IF(H10&gt;0,R10*(B10*P1_IVAN+C10*P2_IVAN)/H10,0)-S10*IVA_DEV</f>
        <v>0</v>
      </c>
      <c r="Y10" s="59" t="n">
        <f aca="false">F10*(1+RECARGO_ADS)</f>
        <v>0</v>
      </c>
    </row>
    <row r="11" customFormat="false" ht="15" hidden="false" customHeight="false" outlineLevel="0" collapsed="false">
      <c r="A11" s="53" t="n">
        <v>46305</v>
      </c>
      <c r="B11" s="54"/>
      <c r="C11" s="54"/>
      <c r="D11" s="54"/>
      <c r="E11" s="54"/>
      <c r="F11" s="55"/>
      <c r="G11" s="56"/>
      <c r="H11" s="31" t="n">
        <f aca="false">B11+C11</f>
        <v>0</v>
      </c>
      <c r="I11" s="31" t="n">
        <f aca="false">MAX(0,H11-D11-E11)</f>
        <v>0</v>
      </c>
      <c r="J11" s="32" t="n">
        <f aca="false">B11*P1_PVP+C11*P2_PVP</f>
        <v>0</v>
      </c>
      <c r="K11" s="32" t="str">
        <f aca="false">IF(H11&gt;0,J11/H11,"")</f>
        <v/>
      </c>
      <c r="L11" s="32" t="str">
        <f aca="false">IF(H11&gt;0,F11/H11,"")</f>
        <v/>
      </c>
      <c r="M11" s="57" t="str">
        <f aca="false">IF(F11&gt;0,J11/F11,"")</f>
        <v/>
      </c>
      <c r="N11" s="34" t="str">
        <f aca="false">IF(D11+E11&gt;0,D11/(D11+E11),"")</f>
        <v/>
      </c>
      <c r="O11" s="33" t="n">
        <f aca="false">IF(H11&gt;0,D11*(B11*(P1_BEN-P1_IVAN)+C11*(P2_BEN-P2_IVAN))/H11,0)-E11*(COSTE_DEV-IVA_DEV)-Y11</f>
        <v>0</v>
      </c>
      <c r="P11" s="33" t="n">
        <f aca="false">T11-U11-V11-W11-X11-Y11</f>
        <v>0</v>
      </c>
      <c r="R11" s="58" t="n">
        <f aca="false">D11+I11*TASA_USADA</f>
        <v>0</v>
      </c>
      <c r="S11" s="58" t="n">
        <f aca="false">E11+I11*(1-TASA_USADA)</f>
        <v>0</v>
      </c>
      <c r="T11" s="59" t="n">
        <f aca="false">IF(H11&gt;0,R11*J11/H11,0)</f>
        <v>0</v>
      </c>
      <c r="U11" s="59" t="n">
        <f aca="false">IF(H11&gt;0,R11*(B11*P1_CPROD+C11*P2_CPROD)/H11,0)</f>
        <v>0</v>
      </c>
      <c r="V11" s="59" t="n">
        <f aca="false">IF(H11&gt;0,R11*(B11*P1_LOG+C11*P2_LOG)/H11,0)</f>
        <v>0</v>
      </c>
      <c r="W11" s="59" t="n">
        <f aca="false">S11*COSTE_DEV</f>
        <v>0</v>
      </c>
      <c r="X11" s="59" t="n">
        <f aca="false">IF(H11&gt;0,R11*(B11*P1_IVAN+C11*P2_IVAN)/H11,0)-S11*IVA_DEV</f>
        <v>0</v>
      </c>
      <c r="Y11" s="59" t="n">
        <f aca="false">F11*(1+RECARGO_ADS)</f>
        <v>0</v>
      </c>
    </row>
    <row r="12" customFormat="false" ht="15" hidden="false" customHeight="false" outlineLevel="0" collapsed="false">
      <c r="A12" s="53" t="n">
        <v>46306</v>
      </c>
      <c r="B12" s="54"/>
      <c r="C12" s="54"/>
      <c r="D12" s="54"/>
      <c r="E12" s="54"/>
      <c r="F12" s="55"/>
      <c r="G12" s="56"/>
      <c r="H12" s="31" t="n">
        <f aca="false">B12+C12</f>
        <v>0</v>
      </c>
      <c r="I12" s="31" t="n">
        <f aca="false">MAX(0,H12-D12-E12)</f>
        <v>0</v>
      </c>
      <c r="J12" s="32" t="n">
        <f aca="false">B12*P1_PVP+C12*P2_PVP</f>
        <v>0</v>
      </c>
      <c r="K12" s="32" t="str">
        <f aca="false">IF(H12&gt;0,J12/H12,"")</f>
        <v/>
      </c>
      <c r="L12" s="32" t="str">
        <f aca="false">IF(H12&gt;0,F12/H12,"")</f>
        <v/>
      </c>
      <c r="M12" s="57" t="str">
        <f aca="false">IF(F12&gt;0,J12/F12,"")</f>
        <v/>
      </c>
      <c r="N12" s="34" t="str">
        <f aca="false">IF(D12+E12&gt;0,D12/(D12+E12),"")</f>
        <v/>
      </c>
      <c r="O12" s="33" t="n">
        <f aca="false">IF(H12&gt;0,D12*(B12*(P1_BEN-P1_IVAN)+C12*(P2_BEN-P2_IVAN))/H12,0)-E12*(COSTE_DEV-IVA_DEV)-Y12</f>
        <v>0</v>
      </c>
      <c r="P12" s="33" t="n">
        <f aca="false">T12-U12-V12-W12-X12-Y12</f>
        <v>0</v>
      </c>
      <c r="R12" s="58" t="n">
        <f aca="false">D12+I12*TASA_USADA</f>
        <v>0</v>
      </c>
      <c r="S12" s="58" t="n">
        <f aca="false">E12+I12*(1-TASA_USADA)</f>
        <v>0</v>
      </c>
      <c r="T12" s="59" t="n">
        <f aca="false">IF(H12&gt;0,R12*J12/H12,0)</f>
        <v>0</v>
      </c>
      <c r="U12" s="59" t="n">
        <f aca="false">IF(H12&gt;0,R12*(B12*P1_CPROD+C12*P2_CPROD)/H12,0)</f>
        <v>0</v>
      </c>
      <c r="V12" s="59" t="n">
        <f aca="false">IF(H12&gt;0,R12*(B12*P1_LOG+C12*P2_LOG)/H12,0)</f>
        <v>0</v>
      </c>
      <c r="W12" s="59" t="n">
        <f aca="false">S12*COSTE_DEV</f>
        <v>0</v>
      </c>
      <c r="X12" s="59" t="n">
        <f aca="false">IF(H12&gt;0,R12*(B12*P1_IVAN+C12*P2_IVAN)/H12,0)-S12*IVA_DEV</f>
        <v>0</v>
      </c>
      <c r="Y12" s="59" t="n">
        <f aca="false">F12*(1+RECARGO_ADS)</f>
        <v>0</v>
      </c>
    </row>
    <row r="13" customFormat="false" ht="15" hidden="false" customHeight="false" outlineLevel="0" collapsed="false">
      <c r="A13" s="53" t="n">
        <v>46307</v>
      </c>
      <c r="B13" s="54"/>
      <c r="C13" s="54"/>
      <c r="D13" s="54"/>
      <c r="E13" s="54"/>
      <c r="F13" s="55"/>
      <c r="G13" s="56"/>
      <c r="H13" s="31" t="n">
        <f aca="false">B13+C13</f>
        <v>0</v>
      </c>
      <c r="I13" s="31" t="n">
        <f aca="false">MAX(0,H13-D13-E13)</f>
        <v>0</v>
      </c>
      <c r="J13" s="32" t="n">
        <f aca="false">B13*P1_PVP+C13*P2_PVP</f>
        <v>0</v>
      </c>
      <c r="K13" s="32" t="str">
        <f aca="false">IF(H13&gt;0,J13/H13,"")</f>
        <v/>
      </c>
      <c r="L13" s="32" t="str">
        <f aca="false">IF(H13&gt;0,F13/H13,"")</f>
        <v/>
      </c>
      <c r="M13" s="57" t="str">
        <f aca="false">IF(F13&gt;0,J13/F13,"")</f>
        <v/>
      </c>
      <c r="N13" s="34" t="str">
        <f aca="false">IF(D13+E13&gt;0,D13/(D13+E13),"")</f>
        <v/>
      </c>
      <c r="O13" s="33" t="n">
        <f aca="false">IF(H13&gt;0,D13*(B13*(P1_BEN-P1_IVAN)+C13*(P2_BEN-P2_IVAN))/H13,0)-E13*(COSTE_DEV-IVA_DEV)-Y13</f>
        <v>0</v>
      </c>
      <c r="P13" s="33" t="n">
        <f aca="false">T13-U13-V13-W13-X13-Y13</f>
        <v>0</v>
      </c>
      <c r="R13" s="58" t="n">
        <f aca="false">D13+I13*TASA_USADA</f>
        <v>0</v>
      </c>
      <c r="S13" s="58" t="n">
        <f aca="false">E13+I13*(1-TASA_USADA)</f>
        <v>0</v>
      </c>
      <c r="T13" s="59" t="n">
        <f aca="false">IF(H13&gt;0,R13*J13/H13,0)</f>
        <v>0</v>
      </c>
      <c r="U13" s="59" t="n">
        <f aca="false">IF(H13&gt;0,R13*(B13*P1_CPROD+C13*P2_CPROD)/H13,0)</f>
        <v>0</v>
      </c>
      <c r="V13" s="59" t="n">
        <f aca="false">IF(H13&gt;0,R13*(B13*P1_LOG+C13*P2_LOG)/H13,0)</f>
        <v>0</v>
      </c>
      <c r="W13" s="59" t="n">
        <f aca="false">S13*COSTE_DEV</f>
        <v>0</v>
      </c>
      <c r="X13" s="59" t="n">
        <f aca="false">IF(H13&gt;0,R13*(B13*P1_IVAN+C13*P2_IVAN)/H13,0)-S13*IVA_DEV</f>
        <v>0</v>
      </c>
      <c r="Y13" s="59" t="n">
        <f aca="false">F13*(1+RECARGO_ADS)</f>
        <v>0</v>
      </c>
    </row>
    <row r="14" customFormat="false" ht="15" hidden="false" customHeight="false" outlineLevel="0" collapsed="false">
      <c r="A14" s="53" t="n">
        <v>46308</v>
      </c>
      <c r="B14" s="54"/>
      <c r="C14" s="54"/>
      <c r="D14" s="54"/>
      <c r="E14" s="54"/>
      <c r="F14" s="55"/>
      <c r="G14" s="56"/>
      <c r="H14" s="31" t="n">
        <f aca="false">B14+C14</f>
        <v>0</v>
      </c>
      <c r="I14" s="31" t="n">
        <f aca="false">MAX(0,H14-D14-E14)</f>
        <v>0</v>
      </c>
      <c r="J14" s="32" t="n">
        <f aca="false">B14*P1_PVP+C14*P2_PVP</f>
        <v>0</v>
      </c>
      <c r="K14" s="32" t="str">
        <f aca="false">IF(H14&gt;0,J14/H14,"")</f>
        <v/>
      </c>
      <c r="L14" s="32" t="str">
        <f aca="false">IF(H14&gt;0,F14/H14,"")</f>
        <v/>
      </c>
      <c r="M14" s="57" t="str">
        <f aca="false">IF(F14&gt;0,J14/F14,"")</f>
        <v/>
      </c>
      <c r="N14" s="34" t="str">
        <f aca="false">IF(D14+E14&gt;0,D14/(D14+E14),"")</f>
        <v/>
      </c>
      <c r="O14" s="33" t="n">
        <f aca="false">IF(H14&gt;0,D14*(B14*(P1_BEN-P1_IVAN)+C14*(P2_BEN-P2_IVAN))/H14,0)-E14*(COSTE_DEV-IVA_DEV)-Y14</f>
        <v>0</v>
      </c>
      <c r="P14" s="33" t="n">
        <f aca="false">T14-U14-V14-W14-X14-Y14</f>
        <v>0</v>
      </c>
      <c r="R14" s="58" t="n">
        <f aca="false">D14+I14*TASA_USADA</f>
        <v>0</v>
      </c>
      <c r="S14" s="58" t="n">
        <f aca="false">E14+I14*(1-TASA_USADA)</f>
        <v>0</v>
      </c>
      <c r="T14" s="59" t="n">
        <f aca="false">IF(H14&gt;0,R14*J14/H14,0)</f>
        <v>0</v>
      </c>
      <c r="U14" s="59" t="n">
        <f aca="false">IF(H14&gt;0,R14*(B14*P1_CPROD+C14*P2_CPROD)/H14,0)</f>
        <v>0</v>
      </c>
      <c r="V14" s="59" t="n">
        <f aca="false">IF(H14&gt;0,R14*(B14*P1_LOG+C14*P2_LOG)/H14,0)</f>
        <v>0</v>
      </c>
      <c r="W14" s="59" t="n">
        <f aca="false">S14*COSTE_DEV</f>
        <v>0</v>
      </c>
      <c r="X14" s="59" t="n">
        <f aca="false">IF(H14&gt;0,R14*(B14*P1_IVAN+C14*P2_IVAN)/H14,0)-S14*IVA_DEV</f>
        <v>0</v>
      </c>
      <c r="Y14" s="59" t="n">
        <f aca="false">F14*(1+RECARGO_ADS)</f>
        <v>0</v>
      </c>
    </row>
    <row r="15" customFormat="false" ht="15" hidden="false" customHeight="false" outlineLevel="0" collapsed="false">
      <c r="A15" s="53" t="n">
        <v>46309</v>
      </c>
      <c r="B15" s="54"/>
      <c r="C15" s="54"/>
      <c r="D15" s="54"/>
      <c r="E15" s="54"/>
      <c r="F15" s="55"/>
      <c r="G15" s="56"/>
      <c r="H15" s="31" t="n">
        <f aca="false">B15+C15</f>
        <v>0</v>
      </c>
      <c r="I15" s="31" t="n">
        <f aca="false">MAX(0,H15-D15-E15)</f>
        <v>0</v>
      </c>
      <c r="J15" s="32" t="n">
        <f aca="false">B15*P1_PVP+C15*P2_PVP</f>
        <v>0</v>
      </c>
      <c r="K15" s="32" t="str">
        <f aca="false">IF(H15&gt;0,J15/H15,"")</f>
        <v/>
      </c>
      <c r="L15" s="32" t="str">
        <f aca="false">IF(H15&gt;0,F15/H15,"")</f>
        <v/>
      </c>
      <c r="M15" s="57" t="str">
        <f aca="false">IF(F15&gt;0,J15/F15,"")</f>
        <v/>
      </c>
      <c r="N15" s="34" t="str">
        <f aca="false">IF(D15+E15&gt;0,D15/(D15+E15),"")</f>
        <v/>
      </c>
      <c r="O15" s="33" t="n">
        <f aca="false">IF(H15&gt;0,D15*(B15*(P1_BEN-P1_IVAN)+C15*(P2_BEN-P2_IVAN))/H15,0)-E15*(COSTE_DEV-IVA_DEV)-Y15</f>
        <v>0</v>
      </c>
      <c r="P15" s="33" t="n">
        <f aca="false">T15-U15-V15-W15-X15-Y15</f>
        <v>0</v>
      </c>
      <c r="R15" s="58" t="n">
        <f aca="false">D15+I15*TASA_USADA</f>
        <v>0</v>
      </c>
      <c r="S15" s="58" t="n">
        <f aca="false">E15+I15*(1-TASA_USADA)</f>
        <v>0</v>
      </c>
      <c r="T15" s="59" t="n">
        <f aca="false">IF(H15&gt;0,R15*J15/H15,0)</f>
        <v>0</v>
      </c>
      <c r="U15" s="59" t="n">
        <f aca="false">IF(H15&gt;0,R15*(B15*P1_CPROD+C15*P2_CPROD)/H15,0)</f>
        <v>0</v>
      </c>
      <c r="V15" s="59" t="n">
        <f aca="false">IF(H15&gt;0,R15*(B15*P1_LOG+C15*P2_LOG)/H15,0)</f>
        <v>0</v>
      </c>
      <c r="W15" s="59" t="n">
        <f aca="false">S15*COSTE_DEV</f>
        <v>0</v>
      </c>
      <c r="X15" s="59" t="n">
        <f aca="false">IF(H15&gt;0,R15*(B15*P1_IVAN+C15*P2_IVAN)/H15,0)-S15*IVA_DEV</f>
        <v>0</v>
      </c>
      <c r="Y15" s="59" t="n">
        <f aca="false">F15*(1+RECARGO_ADS)</f>
        <v>0</v>
      </c>
    </row>
    <row r="16" customFormat="false" ht="15" hidden="false" customHeight="false" outlineLevel="0" collapsed="false">
      <c r="A16" s="53" t="n">
        <v>46310</v>
      </c>
      <c r="B16" s="54"/>
      <c r="C16" s="54"/>
      <c r="D16" s="54"/>
      <c r="E16" s="54"/>
      <c r="F16" s="55"/>
      <c r="G16" s="56"/>
      <c r="H16" s="31" t="n">
        <f aca="false">B16+C16</f>
        <v>0</v>
      </c>
      <c r="I16" s="31" t="n">
        <f aca="false">MAX(0,H16-D16-E16)</f>
        <v>0</v>
      </c>
      <c r="J16" s="32" t="n">
        <f aca="false">B16*P1_PVP+C16*P2_PVP</f>
        <v>0</v>
      </c>
      <c r="K16" s="32" t="str">
        <f aca="false">IF(H16&gt;0,J16/H16,"")</f>
        <v/>
      </c>
      <c r="L16" s="32" t="str">
        <f aca="false">IF(H16&gt;0,F16/H16,"")</f>
        <v/>
      </c>
      <c r="M16" s="57" t="str">
        <f aca="false">IF(F16&gt;0,J16/F16,"")</f>
        <v/>
      </c>
      <c r="N16" s="34" t="str">
        <f aca="false">IF(D16+E16&gt;0,D16/(D16+E16),"")</f>
        <v/>
      </c>
      <c r="O16" s="33" t="n">
        <f aca="false">IF(H16&gt;0,D16*(B16*(P1_BEN-P1_IVAN)+C16*(P2_BEN-P2_IVAN))/H16,0)-E16*(COSTE_DEV-IVA_DEV)-Y16</f>
        <v>0</v>
      </c>
      <c r="P16" s="33" t="n">
        <f aca="false">T16-U16-V16-W16-X16-Y16</f>
        <v>0</v>
      </c>
      <c r="R16" s="58" t="n">
        <f aca="false">D16+I16*TASA_USADA</f>
        <v>0</v>
      </c>
      <c r="S16" s="58" t="n">
        <f aca="false">E16+I16*(1-TASA_USADA)</f>
        <v>0</v>
      </c>
      <c r="T16" s="59" t="n">
        <f aca="false">IF(H16&gt;0,R16*J16/H16,0)</f>
        <v>0</v>
      </c>
      <c r="U16" s="59" t="n">
        <f aca="false">IF(H16&gt;0,R16*(B16*P1_CPROD+C16*P2_CPROD)/H16,0)</f>
        <v>0</v>
      </c>
      <c r="V16" s="59" t="n">
        <f aca="false">IF(H16&gt;0,R16*(B16*P1_LOG+C16*P2_LOG)/H16,0)</f>
        <v>0</v>
      </c>
      <c r="W16" s="59" t="n">
        <f aca="false">S16*COSTE_DEV</f>
        <v>0</v>
      </c>
      <c r="X16" s="59" t="n">
        <f aca="false">IF(H16&gt;0,R16*(B16*P1_IVAN+C16*P2_IVAN)/H16,0)-S16*IVA_DEV</f>
        <v>0</v>
      </c>
      <c r="Y16" s="59" t="n">
        <f aca="false">F16*(1+RECARGO_ADS)</f>
        <v>0</v>
      </c>
    </row>
    <row r="17" customFormat="false" ht="15" hidden="false" customHeight="false" outlineLevel="0" collapsed="false">
      <c r="A17" s="53" t="n">
        <v>46311</v>
      </c>
      <c r="B17" s="54"/>
      <c r="C17" s="54"/>
      <c r="D17" s="54"/>
      <c r="E17" s="54"/>
      <c r="F17" s="55"/>
      <c r="G17" s="56"/>
      <c r="H17" s="31" t="n">
        <f aca="false">B17+C17</f>
        <v>0</v>
      </c>
      <c r="I17" s="31" t="n">
        <f aca="false">MAX(0,H17-D17-E17)</f>
        <v>0</v>
      </c>
      <c r="J17" s="32" t="n">
        <f aca="false">B17*P1_PVP+C17*P2_PVP</f>
        <v>0</v>
      </c>
      <c r="K17" s="32" t="str">
        <f aca="false">IF(H17&gt;0,J17/H17,"")</f>
        <v/>
      </c>
      <c r="L17" s="32" t="str">
        <f aca="false">IF(H17&gt;0,F17/H17,"")</f>
        <v/>
      </c>
      <c r="M17" s="57" t="str">
        <f aca="false">IF(F17&gt;0,J17/F17,"")</f>
        <v/>
      </c>
      <c r="N17" s="34" t="str">
        <f aca="false">IF(D17+E17&gt;0,D17/(D17+E17),"")</f>
        <v/>
      </c>
      <c r="O17" s="33" t="n">
        <f aca="false">IF(H17&gt;0,D17*(B17*(P1_BEN-P1_IVAN)+C17*(P2_BEN-P2_IVAN))/H17,0)-E17*(COSTE_DEV-IVA_DEV)-Y17</f>
        <v>0</v>
      </c>
      <c r="P17" s="33" t="n">
        <f aca="false">T17-U17-V17-W17-X17-Y17</f>
        <v>0</v>
      </c>
      <c r="R17" s="58" t="n">
        <f aca="false">D17+I17*TASA_USADA</f>
        <v>0</v>
      </c>
      <c r="S17" s="58" t="n">
        <f aca="false">E17+I17*(1-TASA_USADA)</f>
        <v>0</v>
      </c>
      <c r="T17" s="59" t="n">
        <f aca="false">IF(H17&gt;0,R17*J17/H17,0)</f>
        <v>0</v>
      </c>
      <c r="U17" s="59" t="n">
        <f aca="false">IF(H17&gt;0,R17*(B17*P1_CPROD+C17*P2_CPROD)/H17,0)</f>
        <v>0</v>
      </c>
      <c r="V17" s="59" t="n">
        <f aca="false">IF(H17&gt;0,R17*(B17*P1_LOG+C17*P2_LOG)/H17,0)</f>
        <v>0</v>
      </c>
      <c r="W17" s="59" t="n">
        <f aca="false">S17*COSTE_DEV</f>
        <v>0</v>
      </c>
      <c r="X17" s="59" t="n">
        <f aca="false">IF(H17&gt;0,R17*(B17*P1_IVAN+C17*P2_IVAN)/H17,0)-S17*IVA_DEV</f>
        <v>0</v>
      </c>
      <c r="Y17" s="59" t="n">
        <f aca="false">F17*(1+RECARGO_ADS)</f>
        <v>0</v>
      </c>
    </row>
    <row r="18" customFormat="false" ht="15" hidden="false" customHeight="false" outlineLevel="0" collapsed="false">
      <c r="A18" s="53" t="n">
        <v>46312</v>
      </c>
      <c r="B18" s="54"/>
      <c r="C18" s="54"/>
      <c r="D18" s="54"/>
      <c r="E18" s="54"/>
      <c r="F18" s="55"/>
      <c r="G18" s="56"/>
      <c r="H18" s="31" t="n">
        <f aca="false">B18+C18</f>
        <v>0</v>
      </c>
      <c r="I18" s="31" t="n">
        <f aca="false">MAX(0,H18-D18-E18)</f>
        <v>0</v>
      </c>
      <c r="J18" s="32" t="n">
        <f aca="false">B18*P1_PVP+C18*P2_PVP</f>
        <v>0</v>
      </c>
      <c r="K18" s="32" t="str">
        <f aca="false">IF(H18&gt;0,J18/H18,"")</f>
        <v/>
      </c>
      <c r="L18" s="32" t="str">
        <f aca="false">IF(H18&gt;0,F18/H18,"")</f>
        <v/>
      </c>
      <c r="M18" s="57" t="str">
        <f aca="false">IF(F18&gt;0,J18/F18,"")</f>
        <v/>
      </c>
      <c r="N18" s="34" t="str">
        <f aca="false">IF(D18+E18&gt;0,D18/(D18+E18),"")</f>
        <v/>
      </c>
      <c r="O18" s="33" t="n">
        <f aca="false">IF(H18&gt;0,D18*(B18*(P1_BEN-P1_IVAN)+C18*(P2_BEN-P2_IVAN))/H18,0)-E18*(COSTE_DEV-IVA_DEV)-Y18</f>
        <v>0</v>
      </c>
      <c r="P18" s="33" t="n">
        <f aca="false">T18-U18-V18-W18-X18-Y18</f>
        <v>0</v>
      </c>
      <c r="R18" s="58" t="n">
        <f aca="false">D18+I18*TASA_USADA</f>
        <v>0</v>
      </c>
      <c r="S18" s="58" t="n">
        <f aca="false">E18+I18*(1-TASA_USADA)</f>
        <v>0</v>
      </c>
      <c r="T18" s="59" t="n">
        <f aca="false">IF(H18&gt;0,R18*J18/H18,0)</f>
        <v>0</v>
      </c>
      <c r="U18" s="59" t="n">
        <f aca="false">IF(H18&gt;0,R18*(B18*P1_CPROD+C18*P2_CPROD)/H18,0)</f>
        <v>0</v>
      </c>
      <c r="V18" s="59" t="n">
        <f aca="false">IF(H18&gt;0,R18*(B18*P1_LOG+C18*P2_LOG)/H18,0)</f>
        <v>0</v>
      </c>
      <c r="W18" s="59" t="n">
        <f aca="false">S18*COSTE_DEV</f>
        <v>0</v>
      </c>
      <c r="X18" s="59" t="n">
        <f aca="false">IF(H18&gt;0,R18*(B18*P1_IVAN+C18*P2_IVAN)/H18,0)-S18*IVA_DEV</f>
        <v>0</v>
      </c>
      <c r="Y18" s="59" t="n">
        <f aca="false">F18*(1+RECARGO_ADS)</f>
        <v>0</v>
      </c>
    </row>
    <row r="19" customFormat="false" ht="15" hidden="false" customHeight="false" outlineLevel="0" collapsed="false">
      <c r="A19" s="53" t="n">
        <v>46313</v>
      </c>
      <c r="B19" s="54"/>
      <c r="C19" s="54"/>
      <c r="D19" s="54"/>
      <c r="E19" s="54"/>
      <c r="F19" s="55"/>
      <c r="G19" s="56"/>
      <c r="H19" s="31" t="n">
        <f aca="false">B19+C19</f>
        <v>0</v>
      </c>
      <c r="I19" s="31" t="n">
        <f aca="false">MAX(0,H19-D19-E19)</f>
        <v>0</v>
      </c>
      <c r="J19" s="32" t="n">
        <f aca="false">B19*P1_PVP+C19*P2_PVP</f>
        <v>0</v>
      </c>
      <c r="K19" s="32" t="str">
        <f aca="false">IF(H19&gt;0,J19/H19,"")</f>
        <v/>
      </c>
      <c r="L19" s="32" t="str">
        <f aca="false">IF(H19&gt;0,F19/H19,"")</f>
        <v/>
      </c>
      <c r="M19" s="57" t="str">
        <f aca="false">IF(F19&gt;0,J19/F19,"")</f>
        <v/>
      </c>
      <c r="N19" s="34" t="str">
        <f aca="false">IF(D19+E19&gt;0,D19/(D19+E19),"")</f>
        <v/>
      </c>
      <c r="O19" s="33" t="n">
        <f aca="false">IF(H19&gt;0,D19*(B19*(P1_BEN-P1_IVAN)+C19*(P2_BEN-P2_IVAN))/H19,0)-E19*(COSTE_DEV-IVA_DEV)-Y19</f>
        <v>0</v>
      </c>
      <c r="P19" s="33" t="n">
        <f aca="false">T19-U19-V19-W19-X19-Y19</f>
        <v>0</v>
      </c>
      <c r="R19" s="58" t="n">
        <f aca="false">D19+I19*TASA_USADA</f>
        <v>0</v>
      </c>
      <c r="S19" s="58" t="n">
        <f aca="false">E19+I19*(1-TASA_USADA)</f>
        <v>0</v>
      </c>
      <c r="T19" s="59" t="n">
        <f aca="false">IF(H19&gt;0,R19*J19/H19,0)</f>
        <v>0</v>
      </c>
      <c r="U19" s="59" t="n">
        <f aca="false">IF(H19&gt;0,R19*(B19*P1_CPROD+C19*P2_CPROD)/H19,0)</f>
        <v>0</v>
      </c>
      <c r="V19" s="59" t="n">
        <f aca="false">IF(H19&gt;0,R19*(B19*P1_LOG+C19*P2_LOG)/H19,0)</f>
        <v>0</v>
      </c>
      <c r="W19" s="59" t="n">
        <f aca="false">S19*COSTE_DEV</f>
        <v>0</v>
      </c>
      <c r="X19" s="59" t="n">
        <f aca="false">IF(H19&gt;0,R19*(B19*P1_IVAN+C19*P2_IVAN)/H19,0)-S19*IVA_DEV</f>
        <v>0</v>
      </c>
      <c r="Y19" s="59" t="n">
        <f aca="false">F19*(1+RECARGO_ADS)</f>
        <v>0</v>
      </c>
    </row>
    <row r="20" customFormat="false" ht="15" hidden="false" customHeight="false" outlineLevel="0" collapsed="false">
      <c r="A20" s="53" t="n">
        <v>46314</v>
      </c>
      <c r="B20" s="54"/>
      <c r="C20" s="54"/>
      <c r="D20" s="54"/>
      <c r="E20" s="54"/>
      <c r="F20" s="55"/>
      <c r="G20" s="56"/>
      <c r="H20" s="31" t="n">
        <f aca="false">B20+C20</f>
        <v>0</v>
      </c>
      <c r="I20" s="31" t="n">
        <f aca="false">MAX(0,H20-D20-E20)</f>
        <v>0</v>
      </c>
      <c r="J20" s="32" t="n">
        <f aca="false">B20*P1_PVP+C20*P2_PVP</f>
        <v>0</v>
      </c>
      <c r="K20" s="32" t="str">
        <f aca="false">IF(H20&gt;0,J20/H20,"")</f>
        <v/>
      </c>
      <c r="L20" s="32" t="str">
        <f aca="false">IF(H20&gt;0,F20/H20,"")</f>
        <v/>
      </c>
      <c r="M20" s="57" t="str">
        <f aca="false">IF(F20&gt;0,J20/F20,"")</f>
        <v/>
      </c>
      <c r="N20" s="34" t="str">
        <f aca="false">IF(D20+E20&gt;0,D20/(D20+E20),"")</f>
        <v/>
      </c>
      <c r="O20" s="33" t="n">
        <f aca="false">IF(H20&gt;0,D20*(B20*(P1_BEN-P1_IVAN)+C20*(P2_BEN-P2_IVAN))/H20,0)-E20*(COSTE_DEV-IVA_DEV)-Y20</f>
        <v>0</v>
      </c>
      <c r="P20" s="33" t="n">
        <f aca="false">T20-U20-V20-W20-X20-Y20</f>
        <v>0</v>
      </c>
      <c r="R20" s="58" t="n">
        <f aca="false">D20+I20*TASA_USADA</f>
        <v>0</v>
      </c>
      <c r="S20" s="58" t="n">
        <f aca="false">E20+I20*(1-TASA_USADA)</f>
        <v>0</v>
      </c>
      <c r="T20" s="59" t="n">
        <f aca="false">IF(H20&gt;0,R20*J20/H20,0)</f>
        <v>0</v>
      </c>
      <c r="U20" s="59" t="n">
        <f aca="false">IF(H20&gt;0,R20*(B20*P1_CPROD+C20*P2_CPROD)/H20,0)</f>
        <v>0</v>
      </c>
      <c r="V20" s="59" t="n">
        <f aca="false">IF(H20&gt;0,R20*(B20*P1_LOG+C20*P2_LOG)/H20,0)</f>
        <v>0</v>
      </c>
      <c r="W20" s="59" t="n">
        <f aca="false">S20*COSTE_DEV</f>
        <v>0</v>
      </c>
      <c r="X20" s="59" t="n">
        <f aca="false">IF(H20&gt;0,R20*(B20*P1_IVAN+C20*P2_IVAN)/H20,0)-S20*IVA_DEV</f>
        <v>0</v>
      </c>
      <c r="Y20" s="59" t="n">
        <f aca="false">F20*(1+RECARGO_ADS)</f>
        <v>0</v>
      </c>
    </row>
    <row r="21" customFormat="false" ht="15" hidden="false" customHeight="false" outlineLevel="0" collapsed="false">
      <c r="A21" s="53" t="n">
        <v>46315</v>
      </c>
      <c r="B21" s="54"/>
      <c r="C21" s="54"/>
      <c r="D21" s="54"/>
      <c r="E21" s="54"/>
      <c r="F21" s="55"/>
      <c r="G21" s="56"/>
      <c r="H21" s="31" t="n">
        <f aca="false">B21+C21</f>
        <v>0</v>
      </c>
      <c r="I21" s="31" t="n">
        <f aca="false">MAX(0,H21-D21-E21)</f>
        <v>0</v>
      </c>
      <c r="J21" s="32" t="n">
        <f aca="false">B21*P1_PVP+C21*P2_PVP</f>
        <v>0</v>
      </c>
      <c r="K21" s="32" t="str">
        <f aca="false">IF(H21&gt;0,J21/H21,"")</f>
        <v/>
      </c>
      <c r="L21" s="32" t="str">
        <f aca="false">IF(H21&gt;0,F21/H21,"")</f>
        <v/>
      </c>
      <c r="M21" s="57" t="str">
        <f aca="false">IF(F21&gt;0,J21/F21,"")</f>
        <v/>
      </c>
      <c r="N21" s="34" t="str">
        <f aca="false">IF(D21+E21&gt;0,D21/(D21+E21),"")</f>
        <v/>
      </c>
      <c r="O21" s="33" t="n">
        <f aca="false">IF(H21&gt;0,D21*(B21*(P1_BEN-P1_IVAN)+C21*(P2_BEN-P2_IVAN))/H21,0)-E21*(COSTE_DEV-IVA_DEV)-Y21</f>
        <v>0</v>
      </c>
      <c r="P21" s="33" t="n">
        <f aca="false">T21-U21-V21-W21-X21-Y21</f>
        <v>0</v>
      </c>
      <c r="R21" s="58" t="n">
        <f aca="false">D21+I21*TASA_USADA</f>
        <v>0</v>
      </c>
      <c r="S21" s="58" t="n">
        <f aca="false">E21+I21*(1-TASA_USADA)</f>
        <v>0</v>
      </c>
      <c r="T21" s="59" t="n">
        <f aca="false">IF(H21&gt;0,R21*J21/H21,0)</f>
        <v>0</v>
      </c>
      <c r="U21" s="59" t="n">
        <f aca="false">IF(H21&gt;0,R21*(B21*P1_CPROD+C21*P2_CPROD)/H21,0)</f>
        <v>0</v>
      </c>
      <c r="V21" s="59" t="n">
        <f aca="false">IF(H21&gt;0,R21*(B21*P1_LOG+C21*P2_LOG)/H21,0)</f>
        <v>0</v>
      </c>
      <c r="W21" s="59" t="n">
        <f aca="false">S21*COSTE_DEV</f>
        <v>0</v>
      </c>
      <c r="X21" s="59" t="n">
        <f aca="false">IF(H21&gt;0,R21*(B21*P1_IVAN+C21*P2_IVAN)/H21,0)-S21*IVA_DEV</f>
        <v>0</v>
      </c>
      <c r="Y21" s="59" t="n">
        <f aca="false">F21*(1+RECARGO_ADS)</f>
        <v>0</v>
      </c>
    </row>
    <row r="22" customFormat="false" ht="15" hidden="false" customHeight="false" outlineLevel="0" collapsed="false">
      <c r="A22" s="53" t="n">
        <v>46316</v>
      </c>
      <c r="B22" s="54"/>
      <c r="C22" s="54"/>
      <c r="D22" s="54"/>
      <c r="E22" s="54"/>
      <c r="F22" s="55"/>
      <c r="G22" s="56"/>
      <c r="H22" s="31" t="n">
        <f aca="false">B22+C22</f>
        <v>0</v>
      </c>
      <c r="I22" s="31" t="n">
        <f aca="false">MAX(0,H22-D22-E22)</f>
        <v>0</v>
      </c>
      <c r="J22" s="32" t="n">
        <f aca="false">B22*P1_PVP+C22*P2_PVP</f>
        <v>0</v>
      </c>
      <c r="K22" s="32" t="str">
        <f aca="false">IF(H22&gt;0,J22/H22,"")</f>
        <v/>
      </c>
      <c r="L22" s="32" t="str">
        <f aca="false">IF(H22&gt;0,F22/H22,"")</f>
        <v/>
      </c>
      <c r="M22" s="57" t="str">
        <f aca="false">IF(F22&gt;0,J22/F22,"")</f>
        <v/>
      </c>
      <c r="N22" s="34" t="str">
        <f aca="false">IF(D22+E22&gt;0,D22/(D22+E22),"")</f>
        <v/>
      </c>
      <c r="O22" s="33" t="n">
        <f aca="false">IF(H22&gt;0,D22*(B22*(P1_BEN-P1_IVAN)+C22*(P2_BEN-P2_IVAN))/H22,0)-E22*(COSTE_DEV-IVA_DEV)-Y22</f>
        <v>0</v>
      </c>
      <c r="P22" s="33" t="n">
        <f aca="false">T22-U22-V22-W22-X22-Y22</f>
        <v>0</v>
      </c>
      <c r="R22" s="58" t="n">
        <f aca="false">D22+I22*TASA_USADA</f>
        <v>0</v>
      </c>
      <c r="S22" s="58" t="n">
        <f aca="false">E22+I22*(1-TASA_USADA)</f>
        <v>0</v>
      </c>
      <c r="T22" s="59" t="n">
        <f aca="false">IF(H22&gt;0,R22*J22/H22,0)</f>
        <v>0</v>
      </c>
      <c r="U22" s="59" t="n">
        <f aca="false">IF(H22&gt;0,R22*(B22*P1_CPROD+C22*P2_CPROD)/H22,0)</f>
        <v>0</v>
      </c>
      <c r="V22" s="59" t="n">
        <f aca="false">IF(H22&gt;0,R22*(B22*P1_LOG+C22*P2_LOG)/H22,0)</f>
        <v>0</v>
      </c>
      <c r="W22" s="59" t="n">
        <f aca="false">S22*COSTE_DEV</f>
        <v>0</v>
      </c>
      <c r="X22" s="59" t="n">
        <f aca="false">IF(H22&gt;0,R22*(B22*P1_IVAN+C22*P2_IVAN)/H22,0)-S22*IVA_DEV</f>
        <v>0</v>
      </c>
      <c r="Y22" s="59" t="n">
        <f aca="false">F22*(1+RECARGO_ADS)</f>
        <v>0</v>
      </c>
    </row>
    <row r="23" customFormat="false" ht="15" hidden="false" customHeight="false" outlineLevel="0" collapsed="false">
      <c r="A23" s="53" t="n">
        <v>46317</v>
      </c>
      <c r="B23" s="54"/>
      <c r="C23" s="54"/>
      <c r="D23" s="54"/>
      <c r="E23" s="54"/>
      <c r="F23" s="55"/>
      <c r="G23" s="56"/>
      <c r="H23" s="31" t="n">
        <f aca="false">B23+C23</f>
        <v>0</v>
      </c>
      <c r="I23" s="31" t="n">
        <f aca="false">MAX(0,H23-D23-E23)</f>
        <v>0</v>
      </c>
      <c r="J23" s="32" t="n">
        <f aca="false">B23*P1_PVP+C23*P2_PVP</f>
        <v>0</v>
      </c>
      <c r="K23" s="32" t="str">
        <f aca="false">IF(H23&gt;0,J23/H23,"")</f>
        <v/>
      </c>
      <c r="L23" s="32" t="str">
        <f aca="false">IF(H23&gt;0,F23/H23,"")</f>
        <v/>
      </c>
      <c r="M23" s="57" t="str">
        <f aca="false">IF(F23&gt;0,J23/F23,"")</f>
        <v/>
      </c>
      <c r="N23" s="34" t="str">
        <f aca="false">IF(D23+E23&gt;0,D23/(D23+E23),"")</f>
        <v/>
      </c>
      <c r="O23" s="33" t="n">
        <f aca="false">IF(H23&gt;0,D23*(B23*(P1_BEN-P1_IVAN)+C23*(P2_BEN-P2_IVAN))/H23,0)-E23*(COSTE_DEV-IVA_DEV)-Y23</f>
        <v>0</v>
      </c>
      <c r="P23" s="33" t="n">
        <f aca="false">T23-U23-V23-W23-X23-Y23</f>
        <v>0</v>
      </c>
      <c r="R23" s="58" t="n">
        <f aca="false">D23+I23*TASA_USADA</f>
        <v>0</v>
      </c>
      <c r="S23" s="58" t="n">
        <f aca="false">E23+I23*(1-TASA_USADA)</f>
        <v>0</v>
      </c>
      <c r="T23" s="59" t="n">
        <f aca="false">IF(H23&gt;0,R23*J23/H23,0)</f>
        <v>0</v>
      </c>
      <c r="U23" s="59" t="n">
        <f aca="false">IF(H23&gt;0,R23*(B23*P1_CPROD+C23*P2_CPROD)/H23,0)</f>
        <v>0</v>
      </c>
      <c r="V23" s="59" t="n">
        <f aca="false">IF(H23&gt;0,R23*(B23*P1_LOG+C23*P2_LOG)/H23,0)</f>
        <v>0</v>
      </c>
      <c r="W23" s="59" t="n">
        <f aca="false">S23*COSTE_DEV</f>
        <v>0</v>
      </c>
      <c r="X23" s="59" t="n">
        <f aca="false">IF(H23&gt;0,R23*(B23*P1_IVAN+C23*P2_IVAN)/H23,0)-S23*IVA_DEV</f>
        <v>0</v>
      </c>
      <c r="Y23" s="59" t="n">
        <f aca="false">F23*(1+RECARGO_ADS)</f>
        <v>0</v>
      </c>
    </row>
    <row r="24" customFormat="false" ht="15" hidden="false" customHeight="false" outlineLevel="0" collapsed="false">
      <c r="A24" s="53" t="n">
        <v>46318</v>
      </c>
      <c r="B24" s="54"/>
      <c r="C24" s="54"/>
      <c r="D24" s="54"/>
      <c r="E24" s="54"/>
      <c r="F24" s="55"/>
      <c r="G24" s="56"/>
      <c r="H24" s="31" t="n">
        <f aca="false">B24+C24</f>
        <v>0</v>
      </c>
      <c r="I24" s="31" t="n">
        <f aca="false">MAX(0,H24-D24-E24)</f>
        <v>0</v>
      </c>
      <c r="J24" s="32" t="n">
        <f aca="false">B24*P1_PVP+C24*P2_PVP</f>
        <v>0</v>
      </c>
      <c r="K24" s="32" t="str">
        <f aca="false">IF(H24&gt;0,J24/H24,"")</f>
        <v/>
      </c>
      <c r="L24" s="32" t="str">
        <f aca="false">IF(H24&gt;0,F24/H24,"")</f>
        <v/>
      </c>
      <c r="M24" s="57" t="str">
        <f aca="false">IF(F24&gt;0,J24/F24,"")</f>
        <v/>
      </c>
      <c r="N24" s="34" t="str">
        <f aca="false">IF(D24+E24&gt;0,D24/(D24+E24),"")</f>
        <v/>
      </c>
      <c r="O24" s="33" t="n">
        <f aca="false">IF(H24&gt;0,D24*(B24*(P1_BEN-P1_IVAN)+C24*(P2_BEN-P2_IVAN))/H24,0)-E24*(COSTE_DEV-IVA_DEV)-Y24</f>
        <v>0</v>
      </c>
      <c r="P24" s="33" t="n">
        <f aca="false">T24-U24-V24-W24-X24-Y24</f>
        <v>0</v>
      </c>
      <c r="R24" s="58" t="n">
        <f aca="false">D24+I24*TASA_USADA</f>
        <v>0</v>
      </c>
      <c r="S24" s="58" t="n">
        <f aca="false">E24+I24*(1-TASA_USADA)</f>
        <v>0</v>
      </c>
      <c r="T24" s="59" t="n">
        <f aca="false">IF(H24&gt;0,R24*J24/H24,0)</f>
        <v>0</v>
      </c>
      <c r="U24" s="59" t="n">
        <f aca="false">IF(H24&gt;0,R24*(B24*P1_CPROD+C24*P2_CPROD)/H24,0)</f>
        <v>0</v>
      </c>
      <c r="V24" s="59" t="n">
        <f aca="false">IF(H24&gt;0,R24*(B24*P1_LOG+C24*P2_LOG)/H24,0)</f>
        <v>0</v>
      </c>
      <c r="W24" s="59" t="n">
        <f aca="false">S24*COSTE_DEV</f>
        <v>0</v>
      </c>
      <c r="X24" s="59" t="n">
        <f aca="false">IF(H24&gt;0,R24*(B24*P1_IVAN+C24*P2_IVAN)/H24,0)-S24*IVA_DEV</f>
        <v>0</v>
      </c>
      <c r="Y24" s="59" t="n">
        <f aca="false">F24*(1+RECARGO_ADS)</f>
        <v>0</v>
      </c>
    </row>
    <row r="25" customFormat="false" ht="15" hidden="false" customHeight="false" outlineLevel="0" collapsed="false">
      <c r="A25" s="53" t="n">
        <v>46319</v>
      </c>
      <c r="B25" s="54"/>
      <c r="C25" s="54"/>
      <c r="D25" s="54"/>
      <c r="E25" s="54"/>
      <c r="F25" s="55"/>
      <c r="G25" s="56"/>
      <c r="H25" s="31" t="n">
        <f aca="false">B25+C25</f>
        <v>0</v>
      </c>
      <c r="I25" s="31" t="n">
        <f aca="false">MAX(0,H25-D25-E25)</f>
        <v>0</v>
      </c>
      <c r="J25" s="32" t="n">
        <f aca="false">B25*P1_PVP+C25*P2_PVP</f>
        <v>0</v>
      </c>
      <c r="K25" s="32" t="str">
        <f aca="false">IF(H25&gt;0,J25/H25,"")</f>
        <v/>
      </c>
      <c r="L25" s="32" t="str">
        <f aca="false">IF(H25&gt;0,F25/H25,"")</f>
        <v/>
      </c>
      <c r="M25" s="57" t="str">
        <f aca="false">IF(F25&gt;0,J25/F25,"")</f>
        <v/>
      </c>
      <c r="N25" s="34" t="str">
        <f aca="false">IF(D25+E25&gt;0,D25/(D25+E25),"")</f>
        <v/>
      </c>
      <c r="O25" s="33" t="n">
        <f aca="false">IF(H25&gt;0,D25*(B25*(P1_BEN-P1_IVAN)+C25*(P2_BEN-P2_IVAN))/H25,0)-E25*(COSTE_DEV-IVA_DEV)-Y25</f>
        <v>0</v>
      </c>
      <c r="P25" s="33" t="n">
        <f aca="false">T25-U25-V25-W25-X25-Y25</f>
        <v>0</v>
      </c>
      <c r="R25" s="58" t="n">
        <f aca="false">D25+I25*TASA_USADA</f>
        <v>0</v>
      </c>
      <c r="S25" s="58" t="n">
        <f aca="false">E25+I25*(1-TASA_USADA)</f>
        <v>0</v>
      </c>
      <c r="T25" s="59" t="n">
        <f aca="false">IF(H25&gt;0,R25*J25/H25,0)</f>
        <v>0</v>
      </c>
      <c r="U25" s="59" t="n">
        <f aca="false">IF(H25&gt;0,R25*(B25*P1_CPROD+C25*P2_CPROD)/H25,0)</f>
        <v>0</v>
      </c>
      <c r="V25" s="59" t="n">
        <f aca="false">IF(H25&gt;0,R25*(B25*P1_LOG+C25*P2_LOG)/H25,0)</f>
        <v>0</v>
      </c>
      <c r="W25" s="59" t="n">
        <f aca="false">S25*COSTE_DEV</f>
        <v>0</v>
      </c>
      <c r="X25" s="59" t="n">
        <f aca="false">IF(H25&gt;0,R25*(B25*P1_IVAN+C25*P2_IVAN)/H25,0)-S25*IVA_DEV</f>
        <v>0</v>
      </c>
      <c r="Y25" s="59" t="n">
        <f aca="false">F25*(1+RECARGO_ADS)</f>
        <v>0</v>
      </c>
    </row>
    <row r="26" customFormat="false" ht="15" hidden="false" customHeight="false" outlineLevel="0" collapsed="false">
      <c r="A26" s="53" t="n">
        <v>46320</v>
      </c>
      <c r="B26" s="54"/>
      <c r="C26" s="54"/>
      <c r="D26" s="54"/>
      <c r="E26" s="54"/>
      <c r="F26" s="55"/>
      <c r="G26" s="56"/>
      <c r="H26" s="31" t="n">
        <f aca="false">B26+C26</f>
        <v>0</v>
      </c>
      <c r="I26" s="31" t="n">
        <f aca="false">MAX(0,H26-D26-E26)</f>
        <v>0</v>
      </c>
      <c r="J26" s="32" t="n">
        <f aca="false">B26*P1_PVP+C26*P2_PVP</f>
        <v>0</v>
      </c>
      <c r="K26" s="32" t="str">
        <f aca="false">IF(H26&gt;0,J26/H26,"")</f>
        <v/>
      </c>
      <c r="L26" s="32" t="str">
        <f aca="false">IF(H26&gt;0,F26/H26,"")</f>
        <v/>
      </c>
      <c r="M26" s="57" t="str">
        <f aca="false">IF(F26&gt;0,J26/F26,"")</f>
        <v/>
      </c>
      <c r="N26" s="34" t="str">
        <f aca="false">IF(D26+E26&gt;0,D26/(D26+E26),"")</f>
        <v/>
      </c>
      <c r="O26" s="33" t="n">
        <f aca="false">IF(H26&gt;0,D26*(B26*(P1_BEN-P1_IVAN)+C26*(P2_BEN-P2_IVAN))/H26,0)-E26*(COSTE_DEV-IVA_DEV)-Y26</f>
        <v>0</v>
      </c>
      <c r="P26" s="33" t="n">
        <f aca="false">T26-U26-V26-W26-X26-Y26</f>
        <v>0</v>
      </c>
      <c r="R26" s="58" t="n">
        <f aca="false">D26+I26*TASA_USADA</f>
        <v>0</v>
      </c>
      <c r="S26" s="58" t="n">
        <f aca="false">E26+I26*(1-TASA_USADA)</f>
        <v>0</v>
      </c>
      <c r="T26" s="59" t="n">
        <f aca="false">IF(H26&gt;0,R26*J26/H26,0)</f>
        <v>0</v>
      </c>
      <c r="U26" s="59" t="n">
        <f aca="false">IF(H26&gt;0,R26*(B26*P1_CPROD+C26*P2_CPROD)/H26,0)</f>
        <v>0</v>
      </c>
      <c r="V26" s="59" t="n">
        <f aca="false">IF(H26&gt;0,R26*(B26*P1_LOG+C26*P2_LOG)/H26,0)</f>
        <v>0</v>
      </c>
      <c r="W26" s="59" t="n">
        <f aca="false">S26*COSTE_DEV</f>
        <v>0</v>
      </c>
      <c r="X26" s="59" t="n">
        <f aca="false">IF(H26&gt;0,R26*(B26*P1_IVAN+C26*P2_IVAN)/H26,0)-S26*IVA_DEV</f>
        <v>0</v>
      </c>
      <c r="Y26" s="59" t="n">
        <f aca="false">F26*(1+RECARGO_ADS)</f>
        <v>0</v>
      </c>
    </row>
    <row r="27" customFormat="false" ht="15" hidden="false" customHeight="false" outlineLevel="0" collapsed="false">
      <c r="A27" s="53" t="n">
        <v>46321</v>
      </c>
      <c r="B27" s="54"/>
      <c r="C27" s="54"/>
      <c r="D27" s="54"/>
      <c r="E27" s="54"/>
      <c r="F27" s="55"/>
      <c r="G27" s="56"/>
      <c r="H27" s="31" t="n">
        <f aca="false">B27+C27</f>
        <v>0</v>
      </c>
      <c r="I27" s="31" t="n">
        <f aca="false">MAX(0,H27-D27-E27)</f>
        <v>0</v>
      </c>
      <c r="J27" s="32" t="n">
        <f aca="false">B27*P1_PVP+C27*P2_PVP</f>
        <v>0</v>
      </c>
      <c r="K27" s="32" t="str">
        <f aca="false">IF(H27&gt;0,J27/H27,"")</f>
        <v/>
      </c>
      <c r="L27" s="32" t="str">
        <f aca="false">IF(H27&gt;0,F27/H27,"")</f>
        <v/>
      </c>
      <c r="M27" s="57" t="str">
        <f aca="false">IF(F27&gt;0,J27/F27,"")</f>
        <v/>
      </c>
      <c r="N27" s="34" t="str">
        <f aca="false">IF(D27+E27&gt;0,D27/(D27+E27),"")</f>
        <v/>
      </c>
      <c r="O27" s="33" t="n">
        <f aca="false">IF(H27&gt;0,D27*(B27*(P1_BEN-P1_IVAN)+C27*(P2_BEN-P2_IVAN))/H27,0)-E27*(COSTE_DEV-IVA_DEV)-Y27</f>
        <v>0</v>
      </c>
      <c r="P27" s="33" t="n">
        <f aca="false">T27-U27-V27-W27-X27-Y27</f>
        <v>0</v>
      </c>
      <c r="R27" s="58" t="n">
        <f aca="false">D27+I27*TASA_USADA</f>
        <v>0</v>
      </c>
      <c r="S27" s="58" t="n">
        <f aca="false">E27+I27*(1-TASA_USADA)</f>
        <v>0</v>
      </c>
      <c r="T27" s="59" t="n">
        <f aca="false">IF(H27&gt;0,R27*J27/H27,0)</f>
        <v>0</v>
      </c>
      <c r="U27" s="59" t="n">
        <f aca="false">IF(H27&gt;0,R27*(B27*P1_CPROD+C27*P2_CPROD)/H27,0)</f>
        <v>0</v>
      </c>
      <c r="V27" s="59" t="n">
        <f aca="false">IF(H27&gt;0,R27*(B27*P1_LOG+C27*P2_LOG)/H27,0)</f>
        <v>0</v>
      </c>
      <c r="W27" s="59" t="n">
        <f aca="false">S27*COSTE_DEV</f>
        <v>0</v>
      </c>
      <c r="X27" s="59" t="n">
        <f aca="false">IF(H27&gt;0,R27*(B27*P1_IVAN+C27*P2_IVAN)/H27,0)-S27*IVA_DEV</f>
        <v>0</v>
      </c>
      <c r="Y27" s="59" t="n">
        <f aca="false">F27*(1+RECARGO_ADS)</f>
        <v>0</v>
      </c>
    </row>
    <row r="28" customFormat="false" ht="15" hidden="false" customHeight="false" outlineLevel="0" collapsed="false">
      <c r="A28" s="53" t="n">
        <v>46322</v>
      </c>
      <c r="B28" s="54"/>
      <c r="C28" s="54"/>
      <c r="D28" s="54"/>
      <c r="E28" s="54"/>
      <c r="F28" s="55"/>
      <c r="G28" s="56"/>
      <c r="H28" s="31" t="n">
        <f aca="false">B28+C28</f>
        <v>0</v>
      </c>
      <c r="I28" s="31" t="n">
        <f aca="false">MAX(0,H28-D28-E28)</f>
        <v>0</v>
      </c>
      <c r="J28" s="32" t="n">
        <f aca="false">B28*P1_PVP+C28*P2_PVP</f>
        <v>0</v>
      </c>
      <c r="K28" s="32" t="str">
        <f aca="false">IF(H28&gt;0,J28/H28,"")</f>
        <v/>
      </c>
      <c r="L28" s="32" t="str">
        <f aca="false">IF(H28&gt;0,F28/H28,"")</f>
        <v/>
      </c>
      <c r="M28" s="57" t="str">
        <f aca="false">IF(F28&gt;0,J28/F28,"")</f>
        <v/>
      </c>
      <c r="N28" s="34" t="str">
        <f aca="false">IF(D28+E28&gt;0,D28/(D28+E28),"")</f>
        <v/>
      </c>
      <c r="O28" s="33" t="n">
        <f aca="false">IF(H28&gt;0,D28*(B28*(P1_BEN-P1_IVAN)+C28*(P2_BEN-P2_IVAN))/H28,0)-E28*(COSTE_DEV-IVA_DEV)-Y28</f>
        <v>0</v>
      </c>
      <c r="P28" s="33" t="n">
        <f aca="false">T28-U28-V28-W28-X28-Y28</f>
        <v>0</v>
      </c>
      <c r="R28" s="58" t="n">
        <f aca="false">D28+I28*TASA_USADA</f>
        <v>0</v>
      </c>
      <c r="S28" s="58" t="n">
        <f aca="false">E28+I28*(1-TASA_USADA)</f>
        <v>0</v>
      </c>
      <c r="T28" s="59" t="n">
        <f aca="false">IF(H28&gt;0,R28*J28/H28,0)</f>
        <v>0</v>
      </c>
      <c r="U28" s="59" t="n">
        <f aca="false">IF(H28&gt;0,R28*(B28*P1_CPROD+C28*P2_CPROD)/H28,0)</f>
        <v>0</v>
      </c>
      <c r="V28" s="59" t="n">
        <f aca="false">IF(H28&gt;0,R28*(B28*P1_LOG+C28*P2_LOG)/H28,0)</f>
        <v>0</v>
      </c>
      <c r="W28" s="59" t="n">
        <f aca="false">S28*COSTE_DEV</f>
        <v>0</v>
      </c>
      <c r="X28" s="59" t="n">
        <f aca="false">IF(H28&gt;0,R28*(B28*P1_IVAN+C28*P2_IVAN)/H28,0)-S28*IVA_DEV</f>
        <v>0</v>
      </c>
      <c r="Y28" s="59" t="n">
        <f aca="false">F28*(1+RECARGO_ADS)</f>
        <v>0</v>
      </c>
    </row>
    <row r="29" customFormat="false" ht="15" hidden="false" customHeight="false" outlineLevel="0" collapsed="false">
      <c r="A29" s="53" t="n">
        <v>46323</v>
      </c>
      <c r="B29" s="54"/>
      <c r="C29" s="54"/>
      <c r="D29" s="54"/>
      <c r="E29" s="54"/>
      <c r="F29" s="55"/>
      <c r="G29" s="56"/>
      <c r="H29" s="31" t="n">
        <f aca="false">B29+C29</f>
        <v>0</v>
      </c>
      <c r="I29" s="31" t="n">
        <f aca="false">MAX(0,H29-D29-E29)</f>
        <v>0</v>
      </c>
      <c r="J29" s="32" t="n">
        <f aca="false">B29*P1_PVP+C29*P2_PVP</f>
        <v>0</v>
      </c>
      <c r="K29" s="32" t="str">
        <f aca="false">IF(H29&gt;0,J29/H29,"")</f>
        <v/>
      </c>
      <c r="L29" s="32" t="str">
        <f aca="false">IF(H29&gt;0,F29/H29,"")</f>
        <v/>
      </c>
      <c r="M29" s="57" t="str">
        <f aca="false">IF(F29&gt;0,J29/F29,"")</f>
        <v/>
      </c>
      <c r="N29" s="34" t="str">
        <f aca="false">IF(D29+E29&gt;0,D29/(D29+E29),"")</f>
        <v/>
      </c>
      <c r="O29" s="33" t="n">
        <f aca="false">IF(H29&gt;0,D29*(B29*(P1_BEN-P1_IVAN)+C29*(P2_BEN-P2_IVAN))/H29,0)-E29*(COSTE_DEV-IVA_DEV)-Y29</f>
        <v>0</v>
      </c>
      <c r="P29" s="33" t="n">
        <f aca="false">T29-U29-V29-W29-X29-Y29</f>
        <v>0</v>
      </c>
      <c r="R29" s="58" t="n">
        <f aca="false">D29+I29*TASA_USADA</f>
        <v>0</v>
      </c>
      <c r="S29" s="58" t="n">
        <f aca="false">E29+I29*(1-TASA_USADA)</f>
        <v>0</v>
      </c>
      <c r="T29" s="59" t="n">
        <f aca="false">IF(H29&gt;0,R29*J29/H29,0)</f>
        <v>0</v>
      </c>
      <c r="U29" s="59" t="n">
        <f aca="false">IF(H29&gt;0,R29*(B29*P1_CPROD+C29*P2_CPROD)/H29,0)</f>
        <v>0</v>
      </c>
      <c r="V29" s="59" t="n">
        <f aca="false">IF(H29&gt;0,R29*(B29*P1_LOG+C29*P2_LOG)/H29,0)</f>
        <v>0</v>
      </c>
      <c r="W29" s="59" t="n">
        <f aca="false">S29*COSTE_DEV</f>
        <v>0</v>
      </c>
      <c r="X29" s="59" t="n">
        <f aca="false">IF(H29&gt;0,R29*(B29*P1_IVAN+C29*P2_IVAN)/H29,0)-S29*IVA_DEV</f>
        <v>0</v>
      </c>
      <c r="Y29" s="59" t="n">
        <f aca="false">F29*(1+RECARGO_ADS)</f>
        <v>0</v>
      </c>
    </row>
    <row r="30" customFormat="false" ht="15" hidden="false" customHeight="false" outlineLevel="0" collapsed="false">
      <c r="A30" s="53" t="n">
        <v>46324</v>
      </c>
      <c r="B30" s="54"/>
      <c r="C30" s="54"/>
      <c r="D30" s="54"/>
      <c r="E30" s="54"/>
      <c r="F30" s="55"/>
      <c r="G30" s="56"/>
      <c r="H30" s="31" t="n">
        <f aca="false">B30+C30</f>
        <v>0</v>
      </c>
      <c r="I30" s="31" t="n">
        <f aca="false">MAX(0,H30-D30-E30)</f>
        <v>0</v>
      </c>
      <c r="J30" s="32" t="n">
        <f aca="false">B30*P1_PVP+C30*P2_PVP</f>
        <v>0</v>
      </c>
      <c r="K30" s="32" t="str">
        <f aca="false">IF(H30&gt;0,J30/H30,"")</f>
        <v/>
      </c>
      <c r="L30" s="32" t="str">
        <f aca="false">IF(H30&gt;0,F30/H30,"")</f>
        <v/>
      </c>
      <c r="M30" s="57" t="str">
        <f aca="false">IF(F30&gt;0,J30/F30,"")</f>
        <v/>
      </c>
      <c r="N30" s="34" t="str">
        <f aca="false">IF(D30+E30&gt;0,D30/(D30+E30),"")</f>
        <v/>
      </c>
      <c r="O30" s="33" t="n">
        <f aca="false">IF(H30&gt;0,D30*(B30*(P1_BEN-P1_IVAN)+C30*(P2_BEN-P2_IVAN))/H30,0)-E30*(COSTE_DEV-IVA_DEV)-Y30</f>
        <v>0</v>
      </c>
      <c r="P30" s="33" t="n">
        <f aca="false">T30-U30-V30-W30-X30-Y30</f>
        <v>0</v>
      </c>
      <c r="R30" s="58" t="n">
        <f aca="false">D30+I30*TASA_USADA</f>
        <v>0</v>
      </c>
      <c r="S30" s="58" t="n">
        <f aca="false">E30+I30*(1-TASA_USADA)</f>
        <v>0</v>
      </c>
      <c r="T30" s="59" t="n">
        <f aca="false">IF(H30&gt;0,R30*J30/H30,0)</f>
        <v>0</v>
      </c>
      <c r="U30" s="59" t="n">
        <f aca="false">IF(H30&gt;0,R30*(B30*P1_CPROD+C30*P2_CPROD)/H30,0)</f>
        <v>0</v>
      </c>
      <c r="V30" s="59" t="n">
        <f aca="false">IF(H30&gt;0,R30*(B30*P1_LOG+C30*P2_LOG)/H30,0)</f>
        <v>0</v>
      </c>
      <c r="W30" s="59" t="n">
        <f aca="false">S30*COSTE_DEV</f>
        <v>0</v>
      </c>
      <c r="X30" s="59" t="n">
        <f aca="false">IF(H30&gt;0,R30*(B30*P1_IVAN+C30*P2_IVAN)/H30,0)-S30*IVA_DEV</f>
        <v>0</v>
      </c>
      <c r="Y30" s="59" t="n">
        <f aca="false">F30*(1+RECARGO_ADS)</f>
        <v>0</v>
      </c>
    </row>
    <row r="31" customFormat="false" ht="15" hidden="false" customHeight="false" outlineLevel="0" collapsed="false">
      <c r="A31" s="53" t="n">
        <v>46325</v>
      </c>
      <c r="B31" s="54"/>
      <c r="C31" s="54"/>
      <c r="D31" s="54"/>
      <c r="E31" s="54"/>
      <c r="F31" s="55"/>
      <c r="G31" s="56"/>
      <c r="H31" s="31" t="n">
        <f aca="false">B31+C31</f>
        <v>0</v>
      </c>
      <c r="I31" s="31" t="n">
        <f aca="false">MAX(0,H31-D31-E31)</f>
        <v>0</v>
      </c>
      <c r="J31" s="32" t="n">
        <f aca="false">B31*P1_PVP+C31*P2_PVP</f>
        <v>0</v>
      </c>
      <c r="K31" s="32" t="str">
        <f aca="false">IF(H31&gt;0,J31/H31,"")</f>
        <v/>
      </c>
      <c r="L31" s="32" t="str">
        <f aca="false">IF(H31&gt;0,F31/H31,"")</f>
        <v/>
      </c>
      <c r="M31" s="57" t="str">
        <f aca="false">IF(F31&gt;0,J31/F31,"")</f>
        <v/>
      </c>
      <c r="N31" s="34" t="str">
        <f aca="false">IF(D31+E31&gt;0,D31/(D31+E31),"")</f>
        <v/>
      </c>
      <c r="O31" s="33" t="n">
        <f aca="false">IF(H31&gt;0,D31*(B31*(P1_BEN-P1_IVAN)+C31*(P2_BEN-P2_IVAN))/H31,0)-E31*(COSTE_DEV-IVA_DEV)-Y31</f>
        <v>0</v>
      </c>
      <c r="P31" s="33" t="n">
        <f aca="false">T31-U31-V31-W31-X31-Y31</f>
        <v>0</v>
      </c>
      <c r="R31" s="58" t="n">
        <f aca="false">D31+I31*TASA_USADA</f>
        <v>0</v>
      </c>
      <c r="S31" s="58" t="n">
        <f aca="false">E31+I31*(1-TASA_USADA)</f>
        <v>0</v>
      </c>
      <c r="T31" s="59" t="n">
        <f aca="false">IF(H31&gt;0,R31*J31/H31,0)</f>
        <v>0</v>
      </c>
      <c r="U31" s="59" t="n">
        <f aca="false">IF(H31&gt;0,R31*(B31*P1_CPROD+C31*P2_CPROD)/H31,0)</f>
        <v>0</v>
      </c>
      <c r="V31" s="59" t="n">
        <f aca="false">IF(H31&gt;0,R31*(B31*P1_LOG+C31*P2_LOG)/H31,0)</f>
        <v>0</v>
      </c>
      <c r="W31" s="59" t="n">
        <f aca="false">S31*COSTE_DEV</f>
        <v>0</v>
      </c>
      <c r="X31" s="59" t="n">
        <f aca="false">IF(H31&gt;0,R31*(B31*P1_IVAN+C31*P2_IVAN)/H31,0)-S31*IVA_DEV</f>
        <v>0</v>
      </c>
      <c r="Y31" s="59" t="n">
        <f aca="false">F31*(1+RECARGO_ADS)</f>
        <v>0</v>
      </c>
    </row>
    <row r="32" customFormat="false" ht="15" hidden="false" customHeight="false" outlineLevel="0" collapsed="false">
      <c r="A32" s="53" t="n">
        <v>46326</v>
      </c>
      <c r="B32" s="54"/>
      <c r="C32" s="54"/>
      <c r="D32" s="54"/>
      <c r="E32" s="54"/>
      <c r="F32" s="55"/>
      <c r="G32" s="56"/>
      <c r="H32" s="31" t="n">
        <f aca="false">B32+C32</f>
        <v>0</v>
      </c>
      <c r="I32" s="31" t="n">
        <f aca="false">MAX(0,H32-D32-E32)</f>
        <v>0</v>
      </c>
      <c r="J32" s="32" t="n">
        <f aca="false">B32*P1_PVP+C32*P2_PVP</f>
        <v>0</v>
      </c>
      <c r="K32" s="32" t="str">
        <f aca="false">IF(H32&gt;0,J32/H32,"")</f>
        <v/>
      </c>
      <c r="L32" s="32" t="str">
        <f aca="false">IF(H32&gt;0,F32/H32,"")</f>
        <v/>
      </c>
      <c r="M32" s="57" t="str">
        <f aca="false">IF(F32&gt;0,J32/F32,"")</f>
        <v/>
      </c>
      <c r="N32" s="34" t="str">
        <f aca="false">IF(D32+E32&gt;0,D32/(D32+E32),"")</f>
        <v/>
      </c>
      <c r="O32" s="33" t="n">
        <f aca="false">IF(H32&gt;0,D32*(B32*(P1_BEN-P1_IVAN)+C32*(P2_BEN-P2_IVAN))/H32,0)-E32*(COSTE_DEV-IVA_DEV)-Y32</f>
        <v>0</v>
      </c>
      <c r="P32" s="33" t="n">
        <f aca="false">T32-U32-V32-W32-X32-Y32</f>
        <v>0</v>
      </c>
      <c r="R32" s="58" t="n">
        <f aca="false">D32+I32*TASA_USADA</f>
        <v>0</v>
      </c>
      <c r="S32" s="58" t="n">
        <f aca="false">E32+I32*(1-TASA_USADA)</f>
        <v>0</v>
      </c>
      <c r="T32" s="59" t="n">
        <f aca="false">IF(H32&gt;0,R32*J32/H32,0)</f>
        <v>0</v>
      </c>
      <c r="U32" s="59" t="n">
        <f aca="false">IF(H32&gt;0,R32*(B32*P1_CPROD+C32*P2_CPROD)/H32,0)</f>
        <v>0</v>
      </c>
      <c r="V32" s="59" t="n">
        <f aca="false">IF(H32&gt;0,R32*(B32*P1_LOG+C32*P2_LOG)/H32,0)</f>
        <v>0</v>
      </c>
      <c r="W32" s="59" t="n">
        <f aca="false">S32*COSTE_DEV</f>
        <v>0</v>
      </c>
      <c r="X32" s="59" t="n">
        <f aca="false">IF(H32&gt;0,R32*(B32*P1_IVAN+C32*P2_IVAN)/H32,0)-S32*IVA_DEV</f>
        <v>0</v>
      </c>
      <c r="Y32" s="59" t="n">
        <f aca="false">F32*(1+RECARGO_ADS)</f>
        <v>0</v>
      </c>
    </row>
    <row r="33" customFormat="false" ht="15" hidden="false" customHeight="false" outlineLevel="0" collapsed="false">
      <c r="A33" s="53" t="n">
        <v>46327</v>
      </c>
      <c r="B33" s="54"/>
      <c r="C33" s="54"/>
      <c r="D33" s="54"/>
      <c r="E33" s="54"/>
      <c r="F33" s="55"/>
      <c r="G33" s="56"/>
      <c r="H33" s="31" t="n">
        <f aca="false">B33+C33</f>
        <v>0</v>
      </c>
      <c r="I33" s="31" t="n">
        <f aca="false">MAX(0,H33-D33-E33)</f>
        <v>0</v>
      </c>
      <c r="J33" s="32" t="n">
        <f aca="false">B33*P1_PVP+C33*P2_PVP</f>
        <v>0</v>
      </c>
      <c r="K33" s="32" t="str">
        <f aca="false">IF(H33&gt;0,J33/H33,"")</f>
        <v/>
      </c>
      <c r="L33" s="32" t="str">
        <f aca="false">IF(H33&gt;0,F33/H33,"")</f>
        <v/>
      </c>
      <c r="M33" s="57" t="str">
        <f aca="false">IF(F33&gt;0,J33/F33,"")</f>
        <v/>
      </c>
      <c r="N33" s="34" t="str">
        <f aca="false">IF(D33+E33&gt;0,D33/(D33+E33),"")</f>
        <v/>
      </c>
      <c r="O33" s="33" t="n">
        <f aca="false">IF(H33&gt;0,D33*(B33*(P1_BEN-P1_IVAN)+C33*(P2_BEN-P2_IVAN))/H33,0)-E33*(COSTE_DEV-IVA_DEV)-Y33</f>
        <v>0</v>
      </c>
      <c r="P33" s="33" t="n">
        <f aca="false">T33-U33-V33-W33-X33-Y33</f>
        <v>0</v>
      </c>
      <c r="R33" s="58" t="n">
        <f aca="false">D33+I33*TASA_USADA</f>
        <v>0</v>
      </c>
      <c r="S33" s="58" t="n">
        <f aca="false">E33+I33*(1-TASA_USADA)</f>
        <v>0</v>
      </c>
      <c r="T33" s="59" t="n">
        <f aca="false">IF(H33&gt;0,R33*J33/H33,0)</f>
        <v>0</v>
      </c>
      <c r="U33" s="59" t="n">
        <f aca="false">IF(H33&gt;0,R33*(B33*P1_CPROD+C33*P2_CPROD)/H33,0)</f>
        <v>0</v>
      </c>
      <c r="V33" s="59" t="n">
        <f aca="false">IF(H33&gt;0,R33*(B33*P1_LOG+C33*P2_LOG)/H33,0)</f>
        <v>0</v>
      </c>
      <c r="W33" s="59" t="n">
        <f aca="false">S33*COSTE_DEV</f>
        <v>0</v>
      </c>
      <c r="X33" s="59" t="n">
        <f aca="false">IF(H33&gt;0,R33*(B33*P1_IVAN+C33*P2_IVAN)/H33,0)-S33*IVA_DEV</f>
        <v>0</v>
      </c>
      <c r="Y33" s="59" t="n">
        <f aca="false">F33*(1+RECARGO_ADS)</f>
        <v>0</v>
      </c>
    </row>
    <row r="34" customFormat="false" ht="15" hidden="false" customHeight="false" outlineLevel="0" collapsed="false">
      <c r="A34" s="53" t="n">
        <v>46328</v>
      </c>
      <c r="B34" s="54"/>
      <c r="C34" s="54"/>
      <c r="D34" s="54"/>
      <c r="E34" s="54"/>
      <c r="F34" s="55"/>
      <c r="G34" s="56"/>
      <c r="H34" s="31" t="n">
        <f aca="false">B34+C34</f>
        <v>0</v>
      </c>
      <c r="I34" s="31" t="n">
        <f aca="false">MAX(0,H34-D34-E34)</f>
        <v>0</v>
      </c>
      <c r="J34" s="32" t="n">
        <f aca="false">B34*P1_PVP+C34*P2_PVP</f>
        <v>0</v>
      </c>
      <c r="K34" s="32" t="str">
        <f aca="false">IF(H34&gt;0,J34/H34,"")</f>
        <v/>
      </c>
      <c r="L34" s="32" t="str">
        <f aca="false">IF(H34&gt;0,F34/H34,"")</f>
        <v/>
      </c>
      <c r="M34" s="57" t="str">
        <f aca="false">IF(F34&gt;0,J34/F34,"")</f>
        <v/>
      </c>
      <c r="N34" s="34" t="str">
        <f aca="false">IF(D34+E34&gt;0,D34/(D34+E34),"")</f>
        <v/>
      </c>
      <c r="O34" s="33" t="n">
        <f aca="false">IF(H34&gt;0,D34*(B34*(P1_BEN-P1_IVAN)+C34*(P2_BEN-P2_IVAN))/H34,0)-E34*(COSTE_DEV-IVA_DEV)-Y34</f>
        <v>0</v>
      </c>
      <c r="P34" s="33" t="n">
        <f aca="false">T34-U34-V34-W34-X34-Y34</f>
        <v>0</v>
      </c>
      <c r="R34" s="58" t="n">
        <f aca="false">D34+I34*TASA_USADA</f>
        <v>0</v>
      </c>
      <c r="S34" s="58" t="n">
        <f aca="false">E34+I34*(1-TASA_USADA)</f>
        <v>0</v>
      </c>
      <c r="T34" s="59" t="n">
        <f aca="false">IF(H34&gt;0,R34*J34/H34,0)</f>
        <v>0</v>
      </c>
      <c r="U34" s="59" t="n">
        <f aca="false">IF(H34&gt;0,R34*(B34*P1_CPROD+C34*P2_CPROD)/H34,0)</f>
        <v>0</v>
      </c>
      <c r="V34" s="59" t="n">
        <f aca="false">IF(H34&gt;0,R34*(B34*P1_LOG+C34*P2_LOG)/H34,0)</f>
        <v>0</v>
      </c>
      <c r="W34" s="59" t="n">
        <f aca="false">S34*COSTE_DEV</f>
        <v>0</v>
      </c>
      <c r="X34" s="59" t="n">
        <f aca="false">IF(H34&gt;0,R34*(B34*P1_IVAN+C34*P2_IVAN)/H34,0)-S34*IVA_DEV</f>
        <v>0</v>
      </c>
      <c r="Y34" s="59" t="n">
        <f aca="false">F34*(1+RECARGO_ADS)</f>
        <v>0</v>
      </c>
    </row>
    <row r="35" customFormat="false" ht="15" hidden="false" customHeight="false" outlineLevel="0" collapsed="false">
      <c r="A35" s="53" t="n">
        <v>46329</v>
      </c>
      <c r="B35" s="54"/>
      <c r="C35" s="54"/>
      <c r="D35" s="54"/>
      <c r="E35" s="54"/>
      <c r="F35" s="55"/>
      <c r="G35" s="56"/>
      <c r="H35" s="31" t="n">
        <f aca="false">B35+C35</f>
        <v>0</v>
      </c>
      <c r="I35" s="31" t="n">
        <f aca="false">MAX(0,H35-D35-E35)</f>
        <v>0</v>
      </c>
      <c r="J35" s="32" t="n">
        <f aca="false">B35*P1_PVP+C35*P2_PVP</f>
        <v>0</v>
      </c>
      <c r="K35" s="32" t="str">
        <f aca="false">IF(H35&gt;0,J35/H35,"")</f>
        <v/>
      </c>
      <c r="L35" s="32" t="str">
        <f aca="false">IF(H35&gt;0,F35/H35,"")</f>
        <v/>
      </c>
      <c r="M35" s="57" t="str">
        <f aca="false">IF(F35&gt;0,J35/F35,"")</f>
        <v/>
      </c>
      <c r="N35" s="34" t="str">
        <f aca="false">IF(D35+E35&gt;0,D35/(D35+E35),"")</f>
        <v/>
      </c>
      <c r="O35" s="33" t="n">
        <f aca="false">IF(H35&gt;0,D35*(B35*(P1_BEN-P1_IVAN)+C35*(P2_BEN-P2_IVAN))/H35,0)-E35*(COSTE_DEV-IVA_DEV)-Y35</f>
        <v>0</v>
      </c>
      <c r="P35" s="33" t="n">
        <f aca="false">T35-U35-V35-W35-X35-Y35</f>
        <v>0</v>
      </c>
      <c r="R35" s="58" t="n">
        <f aca="false">D35+I35*TASA_USADA</f>
        <v>0</v>
      </c>
      <c r="S35" s="58" t="n">
        <f aca="false">E35+I35*(1-TASA_USADA)</f>
        <v>0</v>
      </c>
      <c r="T35" s="59" t="n">
        <f aca="false">IF(H35&gt;0,R35*J35/H35,0)</f>
        <v>0</v>
      </c>
      <c r="U35" s="59" t="n">
        <f aca="false">IF(H35&gt;0,R35*(B35*P1_CPROD+C35*P2_CPROD)/H35,0)</f>
        <v>0</v>
      </c>
      <c r="V35" s="59" t="n">
        <f aca="false">IF(H35&gt;0,R35*(B35*P1_LOG+C35*P2_LOG)/H35,0)</f>
        <v>0</v>
      </c>
      <c r="W35" s="59" t="n">
        <f aca="false">S35*COSTE_DEV</f>
        <v>0</v>
      </c>
      <c r="X35" s="59" t="n">
        <f aca="false">IF(H35&gt;0,R35*(B35*P1_IVAN+C35*P2_IVAN)/H35,0)-S35*IVA_DEV</f>
        <v>0</v>
      </c>
      <c r="Y35" s="59" t="n">
        <f aca="false">F35*(1+RECARGO_ADS)</f>
        <v>0</v>
      </c>
    </row>
    <row r="36" customFormat="false" ht="15" hidden="false" customHeight="false" outlineLevel="0" collapsed="false">
      <c r="A36" s="53" t="n">
        <v>46330</v>
      </c>
      <c r="B36" s="54"/>
      <c r="C36" s="54"/>
      <c r="D36" s="54"/>
      <c r="E36" s="54"/>
      <c r="F36" s="55"/>
      <c r="G36" s="56"/>
      <c r="H36" s="31" t="n">
        <f aca="false">B36+C36</f>
        <v>0</v>
      </c>
      <c r="I36" s="31" t="n">
        <f aca="false">MAX(0,H36-D36-E36)</f>
        <v>0</v>
      </c>
      <c r="J36" s="32" t="n">
        <f aca="false">B36*P1_PVP+C36*P2_PVP</f>
        <v>0</v>
      </c>
      <c r="K36" s="32" t="str">
        <f aca="false">IF(H36&gt;0,J36/H36,"")</f>
        <v/>
      </c>
      <c r="L36" s="32" t="str">
        <f aca="false">IF(H36&gt;0,F36/H36,"")</f>
        <v/>
      </c>
      <c r="M36" s="57" t="str">
        <f aca="false">IF(F36&gt;0,J36/F36,"")</f>
        <v/>
      </c>
      <c r="N36" s="34" t="str">
        <f aca="false">IF(D36+E36&gt;0,D36/(D36+E36),"")</f>
        <v/>
      </c>
      <c r="O36" s="33" t="n">
        <f aca="false">IF(H36&gt;0,D36*(B36*(P1_BEN-P1_IVAN)+C36*(P2_BEN-P2_IVAN))/H36,0)-E36*(COSTE_DEV-IVA_DEV)-Y36</f>
        <v>0</v>
      </c>
      <c r="P36" s="33" t="n">
        <f aca="false">T36-U36-V36-W36-X36-Y36</f>
        <v>0</v>
      </c>
      <c r="R36" s="58" t="n">
        <f aca="false">D36+I36*TASA_USADA</f>
        <v>0</v>
      </c>
      <c r="S36" s="58" t="n">
        <f aca="false">E36+I36*(1-TASA_USADA)</f>
        <v>0</v>
      </c>
      <c r="T36" s="59" t="n">
        <f aca="false">IF(H36&gt;0,R36*J36/H36,0)</f>
        <v>0</v>
      </c>
      <c r="U36" s="59" t="n">
        <f aca="false">IF(H36&gt;0,R36*(B36*P1_CPROD+C36*P2_CPROD)/H36,0)</f>
        <v>0</v>
      </c>
      <c r="V36" s="59" t="n">
        <f aca="false">IF(H36&gt;0,R36*(B36*P1_LOG+C36*P2_LOG)/H36,0)</f>
        <v>0</v>
      </c>
      <c r="W36" s="59" t="n">
        <f aca="false">S36*COSTE_DEV</f>
        <v>0</v>
      </c>
      <c r="X36" s="59" t="n">
        <f aca="false">IF(H36&gt;0,R36*(B36*P1_IVAN+C36*P2_IVAN)/H36,0)-S36*IVA_DEV</f>
        <v>0</v>
      </c>
      <c r="Y36" s="59" t="n">
        <f aca="false">F36*(1+RECARGO_ADS)</f>
        <v>0</v>
      </c>
    </row>
    <row r="37" customFormat="false" ht="15" hidden="false" customHeight="false" outlineLevel="0" collapsed="false">
      <c r="A37" s="53" t="n">
        <v>46331</v>
      </c>
      <c r="B37" s="54"/>
      <c r="C37" s="54"/>
      <c r="D37" s="54"/>
      <c r="E37" s="54"/>
      <c r="F37" s="55"/>
      <c r="G37" s="56"/>
      <c r="H37" s="31" t="n">
        <f aca="false">B37+C37</f>
        <v>0</v>
      </c>
      <c r="I37" s="31" t="n">
        <f aca="false">MAX(0,H37-D37-E37)</f>
        <v>0</v>
      </c>
      <c r="J37" s="32" t="n">
        <f aca="false">B37*P1_PVP+C37*P2_PVP</f>
        <v>0</v>
      </c>
      <c r="K37" s="32" t="str">
        <f aca="false">IF(H37&gt;0,J37/H37,"")</f>
        <v/>
      </c>
      <c r="L37" s="32" t="str">
        <f aca="false">IF(H37&gt;0,F37/H37,"")</f>
        <v/>
      </c>
      <c r="M37" s="57" t="str">
        <f aca="false">IF(F37&gt;0,J37/F37,"")</f>
        <v/>
      </c>
      <c r="N37" s="34" t="str">
        <f aca="false">IF(D37+E37&gt;0,D37/(D37+E37),"")</f>
        <v/>
      </c>
      <c r="O37" s="33" t="n">
        <f aca="false">IF(H37&gt;0,D37*(B37*(P1_BEN-P1_IVAN)+C37*(P2_BEN-P2_IVAN))/H37,0)-E37*(COSTE_DEV-IVA_DEV)-Y37</f>
        <v>0</v>
      </c>
      <c r="P37" s="33" t="n">
        <f aca="false">T37-U37-V37-W37-X37-Y37</f>
        <v>0</v>
      </c>
      <c r="R37" s="58" t="n">
        <f aca="false">D37+I37*TASA_USADA</f>
        <v>0</v>
      </c>
      <c r="S37" s="58" t="n">
        <f aca="false">E37+I37*(1-TASA_USADA)</f>
        <v>0</v>
      </c>
      <c r="T37" s="59" t="n">
        <f aca="false">IF(H37&gt;0,R37*J37/H37,0)</f>
        <v>0</v>
      </c>
      <c r="U37" s="59" t="n">
        <f aca="false">IF(H37&gt;0,R37*(B37*P1_CPROD+C37*P2_CPROD)/H37,0)</f>
        <v>0</v>
      </c>
      <c r="V37" s="59" t="n">
        <f aca="false">IF(H37&gt;0,R37*(B37*P1_LOG+C37*P2_LOG)/H37,0)</f>
        <v>0</v>
      </c>
      <c r="W37" s="59" t="n">
        <f aca="false">S37*COSTE_DEV</f>
        <v>0</v>
      </c>
      <c r="X37" s="59" t="n">
        <f aca="false">IF(H37&gt;0,R37*(B37*P1_IVAN+C37*P2_IVAN)/H37,0)-S37*IVA_DEV</f>
        <v>0</v>
      </c>
      <c r="Y37" s="59" t="n">
        <f aca="false">F37*(1+RECARGO_ADS)</f>
        <v>0</v>
      </c>
    </row>
    <row r="38" customFormat="false" ht="15" hidden="false" customHeight="false" outlineLevel="0" collapsed="false">
      <c r="A38" s="53" t="n">
        <v>46332</v>
      </c>
      <c r="B38" s="54"/>
      <c r="C38" s="54"/>
      <c r="D38" s="54"/>
      <c r="E38" s="54"/>
      <c r="F38" s="55"/>
      <c r="G38" s="56"/>
      <c r="H38" s="31" t="n">
        <f aca="false">B38+C38</f>
        <v>0</v>
      </c>
      <c r="I38" s="31" t="n">
        <f aca="false">MAX(0,H38-D38-E38)</f>
        <v>0</v>
      </c>
      <c r="J38" s="32" t="n">
        <f aca="false">B38*P1_PVP+C38*P2_PVP</f>
        <v>0</v>
      </c>
      <c r="K38" s="32" t="str">
        <f aca="false">IF(H38&gt;0,J38/H38,"")</f>
        <v/>
      </c>
      <c r="L38" s="32" t="str">
        <f aca="false">IF(H38&gt;0,F38/H38,"")</f>
        <v/>
      </c>
      <c r="M38" s="57" t="str">
        <f aca="false">IF(F38&gt;0,J38/F38,"")</f>
        <v/>
      </c>
      <c r="N38" s="34" t="str">
        <f aca="false">IF(D38+E38&gt;0,D38/(D38+E38),"")</f>
        <v/>
      </c>
      <c r="O38" s="33" t="n">
        <f aca="false">IF(H38&gt;0,D38*(B38*(P1_BEN-P1_IVAN)+C38*(P2_BEN-P2_IVAN))/H38,0)-E38*(COSTE_DEV-IVA_DEV)-Y38</f>
        <v>0</v>
      </c>
      <c r="P38" s="33" t="n">
        <f aca="false">T38-U38-V38-W38-X38-Y38</f>
        <v>0</v>
      </c>
      <c r="R38" s="58" t="n">
        <f aca="false">D38+I38*TASA_USADA</f>
        <v>0</v>
      </c>
      <c r="S38" s="58" t="n">
        <f aca="false">E38+I38*(1-TASA_USADA)</f>
        <v>0</v>
      </c>
      <c r="T38" s="59" t="n">
        <f aca="false">IF(H38&gt;0,R38*J38/H38,0)</f>
        <v>0</v>
      </c>
      <c r="U38" s="59" t="n">
        <f aca="false">IF(H38&gt;0,R38*(B38*P1_CPROD+C38*P2_CPROD)/H38,0)</f>
        <v>0</v>
      </c>
      <c r="V38" s="59" t="n">
        <f aca="false">IF(H38&gt;0,R38*(B38*P1_LOG+C38*P2_LOG)/H38,0)</f>
        <v>0</v>
      </c>
      <c r="W38" s="59" t="n">
        <f aca="false">S38*COSTE_DEV</f>
        <v>0</v>
      </c>
      <c r="X38" s="59" t="n">
        <f aca="false">IF(H38&gt;0,R38*(B38*P1_IVAN+C38*P2_IVAN)/H38,0)-S38*IVA_DEV</f>
        <v>0</v>
      </c>
      <c r="Y38" s="59" t="n">
        <f aca="false">F38*(1+RECARGO_ADS)</f>
        <v>0</v>
      </c>
    </row>
    <row r="39" customFormat="false" ht="15" hidden="false" customHeight="false" outlineLevel="0" collapsed="false">
      <c r="A39" s="53" t="n">
        <v>46333</v>
      </c>
      <c r="B39" s="54"/>
      <c r="C39" s="54"/>
      <c r="D39" s="54"/>
      <c r="E39" s="54"/>
      <c r="F39" s="55"/>
      <c r="G39" s="56"/>
      <c r="H39" s="31" t="n">
        <f aca="false">B39+C39</f>
        <v>0</v>
      </c>
      <c r="I39" s="31" t="n">
        <f aca="false">MAX(0,H39-D39-E39)</f>
        <v>0</v>
      </c>
      <c r="J39" s="32" t="n">
        <f aca="false">B39*P1_PVP+C39*P2_PVP</f>
        <v>0</v>
      </c>
      <c r="K39" s="32" t="str">
        <f aca="false">IF(H39&gt;0,J39/H39,"")</f>
        <v/>
      </c>
      <c r="L39" s="32" t="str">
        <f aca="false">IF(H39&gt;0,F39/H39,"")</f>
        <v/>
      </c>
      <c r="M39" s="57" t="str">
        <f aca="false">IF(F39&gt;0,J39/F39,"")</f>
        <v/>
      </c>
      <c r="N39" s="34" t="str">
        <f aca="false">IF(D39+E39&gt;0,D39/(D39+E39),"")</f>
        <v/>
      </c>
      <c r="O39" s="33" t="n">
        <f aca="false">IF(H39&gt;0,D39*(B39*(P1_BEN-P1_IVAN)+C39*(P2_BEN-P2_IVAN))/H39,0)-E39*(COSTE_DEV-IVA_DEV)-Y39</f>
        <v>0</v>
      </c>
      <c r="P39" s="33" t="n">
        <f aca="false">T39-U39-V39-W39-X39-Y39</f>
        <v>0</v>
      </c>
      <c r="R39" s="58" t="n">
        <f aca="false">D39+I39*TASA_USADA</f>
        <v>0</v>
      </c>
      <c r="S39" s="58" t="n">
        <f aca="false">E39+I39*(1-TASA_USADA)</f>
        <v>0</v>
      </c>
      <c r="T39" s="59" t="n">
        <f aca="false">IF(H39&gt;0,R39*J39/H39,0)</f>
        <v>0</v>
      </c>
      <c r="U39" s="59" t="n">
        <f aca="false">IF(H39&gt;0,R39*(B39*P1_CPROD+C39*P2_CPROD)/H39,0)</f>
        <v>0</v>
      </c>
      <c r="V39" s="59" t="n">
        <f aca="false">IF(H39&gt;0,R39*(B39*P1_LOG+C39*P2_LOG)/H39,0)</f>
        <v>0</v>
      </c>
      <c r="W39" s="59" t="n">
        <f aca="false">S39*COSTE_DEV</f>
        <v>0</v>
      </c>
      <c r="X39" s="59" t="n">
        <f aca="false">IF(H39&gt;0,R39*(B39*P1_IVAN+C39*P2_IVAN)/H39,0)-S39*IVA_DEV</f>
        <v>0</v>
      </c>
      <c r="Y39" s="59" t="n">
        <f aca="false">F39*(1+RECARGO_ADS)</f>
        <v>0</v>
      </c>
    </row>
    <row r="40" customFormat="false" ht="15" hidden="false" customHeight="false" outlineLevel="0" collapsed="false">
      <c r="A40" s="53" t="n">
        <v>46334</v>
      </c>
      <c r="B40" s="54"/>
      <c r="C40" s="54"/>
      <c r="D40" s="54"/>
      <c r="E40" s="54"/>
      <c r="F40" s="55"/>
      <c r="G40" s="56"/>
      <c r="H40" s="31" t="n">
        <f aca="false">B40+C40</f>
        <v>0</v>
      </c>
      <c r="I40" s="31" t="n">
        <f aca="false">MAX(0,H40-D40-E40)</f>
        <v>0</v>
      </c>
      <c r="J40" s="32" t="n">
        <f aca="false">B40*P1_PVP+C40*P2_PVP</f>
        <v>0</v>
      </c>
      <c r="K40" s="32" t="str">
        <f aca="false">IF(H40&gt;0,J40/H40,"")</f>
        <v/>
      </c>
      <c r="L40" s="32" t="str">
        <f aca="false">IF(H40&gt;0,F40/H40,"")</f>
        <v/>
      </c>
      <c r="M40" s="57" t="str">
        <f aca="false">IF(F40&gt;0,J40/F40,"")</f>
        <v/>
      </c>
      <c r="N40" s="34" t="str">
        <f aca="false">IF(D40+E40&gt;0,D40/(D40+E40),"")</f>
        <v/>
      </c>
      <c r="O40" s="33" t="n">
        <f aca="false">IF(H40&gt;0,D40*(B40*(P1_BEN-P1_IVAN)+C40*(P2_BEN-P2_IVAN))/H40,0)-E40*(COSTE_DEV-IVA_DEV)-Y40</f>
        <v>0</v>
      </c>
      <c r="P40" s="33" t="n">
        <f aca="false">T40-U40-V40-W40-X40-Y40</f>
        <v>0</v>
      </c>
      <c r="R40" s="58" t="n">
        <f aca="false">D40+I40*TASA_USADA</f>
        <v>0</v>
      </c>
      <c r="S40" s="58" t="n">
        <f aca="false">E40+I40*(1-TASA_USADA)</f>
        <v>0</v>
      </c>
      <c r="T40" s="59" t="n">
        <f aca="false">IF(H40&gt;0,R40*J40/H40,0)</f>
        <v>0</v>
      </c>
      <c r="U40" s="59" t="n">
        <f aca="false">IF(H40&gt;0,R40*(B40*P1_CPROD+C40*P2_CPROD)/H40,0)</f>
        <v>0</v>
      </c>
      <c r="V40" s="59" t="n">
        <f aca="false">IF(H40&gt;0,R40*(B40*P1_LOG+C40*P2_LOG)/H40,0)</f>
        <v>0</v>
      </c>
      <c r="W40" s="59" t="n">
        <f aca="false">S40*COSTE_DEV</f>
        <v>0</v>
      </c>
      <c r="X40" s="59" t="n">
        <f aca="false">IF(H40&gt;0,R40*(B40*P1_IVAN+C40*P2_IVAN)/H40,0)-S40*IVA_DEV</f>
        <v>0</v>
      </c>
      <c r="Y40" s="59" t="n">
        <f aca="false">F40*(1+RECARGO_ADS)</f>
        <v>0</v>
      </c>
    </row>
    <row r="41" customFormat="false" ht="15" hidden="false" customHeight="false" outlineLevel="0" collapsed="false">
      <c r="A41" s="53" t="n">
        <v>46335</v>
      </c>
      <c r="B41" s="54"/>
      <c r="C41" s="54"/>
      <c r="D41" s="54"/>
      <c r="E41" s="54"/>
      <c r="F41" s="55"/>
      <c r="G41" s="56"/>
      <c r="H41" s="31" t="n">
        <f aca="false">B41+C41</f>
        <v>0</v>
      </c>
      <c r="I41" s="31" t="n">
        <f aca="false">MAX(0,H41-D41-E41)</f>
        <v>0</v>
      </c>
      <c r="J41" s="32" t="n">
        <f aca="false">B41*P1_PVP+C41*P2_PVP</f>
        <v>0</v>
      </c>
      <c r="K41" s="32" t="str">
        <f aca="false">IF(H41&gt;0,J41/H41,"")</f>
        <v/>
      </c>
      <c r="L41" s="32" t="str">
        <f aca="false">IF(H41&gt;0,F41/H41,"")</f>
        <v/>
      </c>
      <c r="M41" s="57" t="str">
        <f aca="false">IF(F41&gt;0,J41/F41,"")</f>
        <v/>
      </c>
      <c r="N41" s="34" t="str">
        <f aca="false">IF(D41+E41&gt;0,D41/(D41+E41),"")</f>
        <v/>
      </c>
      <c r="O41" s="33" t="n">
        <f aca="false">IF(H41&gt;0,D41*(B41*(P1_BEN-P1_IVAN)+C41*(P2_BEN-P2_IVAN))/H41,0)-E41*(COSTE_DEV-IVA_DEV)-Y41</f>
        <v>0</v>
      </c>
      <c r="P41" s="33" t="n">
        <f aca="false">T41-U41-V41-W41-X41-Y41</f>
        <v>0</v>
      </c>
      <c r="R41" s="58" t="n">
        <f aca="false">D41+I41*TASA_USADA</f>
        <v>0</v>
      </c>
      <c r="S41" s="58" t="n">
        <f aca="false">E41+I41*(1-TASA_USADA)</f>
        <v>0</v>
      </c>
      <c r="T41" s="59" t="n">
        <f aca="false">IF(H41&gt;0,R41*J41/H41,0)</f>
        <v>0</v>
      </c>
      <c r="U41" s="59" t="n">
        <f aca="false">IF(H41&gt;0,R41*(B41*P1_CPROD+C41*P2_CPROD)/H41,0)</f>
        <v>0</v>
      </c>
      <c r="V41" s="59" t="n">
        <f aca="false">IF(H41&gt;0,R41*(B41*P1_LOG+C41*P2_LOG)/H41,0)</f>
        <v>0</v>
      </c>
      <c r="W41" s="59" t="n">
        <f aca="false">S41*COSTE_DEV</f>
        <v>0</v>
      </c>
      <c r="X41" s="59" t="n">
        <f aca="false">IF(H41&gt;0,R41*(B41*P1_IVAN+C41*P2_IVAN)/H41,0)-S41*IVA_DEV</f>
        <v>0</v>
      </c>
      <c r="Y41" s="59" t="n">
        <f aca="false">F41*(1+RECARGO_ADS)</f>
        <v>0</v>
      </c>
    </row>
    <row r="42" customFormat="false" ht="15" hidden="false" customHeight="false" outlineLevel="0" collapsed="false">
      <c r="A42" s="53" t="n">
        <v>46336</v>
      </c>
      <c r="B42" s="54"/>
      <c r="C42" s="54"/>
      <c r="D42" s="54"/>
      <c r="E42" s="54"/>
      <c r="F42" s="55"/>
      <c r="G42" s="56"/>
      <c r="H42" s="31" t="n">
        <f aca="false">B42+C42</f>
        <v>0</v>
      </c>
      <c r="I42" s="31" t="n">
        <f aca="false">MAX(0,H42-D42-E42)</f>
        <v>0</v>
      </c>
      <c r="J42" s="32" t="n">
        <f aca="false">B42*P1_PVP+C42*P2_PVP</f>
        <v>0</v>
      </c>
      <c r="K42" s="32" t="str">
        <f aca="false">IF(H42&gt;0,J42/H42,"")</f>
        <v/>
      </c>
      <c r="L42" s="32" t="str">
        <f aca="false">IF(H42&gt;0,F42/H42,"")</f>
        <v/>
      </c>
      <c r="M42" s="57" t="str">
        <f aca="false">IF(F42&gt;0,J42/F42,"")</f>
        <v/>
      </c>
      <c r="N42" s="34" t="str">
        <f aca="false">IF(D42+E42&gt;0,D42/(D42+E42),"")</f>
        <v/>
      </c>
      <c r="O42" s="33" t="n">
        <f aca="false">IF(H42&gt;0,D42*(B42*(P1_BEN-P1_IVAN)+C42*(P2_BEN-P2_IVAN))/H42,0)-E42*(COSTE_DEV-IVA_DEV)-Y42</f>
        <v>0</v>
      </c>
      <c r="P42" s="33" t="n">
        <f aca="false">T42-U42-V42-W42-X42-Y42</f>
        <v>0</v>
      </c>
      <c r="R42" s="58" t="n">
        <f aca="false">D42+I42*TASA_USADA</f>
        <v>0</v>
      </c>
      <c r="S42" s="58" t="n">
        <f aca="false">E42+I42*(1-TASA_USADA)</f>
        <v>0</v>
      </c>
      <c r="T42" s="59" t="n">
        <f aca="false">IF(H42&gt;0,R42*J42/H42,0)</f>
        <v>0</v>
      </c>
      <c r="U42" s="59" t="n">
        <f aca="false">IF(H42&gt;0,R42*(B42*P1_CPROD+C42*P2_CPROD)/H42,0)</f>
        <v>0</v>
      </c>
      <c r="V42" s="59" t="n">
        <f aca="false">IF(H42&gt;0,R42*(B42*P1_LOG+C42*P2_LOG)/H42,0)</f>
        <v>0</v>
      </c>
      <c r="W42" s="59" t="n">
        <f aca="false">S42*COSTE_DEV</f>
        <v>0</v>
      </c>
      <c r="X42" s="59" t="n">
        <f aca="false">IF(H42&gt;0,R42*(B42*P1_IVAN+C42*P2_IVAN)/H42,0)-S42*IVA_DEV</f>
        <v>0</v>
      </c>
      <c r="Y42" s="59" t="n">
        <f aca="false">F42*(1+RECARGO_ADS)</f>
        <v>0</v>
      </c>
    </row>
    <row r="43" customFormat="false" ht="15" hidden="false" customHeight="false" outlineLevel="0" collapsed="false">
      <c r="A43" s="53" t="n">
        <v>46337</v>
      </c>
      <c r="B43" s="54"/>
      <c r="C43" s="54"/>
      <c r="D43" s="54"/>
      <c r="E43" s="54"/>
      <c r="F43" s="55"/>
      <c r="G43" s="56"/>
      <c r="H43" s="31" t="n">
        <f aca="false">B43+C43</f>
        <v>0</v>
      </c>
      <c r="I43" s="31" t="n">
        <f aca="false">MAX(0,H43-D43-E43)</f>
        <v>0</v>
      </c>
      <c r="J43" s="32" t="n">
        <f aca="false">B43*P1_PVP+C43*P2_PVP</f>
        <v>0</v>
      </c>
      <c r="K43" s="32" t="str">
        <f aca="false">IF(H43&gt;0,J43/H43,"")</f>
        <v/>
      </c>
      <c r="L43" s="32" t="str">
        <f aca="false">IF(H43&gt;0,F43/H43,"")</f>
        <v/>
      </c>
      <c r="M43" s="57" t="str">
        <f aca="false">IF(F43&gt;0,J43/F43,"")</f>
        <v/>
      </c>
      <c r="N43" s="34" t="str">
        <f aca="false">IF(D43+E43&gt;0,D43/(D43+E43),"")</f>
        <v/>
      </c>
      <c r="O43" s="33" t="n">
        <f aca="false">IF(H43&gt;0,D43*(B43*(P1_BEN-P1_IVAN)+C43*(P2_BEN-P2_IVAN))/H43,0)-E43*(COSTE_DEV-IVA_DEV)-Y43</f>
        <v>0</v>
      </c>
      <c r="P43" s="33" t="n">
        <f aca="false">T43-U43-V43-W43-X43-Y43</f>
        <v>0</v>
      </c>
      <c r="R43" s="58" t="n">
        <f aca="false">D43+I43*TASA_USADA</f>
        <v>0</v>
      </c>
      <c r="S43" s="58" t="n">
        <f aca="false">E43+I43*(1-TASA_USADA)</f>
        <v>0</v>
      </c>
      <c r="T43" s="59" t="n">
        <f aca="false">IF(H43&gt;0,R43*J43/H43,0)</f>
        <v>0</v>
      </c>
      <c r="U43" s="59" t="n">
        <f aca="false">IF(H43&gt;0,R43*(B43*P1_CPROD+C43*P2_CPROD)/H43,0)</f>
        <v>0</v>
      </c>
      <c r="V43" s="59" t="n">
        <f aca="false">IF(H43&gt;0,R43*(B43*P1_LOG+C43*P2_LOG)/H43,0)</f>
        <v>0</v>
      </c>
      <c r="W43" s="59" t="n">
        <f aca="false">S43*COSTE_DEV</f>
        <v>0</v>
      </c>
      <c r="X43" s="59" t="n">
        <f aca="false">IF(H43&gt;0,R43*(B43*P1_IVAN+C43*P2_IVAN)/H43,0)-S43*IVA_DEV</f>
        <v>0</v>
      </c>
      <c r="Y43" s="59" t="n">
        <f aca="false">F43*(1+RECARGO_ADS)</f>
        <v>0</v>
      </c>
    </row>
    <row r="44" customFormat="false" ht="15" hidden="false" customHeight="false" outlineLevel="0" collapsed="false">
      <c r="A44" s="53" t="n">
        <v>46338</v>
      </c>
      <c r="B44" s="54"/>
      <c r="C44" s="54"/>
      <c r="D44" s="54"/>
      <c r="E44" s="54"/>
      <c r="F44" s="55"/>
      <c r="G44" s="56"/>
      <c r="H44" s="31" t="n">
        <f aca="false">B44+C44</f>
        <v>0</v>
      </c>
      <c r="I44" s="31" t="n">
        <f aca="false">MAX(0,H44-D44-E44)</f>
        <v>0</v>
      </c>
      <c r="J44" s="32" t="n">
        <f aca="false">B44*P1_PVP+C44*P2_PVP</f>
        <v>0</v>
      </c>
      <c r="K44" s="32" t="str">
        <f aca="false">IF(H44&gt;0,J44/H44,"")</f>
        <v/>
      </c>
      <c r="L44" s="32" t="str">
        <f aca="false">IF(H44&gt;0,F44/H44,"")</f>
        <v/>
      </c>
      <c r="M44" s="57" t="str">
        <f aca="false">IF(F44&gt;0,J44/F44,"")</f>
        <v/>
      </c>
      <c r="N44" s="34" t="str">
        <f aca="false">IF(D44+E44&gt;0,D44/(D44+E44),"")</f>
        <v/>
      </c>
      <c r="O44" s="33" t="n">
        <f aca="false">IF(H44&gt;0,D44*(B44*(P1_BEN-P1_IVAN)+C44*(P2_BEN-P2_IVAN))/H44,0)-E44*(COSTE_DEV-IVA_DEV)-Y44</f>
        <v>0</v>
      </c>
      <c r="P44" s="33" t="n">
        <f aca="false">T44-U44-V44-W44-X44-Y44</f>
        <v>0</v>
      </c>
      <c r="R44" s="58" t="n">
        <f aca="false">D44+I44*TASA_USADA</f>
        <v>0</v>
      </c>
      <c r="S44" s="58" t="n">
        <f aca="false">E44+I44*(1-TASA_USADA)</f>
        <v>0</v>
      </c>
      <c r="T44" s="59" t="n">
        <f aca="false">IF(H44&gt;0,R44*J44/H44,0)</f>
        <v>0</v>
      </c>
      <c r="U44" s="59" t="n">
        <f aca="false">IF(H44&gt;0,R44*(B44*P1_CPROD+C44*P2_CPROD)/H44,0)</f>
        <v>0</v>
      </c>
      <c r="V44" s="59" t="n">
        <f aca="false">IF(H44&gt;0,R44*(B44*P1_LOG+C44*P2_LOG)/H44,0)</f>
        <v>0</v>
      </c>
      <c r="W44" s="59" t="n">
        <f aca="false">S44*COSTE_DEV</f>
        <v>0</v>
      </c>
      <c r="X44" s="59" t="n">
        <f aca="false">IF(H44&gt;0,R44*(B44*P1_IVAN+C44*P2_IVAN)/H44,0)-S44*IVA_DEV</f>
        <v>0</v>
      </c>
      <c r="Y44" s="59" t="n">
        <f aca="false">F44*(1+RECARGO_ADS)</f>
        <v>0</v>
      </c>
    </row>
    <row r="45" customFormat="false" ht="15" hidden="false" customHeight="false" outlineLevel="0" collapsed="false">
      <c r="A45" s="53" t="n">
        <v>46339</v>
      </c>
      <c r="B45" s="54"/>
      <c r="C45" s="54"/>
      <c r="D45" s="54"/>
      <c r="E45" s="54"/>
      <c r="F45" s="55"/>
      <c r="G45" s="56"/>
      <c r="H45" s="31" t="n">
        <f aca="false">B45+C45</f>
        <v>0</v>
      </c>
      <c r="I45" s="31" t="n">
        <f aca="false">MAX(0,H45-D45-E45)</f>
        <v>0</v>
      </c>
      <c r="J45" s="32" t="n">
        <f aca="false">B45*P1_PVP+C45*P2_PVP</f>
        <v>0</v>
      </c>
      <c r="K45" s="32" t="str">
        <f aca="false">IF(H45&gt;0,J45/H45,"")</f>
        <v/>
      </c>
      <c r="L45" s="32" t="str">
        <f aca="false">IF(H45&gt;0,F45/H45,"")</f>
        <v/>
      </c>
      <c r="M45" s="57" t="str">
        <f aca="false">IF(F45&gt;0,J45/F45,"")</f>
        <v/>
      </c>
      <c r="N45" s="34" t="str">
        <f aca="false">IF(D45+E45&gt;0,D45/(D45+E45),"")</f>
        <v/>
      </c>
      <c r="O45" s="33" t="n">
        <f aca="false">IF(H45&gt;0,D45*(B45*(P1_BEN-P1_IVAN)+C45*(P2_BEN-P2_IVAN))/H45,0)-E45*(COSTE_DEV-IVA_DEV)-Y45</f>
        <v>0</v>
      </c>
      <c r="P45" s="33" t="n">
        <f aca="false">T45-U45-V45-W45-X45-Y45</f>
        <v>0</v>
      </c>
      <c r="R45" s="58" t="n">
        <f aca="false">D45+I45*TASA_USADA</f>
        <v>0</v>
      </c>
      <c r="S45" s="58" t="n">
        <f aca="false">E45+I45*(1-TASA_USADA)</f>
        <v>0</v>
      </c>
      <c r="T45" s="59" t="n">
        <f aca="false">IF(H45&gt;0,R45*J45/H45,0)</f>
        <v>0</v>
      </c>
      <c r="U45" s="59" t="n">
        <f aca="false">IF(H45&gt;0,R45*(B45*P1_CPROD+C45*P2_CPROD)/H45,0)</f>
        <v>0</v>
      </c>
      <c r="V45" s="59" t="n">
        <f aca="false">IF(H45&gt;0,R45*(B45*P1_LOG+C45*P2_LOG)/H45,0)</f>
        <v>0</v>
      </c>
      <c r="W45" s="59" t="n">
        <f aca="false">S45*COSTE_DEV</f>
        <v>0</v>
      </c>
      <c r="X45" s="59" t="n">
        <f aca="false">IF(H45&gt;0,R45*(B45*P1_IVAN+C45*P2_IVAN)/H45,0)-S45*IVA_DEV</f>
        <v>0</v>
      </c>
      <c r="Y45" s="59" t="n">
        <f aca="false">F45*(1+RECARGO_ADS)</f>
        <v>0</v>
      </c>
    </row>
    <row r="46" customFormat="false" ht="15" hidden="false" customHeight="false" outlineLevel="0" collapsed="false">
      <c r="A46" s="53" t="n">
        <v>46340</v>
      </c>
      <c r="B46" s="54"/>
      <c r="C46" s="54"/>
      <c r="D46" s="54"/>
      <c r="E46" s="54"/>
      <c r="F46" s="55"/>
      <c r="G46" s="56"/>
      <c r="H46" s="31" t="n">
        <f aca="false">B46+C46</f>
        <v>0</v>
      </c>
      <c r="I46" s="31" t="n">
        <f aca="false">MAX(0,H46-D46-E46)</f>
        <v>0</v>
      </c>
      <c r="J46" s="32" t="n">
        <f aca="false">B46*P1_PVP+C46*P2_PVP</f>
        <v>0</v>
      </c>
      <c r="K46" s="32" t="str">
        <f aca="false">IF(H46&gt;0,J46/H46,"")</f>
        <v/>
      </c>
      <c r="L46" s="32" t="str">
        <f aca="false">IF(H46&gt;0,F46/H46,"")</f>
        <v/>
      </c>
      <c r="M46" s="57" t="str">
        <f aca="false">IF(F46&gt;0,J46/F46,"")</f>
        <v/>
      </c>
      <c r="N46" s="34" t="str">
        <f aca="false">IF(D46+E46&gt;0,D46/(D46+E46),"")</f>
        <v/>
      </c>
      <c r="O46" s="33" t="n">
        <f aca="false">IF(H46&gt;0,D46*(B46*(P1_BEN-P1_IVAN)+C46*(P2_BEN-P2_IVAN))/H46,0)-E46*(COSTE_DEV-IVA_DEV)-Y46</f>
        <v>0</v>
      </c>
      <c r="P46" s="33" t="n">
        <f aca="false">T46-U46-V46-W46-X46-Y46</f>
        <v>0</v>
      </c>
      <c r="R46" s="58" t="n">
        <f aca="false">D46+I46*TASA_USADA</f>
        <v>0</v>
      </c>
      <c r="S46" s="58" t="n">
        <f aca="false">E46+I46*(1-TASA_USADA)</f>
        <v>0</v>
      </c>
      <c r="T46" s="59" t="n">
        <f aca="false">IF(H46&gt;0,R46*J46/H46,0)</f>
        <v>0</v>
      </c>
      <c r="U46" s="59" t="n">
        <f aca="false">IF(H46&gt;0,R46*(B46*P1_CPROD+C46*P2_CPROD)/H46,0)</f>
        <v>0</v>
      </c>
      <c r="V46" s="59" t="n">
        <f aca="false">IF(H46&gt;0,R46*(B46*P1_LOG+C46*P2_LOG)/H46,0)</f>
        <v>0</v>
      </c>
      <c r="W46" s="59" t="n">
        <f aca="false">S46*COSTE_DEV</f>
        <v>0</v>
      </c>
      <c r="X46" s="59" t="n">
        <f aca="false">IF(H46&gt;0,R46*(B46*P1_IVAN+C46*P2_IVAN)/H46,0)-S46*IVA_DEV</f>
        <v>0</v>
      </c>
      <c r="Y46" s="59" t="n">
        <f aca="false">F46*(1+RECARGO_ADS)</f>
        <v>0</v>
      </c>
    </row>
    <row r="47" customFormat="false" ht="15" hidden="false" customHeight="false" outlineLevel="0" collapsed="false">
      <c r="A47" s="53" t="n">
        <v>46341</v>
      </c>
      <c r="B47" s="54"/>
      <c r="C47" s="54"/>
      <c r="D47" s="54"/>
      <c r="E47" s="54"/>
      <c r="F47" s="55"/>
      <c r="G47" s="56"/>
      <c r="H47" s="31" t="n">
        <f aca="false">B47+C47</f>
        <v>0</v>
      </c>
      <c r="I47" s="31" t="n">
        <f aca="false">MAX(0,H47-D47-E47)</f>
        <v>0</v>
      </c>
      <c r="J47" s="32" t="n">
        <f aca="false">B47*P1_PVP+C47*P2_PVP</f>
        <v>0</v>
      </c>
      <c r="K47" s="32" t="str">
        <f aca="false">IF(H47&gt;0,J47/H47,"")</f>
        <v/>
      </c>
      <c r="L47" s="32" t="str">
        <f aca="false">IF(H47&gt;0,F47/H47,"")</f>
        <v/>
      </c>
      <c r="M47" s="57" t="str">
        <f aca="false">IF(F47&gt;0,J47/F47,"")</f>
        <v/>
      </c>
      <c r="N47" s="34" t="str">
        <f aca="false">IF(D47+E47&gt;0,D47/(D47+E47),"")</f>
        <v/>
      </c>
      <c r="O47" s="33" t="n">
        <f aca="false">IF(H47&gt;0,D47*(B47*(P1_BEN-P1_IVAN)+C47*(P2_BEN-P2_IVAN))/H47,0)-E47*(COSTE_DEV-IVA_DEV)-Y47</f>
        <v>0</v>
      </c>
      <c r="P47" s="33" t="n">
        <f aca="false">T47-U47-V47-W47-X47-Y47</f>
        <v>0</v>
      </c>
      <c r="R47" s="58" t="n">
        <f aca="false">D47+I47*TASA_USADA</f>
        <v>0</v>
      </c>
      <c r="S47" s="58" t="n">
        <f aca="false">E47+I47*(1-TASA_USADA)</f>
        <v>0</v>
      </c>
      <c r="T47" s="59" t="n">
        <f aca="false">IF(H47&gt;0,R47*J47/H47,0)</f>
        <v>0</v>
      </c>
      <c r="U47" s="59" t="n">
        <f aca="false">IF(H47&gt;0,R47*(B47*P1_CPROD+C47*P2_CPROD)/H47,0)</f>
        <v>0</v>
      </c>
      <c r="V47" s="59" t="n">
        <f aca="false">IF(H47&gt;0,R47*(B47*P1_LOG+C47*P2_LOG)/H47,0)</f>
        <v>0</v>
      </c>
      <c r="W47" s="59" t="n">
        <f aca="false">S47*COSTE_DEV</f>
        <v>0</v>
      </c>
      <c r="X47" s="59" t="n">
        <f aca="false">IF(H47&gt;0,R47*(B47*P1_IVAN+C47*P2_IVAN)/H47,0)-S47*IVA_DEV</f>
        <v>0</v>
      </c>
      <c r="Y47" s="59" t="n">
        <f aca="false">F47*(1+RECARGO_ADS)</f>
        <v>0</v>
      </c>
    </row>
    <row r="48" customFormat="false" ht="15" hidden="false" customHeight="false" outlineLevel="0" collapsed="false">
      <c r="A48" s="53" t="n">
        <v>46342</v>
      </c>
      <c r="B48" s="54"/>
      <c r="C48" s="54"/>
      <c r="D48" s="54"/>
      <c r="E48" s="54"/>
      <c r="F48" s="55"/>
      <c r="G48" s="56"/>
      <c r="H48" s="31" t="n">
        <f aca="false">B48+C48</f>
        <v>0</v>
      </c>
      <c r="I48" s="31" t="n">
        <f aca="false">MAX(0,H48-D48-E48)</f>
        <v>0</v>
      </c>
      <c r="J48" s="32" t="n">
        <f aca="false">B48*P1_PVP+C48*P2_PVP</f>
        <v>0</v>
      </c>
      <c r="K48" s="32" t="str">
        <f aca="false">IF(H48&gt;0,J48/H48,"")</f>
        <v/>
      </c>
      <c r="L48" s="32" t="str">
        <f aca="false">IF(H48&gt;0,F48/H48,"")</f>
        <v/>
      </c>
      <c r="M48" s="57" t="str">
        <f aca="false">IF(F48&gt;0,J48/F48,"")</f>
        <v/>
      </c>
      <c r="N48" s="34" t="str">
        <f aca="false">IF(D48+E48&gt;0,D48/(D48+E48),"")</f>
        <v/>
      </c>
      <c r="O48" s="33" t="n">
        <f aca="false">IF(H48&gt;0,D48*(B48*(P1_BEN-P1_IVAN)+C48*(P2_BEN-P2_IVAN))/H48,0)-E48*(COSTE_DEV-IVA_DEV)-Y48</f>
        <v>0</v>
      </c>
      <c r="P48" s="33" t="n">
        <f aca="false">T48-U48-V48-W48-X48-Y48</f>
        <v>0</v>
      </c>
      <c r="R48" s="58" t="n">
        <f aca="false">D48+I48*TASA_USADA</f>
        <v>0</v>
      </c>
      <c r="S48" s="58" t="n">
        <f aca="false">E48+I48*(1-TASA_USADA)</f>
        <v>0</v>
      </c>
      <c r="T48" s="59" t="n">
        <f aca="false">IF(H48&gt;0,R48*J48/H48,0)</f>
        <v>0</v>
      </c>
      <c r="U48" s="59" t="n">
        <f aca="false">IF(H48&gt;0,R48*(B48*P1_CPROD+C48*P2_CPROD)/H48,0)</f>
        <v>0</v>
      </c>
      <c r="V48" s="59" t="n">
        <f aca="false">IF(H48&gt;0,R48*(B48*P1_LOG+C48*P2_LOG)/H48,0)</f>
        <v>0</v>
      </c>
      <c r="W48" s="59" t="n">
        <f aca="false">S48*COSTE_DEV</f>
        <v>0</v>
      </c>
      <c r="X48" s="59" t="n">
        <f aca="false">IF(H48&gt;0,R48*(B48*P1_IVAN+C48*P2_IVAN)/H48,0)-S48*IVA_DEV</f>
        <v>0</v>
      </c>
      <c r="Y48" s="59" t="n">
        <f aca="false">F48*(1+RECARGO_ADS)</f>
        <v>0</v>
      </c>
    </row>
    <row r="49" customFormat="false" ht="15" hidden="false" customHeight="false" outlineLevel="0" collapsed="false">
      <c r="A49" s="53" t="n">
        <v>46343</v>
      </c>
      <c r="B49" s="54"/>
      <c r="C49" s="54"/>
      <c r="D49" s="54"/>
      <c r="E49" s="54"/>
      <c r="F49" s="55"/>
      <c r="G49" s="56"/>
      <c r="H49" s="31" t="n">
        <f aca="false">B49+C49</f>
        <v>0</v>
      </c>
      <c r="I49" s="31" t="n">
        <f aca="false">MAX(0,H49-D49-E49)</f>
        <v>0</v>
      </c>
      <c r="J49" s="32" t="n">
        <f aca="false">B49*P1_PVP+C49*P2_PVP</f>
        <v>0</v>
      </c>
      <c r="K49" s="32" t="str">
        <f aca="false">IF(H49&gt;0,J49/H49,"")</f>
        <v/>
      </c>
      <c r="L49" s="32" t="str">
        <f aca="false">IF(H49&gt;0,F49/H49,"")</f>
        <v/>
      </c>
      <c r="M49" s="57" t="str">
        <f aca="false">IF(F49&gt;0,J49/F49,"")</f>
        <v/>
      </c>
      <c r="N49" s="34" t="str">
        <f aca="false">IF(D49+E49&gt;0,D49/(D49+E49),"")</f>
        <v/>
      </c>
      <c r="O49" s="33" t="n">
        <f aca="false">IF(H49&gt;0,D49*(B49*(P1_BEN-P1_IVAN)+C49*(P2_BEN-P2_IVAN))/H49,0)-E49*(COSTE_DEV-IVA_DEV)-Y49</f>
        <v>0</v>
      </c>
      <c r="P49" s="33" t="n">
        <f aca="false">T49-U49-V49-W49-X49-Y49</f>
        <v>0</v>
      </c>
      <c r="R49" s="58" t="n">
        <f aca="false">D49+I49*TASA_USADA</f>
        <v>0</v>
      </c>
      <c r="S49" s="58" t="n">
        <f aca="false">E49+I49*(1-TASA_USADA)</f>
        <v>0</v>
      </c>
      <c r="T49" s="59" t="n">
        <f aca="false">IF(H49&gt;0,R49*J49/H49,0)</f>
        <v>0</v>
      </c>
      <c r="U49" s="59" t="n">
        <f aca="false">IF(H49&gt;0,R49*(B49*P1_CPROD+C49*P2_CPROD)/H49,0)</f>
        <v>0</v>
      </c>
      <c r="V49" s="59" t="n">
        <f aca="false">IF(H49&gt;0,R49*(B49*P1_LOG+C49*P2_LOG)/H49,0)</f>
        <v>0</v>
      </c>
      <c r="W49" s="59" t="n">
        <f aca="false">S49*COSTE_DEV</f>
        <v>0</v>
      </c>
      <c r="X49" s="59" t="n">
        <f aca="false">IF(H49&gt;0,R49*(B49*P1_IVAN+C49*P2_IVAN)/H49,0)-S49*IVA_DEV</f>
        <v>0</v>
      </c>
      <c r="Y49" s="59" t="n">
        <f aca="false">F49*(1+RECARGO_ADS)</f>
        <v>0</v>
      </c>
    </row>
    <row r="50" customFormat="false" ht="15" hidden="false" customHeight="false" outlineLevel="0" collapsed="false">
      <c r="A50" s="53" t="n">
        <v>46344</v>
      </c>
      <c r="B50" s="54"/>
      <c r="C50" s="54"/>
      <c r="D50" s="54"/>
      <c r="E50" s="54"/>
      <c r="F50" s="55"/>
      <c r="G50" s="56"/>
      <c r="H50" s="31" t="n">
        <f aca="false">B50+C50</f>
        <v>0</v>
      </c>
      <c r="I50" s="31" t="n">
        <f aca="false">MAX(0,H50-D50-E50)</f>
        <v>0</v>
      </c>
      <c r="J50" s="32" t="n">
        <f aca="false">B50*P1_PVP+C50*P2_PVP</f>
        <v>0</v>
      </c>
      <c r="K50" s="32" t="str">
        <f aca="false">IF(H50&gt;0,J50/H50,"")</f>
        <v/>
      </c>
      <c r="L50" s="32" t="str">
        <f aca="false">IF(H50&gt;0,F50/H50,"")</f>
        <v/>
      </c>
      <c r="M50" s="57" t="str">
        <f aca="false">IF(F50&gt;0,J50/F50,"")</f>
        <v/>
      </c>
      <c r="N50" s="34" t="str">
        <f aca="false">IF(D50+E50&gt;0,D50/(D50+E50),"")</f>
        <v/>
      </c>
      <c r="O50" s="33" t="n">
        <f aca="false">IF(H50&gt;0,D50*(B50*(P1_BEN-P1_IVAN)+C50*(P2_BEN-P2_IVAN))/H50,0)-E50*(COSTE_DEV-IVA_DEV)-Y50</f>
        <v>0</v>
      </c>
      <c r="P50" s="33" t="n">
        <f aca="false">T50-U50-V50-W50-X50-Y50</f>
        <v>0</v>
      </c>
      <c r="R50" s="58" t="n">
        <f aca="false">D50+I50*TASA_USADA</f>
        <v>0</v>
      </c>
      <c r="S50" s="58" t="n">
        <f aca="false">E50+I50*(1-TASA_USADA)</f>
        <v>0</v>
      </c>
      <c r="T50" s="59" t="n">
        <f aca="false">IF(H50&gt;0,R50*J50/H50,0)</f>
        <v>0</v>
      </c>
      <c r="U50" s="59" t="n">
        <f aca="false">IF(H50&gt;0,R50*(B50*P1_CPROD+C50*P2_CPROD)/H50,0)</f>
        <v>0</v>
      </c>
      <c r="V50" s="59" t="n">
        <f aca="false">IF(H50&gt;0,R50*(B50*P1_LOG+C50*P2_LOG)/H50,0)</f>
        <v>0</v>
      </c>
      <c r="W50" s="59" t="n">
        <f aca="false">S50*COSTE_DEV</f>
        <v>0</v>
      </c>
      <c r="X50" s="59" t="n">
        <f aca="false">IF(H50&gt;0,R50*(B50*P1_IVAN+C50*P2_IVAN)/H50,0)-S50*IVA_DEV</f>
        <v>0</v>
      </c>
      <c r="Y50" s="59" t="n">
        <f aca="false">F50*(1+RECARGO_ADS)</f>
        <v>0</v>
      </c>
    </row>
    <row r="51" customFormat="false" ht="15" hidden="false" customHeight="false" outlineLevel="0" collapsed="false">
      <c r="A51" s="53" t="n">
        <v>46345</v>
      </c>
      <c r="B51" s="54"/>
      <c r="C51" s="54"/>
      <c r="D51" s="54"/>
      <c r="E51" s="54"/>
      <c r="F51" s="55"/>
      <c r="G51" s="56"/>
      <c r="H51" s="31" t="n">
        <f aca="false">B51+C51</f>
        <v>0</v>
      </c>
      <c r="I51" s="31" t="n">
        <f aca="false">MAX(0,H51-D51-E51)</f>
        <v>0</v>
      </c>
      <c r="J51" s="32" t="n">
        <f aca="false">B51*P1_PVP+C51*P2_PVP</f>
        <v>0</v>
      </c>
      <c r="K51" s="32" t="str">
        <f aca="false">IF(H51&gt;0,J51/H51,"")</f>
        <v/>
      </c>
      <c r="L51" s="32" t="str">
        <f aca="false">IF(H51&gt;0,F51/H51,"")</f>
        <v/>
      </c>
      <c r="M51" s="57" t="str">
        <f aca="false">IF(F51&gt;0,J51/F51,"")</f>
        <v/>
      </c>
      <c r="N51" s="34" t="str">
        <f aca="false">IF(D51+E51&gt;0,D51/(D51+E51),"")</f>
        <v/>
      </c>
      <c r="O51" s="33" t="n">
        <f aca="false">IF(H51&gt;0,D51*(B51*(P1_BEN-P1_IVAN)+C51*(P2_BEN-P2_IVAN))/H51,0)-E51*(COSTE_DEV-IVA_DEV)-Y51</f>
        <v>0</v>
      </c>
      <c r="P51" s="33" t="n">
        <f aca="false">T51-U51-V51-W51-X51-Y51</f>
        <v>0</v>
      </c>
      <c r="R51" s="58" t="n">
        <f aca="false">D51+I51*TASA_USADA</f>
        <v>0</v>
      </c>
      <c r="S51" s="58" t="n">
        <f aca="false">E51+I51*(1-TASA_USADA)</f>
        <v>0</v>
      </c>
      <c r="T51" s="59" t="n">
        <f aca="false">IF(H51&gt;0,R51*J51/H51,0)</f>
        <v>0</v>
      </c>
      <c r="U51" s="59" t="n">
        <f aca="false">IF(H51&gt;0,R51*(B51*P1_CPROD+C51*P2_CPROD)/H51,0)</f>
        <v>0</v>
      </c>
      <c r="V51" s="59" t="n">
        <f aca="false">IF(H51&gt;0,R51*(B51*P1_LOG+C51*P2_LOG)/H51,0)</f>
        <v>0</v>
      </c>
      <c r="W51" s="59" t="n">
        <f aca="false">S51*COSTE_DEV</f>
        <v>0</v>
      </c>
      <c r="X51" s="59" t="n">
        <f aca="false">IF(H51&gt;0,R51*(B51*P1_IVAN+C51*P2_IVAN)/H51,0)-S51*IVA_DEV</f>
        <v>0</v>
      </c>
      <c r="Y51" s="59" t="n">
        <f aca="false">F51*(1+RECARGO_ADS)</f>
        <v>0</v>
      </c>
    </row>
    <row r="52" customFormat="false" ht="15" hidden="false" customHeight="false" outlineLevel="0" collapsed="false">
      <c r="A52" s="53" t="n">
        <v>46346</v>
      </c>
      <c r="B52" s="54"/>
      <c r="C52" s="54"/>
      <c r="D52" s="54"/>
      <c r="E52" s="54"/>
      <c r="F52" s="55"/>
      <c r="G52" s="56"/>
      <c r="H52" s="31" t="n">
        <f aca="false">B52+C52</f>
        <v>0</v>
      </c>
      <c r="I52" s="31" t="n">
        <f aca="false">MAX(0,H52-D52-E52)</f>
        <v>0</v>
      </c>
      <c r="J52" s="32" t="n">
        <f aca="false">B52*P1_PVP+C52*P2_PVP</f>
        <v>0</v>
      </c>
      <c r="K52" s="32" t="str">
        <f aca="false">IF(H52&gt;0,J52/H52,"")</f>
        <v/>
      </c>
      <c r="L52" s="32" t="str">
        <f aca="false">IF(H52&gt;0,F52/H52,"")</f>
        <v/>
      </c>
      <c r="M52" s="57" t="str">
        <f aca="false">IF(F52&gt;0,J52/F52,"")</f>
        <v/>
      </c>
      <c r="N52" s="34" t="str">
        <f aca="false">IF(D52+E52&gt;0,D52/(D52+E52),"")</f>
        <v/>
      </c>
      <c r="O52" s="33" t="n">
        <f aca="false">IF(H52&gt;0,D52*(B52*(P1_BEN-P1_IVAN)+C52*(P2_BEN-P2_IVAN))/H52,0)-E52*(COSTE_DEV-IVA_DEV)-Y52</f>
        <v>0</v>
      </c>
      <c r="P52" s="33" t="n">
        <f aca="false">T52-U52-V52-W52-X52-Y52</f>
        <v>0</v>
      </c>
      <c r="R52" s="58" t="n">
        <f aca="false">D52+I52*TASA_USADA</f>
        <v>0</v>
      </c>
      <c r="S52" s="58" t="n">
        <f aca="false">E52+I52*(1-TASA_USADA)</f>
        <v>0</v>
      </c>
      <c r="T52" s="59" t="n">
        <f aca="false">IF(H52&gt;0,R52*J52/H52,0)</f>
        <v>0</v>
      </c>
      <c r="U52" s="59" t="n">
        <f aca="false">IF(H52&gt;0,R52*(B52*P1_CPROD+C52*P2_CPROD)/H52,0)</f>
        <v>0</v>
      </c>
      <c r="V52" s="59" t="n">
        <f aca="false">IF(H52&gt;0,R52*(B52*P1_LOG+C52*P2_LOG)/H52,0)</f>
        <v>0</v>
      </c>
      <c r="W52" s="59" t="n">
        <f aca="false">S52*COSTE_DEV</f>
        <v>0</v>
      </c>
      <c r="X52" s="59" t="n">
        <f aca="false">IF(H52&gt;0,R52*(B52*P1_IVAN+C52*P2_IVAN)/H52,0)-S52*IVA_DEV</f>
        <v>0</v>
      </c>
      <c r="Y52" s="59" t="n">
        <f aca="false">F52*(1+RECARGO_ADS)</f>
        <v>0</v>
      </c>
    </row>
    <row r="53" customFormat="false" ht="15" hidden="false" customHeight="false" outlineLevel="0" collapsed="false">
      <c r="A53" s="53" t="n">
        <v>46347</v>
      </c>
      <c r="B53" s="54"/>
      <c r="C53" s="54"/>
      <c r="D53" s="54"/>
      <c r="E53" s="54"/>
      <c r="F53" s="55"/>
      <c r="G53" s="56"/>
      <c r="H53" s="31" t="n">
        <f aca="false">B53+C53</f>
        <v>0</v>
      </c>
      <c r="I53" s="31" t="n">
        <f aca="false">MAX(0,H53-D53-E53)</f>
        <v>0</v>
      </c>
      <c r="J53" s="32" t="n">
        <f aca="false">B53*P1_PVP+C53*P2_PVP</f>
        <v>0</v>
      </c>
      <c r="K53" s="32" t="str">
        <f aca="false">IF(H53&gt;0,J53/H53,"")</f>
        <v/>
      </c>
      <c r="L53" s="32" t="str">
        <f aca="false">IF(H53&gt;0,F53/H53,"")</f>
        <v/>
      </c>
      <c r="M53" s="57" t="str">
        <f aca="false">IF(F53&gt;0,J53/F53,"")</f>
        <v/>
      </c>
      <c r="N53" s="34" t="str">
        <f aca="false">IF(D53+E53&gt;0,D53/(D53+E53),"")</f>
        <v/>
      </c>
      <c r="O53" s="33" t="n">
        <f aca="false">IF(H53&gt;0,D53*(B53*(P1_BEN-P1_IVAN)+C53*(P2_BEN-P2_IVAN))/H53,0)-E53*(COSTE_DEV-IVA_DEV)-Y53</f>
        <v>0</v>
      </c>
      <c r="P53" s="33" t="n">
        <f aca="false">T53-U53-V53-W53-X53-Y53</f>
        <v>0</v>
      </c>
      <c r="R53" s="58" t="n">
        <f aca="false">D53+I53*TASA_USADA</f>
        <v>0</v>
      </c>
      <c r="S53" s="58" t="n">
        <f aca="false">E53+I53*(1-TASA_USADA)</f>
        <v>0</v>
      </c>
      <c r="T53" s="59" t="n">
        <f aca="false">IF(H53&gt;0,R53*J53/H53,0)</f>
        <v>0</v>
      </c>
      <c r="U53" s="59" t="n">
        <f aca="false">IF(H53&gt;0,R53*(B53*P1_CPROD+C53*P2_CPROD)/H53,0)</f>
        <v>0</v>
      </c>
      <c r="V53" s="59" t="n">
        <f aca="false">IF(H53&gt;0,R53*(B53*P1_LOG+C53*P2_LOG)/H53,0)</f>
        <v>0</v>
      </c>
      <c r="W53" s="59" t="n">
        <f aca="false">S53*COSTE_DEV</f>
        <v>0</v>
      </c>
      <c r="X53" s="59" t="n">
        <f aca="false">IF(H53&gt;0,R53*(B53*P1_IVAN+C53*P2_IVAN)/H53,0)-S53*IVA_DEV</f>
        <v>0</v>
      </c>
      <c r="Y53" s="59" t="n">
        <f aca="false">F53*(1+RECARGO_ADS)</f>
        <v>0</v>
      </c>
    </row>
    <row r="54" customFormat="false" ht="15" hidden="false" customHeight="false" outlineLevel="0" collapsed="false">
      <c r="A54" s="53" t="n">
        <v>46348</v>
      </c>
      <c r="B54" s="54"/>
      <c r="C54" s="54"/>
      <c r="D54" s="54"/>
      <c r="E54" s="54"/>
      <c r="F54" s="55"/>
      <c r="G54" s="56"/>
      <c r="H54" s="31" t="n">
        <f aca="false">B54+C54</f>
        <v>0</v>
      </c>
      <c r="I54" s="31" t="n">
        <f aca="false">MAX(0,H54-D54-E54)</f>
        <v>0</v>
      </c>
      <c r="J54" s="32" t="n">
        <f aca="false">B54*P1_PVP+C54*P2_PVP</f>
        <v>0</v>
      </c>
      <c r="K54" s="32" t="str">
        <f aca="false">IF(H54&gt;0,J54/H54,"")</f>
        <v/>
      </c>
      <c r="L54" s="32" t="str">
        <f aca="false">IF(H54&gt;0,F54/H54,"")</f>
        <v/>
      </c>
      <c r="M54" s="57" t="str">
        <f aca="false">IF(F54&gt;0,J54/F54,"")</f>
        <v/>
      </c>
      <c r="N54" s="34" t="str">
        <f aca="false">IF(D54+E54&gt;0,D54/(D54+E54),"")</f>
        <v/>
      </c>
      <c r="O54" s="33" t="n">
        <f aca="false">IF(H54&gt;0,D54*(B54*(P1_BEN-P1_IVAN)+C54*(P2_BEN-P2_IVAN))/H54,0)-E54*(COSTE_DEV-IVA_DEV)-Y54</f>
        <v>0</v>
      </c>
      <c r="P54" s="33" t="n">
        <f aca="false">T54-U54-V54-W54-X54-Y54</f>
        <v>0</v>
      </c>
      <c r="R54" s="58" t="n">
        <f aca="false">D54+I54*TASA_USADA</f>
        <v>0</v>
      </c>
      <c r="S54" s="58" t="n">
        <f aca="false">E54+I54*(1-TASA_USADA)</f>
        <v>0</v>
      </c>
      <c r="T54" s="59" t="n">
        <f aca="false">IF(H54&gt;0,R54*J54/H54,0)</f>
        <v>0</v>
      </c>
      <c r="U54" s="59" t="n">
        <f aca="false">IF(H54&gt;0,R54*(B54*P1_CPROD+C54*P2_CPROD)/H54,0)</f>
        <v>0</v>
      </c>
      <c r="V54" s="59" t="n">
        <f aca="false">IF(H54&gt;0,R54*(B54*P1_LOG+C54*P2_LOG)/H54,0)</f>
        <v>0</v>
      </c>
      <c r="W54" s="59" t="n">
        <f aca="false">S54*COSTE_DEV</f>
        <v>0</v>
      </c>
      <c r="X54" s="59" t="n">
        <f aca="false">IF(H54&gt;0,R54*(B54*P1_IVAN+C54*P2_IVAN)/H54,0)-S54*IVA_DEV</f>
        <v>0</v>
      </c>
      <c r="Y54" s="59" t="n">
        <f aca="false">F54*(1+RECARGO_ADS)</f>
        <v>0</v>
      </c>
    </row>
    <row r="55" customFormat="false" ht="15" hidden="false" customHeight="false" outlineLevel="0" collapsed="false">
      <c r="A55" s="53" t="n">
        <v>46349</v>
      </c>
      <c r="B55" s="54"/>
      <c r="C55" s="54"/>
      <c r="D55" s="54"/>
      <c r="E55" s="54"/>
      <c r="F55" s="55"/>
      <c r="G55" s="56"/>
      <c r="H55" s="31" t="n">
        <f aca="false">B55+C55</f>
        <v>0</v>
      </c>
      <c r="I55" s="31" t="n">
        <f aca="false">MAX(0,H55-D55-E55)</f>
        <v>0</v>
      </c>
      <c r="J55" s="32" t="n">
        <f aca="false">B55*P1_PVP+C55*P2_PVP</f>
        <v>0</v>
      </c>
      <c r="K55" s="32" t="str">
        <f aca="false">IF(H55&gt;0,J55/H55,"")</f>
        <v/>
      </c>
      <c r="L55" s="32" t="str">
        <f aca="false">IF(H55&gt;0,F55/H55,"")</f>
        <v/>
      </c>
      <c r="M55" s="57" t="str">
        <f aca="false">IF(F55&gt;0,J55/F55,"")</f>
        <v/>
      </c>
      <c r="N55" s="34" t="str">
        <f aca="false">IF(D55+E55&gt;0,D55/(D55+E55),"")</f>
        <v/>
      </c>
      <c r="O55" s="33" t="n">
        <f aca="false">IF(H55&gt;0,D55*(B55*(P1_BEN-P1_IVAN)+C55*(P2_BEN-P2_IVAN))/H55,0)-E55*(COSTE_DEV-IVA_DEV)-Y55</f>
        <v>0</v>
      </c>
      <c r="P55" s="33" t="n">
        <f aca="false">T55-U55-V55-W55-X55-Y55</f>
        <v>0</v>
      </c>
      <c r="R55" s="58" t="n">
        <f aca="false">D55+I55*TASA_USADA</f>
        <v>0</v>
      </c>
      <c r="S55" s="58" t="n">
        <f aca="false">E55+I55*(1-TASA_USADA)</f>
        <v>0</v>
      </c>
      <c r="T55" s="59" t="n">
        <f aca="false">IF(H55&gt;0,R55*J55/H55,0)</f>
        <v>0</v>
      </c>
      <c r="U55" s="59" t="n">
        <f aca="false">IF(H55&gt;0,R55*(B55*P1_CPROD+C55*P2_CPROD)/H55,0)</f>
        <v>0</v>
      </c>
      <c r="V55" s="59" t="n">
        <f aca="false">IF(H55&gt;0,R55*(B55*P1_LOG+C55*P2_LOG)/H55,0)</f>
        <v>0</v>
      </c>
      <c r="W55" s="59" t="n">
        <f aca="false">S55*COSTE_DEV</f>
        <v>0</v>
      </c>
      <c r="X55" s="59" t="n">
        <f aca="false">IF(H55&gt;0,R55*(B55*P1_IVAN+C55*P2_IVAN)/H55,0)-S55*IVA_DEV</f>
        <v>0</v>
      </c>
      <c r="Y55" s="59" t="n">
        <f aca="false">F55*(1+RECARGO_ADS)</f>
        <v>0</v>
      </c>
    </row>
    <row r="56" customFormat="false" ht="15" hidden="false" customHeight="false" outlineLevel="0" collapsed="false">
      <c r="A56" s="53" t="n">
        <v>46350</v>
      </c>
      <c r="B56" s="54"/>
      <c r="C56" s="54"/>
      <c r="D56" s="54"/>
      <c r="E56" s="54"/>
      <c r="F56" s="55"/>
      <c r="G56" s="56"/>
      <c r="H56" s="31" t="n">
        <f aca="false">B56+C56</f>
        <v>0</v>
      </c>
      <c r="I56" s="31" t="n">
        <f aca="false">MAX(0,H56-D56-E56)</f>
        <v>0</v>
      </c>
      <c r="J56" s="32" t="n">
        <f aca="false">B56*P1_PVP+C56*P2_PVP</f>
        <v>0</v>
      </c>
      <c r="K56" s="32" t="str">
        <f aca="false">IF(H56&gt;0,J56/H56,"")</f>
        <v/>
      </c>
      <c r="L56" s="32" t="str">
        <f aca="false">IF(H56&gt;0,F56/H56,"")</f>
        <v/>
      </c>
      <c r="M56" s="57" t="str">
        <f aca="false">IF(F56&gt;0,J56/F56,"")</f>
        <v/>
      </c>
      <c r="N56" s="34" t="str">
        <f aca="false">IF(D56+E56&gt;0,D56/(D56+E56),"")</f>
        <v/>
      </c>
      <c r="O56" s="33" t="n">
        <f aca="false">IF(H56&gt;0,D56*(B56*(P1_BEN-P1_IVAN)+C56*(P2_BEN-P2_IVAN))/H56,0)-E56*(COSTE_DEV-IVA_DEV)-Y56</f>
        <v>0</v>
      </c>
      <c r="P56" s="33" t="n">
        <f aca="false">T56-U56-V56-W56-X56-Y56</f>
        <v>0</v>
      </c>
      <c r="R56" s="58" t="n">
        <f aca="false">D56+I56*TASA_USADA</f>
        <v>0</v>
      </c>
      <c r="S56" s="58" t="n">
        <f aca="false">E56+I56*(1-TASA_USADA)</f>
        <v>0</v>
      </c>
      <c r="T56" s="59" t="n">
        <f aca="false">IF(H56&gt;0,R56*J56/H56,0)</f>
        <v>0</v>
      </c>
      <c r="U56" s="59" t="n">
        <f aca="false">IF(H56&gt;0,R56*(B56*P1_CPROD+C56*P2_CPROD)/H56,0)</f>
        <v>0</v>
      </c>
      <c r="V56" s="59" t="n">
        <f aca="false">IF(H56&gt;0,R56*(B56*P1_LOG+C56*P2_LOG)/H56,0)</f>
        <v>0</v>
      </c>
      <c r="W56" s="59" t="n">
        <f aca="false">S56*COSTE_DEV</f>
        <v>0</v>
      </c>
      <c r="X56" s="59" t="n">
        <f aca="false">IF(H56&gt;0,R56*(B56*P1_IVAN+C56*P2_IVAN)/H56,0)-S56*IVA_DEV</f>
        <v>0</v>
      </c>
      <c r="Y56" s="59" t="n">
        <f aca="false">F56*(1+RECARGO_ADS)</f>
        <v>0</v>
      </c>
    </row>
    <row r="57" customFormat="false" ht="15" hidden="false" customHeight="false" outlineLevel="0" collapsed="false">
      <c r="A57" s="53" t="n">
        <v>46351</v>
      </c>
      <c r="B57" s="54"/>
      <c r="C57" s="54"/>
      <c r="D57" s="54"/>
      <c r="E57" s="54"/>
      <c r="F57" s="55"/>
      <c r="G57" s="56"/>
      <c r="H57" s="31" t="n">
        <f aca="false">B57+C57</f>
        <v>0</v>
      </c>
      <c r="I57" s="31" t="n">
        <f aca="false">MAX(0,H57-D57-E57)</f>
        <v>0</v>
      </c>
      <c r="J57" s="32" t="n">
        <f aca="false">B57*P1_PVP+C57*P2_PVP</f>
        <v>0</v>
      </c>
      <c r="K57" s="32" t="str">
        <f aca="false">IF(H57&gt;0,J57/H57,"")</f>
        <v/>
      </c>
      <c r="L57" s="32" t="str">
        <f aca="false">IF(H57&gt;0,F57/H57,"")</f>
        <v/>
      </c>
      <c r="M57" s="57" t="str">
        <f aca="false">IF(F57&gt;0,J57/F57,"")</f>
        <v/>
      </c>
      <c r="N57" s="34" t="str">
        <f aca="false">IF(D57+E57&gt;0,D57/(D57+E57),"")</f>
        <v/>
      </c>
      <c r="O57" s="33" t="n">
        <f aca="false">IF(H57&gt;0,D57*(B57*(P1_BEN-P1_IVAN)+C57*(P2_BEN-P2_IVAN))/H57,0)-E57*(COSTE_DEV-IVA_DEV)-Y57</f>
        <v>0</v>
      </c>
      <c r="P57" s="33" t="n">
        <f aca="false">T57-U57-V57-W57-X57-Y57</f>
        <v>0</v>
      </c>
      <c r="R57" s="58" t="n">
        <f aca="false">D57+I57*TASA_USADA</f>
        <v>0</v>
      </c>
      <c r="S57" s="58" t="n">
        <f aca="false">E57+I57*(1-TASA_USADA)</f>
        <v>0</v>
      </c>
      <c r="T57" s="59" t="n">
        <f aca="false">IF(H57&gt;0,R57*J57/H57,0)</f>
        <v>0</v>
      </c>
      <c r="U57" s="59" t="n">
        <f aca="false">IF(H57&gt;0,R57*(B57*P1_CPROD+C57*P2_CPROD)/H57,0)</f>
        <v>0</v>
      </c>
      <c r="V57" s="59" t="n">
        <f aca="false">IF(H57&gt;0,R57*(B57*P1_LOG+C57*P2_LOG)/H57,0)</f>
        <v>0</v>
      </c>
      <c r="W57" s="59" t="n">
        <f aca="false">S57*COSTE_DEV</f>
        <v>0</v>
      </c>
      <c r="X57" s="59" t="n">
        <f aca="false">IF(H57&gt;0,R57*(B57*P1_IVAN+C57*P2_IVAN)/H57,0)-S57*IVA_DEV</f>
        <v>0</v>
      </c>
      <c r="Y57" s="59" t="n">
        <f aca="false">F57*(1+RECARGO_ADS)</f>
        <v>0</v>
      </c>
    </row>
    <row r="58" customFormat="false" ht="15" hidden="false" customHeight="false" outlineLevel="0" collapsed="false">
      <c r="A58" s="53" t="n">
        <v>46352</v>
      </c>
      <c r="B58" s="54"/>
      <c r="C58" s="54"/>
      <c r="D58" s="54"/>
      <c r="E58" s="54"/>
      <c r="F58" s="55"/>
      <c r="G58" s="56"/>
      <c r="H58" s="31" t="n">
        <f aca="false">B58+C58</f>
        <v>0</v>
      </c>
      <c r="I58" s="31" t="n">
        <f aca="false">MAX(0,H58-D58-E58)</f>
        <v>0</v>
      </c>
      <c r="J58" s="32" t="n">
        <f aca="false">B58*P1_PVP+C58*P2_PVP</f>
        <v>0</v>
      </c>
      <c r="K58" s="32" t="str">
        <f aca="false">IF(H58&gt;0,J58/H58,"")</f>
        <v/>
      </c>
      <c r="L58" s="32" t="str">
        <f aca="false">IF(H58&gt;0,F58/H58,"")</f>
        <v/>
      </c>
      <c r="M58" s="57" t="str">
        <f aca="false">IF(F58&gt;0,J58/F58,"")</f>
        <v/>
      </c>
      <c r="N58" s="34" t="str">
        <f aca="false">IF(D58+E58&gt;0,D58/(D58+E58),"")</f>
        <v/>
      </c>
      <c r="O58" s="33" t="n">
        <f aca="false">IF(H58&gt;0,D58*(B58*(P1_BEN-P1_IVAN)+C58*(P2_BEN-P2_IVAN))/H58,0)-E58*(COSTE_DEV-IVA_DEV)-Y58</f>
        <v>0</v>
      </c>
      <c r="P58" s="33" t="n">
        <f aca="false">T58-U58-V58-W58-X58-Y58</f>
        <v>0</v>
      </c>
      <c r="R58" s="58" t="n">
        <f aca="false">D58+I58*TASA_USADA</f>
        <v>0</v>
      </c>
      <c r="S58" s="58" t="n">
        <f aca="false">E58+I58*(1-TASA_USADA)</f>
        <v>0</v>
      </c>
      <c r="T58" s="59" t="n">
        <f aca="false">IF(H58&gt;0,R58*J58/H58,0)</f>
        <v>0</v>
      </c>
      <c r="U58" s="59" t="n">
        <f aca="false">IF(H58&gt;0,R58*(B58*P1_CPROD+C58*P2_CPROD)/H58,0)</f>
        <v>0</v>
      </c>
      <c r="V58" s="59" t="n">
        <f aca="false">IF(H58&gt;0,R58*(B58*P1_LOG+C58*P2_LOG)/H58,0)</f>
        <v>0</v>
      </c>
      <c r="W58" s="59" t="n">
        <f aca="false">S58*COSTE_DEV</f>
        <v>0</v>
      </c>
      <c r="X58" s="59" t="n">
        <f aca="false">IF(H58&gt;0,R58*(B58*P1_IVAN+C58*P2_IVAN)/H58,0)-S58*IVA_DEV</f>
        <v>0</v>
      </c>
      <c r="Y58" s="59" t="n">
        <f aca="false">F58*(1+RECARGO_ADS)</f>
        <v>0</v>
      </c>
    </row>
    <row r="59" customFormat="false" ht="15" hidden="false" customHeight="false" outlineLevel="0" collapsed="false">
      <c r="A59" s="53" t="n">
        <v>46353</v>
      </c>
      <c r="B59" s="54"/>
      <c r="C59" s="54"/>
      <c r="D59" s="54"/>
      <c r="E59" s="54"/>
      <c r="F59" s="55"/>
      <c r="G59" s="56"/>
      <c r="H59" s="31" t="n">
        <f aca="false">B59+C59</f>
        <v>0</v>
      </c>
      <c r="I59" s="31" t="n">
        <f aca="false">MAX(0,H59-D59-E59)</f>
        <v>0</v>
      </c>
      <c r="J59" s="32" t="n">
        <f aca="false">B59*P1_PVP+C59*P2_PVP</f>
        <v>0</v>
      </c>
      <c r="K59" s="32" t="str">
        <f aca="false">IF(H59&gt;0,J59/H59,"")</f>
        <v/>
      </c>
      <c r="L59" s="32" t="str">
        <f aca="false">IF(H59&gt;0,F59/H59,"")</f>
        <v/>
      </c>
      <c r="M59" s="57" t="str">
        <f aca="false">IF(F59&gt;0,J59/F59,"")</f>
        <v/>
      </c>
      <c r="N59" s="34" t="str">
        <f aca="false">IF(D59+E59&gt;0,D59/(D59+E59),"")</f>
        <v/>
      </c>
      <c r="O59" s="33" t="n">
        <f aca="false">IF(H59&gt;0,D59*(B59*(P1_BEN-P1_IVAN)+C59*(P2_BEN-P2_IVAN))/H59,0)-E59*(COSTE_DEV-IVA_DEV)-Y59</f>
        <v>0</v>
      </c>
      <c r="P59" s="33" t="n">
        <f aca="false">T59-U59-V59-W59-X59-Y59</f>
        <v>0</v>
      </c>
      <c r="R59" s="58" t="n">
        <f aca="false">D59+I59*TASA_USADA</f>
        <v>0</v>
      </c>
      <c r="S59" s="58" t="n">
        <f aca="false">E59+I59*(1-TASA_USADA)</f>
        <v>0</v>
      </c>
      <c r="T59" s="59" t="n">
        <f aca="false">IF(H59&gt;0,R59*J59/H59,0)</f>
        <v>0</v>
      </c>
      <c r="U59" s="59" t="n">
        <f aca="false">IF(H59&gt;0,R59*(B59*P1_CPROD+C59*P2_CPROD)/H59,0)</f>
        <v>0</v>
      </c>
      <c r="V59" s="59" t="n">
        <f aca="false">IF(H59&gt;0,R59*(B59*P1_LOG+C59*P2_LOG)/H59,0)</f>
        <v>0</v>
      </c>
      <c r="W59" s="59" t="n">
        <f aca="false">S59*COSTE_DEV</f>
        <v>0</v>
      </c>
      <c r="X59" s="59" t="n">
        <f aca="false">IF(H59&gt;0,R59*(B59*P1_IVAN+C59*P2_IVAN)/H59,0)-S59*IVA_DEV</f>
        <v>0</v>
      </c>
      <c r="Y59" s="59" t="n">
        <f aca="false">F59*(1+RECARGO_ADS)</f>
        <v>0</v>
      </c>
    </row>
    <row r="60" customFormat="false" ht="15" hidden="false" customHeight="false" outlineLevel="0" collapsed="false">
      <c r="A60" s="53" t="n">
        <v>46354</v>
      </c>
      <c r="B60" s="54"/>
      <c r="C60" s="54"/>
      <c r="D60" s="54"/>
      <c r="E60" s="54"/>
      <c r="F60" s="55"/>
      <c r="G60" s="56"/>
      <c r="H60" s="31" t="n">
        <f aca="false">B60+C60</f>
        <v>0</v>
      </c>
      <c r="I60" s="31" t="n">
        <f aca="false">MAX(0,H60-D60-E60)</f>
        <v>0</v>
      </c>
      <c r="J60" s="32" t="n">
        <f aca="false">B60*P1_PVP+C60*P2_PVP</f>
        <v>0</v>
      </c>
      <c r="K60" s="32" t="str">
        <f aca="false">IF(H60&gt;0,J60/H60,"")</f>
        <v/>
      </c>
      <c r="L60" s="32" t="str">
        <f aca="false">IF(H60&gt;0,F60/H60,"")</f>
        <v/>
      </c>
      <c r="M60" s="57" t="str">
        <f aca="false">IF(F60&gt;0,J60/F60,"")</f>
        <v/>
      </c>
      <c r="N60" s="34" t="str">
        <f aca="false">IF(D60+E60&gt;0,D60/(D60+E60),"")</f>
        <v/>
      </c>
      <c r="O60" s="33" t="n">
        <f aca="false">IF(H60&gt;0,D60*(B60*(P1_BEN-P1_IVAN)+C60*(P2_BEN-P2_IVAN))/H60,0)-E60*(COSTE_DEV-IVA_DEV)-Y60</f>
        <v>0</v>
      </c>
      <c r="P60" s="33" t="n">
        <f aca="false">T60-U60-V60-W60-X60-Y60</f>
        <v>0</v>
      </c>
      <c r="R60" s="58" t="n">
        <f aca="false">D60+I60*TASA_USADA</f>
        <v>0</v>
      </c>
      <c r="S60" s="58" t="n">
        <f aca="false">E60+I60*(1-TASA_USADA)</f>
        <v>0</v>
      </c>
      <c r="T60" s="59" t="n">
        <f aca="false">IF(H60&gt;0,R60*J60/H60,0)</f>
        <v>0</v>
      </c>
      <c r="U60" s="59" t="n">
        <f aca="false">IF(H60&gt;0,R60*(B60*P1_CPROD+C60*P2_CPROD)/H60,0)</f>
        <v>0</v>
      </c>
      <c r="V60" s="59" t="n">
        <f aca="false">IF(H60&gt;0,R60*(B60*P1_LOG+C60*P2_LOG)/H60,0)</f>
        <v>0</v>
      </c>
      <c r="W60" s="59" t="n">
        <f aca="false">S60*COSTE_DEV</f>
        <v>0</v>
      </c>
      <c r="X60" s="59" t="n">
        <f aca="false">IF(H60&gt;0,R60*(B60*P1_IVAN+C60*P2_IVAN)/H60,0)-S60*IVA_DEV</f>
        <v>0</v>
      </c>
      <c r="Y60" s="59" t="n">
        <f aca="false">F60*(1+RECARGO_ADS)</f>
        <v>0</v>
      </c>
    </row>
    <row r="61" customFormat="false" ht="15" hidden="false" customHeight="false" outlineLevel="0" collapsed="false">
      <c r="A61" s="53" t="n">
        <v>46355</v>
      </c>
      <c r="B61" s="54"/>
      <c r="C61" s="54"/>
      <c r="D61" s="54"/>
      <c r="E61" s="54"/>
      <c r="F61" s="55"/>
      <c r="G61" s="56"/>
      <c r="H61" s="31" t="n">
        <f aca="false">B61+C61</f>
        <v>0</v>
      </c>
      <c r="I61" s="31" t="n">
        <f aca="false">MAX(0,H61-D61-E61)</f>
        <v>0</v>
      </c>
      <c r="J61" s="32" t="n">
        <f aca="false">B61*P1_PVP+C61*P2_PVP</f>
        <v>0</v>
      </c>
      <c r="K61" s="32" t="str">
        <f aca="false">IF(H61&gt;0,J61/H61,"")</f>
        <v/>
      </c>
      <c r="L61" s="32" t="str">
        <f aca="false">IF(H61&gt;0,F61/H61,"")</f>
        <v/>
      </c>
      <c r="M61" s="57" t="str">
        <f aca="false">IF(F61&gt;0,J61/F61,"")</f>
        <v/>
      </c>
      <c r="N61" s="34" t="str">
        <f aca="false">IF(D61+E61&gt;0,D61/(D61+E61),"")</f>
        <v/>
      </c>
      <c r="O61" s="33" t="n">
        <f aca="false">IF(H61&gt;0,D61*(B61*(P1_BEN-P1_IVAN)+C61*(P2_BEN-P2_IVAN))/H61,0)-E61*(COSTE_DEV-IVA_DEV)-Y61</f>
        <v>0</v>
      </c>
      <c r="P61" s="33" t="n">
        <f aca="false">T61-U61-V61-W61-X61-Y61</f>
        <v>0</v>
      </c>
      <c r="R61" s="58" t="n">
        <f aca="false">D61+I61*TASA_USADA</f>
        <v>0</v>
      </c>
      <c r="S61" s="58" t="n">
        <f aca="false">E61+I61*(1-TASA_USADA)</f>
        <v>0</v>
      </c>
      <c r="T61" s="59" t="n">
        <f aca="false">IF(H61&gt;0,R61*J61/H61,0)</f>
        <v>0</v>
      </c>
      <c r="U61" s="59" t="n">
        <f aca="false">IF(H61&gt;0,R61*(B61*P1_CPROD+C61*P2_CPROD)/H61,0)</f>
        <v>0</v>
      </c>
      <c r="V61" s="59" t="n">
        <f aca="false">IF(H61&gt;0,R61*(B61*P1_LOG+C61*P2_LOG)/H61,0)</f>
        <v>0</v>
      </c>
      <c r="W61" s="59" t="n">
        <f aca="false">S61*COSTE_DEV</f>
        <v>0</v>
      </c>
      <c r="X61" s="59" t="n">
        <f aca="false">IF(H61&gt;0,R61*(B61*P1_IVAN+C61*P2_IVAN)/H61,0)-S61*IVA_DEV</f>
        <v>0</v>
      </c>
      <c r="Y61" s="59" t="n">
        <f aca="false">F61*(1+RECARGO_ADS)</f>
        <v>0</v>
      </c>
    </row>
    <row r="62" customFormat="false" ht="15" hidden="false" customHeight="false" outlineLevel="0" collapsed="false">
      <c r="A62" s="53" t="n">
        <v>46356</v>
      </c>
      <c r="B62" s="54"/>
      <c r="C62" s="54"/>
      <c r="D62" s="54"/>
      <c r="E62" s="54"/>
      <c r="F62" s="55"/>
      <c r="G62" s="56"/>
      <c r="H62" s="31" t="n">
        <f aca="false">B62+C62</f>
        <v>0</v>
      </c>
      <c r="I62" s="31" t="n">
        <f aca="false">MAX(0,H62-D62-E62)</f>
        <v>0</v>
      </c>
      <c r="J62" s="32" t="n">
        <f aca="false">B62*P1_PVP+C62*P2_PVP</f>
        <v>0</v>
      </c>
      <c r="K62" s="32" t="str">
        <f aca="false">IF(H62&gt;0,J62/H62,"")</f>
        <v/>
      </c>
      <c r="L62" s="32" t="str">
        <f aca="false">IF(H62&gt;0,F62/H62,"")</f>
        <v/>
      </c>
      <c r="M62" s="57" t="str">
        <f aca="false">IF(F62&gt;0,J62/F62,"")</f>
        <v/>
      </c>
      <c r="N62" s="34" t="str">
        <f aca="false">IF(D62+E62&gt;0,D62/(D62+E62),"")</f>
        <v/>
      </c>
      <c r="O62" s="33" t="n">
        <f aca="false">IF(H62&gt;0,D62*(B62*(P1_BEN-P1_IVAN)+C62*(P2_BEN-P2_IVAN))/H62,0)-E62*(COSTE_DEV-IVA_DEV)-Y62</f>
        <v>0</v>
      </c>
      <c r="P62" s="33" t="n">
        <f aca="false">T62-U62-V62-W62-X62-Y62</f>
        <v>0</v>
      </c>
      <c r="R62" s="58" t="n">
        <f aca="false">D62+I62*TASA_USADA</f>
        <v>0</v>
      </c>
      <c r="S62" s="58" t="n">
        <f aca="false">E62+I62*(1-TASA_USADA)</f>
        <v>0</v>
      </c>
      <c r="T62" s="59" t="n">
        <f aca="false">IF(H62&gt;0,R62*J62/H62,0)</f>
        <v>0</v>
      </c>
      <c r="U62" s="59" t="n">
        <f aca="false">IF(H62&gt;0,R62*(B62*P1_CPROD+C62*P2_CPROD)/H62,0)</f>
        <v>0</v>
      </c>
      <c r="V62" s="59" t="n">
        <f aca="false">IF(H62&gt;0,R62*(B62*P1_LOG+C62*P2_LOG)/H62,0)</f>
        <v>0</v>
      </c>
      <c r="W62" s="59" t="n">
        <f aca="false">S62*COSTE_DEV</f>
        <v>0</v>
      </c>
      <c r="X62" s="59" t="n">
        <f aca="false">IF(H62&gt;0,R62*(B62*P1_IVAN+C62*P2_IVAN)/H62,0)-S62*IVA_DEV</f>
        <v>0</v>
      </c>
      <c r="Y62" s="59" t="n">
        <f aca="false">F62*(1+RECARGO_ADS)</f>
        <v>0</v>
      </c>
    </row>
    <row r="63" customFormat="false" ht="15" hidden="false" customHeight="false" outlineLevel="0" collapsed="false">
      <c r="A63" s="53" t="n">
        <v>46357</v>
      </c>
      <c r="B63" s="54"/>
      <c r="C63" s="54"/>
      <c r="D63" s="54"/>
      <c r="E63" s="54"/>
      <c r="F63" s="55"/>
      <c r="G63" s="56"/>
      <c r="H63" s="31" t="n">
        <f aca="false">B63+C63</f>
        <v>0</v>
      </c>
      <c r="I63" s="31" t="n">
        <f aca="false">MAX(0,H63-D63-E63)</f>
        <v>0</v>
      </c>
      <c r="J63" s="32" t="n">
        <f aca="false">B63*P1_PVP+C63*P2_PVP</f>
        <v>0</v>
      </c>
      <c r="K63" s="32" t="str">
        <f aca="false">IF(H63&gt;0,J63/H63,"")</f>
        <v/>
      </c>
      <c r="L63" s="32" t="str">
        <f aca="false">IF(H63&gt;0,F63/H63,"")</f>
        <v/>
      </c>
      <c r="M63" s="57" t="str">
        <f aca="false">IF(F63&gt;0,J63/F63,"")</f>
        <v/>
      </c>
      <c r="N63" s="34" t="str">
        <f aca="false">IF(D63+E63&gt;0,D63/(D63+E63),"")</f>
        <v/>
      </c>
      <c r="O63" s="33" t="n">
        <f aca="false">IF(H63&gt;0,D63*(B63*(P1_BEN-P1_IVAN)+C63*(P2_BEN-P2_IVAN))/H63,0)-E63*(COSTE_DEV-IVA_DEV)-Y63</f>
        <v>0</v>
      </c>
      <c r="P63" s="33" t="n">
        <f aca="false">T63-U63-V63-W63-X63-Y63</f>
        <v>0</v>
      </c>
      <c r="R63" s="58" t="n">
        <f aca="false">D63+I63*TASA_USADA</f>
        <v>0</v>
      </c>
      <c r="S63" s="58" t="n">
        <f aca="false">E63+I63*(1-TASA_USADA)</f>
        <v>0</v>
      </c>
      <c r="T63" s="59" t="n">
        <f aca="false">IF(H63&gt;0,R63*J63/H63,0)</f>
        <v>0</v>
      </c>
      <c r="U63" s="59" t="n">
        <f aca="false">IF(H63&gt;0,R63*(B63*P1_CPROD+C63*P2_CPROD)/H63,0)</f>
        <v>0</v>
      </c>
      <c r="V63" s="59" t="n">
        <f aca="false">IF(H63&gt;0,R63*(B63*P1_LOG+C63*P2_LOG)/H63,0)</f>
        <v>0</v>
      </c>
      <c r="W63" s="59" t="n">
        <f aca="false">S63*COSTE_DEV</f>
        <v>0</v>
      </c>
      <c r="X63" s="59" t="n">
        <f aca="false">IF(H63&gt;0,R63*(B63*P1_IVAN+C63*P2_IVAN)/H63,0)-S63*IVA_DEV</f>
        <v>0</v>
      </c>
      <c r="Y63" s="59" t="n">
        <f aca="false">F63*(1+RECARGO_ADS)</f>
        <v>0</v>
      </c>
    </row>
    <row r="64" customFormat="false" ht="15" hidden="false" customHeight="false" outlineLevel="0" collapsed="false">
      <c r="A64" s="53" t="n">
        <v>46358</v>
      </c>
      <c r="B64" s="54"/>
      <c r="C64" s="54"/>
      <c r="D64" s="54"/>
      <c r="E64" s="54"/>
      <c r="F64" s="55"/>
      <c r="G64" s="56"/>
      <c r="H64" s="31" t="n">
        <f aca="false">B64+C64</f>
        <v>0</v>
      </c>
      <c r="I64" s="31" t="n">
        <f aca="false">MAX(0,H64-D64-E64)</f>
        <v>0</v>
      </c>
      <c r="J64" s="32" t="n">
        <f aca="false">B64*P1_PVP+C64*P2_PVP</f>
        <v>0</v>
      </c>
      <c r="K64" s="32" t="str">
        <f aca="false">IF(H64&gt;0,J64/H64,"")</f>
        <v/>
      </c>
      <c r="L64" s="32" t="str">
        <f aca="false">IF(H64&gt;0,F64/H64,"")</f>
        <v/>
      </c>
      <c r="M64" s="57" t="str">
        <f aca="false">IF(F64&gt;0,J64/F64,"")</f>
        <v/>
      </c>
      <c r="N64" s="34" t="str">
        <f aca="false">IF(D64+E64&gt;0,D64/(D64+E64),"")</f>
        <v/>
      </c>
      <c r="O64" s="33" t="n">
        <f aca="false">IF(H64&gt;0,D64*(B64*(P1_BEN-P1_IVAN)+C64*(P2_BEN-P2_IVAN))/H64,0)-E64*(COSTE_DEV-IVA_DEV)-Y64</f>
        <v>0</v>
      </c>
      <c r="P64" s="33" t="n">
        <f aca="false">T64-U64-V64-W64-X64-Y64</f>
        <v>0</v>
      </c>
      <c r="R64" s="58" t="n">
        <f aca="false">D64+I64*TASA_USADA</f>
        <v>0</v>
      </c>
      <c r="S64" s="58" t="n">
        <f aca="false">E64+I64*(1-TASA_USADA)</f>
        <v>0</v>
      </c>
      <c r="T64" s="59" t="n">
        <f aca="false">IF(H64&gt;0,R64*J64/H64,0)</f>
        <v>0</v>
      </c>
      <c r="U64" s="59" t="n">
        <f aca="false">IF(H64&gt;0,R64*(B64*P1_CPROD+C64*P2_CPROD)/H64,0)</f>
        <v>0</v>
      </c>
      <c r="V64" s="59" t="n">
        <f aca="false">IF(H64&gt;0,R64*(B64*P1_LOG+C64*P2_LOG)/H64,0)</f>
        <v>0</v>
      </c>
      <c r="W64" s="59" t="n">
        <f aca="false">S64*COSTE_DEV</f>
        <v>0</v>
      </c>
      <c r="X64" s="59" t="n">
        <f aca="false">IF(H64&gt;0,R64*(B64*P1_IVAN+C64*P2_IVAN)/H64,0)-S64*IVA_DEV</f>
        <v>0</v>
      </c>
      <c r="Y64" s="59" t="n">
        <f aca="false">F64*(1+RECARGO_ADS)</f>
        <v>0</v>
      </c>
    </row>
    <row r="65" customFormat="false" ht="15" hidden="false" customHeight="false" outlineLevel="0" collapsed="false">
      <c r="A65" s="53" t="n">
        <v>46359</v>
      </c>
      <c r="B65" s="54"/>
      <c r="C65" s="54"/>
      <c r="D65" s="54"/>
      <c r="E65" s="54"/>
      <c r="F65" s="55"/>
      <c r="G65" s="56"/>
      <c r="H65" s="31" t="n">
        <f aca="false">B65+C65</f>
        <v>0</v>
      </c>
      <c r="I65" s="31" t="n">
        <f aca="false">MAX(0,H65-D65-E65)</f>
        <v>0</v>
      </c>
      <c r="J65" s="32" t="n">
        <f aca="false">B65*P1_PVP+C65*P2_PVP</f>
        <v>0</v>
      </c>
      <c r="K65" s="32" t="str">
        <f aca="false">IF(H65&gt;0,J65/H65,"")</f>
        <v/>
      </c>
      <c r="L65" s="32" t="str">
        <f aca="false">IF(H65&gt;0,F65/H65,"")</f>
        <v/>
      </c>
      <c r="M65" s="57" t="str">
        <f aca="false">IF(F65&gt;0,J65/F65,"")</f>
        <v/>
      </c>
      <c r="N65" s="34" t="str">
        <f aca="false">IF(D65+E65&gt;0,D65/(D65+E65),"")</f>
        <v/>
      </c>
      <c r="O65" s="33" t="n">
        <f aca="false">IF(H65&gt;0,D65*(B65*(P1_BEN-P1_IVAN)+C65*(P2_BEN-P2_IVAN))/H65,0)-E65*(COSTE_DEV-IVA_DEV)-Y65</f>
        <v>0</v>
      </c>
      <c r="P65" s="33" t="n">
        <f aca="false">T65-U65-V65-W65-X65-Y65</f>
        <v>0</v>
      </c>
      <c r="R65" s="58" t="n">
        <f aca="false">D65+I65*TASA_USADA</f>
        <v>0</v>
      </c>
      <c r="S65" s="58" t="n">
        <f aca="false">E65+I65*(1-TASA_USADA)</f>
        <v>0</v>
      </c>
      <c r="T65" s="59" t="n">
        <f aca="false">IF(H65&gt;0,R65*J65/H65,0)</f>
        <v>0</v>
      </c>
      <c r="U65" s="59" t="n">
        <f aca="false">IF(H65&gt;0,R65*(B65*P1_CPROD+C65*P2_CPROD)/H65,0)</f>
        <v>0</v>
      </c>
      <c r="V65" s="59" t="n">
        <f aca="false">IF(H65&gt;0,R65*(B65*P1_LOG+C65*P2_LOG)/H65,0)</f>
        <v>0</v>
      </c>
      <c r="W65" s="59" t="n">
        <f aca="false">S65*COSTE_DEV</f>
        <v>0</v>
      </c>
      <c r="X65" s="59" t="n">
        <f aca="false">IF(H65&gt;0,R65*(B65*P1_IVAN+C65*P2_IVAN)/H65,0)-S65*IVA_DEV</f>
        <v>0</v>
      </c>
      <c r="Y65" s="59" t="n">
        <f aca="false">F65*(1+RECARGO_ADS)</f>
        <v>0</v>
      </c>
    </row>
    <row r="66" customFormat="false" ht="15" hidden="false" customHeight="false" outlineLevel="0" collapsed="false">
      <c r="A66" s="53" t="n">
        <v>46360</v>
      </c>
      <c r="B66" s="54"/>
      <c r="C66" s="54"/>
      <c r="D66" s="54"/>
      <c r="E66" s="54"/>
      <c r="F66" s="55"/>
      <c r="G66" s="56"/>
      <c r="H66" s="31" t="n">
        <f aca="false">B66+C66</f>
        <v>0</v>
      </c>
      <c r="I66" s="31" t="n">
        <f aca="false">MAX(0,H66-D66-E66)</f>
        <v>0</v>
      </c>
      <c r="J66" s="32" t="n">
        <f aca="false">B66*P1_PVP+C66*P2_PVP</f>
        <v>0</v>
      </c>
      <c r="K66" s="32" t="str">
        <f aca="false">IF(H66&gt;0,J66/H66,"")</f>
        <v/>
      </c>
      <c r="L66" s="32" t="str">
        <f aca="false">IF(H66&gt;0,F66/H66,"")</f>
        <v/>
      </c>
      <c r="M66" s="57" t="str">
        <f aca="false">IF(F66&gt;0,J66/F66,"")</f>
        <v/>
      </c>
      <c r="N66" s="34" t="str">
        <f aca="false">IF(D66+E66&gt;0,D66/(D66+E66),"")</f>
        <v/>
      </c>
      <c r="O66" s="33" t="n">
        <f aca="false">IF(H66&gt;0,D66*(B66*(P1_BEN-P1_IVAN)+C66*(P2_BEN-P2_IVAN))/H66,0)-E66*(COSTE_DEV-IVA_DEV)-Y66</f>
        <v>0</v>
      </c>
      <c r="P66" s="33" t="n">
        <f aca="false">T66-U66-V66-W66-X66-Y66</f>
        <v>0</v>
      </c>
      <c r="R66" s="58" t="n">
        <f aca="false">D66+I66*TASA_USADA</f>
        <v>0</v>
      </c>
      <c r="S66" s="58" t="n">
        <f aca="false">E66+I66*(1-TASA_USADA)</f>
        <v>0</v>
      </c>
      <c r="T66" s="59" t="n">
        <f aca="false">IF(H66&gt;0,R66*J66/H66,0)</f>
        <v>0</v>
      </c>
      <c r="U66" s="59" t="n">
        <f aca="false">IF(H66&gt;0,R66*(B66*P1_CPROD+C66*P2_CPROD)/H66,0)</f>
        <v>0</v>
      </c>
      <c r="V66" s="59" t="n">
        <f aca="false">IF(H66&gt;0,R66*(B66*P1_LOG+C66*P2_LOG)/H66,0)</f>
        <v>0</v>
      </c>
      <c r="W66" s="59" t="n">
        <f aca="false">S66*COSTE_DEV</f>
        <v>0</v>
      </c>
      <c r="X66" s="59" t="n">
        <f aca="false">IF(H66&gt;0,R66*(B66*P1_IVAN+C66*P2_IVAN)/H66,0)-S66*IVA_DEV</f>
        <v>0</v>
      </c>
      <c r="Y66" s="59" t="n">
        <f aca="false">F66*(1+RECARGO_ADS)</f>
        <v>0</v>
      </c>
    </row>
    <row r="67" customFormat="false" ht="15" hidden="false" customHeight="false" outlineLevel="0" collapsed="false">
      <c r="A67" s="53" t="n">
        <v>46361</v>
      </c>
      <c r="B67" s="54"/>
      <c r="C67" s="54"/>
      <c r="D67" s="54"/>
      <c r="E67" s="54"/>
      <c r="F67" s="55"/>
      <c r="G67" s="56"/>
      <c r="H67" s="31" t="n">
        <f aca="false">B67+C67</f>
        <v>0</v>
      </c>
      <c r="I67" s="31" t="n">
        <f aca="false">MAX(0,H67-D67-E67)</f>
        <v>0</v>
      </c>
      <c r="J67" s="32" t="n">
        <f aca="false">B67*P1_PVP+C67*P2_PVP</f>
        <v>0</v>
      </c>
      <c r="K67" s="32" t="str">
        <f aca="false">IF(H67&gt;0,J67/H67,"")</f>
        <v/>
      </c>
      <c r="L67" s="32" t="str">
        <f aca="false">IF(H67&gt;0,F67/H67,"")</f>
        <v/>
      </c>
      <c r="M67" s="57" t="str">
        <f aca="false">IF(F67&gt;0,J67/F67,"")</f>
        <v/>
      </c>
      <c r="N67" s="34" t="str">
        <f aca="false">IF(D67+E67&gt;0,D67/(D67+E67),"")</f>
        <v/>
      </c>
      <c r="O67" s="33" t="n">
        <f aca="false">IF(H67&gt;0,D67*(B67*(P1_BEN-P1_IVAN)+C67*(P2_BEN-P2_IVAN))/H67,0)-E67*(COSTE_DEV-IVA_DEV)-Y67</f>
        <v>0</v>
      </c>
      <c r="P67" s="33" t="n">
        <f aca="false">T67-U67-V67-W67-X67-Y67</f>
        <v>0</v>
      </c>
      <c r="R67" s="58" t="n">
        <f aca="false">D67+I67*TASA_USADA</f>
        <v>0</v>
      </c>
      <c r="S67" s="58" t="n">
        <f aca="false">E67+I67*(1-TASA_USADA)</f>
        <v>0</v>
      </c>
      <c r="T67" s="59" t="n">
        <f aca="false">IF(H67&gt;0,R67*J67/H67,0)</f>
        <v>0</v>
      </c>
      <c r="U67" s="59" t="n">
        <f aca="false">IF(H67&gt;0,R67*(B67*P1_CPROD+C67*P2_CPROD)/H67,0)</f>
        <v>0</v>
      </c>
      <c r="V67" s="59" t="n">
        <f aca="false">IF(H67&gt;0,R67*(B67*P1_LOG+C67*P2_LOG)/H67,0)</f>
        <v>0</v>
      </c>
      <c r="W67" s="59" t="n">
        <f aca="false">S67*COSTE_DEV</f>
        <v>0</v>
      </c>
      <c r="X67" s="59" t="n">
        <f aca="false">IF(H67&gt;0,R67*(B67*P1_IVAN+C67*P2_IVAN)/H67,0)-S67*IVA_DEV</f>
        <v>0</v>
      </c>
      <c r="Y67" s="59" t="n">
        <f aca="false">F67*(1+RECARGO_ADS)</f>
        <v>0</v>
      </c>
    </row>
    <row r="68" customFormat="false" ht="15" hidden="false" customHeight="false" outlineLevel="0" collapsed="false">
      <c r="A68" s="53" t="n">
        <v>46362</v>
      </c>
      <c r="B68" s="54"/>
      <c r="C68" s="54"/>
      <c r="D68" s="54"/>
      <c r="E68" s="54"/>
      <c r="F68" s="55"/>
      <c r="G68" s="56"/>
      <c r="H68" s="31" t="n">
        <f aca="false">B68+C68</f>
        <v>0</v>
      </c>
      <c r="I68" s="31" t="n">
        <f aca="false">MAX(0,H68-D68-E68)</f>
        <v>0</v>
      </c>
      <c r="J68" s="32" t="n">
        <f aca="false">B68*P1_PVP+C68*P2_PVP</f>
        <v>0</v>
      </c>
      <c r="K68" s="32" t="str">
        <f aca="false">IF(H68&gt;0,J68/H68,"")</f>
        <v/>
      </c>
      <c r="L68" s="32" t="str">
        <f aca="false">IF(H68&gt;0,F68/H68,"")</f>
        <v/>
      </c>
      <c r="M68" s="57" t="str">
        <f aca="false">IF(F68&gt;0,J68/F68,"")</f>
        <v/>
      </c>
      <c r="N68" s="34" t="str">
        <f aca="false">IF(D68+E68&gt;0,D68/(D68+E68),"")</f>
        <v/>
      </c>
      <c r="O68" s="33" t="n">
        <f aca="false">IF(H68&gt;0,D68*(B68*(P1_BEN-P1_IVAN)+C68*(P2_BEN-P2_IVAN))/H68,0)-E68*(COSTE_DEV-IVA_DEV)-Y68</f>
        <v>0</v>
      </c>
      <c r="P68" s="33" t="n">
        <f aca="false">T68-U68-V68-W68-X68-Y68</f>
        <v>0</v>
      </c>
      <c r="R68" s="58" t="n">
        <f aca="false">D68+I68*TASA_USADA</f>
        <v>0</v>
      </c>
      <c r="S68" s="58" t="n">
        <f aca="false">E68+I68*(1-TASA_USADA)</f>
        <v>0</v>
      </c>
      <c r="T68" s="59" t="n">
        <f aca="false">IF(H68&gt;0,R68*J68/H68,0)</f>
        <v>0</v>
      </c>
      <c r="U68" s="59" t="n">
        <f aca="false">IF(H68&gt;0,R68*(B68*P1_CPROD+C68*P2_CPROD)/H68,0)</f>
        <v>0</v>
      </c>
      <c r="V68" s="59" t="n">
        <f aca="false">IF(H68&gt;0,R68*(B68*P1_LOG+C68*P2_LOG)/H68,0)</f>
        <v>0</v>
      </c>
      <c r="W68" s="59" t="n">
        <f aca="false">S68*COSTE_DEV</f>
        <v>0</v>
      </c>
      <c r="X68" s="59" t="n">
        <f aca="false">IF(H68&gt;0,R68*(B68*P1_IVAN+C68*P2_IVAN)/H68,0)-S68*IVA_DEV</f>
        <v>0</v>
      </c>
      <c r="Y68" s="59" t="n">
        <f aca="false">F68*(1+RECARGO_ADS)</f>
        <v>0</v>
      </c>
    </row>
    <row r="69" customFormat="false" ht="15" hidden="false" customHeight="false" outlineLevel="0" collapsed="false">
      <c r="A69" s="53" t="n">
        <v>46363</v>
      </c>
      <c r="B69" s="54"/>
      <c r="C69" s="54"/>
      <c r="D69" s="54"/>
      <c r="E69" s="54"/>
      <c r="F69" s="55"/>
      <c r="G69" s="56"/>
      <c r="H69" s="31" t="n">
        <f aca="false">B69+C69</f>
        <v>0</v>
      </c>
      <c r="I69" s="31" t="n">
        <f aca="false">MAX(0,H69-D69-E69)</f>
        <v>0</v>
      </c>
      <c r="J69" s="32" t="n">
        <f aca="false">B69*P1_PVP+C69*P2_PVP</f>
        <v>0</v>
      </c>
      <c r="K69" s="32" t="str">
        <f aca="false">IF(H69&gt;0,J69/H69,"")</f>
        <v/>
      </c>
      <c r="L69" s="32" t="str">
        <f aca="false">IF(H69&gt;0,F69/H69,"")</f>
        <v/>
      </c>
      <c r="M69" s="57" t="str">
        <f aca="false">IF(F69&gt;0,J69/F69,"")</f>
        <v/>
      </c>
      <c r="N69" s="34" t="str">
        <f aca="false">IF(D69+E69&gt;0,D69/(D69+E69),"")</f>
        <v/>
      </c>
      <c r="O69" s="33" t="n">
        <f aca="false">IF(H69&gt;0,D69*(B69*(P1_BEN-P1_IVAN)+C69*(P2_BEN-P2_IVAN))/H69,0)-E69*(COSTE_DEV-IVA_DEV)-Y69</f>
        <v>0</v>
      </c>
      <c r="P69" s="33" t="n">
        <f aca="false">T69-U69-V69-W69-X69-Y69</f>
        <v>0</v>
      </c>
      <c r="R69" s="58" t="n">
        <f aca="false">D69+I69*TASA_USADA</f>
        <v>0</v>
      </c>
      <c r="S69" s="58" t="n">
        <f aca="false">E69+I69*(1-TASA_USADA)</f>
        <v>0</v>
      </c>
      <c r="T69" s="59" t="n">
        <f aca="false">IF(H69&gt;0,R69*J69/H69,0)</f>
        <v>0</v>
      </c>
      <c r="U69" s="59" t="n">
        <f aca="false">IF(H69&gt;0,R69*(B69*P1_CPROD+C69*P2_CPROD)/H69,0)</f>
        <v>0</v>
      </c>
      <c r="V69" s="59" t="n">
        <f aca="false">IF(H69&gt;0,R69*(B69*P1_LOG+C69*P2_LOG)/H69,0)</f>
        <v>0</v>
      </c>
      <c r="W69" s="59" t="n">
        <f aca="false">S69*COSTE_DEV</f>
        <v>0</v>
      </c>
      <c r="X69" s="59" t="n">
        <f aca="false">IF(H69&gt;0,R69*(B69*P1_IVAN+C69*P2_IVAN)/H69,0)-S69*IVA_DEV</f>
        <v>0</v>
      </c>
      <c r="Y69" s="59" t="n">
        <f aca="false">F69*(1+RECARGO_ADS)</f>
        <v>0</v>
      </c>
    </row>
    <row r="70" customFormat="false" ht="15" hidden="false" customHeight="false" outlineLevel="0" collapsed="false">
      <c r="A70" s="53" t="n">
        <v>46364</v>
      </c>
      <c r="B70" s="54"/>
      <c r="C70" s="54"/>
      <c r="D70" s="54"/>
      <c r="E70" s="54"/>
      <c r="F70" s="55"/>
      <c r="G70" s="56"/>
      <c r="H70" s="31" t="n">
        <f aca="false">B70+C70</f>
        <v>0</v>
      </c>
      <c r="I70" s="31" t="n">
        <f aca="false">MAX(0,H70-D70-E70)</f>
        <v>0</v>
      </c>
      <c r="J70" s="32" t="n">
        <f aca="false">B70*P1_PVP+C70*P2_PVP</f>
        <v>0</v>
      </c>
      <c r="K70" s="32" t="str">
        <f aca="false">IF(H70&gt;0,J70/H70,"")</f>
        <v/>
      </c>
      <c r="L70" s="32" t="str">
        <f aca="false">IF(H70&gt;0,F70/H70,"")</f>
        <v/>
      </c>
      <c r="M70" s="57" t="str">
        <f aca="false">IF(F70&gt;0,J70/F70,"")</f>
        <v/>
      </c>
      <c r="N70" s="34" t="str">
        <f aca="false">IF(D70+E70&gt;0,D70/(D70+E70),"")</f>
        <v/>
      </c>
      <c r="O70" s="33" t="n">
        <f aca="false">IF(H70&gt;0,D70*(B70*(P1_BEN-P1_IVAN)+C70*(P2_BEN-P2_IVAN))/H70,0)-E70*(COSTE_DEV-IVA_DEV)-Y70</f>
        <v>0</v>
      </c>
      <c r="P70" s="33" t="n">
        <f aca="false">T70-U70-V70-W70-X70-Y70</f>
        <v>0</v>
      </c>
      <c r="R70" s="58" t="n">
        <f aca="false">D70+I70*TASA_USADA</f>
        <v>0</v>
      </c>
      <c r="S70" s="58" t="n">
        <f aca="false">E70+I70*(1-TASA_USADA)</f>
        <v>0</v>
      </c>
      <c r="T70" s="59" t="n">
        <f aca="false">IF(H70&gt;0,R70*J70/H70,0)</f>
        <v>0</v>
      </c>
      <c r="U70" s="59" t="n">
        <f aca="false">IF(H70&gt;0,R70*(B70*P1_CPROD+C70*P2_CPROD)/H70,0)</f>
        <v>0</v>
      </c>
      <c r="V70" s="59" t="n">
        <f aca="false">IF(H70&gt;0,R70*(B70*P1_LOG+C70*P2_LOG)/H70,0)</f>
        <v>0</v>
      </c>
      <c r="W70" s="59" t="n">
        <f aca="false">S70*COSTE_DEV</f>
        <v>0</v>
      </c>
      <c r="X70" s="59" t="n">
        <f aca="false">IF(H70&gt;0,R70*(B70*P1_IVAN+C70*P2_IVAN)/H70,0)-S70*IVA_DEV</f>
        <v>0</v>
      </c>
      <c r="Y70" s="59" t="n">
        <f aca="false">F70*(1+RECARGO_ADS)</f>
        <v>0</v>
      </c>
    </row>
    <row r="71" customFormat="false" ht="15" hidden="false" customHeight="false" outlineLevel="0" collapsed="false">
      <c r="A71" s="53" t="n">
        <v>46365</v>
      </c>
      <c r="B71" s="54"/>
      <c r="C71" s="54"/>
      <c r="D71" s="54"/>
      <c r="E71" s="54"/>
      <c r="F71" s="55"/>
      <c r="G71" s="56"/>
      <c r="H71" s="31" t="n">
        <f aca="false">B71+C71</f>
        <v>0</v>
      </c>
      <c r="I71" s="31" t="n">
        <f aca="false">MAX(0,H71-D71-E71)</f>
        <v>0</v>
      </c>
      <c r="J71" s="32" t="n">
        <f aca="false">B71*P1_PVP+C71*P2_PVP</f>
        <v>0</v>
      </c>
      <c r="K71" s="32" t="str">
        <f aca="false">IF(H71&gt;0,J71/H71,"")</f>
        <v/>
      </c>
      <c r="L71" s="32" t="str">
        <f aca="false">IF(H71&gt;0,F71/H71,"")</f>
        <v/>
      </c>
      <c r="M71" s="57" t="str">
        <f aca="false">IF(F71&gt;0,J71/F71,"")</f>
        <v/>
      </c>
      <c r="N71" s="34" t="str">
        <f aca="false">IF(D71+E71&gt;0,D71/(D71+E71),"")</f>
        <v/>
      </c>
      <c r="O71" s="33" t="n">
        <f aca="false">IF(H71&gt;0,D71*(B71*(P1_BEN-P1_IVAN)+C71*(P2_BEN-P2_IVAN))/H71,0)-E71*(COSTE_DEV-IVA_DEV)-Y71</f>
        <v>0</v>
      </c>
      <c r="P71" s="33" t="n">
        <f aca="false">T71-U71-V71-W71-X71-Y71</f>
        <v>0</v>
      </c>
      <c r="R71" s="58" t="n">
        <f aca="false">D71+I71*TASA_USADA</f>
        <v>0</v>
      </c>
      <c r="S71" s="58" t="n">
        <f aca="false">E71+I71*(1-TASA_USADA)</f>
        <v>0</v>
      </c>
      <c r="T71" s="59" t="n">
        <f aca="false">IF(H71&gt;0,R71*J71/H71,0)</f>
        <v>0</v>
      </c>
      <c r="U71" s="59" t="n">
        <f aca="false">IF(H71&gt;0,R71*(B71*P1_CPROD+C71*P2_CPROD)/H71,0)</f>
        <v>0</v>
      </c>
      <c r="V71" s="59" t="n">
        <f aca="false">IF(H71&gt;0,R71*(B71*P1_LOG+C71*P2_LOG)/H71,0)</f>
        <v>0</v>
      </c>
      <c r="W71" s="59" t="n">
        <f aca="false">S71*COSTE_DEV</f>
        <v>0</v>
      </c>
      <c r="X71" s="59" t="n">
        <f aca="false">IF(H71&gt;0,R71*(B71*P1_IVAN+C71*P2_IVAN)/H71,0)-S71*IVA_DEV</f>
        <v>0</v>
      </c>
      <c r="Y71" s="59" t="n">
        <f aca="false">F71*(1+RECARGO_ADS)</f>
        <v>0</v>
      </c>
    </row>
    <row r="72" customFormat="false" ht="15" hidden="false" customHeight="false" outlineLevel="0" collapsed="false">
      <c r="A72" s="53" t="n">
        <v>46366</v>
      </c>
      <c r="B72" s="54"/>
      <c r="C72" s="54"/>
      <c r="D72" s="54"/>
      <c r="E72" s="54"/>
      <c r="F72" s="55"/>
      <c r="G72" s="56"/>
      <c r="H72" s="31" t="n">
        <f aca="false">B72+C72</f>
        <v>0</v>
      </c>
      <c r="I72" s="31" t="n">
        <f aca="false">MAX(0,H72-D72-E72)</f>
        <v>0</v>
      </c>
      <c r="J72" s="32" t="n">
        <f aca="false">B72*P1_PVP+C72*P2_PVP</f>
        <v>0</v>
      </c>
      <c r="K72" s="32" t="str">
        <f aca="false">IF(H72&gt;0,J72/H72,"")</f>
        <v/>
      </c>
      <c r="L72" s="32" t="str">
        <f aca="false">IF(H72&gt;0,F72/H72,"")</f>
        <v/>
      </c>
      <c r="M72" s="57" t="str">
        <f aca="false">IF(F72&gt;0,J72/F72,"")</f>
        <v/>
      </c>
      <c r="N72" s="34" t="str">
        <f aca="false">IF(D72+E72&gt;0,D72/(D72+E72),"")</f>
        <v/>
      </c>
      <c r="O72" s="33" t="n">
        <f aca="false">IF(H72&gt;0,D72*(B72*(P1_BEN-P1_IVAN)+C72*(P2_BEN-P2_IVAN))/H72,0)-E72*(COSTE_DEV-IVA_DEV)-Y72</f>
        <v>0</v>
      </c>
      <c r="P72" s="33" t="n">
        <f aca="false">T72-U72-V72-W72-X72-Y72</f>
        <v>0</v>
      </c>
      <c r="R72" s="58" t="n">
        <f aca="false">D72+I72*TASA_USADA</f>
        <v>0</v>
      </c>
      <c r="S72" s="58" t="n">
        <f aca="false">E72+I72*(1-TASA_USADA)</f>
        <v>0</v>
      </c>
      <c r="T72" s="59" t="n">
        <f aca="false">IF(H72&gt;0,R72*J72/H72,0)</f>
        <v>0</v>
      </c>
      <c r="U72" s="59" t="n">
        <f aca="false">IF(H72&gt;0,R72*(B72*P1_CPROD+C72*P2_CPROD)/H72,0)</f>
        <v>0</v>
      </c>
      <c r="V72" s="59" t="n">
        <f aca="false">IF(H72&gt;0,R72*(B72*P1_LOG+C72*P2_LOG)/H72,0)</f>
        <v>0</v>
      </c>
      <c r="W72" s="59" t="n">
        <f aca="false">S72*COSTE_DEV</f>
        <v>0</v>
      </c>
      <c r="X72" s="59" t="n">
        <f aca="false">IF(H72&gt;0,R72*(B72*P1_IVAN+C72*P2_IVAN)/H72,0)-S72*IVA_DEV</f>
        <v>0</v>
      </c>
      <c r="Y72" s="59" t="n">
        <f aca="false">F72*(1+RECARGO_ADS)</f>
        <v>0</v>
      </c>
    </row>
    <row r="73" customFormat="false" ht="15" hidden="false" customHeight="false" outlineLevel="0" collapsed="false">
      <c r="A73" s="53" t="n">
        <v>46367</v>
      </c>
      <c r="B73" s="54"/>
      <c r="C73" s="54"/>
      <c r="D73" s="54"/>
      <c r="E73" s="54"/>
      <c r="F73" s="55"/>
      <c r="G73" s="56"/>
      <c r="H73" s="31" t="n">
        <f aca="false">B73+C73</f>
        <v>0</v>
      </c>
      <c r="I73" s="31" t="n">
        <f aca="false">MAX(0,H73-D73-E73)</f>
        <v>0</v>
      </c>
      <c r="J73" s="32" t="n">
        <f aca="false">B73*P1_PVP+C73*P2_PVP</f>
        <v>0</v>
      </c>
      <c r="K73" s="32" t="str">
        <f aca="false">IF(H73&gt;0,J73/H73,"")</f>
        <v/>
      </c>
      <c r="L73" s="32" t="str">
        <f aca="false">IF(H73&gt;0,F73/H73,"")</f>
        <v/>
      </c>
      <c r="M73" s="57" t="str">
        <f aca="false">IF(F73&gt;0,J73/F73,"")</f>
        <v/>
      </c>
      <c r="N73" s="34" t="str">
        <f aca="false">IF(D73+E73&gt;0,D73/(D73+E73),"")</f>
        <v/>
      </c>
      <c r="O73" s="33" t="n">
        <f aca="false">IF(H73&gt;0,D73*(B73*(P1_BEN-P1_IVAN)+C73*(P2_BEN-P2_IVAN))/H73,0)-E73*(COSTE_DEV-IVA_DEV)-Y73</f>
        <v>0</v>
      </c>
      <c r="P73" s="33" t="n">
        <f aca="false">T73-U73-V73-W73-X73-Y73</f>
        <v>0</v>
      </c>
      <c r="R73" s="58" t="n">
        <f aca="false">D73+I73*TASA_USADA</f>
        <v>0</v>
      </c>
      <c r="S73" s="58" t="n">
        <f aca="false">E73+I73*(1-TASA_USADA)</f>
        <v>0</v>
      </c>
      <c r="T73" s="59" t="n">
        <f aca="false">IF(H73&gt;0,R73*J73/H73,0)</f>
        <v>0</v>
      </c>
      <c r="U73" s="59" t="n">
        <f aca="false">IF(H73&gt;0,R73*(B73*P1_CPROD+C73*P2_CPROD)/H73,0)</f>
        <v>0</v>
      </c>
      <c r="V73" s="59" t="n">
        <f aca="false">IF(H73&gt;0,R73*(B73*P1_LOG+C73*P2_LOG)/H73,0)</f>
        <v>0</v>
      </c>
      <c r="W73" s="59" t="n">
        <f aca="false">S73*COSTE_DEV</f>
        <v>0</v>
      </c>
      <c r="X73" s="59" t="n">
        <f aca="false">IF(H73&gt;0,R73*(B73*P1_IVAN+C73*P2_IVAN)/H73,0)-S73*IVA_DEV</f>
        <v>0</v>
      </c>
      <c r="Y73" s="59" t="n">
        <f aca="false">F73*(1+RECARGO_ADS)</f>
        <v>0</v>
      </c>
    </row>
    <row r="74" customFormat="false" ht="15" hidden="false" customHeight="false" outlineLevel="0" collapsed="false">
      <c r="A74" s="53" t="n">
        <v>46368</v>
      </c>
      <c r="B74" s="54"/>
      <c r="C74" s="54"/>
      <c r="D74" s="54"/>
      <c r="E74" s="54"/>
      <c r="F74" s="55"/>
      <c r="G74" s="56"/>
      <c r="H74" s="31" t="n">
        <f aca="false">B74+C74</f>
        <v>0</v>
      </c>
      <c r="I74" s="31" t="n">
        <f aca="false">MAX(0,H74-D74-E74)</f>
        <v>0</v>
      </c>
      <c r="J74" s="32" t="n">
        <f aca="false">B74*P1_PVP+C74*P2_PVP</f>
        <v>0</v>
      </c>
      <c r="K74" s="32" t="str">
        <f aca="false">IF(H74&gt;0,J74/H74,"")</f>
        <v/>
      </c>
      <c r="L74" s="32" t="str">
        <f aca="false">IF(H74&gt;0,F74/H74,"")</f>
        <v/>
      </c>
      <c r="M74" s="57" t="str">
        <f aca="false">IF(F74&gt;0,J74/F74,"")</f>
        <v/>
      </c>
      <c r="N74" s="34" t="str">
        <f aca="false">IF(D74+E74&gt;0,D74/(D74+E74),"")</f>
        <v/>
      </c>
      <c r="O74" s="33" t="n">
        <f aca="false">IF(H74&gt;0,D74*(B74*(P1_BEN-P1_IVAN)+C74*(P2_BEN-P2_IVAN))/H74,0)-E74*(COSTE_DEV-IVA_DEV)-Y74</f>
        <v>0</v>
      </c>
      <c r="P74" s="33" t="n">
        <f aca="false">T74-U74-V74-W74-X74-Y74</f>
        <v>0</v>
      </c>
      <c r="R74" s="58" t="n">
        <f aca="false">D74+I74*TASA_USADA</f>
        <v>0</v>
      </c>
      <c r="S74" s="58" t="n">
        <f aca="false">E74+I74*(1-TASA_USADA)</f>
        <v>0</v>
      </c>
      <c r="T74" s="59" t="n">
        <f aca="false">IF(H74&gt;0,R74*J74/H74,0)</f>
        <v>0</v>
      </c>
      <c r="U74" s="59" t="n">
        <f aca="false">IF(H74&gt;0,R74*(B74*P1_CPROD+C74*P2_CPROD)/H74,0)</f>
        <v>0</v>
      </c>
      <c r="V74" s="59" t="n">
        <f aca="false">IF(H74&gt;0,R74*(B74*P1_LOG+C74*P2_LOG)/H74,0)</f>
        <v>0</v>
      </c>
      <c r="W74" s="59" t="n">
        <f aca="false">S74*COSTE_DEV</f>
        <v>0</v>
      </c>
      <c r="X74" s="59" t="n">
        <f aca="false">IF(H74&gt;0,R74*(B74*P1_IVAN+C74*P2_IVAN)/H74,0)-S74*IVA_DEV</f>
        <v>0</v>
      </c>
      <c r="Y74" s="59" t="n">
        <f aca="false">F74*(1+RECARGO_ADS)</f>
        <v>0</v>
      </c>
    </row>
    <row r="75" customFormat="false" ht="15" hidden="false" customHeight="false" outlineLevel="0" collapsed="false">
      <c r="A75" s="53" t="n">
        <v>46369</v>
      </c>
      <c r="B75" s="54"/>
      <c r="C75" s="54"/>
      <c r="D75" s="54"/>
      <c r="E75" s="54"/>
      <c r="F75" s="55"/>
      <c r="G75" s="56"/>
      <c r="H75" s="31" t="n">
        <f aca="false">B75+C75</f>
        <v>0</v>
      </c>
      <c r="I75" s="31" t="n">
        <f aca="false">MAX(0,H75-D75-E75)</f>
        <v>0</v>
      </c>
      <c r="J75" s="32" t="n">
        <f aca="false">B75*P1_PVP+C75*P2_PVP</f>
        <v>0</v>
      </c>
      <c r="K75" s="32" t="str">
        <f aca="false">IF(H75&gt;0,J75/H75,"")</f>
        <v/>
      </c>
      <c r="L75" s="32" t="str">
        <f aca="false">IF(H75&gt;0,F75/H75,"")</f>
        <v/>
      </c>
      <c r="M75" s="57" t="str">
        <f aca="false">IF(F75&gt;0,J75/F75,"")</f>
        <v/>
      </c>
      <c r="N75" s="34" t="str">
        <f aca="false">IF(D75+E75&gt;0,D75/(D75+E75),"")</f>
        <v/>
      </c>
      <c r="O75" s="33" t="n">
        <f aca="false">IF(H75&gt;0,D75*(B75*(P1_BEN-P1_IVAN)+C75*(P2_BEN-P2_IVAN))/H75,0)-E75*(COSTE_DEV-IVA_DEV)-Y75</f>
        <v>0</v>
      </c>
      <c r="P75" s="33" t="n">
        <f aca="false">T75-U75-V75-W75-X75-Y75</f>
        <v>0</v>
      </c>
      <c r="R75" s="58" t="n">
        <f aca="false">D75+I75*TASA_USADA</f>
        <v>0</v>
      </c>
      <c r="S75" s="58" t="n">
        <f aca="false">E75+I75*(1-TASA_USADA)</f>
        <v>0</v>
      </c>
      <c r="T75" s="59" t="n">
        <f aca="false">IF(H75&gt;0,R75*J75/H75,0)</f>
        <v>0</v>
      </c>
      <c r="U75" s="59" t="n">
        <f aca="false">IF(H75&gt;0,R75*(B75*P1_CPROD+C75*P2_CPROD)/H75,0)</f>
        <v>0</v>
      </c>
      <c r="V75" s="59" t="n">
        <f aca="false">IF(H75&gt;0,R75*(B75*P1_LOG+C75*P2_LOG)/H75,0)</f>
        <v>0</v>
      </c>
      <c r="W75" s="59" t="n">
        <f aca="false">S75*COSTE_DEV</f>
        <v>0</v>
      </c>
      <c r="X75" s="59" t="n">
        <f aca="false">IF(H75&gt;0,R75*(B75*P1_IVAN+C75*P2_IVAN)/H75,0)-S75*IVA_DEV</f>
        <v>0</v>
      </c>
      <c r="Y75" s="59" t="n">
        <f aca="false">F75*(1+RECARGO_ADS)</f>
        <v>0</v>
      </c>
    </row>
    <row r="76" customFormat="false" ht="15" hidden="false" customHeight="false" outlineLevel="0" collapsed="false">
      <c r="A76" s="53" t="n">
        <v>46370</v>
      </c>
      <c r="B76" s="54"/>
      <c r="C76" s="54"/>
      <c r="D76" s="54"/>
      <c r="E76" s="54"/>
      <c r="F76" s="55"/>
      <c r="G76" s="56"/>
      <c r="H76" s="31" t="n">
        <f aca="false">B76+C76</f>
        <v>0</v>
      </c>
      <c r="I76" s="31" t="n">
        <f aca="false">MAX(0,H76-D76-E76)</f>
        <v>0</v>
      </c>
      <c r="J76" s="32" t="n">
        <f aca="false">B76*P1_PVP+C76*P2_PVP</f>
        <v>0</v>
      </c>
      <c r="K76" s="32" t="str">
        <f aca="false">IF(H76&gt;0,J76/H76,"")</f>
        <v/>
      </c>
      <c r="L76" s="32" t="str">
        <f aca="false">IF(H76&gt;0,F76/H76,"")</f>
        <v/>
      </c>
      <c r="M76" s="57" t="str">
        <f aca="false">IF(F76&gt;0,J76/F76,"")</f>
        <v/>
      </c>
      <c r="N76" s="34" t="str">
        <f aca="false">IF(D76+E76&gt;0,D76/(D76+E76),"")</f>
        <v/>
      </c>
      <c r="O76" s="33" t="n">
        <f aca="false">IF(H76&gt;0,D76*(B76*(P1_BEN-P1_IVAN)+C76*(P2_BEN-P2_IVAN))/H76,0)-E76*(COSTE_DEV-IVA_DEV)-Y76</f>
        <v>0</v>
      </c>
      <c r="P76" s="33" t="n">
        <f aca="false">T76-U76-V76-W76-X76-Y76</f>
        <v>0</v>
      </c>
      <c r="R76" s="58" t="n">
        <f aca="false">D76+I76*TASA_USADA</f>
        <v>0</v>
      </c>
      <c r="S76" s="58" t="n">
        <f aca="false">E76+I76*(1-TASA_USADA)</f>
        <v>0</v>
      </c>
      <c r="T76" s="59" t="n">
        <f aca="false">IF(H76&gt;0,R76*J76/H76,0)</f>
        <v>0</v>
      </c>
      <c r="U76" s="59" t="n">
        <f aca="false">IF(H76&gt;0,R76*(B76*P1_CPROD+C76*P2_CPROD)/H76,0)</f>
        <v>0</v>
      </c>
      <c r="V76" s="59" t="n">
        <f aca="false">IF(H76&gt;0,R76*(B76*P1_LOG+C76*P2_LOG)/H76,0)</f>
        <v>0</v>
      </c>
      <c r="W76" s="59" t="n">
        <f aca="false">S76*COSTE_DEV</f>
        <v>0</v>
      </c>
      <c r="X76" s="59" t="n">
        <f aca="false">IF(H76&gt;0,R76*(B76*P1_IVAN+C76*P2_IVAN)/H76,0)-S76*IVA_DEV</f>
        <v>0</v>
      </c>
      <c r="Y76" s="59" t="n">
        <f aca="false">F76*(1+RECARGO_ADS)</f>
        <v>0</v>
      </c>
    </row>
    <row r="77" customFormat="false" ht="15" hidden="false" customHeight="false" outlineLevel="0" collapsed="false">
      <c r="A77" s="53" t="n">
        <v>46371</v>
      </c>
      <c r="B77" s="54"/>
      <c r="C77" s="54"/>
      <c r="D77" s="54"/>
      <c r="E77" s="54"/>
      <c r="F77" s="55"/>
      <c r="G77" s="56"/>
      <c r="H77" s="31" t="n">
        <f aca="false">B77+C77</f>
        <v>0</v>
      </c>
      <c r="I77" s="31" t="n">
        <f aca="false">MAX(0,H77-D77-E77)</f>
        <v>0</v>
      </c>
      <c r="J77" s="32" t="n">
        <f aca="false">B77*P1_PVP+C77*P2_PVP</f>
        <v>0</v>
      </c>
      <c r="K77" s="32" t="str">
        <f aca="false">IF(H77&gt;0,J77/H77,"")</f>
        <v/>
      </c>
      <c r="L77" s="32" t="str">
        <f aca="false">IF(H77&gt;0,F77/H77,"")</f>
        <v/>
      </c>
      <c r="M77" s="57" t="str">
        <f aca="false">IF(F77&gt;0,J77/F77,"")</f>
        <v/>
      </c>
      <c r="N77" s="34" t="str">
        <f aca="false">IF(D77+E77&gt;0,D77/(D77+E77),"")</f>
        <v/>
      </c>
      <c r="O77" s="33" t="n">
        <f aca="false">IF(H77&gt;0,D77*(B77*(P1_BEN-P1_IVAN)+C77*(P2_BEN-P2_IVAN))/H77,0)-E77*(COSTE_DEV-IVA_DEV)-Y77</f>
        <v>0</v>
      </c>
      <c r="P77" s="33" t="n">
        <f aca="false">T77-U77-V77-W77-X77-Y77</f>
        <v>0</v>
      </c>
      <c r="R77" s="58" t="n">
        <f aca="false">D77+I77*TASA_USADA</f>
        <v>0</v>
      </c>
      <c r="S77" s="58" t="n">
        <f aca="false">E77+I77*(1-TASA_USADA)</f>
        <v>0</v>
      </c>
      <c r="T77" s="59" t="n">
        <f aca="false">IF(H77&gt;0,R77*J77/H77,0)</f>
        <v>0</v>
      </c>
      <c r="U77" s="59" t="n">
        <f aca="false">IF(H77&gt;0,R77*(B77*P1_CPROD+C77*P2_CPROD)/H77,0)</f>
        <v>0</v>
      </c>
      <c r="V77" s="59" t="n">
        <f aca="false">IF(H77&gt;0,R77*(B77*P1_LOG+C77*P2_LOG)/H77,0)</f>
        <v>0</v>
      </c>
      <c r="W77" s="59" t="n">
        <f aca="false">S77*COSTE_DEV</f>
        <v>0</v>
      </c>
      <c r="X77" s="59" t="n">
        <f aca="false">IF(H77&gt;0,R77*(B77*P1_IVAN+C77*P2_IVAN)/H77,0)-S77*IVA_DEV</f>
        <v>0</v>
      </c>
      <c r="Y77" s="59" t="n">
        <f aca="false">F77*(1+RECARGO_ADS)</f>
        <v>0</v>
      </c>
    </row>
    <row r="78" customFormat="false" ht="15" hidden="false" customHeight="false" outlineLevel="0" collapsed="false">
      <c r="A78" s="53" t="n">
        <v>46372</v>
      </c>
      <c r="B78" s="54"/>
      <c r="C78" s="54"/>
      <c r="D78" s="54"/>
      <c r="E78" s="54"/>
      <c r="F78" s="55"/>
      <c r="G78" s="56"/>
      <c r="H78" s="31" t="n">
        <f aca="false">B78+C78</f>
        <v>0</v>
      </c>
      <c r="I78" s="31" t="n">
        <f aca="false">MAX(0,H78-D78-E78)</f>
        <v>0</v>
      </c>
      <c r="J78" s="32" t="n">
        <f aca="false">B78*P1_PVP+C78*P2_PVP</f>
        <v>0</v>
      </c>
      <c r="K78" s="32" t="str">
        <f aca="false">IF(H78&gt;0,J78/H78,"")</f>
        <v/>
      </c>
      <c r="L78" s="32" t="str">
        <f aca="false">IF(H78&gt;0,F78/H78,"")</f>
        <v/>
      </c>
      <c r="M78" s="57" t="str">
        <f aca="false">IF(F78&gt;0,J78/F78,"")</f>
        <v/>
      </c>
      <c r="N78" s="34" t="str">
        <f aca="false">IF(D78+E78&gt;0,D78/(D78+E78),"")</f>
        <v/>
      </c>
      <c r="O78" s="33" t="n">
        <f aca="false">IF(H78&gt;0,D78*(B78*(P1_BEN-P1_IVAN)+C78*(P2_BEN-P2_IVAN))/H78,0)-E78*(COSTE_DEV-IVA_DEV)-Y78</f>
        <v>0</v>
      </c>
      <c r="P78" s="33" t="n">
        <f aca="false">T78-U78-V78-W78-X78-Y78</f>
        <v>0</v>
      </c>
      <c r="R78" s="58" t="n">
        <f aca="false">D78+I78*TASA_USADA</f>
        <v>0</v>
      </c>
      <c r="S78" s="58" t="n">
        <f aca="false">E78+I78*(1-TASA_USADA)</f>
        <v>0</v>
      </c>
      <c r="T78" s="59" t="n">
        <f aca="false">IF(H78&gt;0,R78*J78/H78,0)</f>
        <v>0</v>
      </c>
      <c r="U78" s="59" t="n">
        <f aca="false">IF(H78&gt;0,R78*(B78*P1_CPROD+C78*P2_CPROD)/H78,0)</f>
        <v>0</v>
      </c>
      <c r="V78" s="59" t="n">
        <f aca="false">IF(H78&gt;0,R78*(B78*P1_LOG+C78*P2_LOG)/H78,0)</f>
        <v>0</v>
      </c>
      <c r="W78" s="59" t="n">
        <f aca="false">S78*COSTE_DEV</f>
        <v>0</v>
      </c>
      <c r="X78" s="59" t="n">
        <f aca="false">IF(H78&gt;0,R78*(B78*P1_IVAN+C78*P2_IVAN)/H78,0)-S78*IVA_DEV</f>
        <v>0</v>
      </c>
      <c r="Y78" s="59" t="n">
        <f aca="false">F78*(1+RECARGO_ADS)</f>
        <v>0</v>
      </c>
    </row>
    <row r="79" customFormat="false" ht="15" hidden="false" customHeight="false" outlineLevel="0" collapsed="false">
      <c r="A79" s="53" t="n">
        <v>46373</v>
      </c>
      <c r="B79" s="54"/>
      <c r="C79" s="54"/>
      <c r="D79" s="54"/>
      <c r="E79" s="54"/>
      <c r="F79" s="55"/>
      <c r="G79" s="56"/>
      <c r="H79" s="31" t="n">
        <f aca="false">B79+C79</f>
        <v>0</v>
      </c>
      <c r="I79" s="31" t="n">
        <f aca="false">MAX(0,H79-D79-E79)</f>
        <v>0</v>
      </c>
      <c r="J79" s="32" t="n">
        <f aca="false">B79*P1_PVP+C79*P2_PVP</f>
        <v>0</v>
      </c>
      <c r="K79" s="32" t="str">
        <f aca="false">IF(H79&gt;0,J79/H79,"")</f>
        <v/>
      </c>
      <c r="L79" s="32" t="str">
        <f aca="false">IF(H79&gt;0,F79/H79,"")</f>
        <v/>
      </c>
      <c r="M79" s="57" t="str">
        <f aca="false">IF(F79&gt;0,J79/F79,"")</f>
        <v/>
      </c>
      <c r="N79" s="34" t="str">
        <f aca="false">IF(D79+E79&gt;0,D79/(D79+E79),"")</f>
        <v/>
      </c>
      <c r="O79" s="33" t="n">
        <f aca="false">IF(H79&gt;0,D79*(B79*(P1_BEN-P1_IVAN)+C79*(P2_BEN-P2_IVAN))/H79,0)-E79*(COSTE_DEV-IVA_DEV)-Y79</f>
        <v>0</v>
      </c>
      <c r="P79" s="33" t="n">
        <f aca="false">T79-U79-V79-W79-X79-Y79</f>
        <v>0</v>
      </c>
      <c r="R79" s="58" t="n">
        <f aca="false">D79+I79*TASA_USADA</f>
        <v>0</v>
      </c>
      <c r="S79" s="58" t="n">
        <f aca="false">E79+I79*(1-TASA_USADA)</f>
        <v>0</v>
      </c>
      <c r="T79" s="59" t="n">
        <f aca="false">IF(H79&gt;0,R79*J79/H79,0)</f>
        <v>0</v>
      </c>
      <c r="U79" s="59" t="n">
        <f aca="false">IF(H79&gt;0,R79*(B79*P1_CPROD+C79*P2_CPROD)/H79,0)</f>
        <v>0</v>
      </c>
      <c r="V79" s="59" t="n">
        <f aca="false">IF(H79&gt;0,R79*(B79*P1_LOG+C79*P2_LOG)/H79,0)</f>
        <v>0</v>
      </c>
      <c r="W79" s="59" t="n">
        <f aca="false">S79*COSTE_DEV</f>
        <v>0</v>
      </c>
      <c r="X79" s="59" t="n">
        <f aca="false">IF(H79&gt;0,R79*(B79*P1_IVAN+C79*P2_IVAN)/H79,0)-S79*IVA_DEV</f>
        <v>0</v>
      </c>
      <c r="Y79" s="59" t="n">
        <f aca="false">F79*(1+RECARGO_ADS)</f>
        <v>0</v>
      </c>
    </row>
    <row r="80" customFormat="false" ht="15" hidden="false" customHeight="false" outlineLevel="0" collapsed="false">
      <c r="A80" s="53" t="n">
        <v>46374</v>
      </c>
      <c r="B80" s="54"/>
      <c r="C80" s="54"/>
      <c r="D80" s="54"/>
      <c r="E80" s="54"/>
      <c r="F80" s="55"/>
      <c r="G80" s="56"/>
      <c r="H80" s="31" t="n">
        <f aca="false">B80+C80</f>
        <v>0</v>
      </c>
      <c r="I80" s="31" t="n">
        <f aca="false">MAX(0,H80-D80-E80)</f>
        <v>0</v>
      </c>
      <c r="J80" s="32" t="n">
        <f aca="false">B80*P1_PVP+C80*P2_PVP</f>
        <v>0</v>
      </c>
      <c r="K80" s="32" t="str">
        <f aca="false">IF(H80&gt;0,J80/H80,"")</f>
        <v/>
      </c>
      <c r="L80" s="32" t="str">
        <f aca="false">IF(H80&gt;0,F80/H80,"")</f>
        <v/>
      </c>
      <c r="M80" s="57" t="str">
        <f aca="false">IF(F80&gt;0,J80/F80,"")</f>
        <v/>
      </c>
      <c r="N80" s="34" t="str">
        <f aca="false">IF(D80+E80&gt;0,D80/(D80+E80),"")</f>
        <v/>
      </c>
      <c r="O80" s="33" t="n">
        <f aca="false">IF(H80&gt;0,D80*(B80*(P1_BEN-P1_IVAN)+C80*(P2_BEN-P2_IVAN))/H80,0)-E80*(COSTE_DEV-IVA_DEV)-Y80</f>
        <v>0</v>
      </c>
      <c r="P80" s="33" t="n">
        <f aca="false">T80-U80-V80-W80-X80-Y80</f>
        <v>0</v>
      </c>
      <c r="R80" s="58" t="n">
        <f aca="false">D80+I80*TASA_USADA</f>
        <v>0</v>
      </c>
      <c r="S80" s="58" t="n">
        <f aca="false">E80+I80*(1-TASA_USADA)</f>
        <v>0</v>
      </c>
      <c r="T80" s="59" t="n">
        <f aca="false">IF(H80&gt;0,R80*J80/H80,0)</f>
        <v>0</v>
      </c>
      <c r="U80" s="59" t="n">
        <f aca="false">IF(H80&gt;0,R80*(B80*P1_CPROD+C80*P2_CPROD)/H80,0)</f>
        <v>0</v>
      </c>
      <c r="V80" s="59" t="n">
        <f aca="false">IF(H80&gt;0,R80*(B80*P1_LOG+C80*P2_LOG)/H80,0)</f>
        <v>0</v>
      </c>
      <c r="W80" s="59" t="n">
        <f aca="false">S80*COSTE_DEV</f>
        <v>0</v>
      </c>
      <c r="X80" s="59" t="n">
        <f aca="false">IF(H80&gt;0,R80*(B80*P1_IVAN+C80*P2_IVAN)/H80,0)-S80*IVA_DEV</f>
        <v>0</v>
      </c>
      <c r="Y80" s="59" t="n">
        <f aca="false">F80*(1+RECARGO_ADS)</f>
        <v>0</v>
      </c>
    </row>
    <row r="81" customFormat="false" ht="15" hidden="false" customHeight="false" outlineLevel="0" collapsed="false">
      <c r="A81" s="53" t="n">
        <v>46375</v>
      </c>
      <c r="B81" s="54"/>
      <c r="C81" s="54"/>
      <c r="D81" s="54"/>
      <c r="E81" s="54"/>
      <c r="F81" s="55"/>
      <c r="G81" s="56"/>
      <c r="H81" s="31" t="n">
        <f aca="false">B81+C81</f>
        <v>0</v>
      </c>
      <c r="I81" s="31" t="n">
        <f aca="false">MAX(0,H81-D81-E81)</f>
        <v>0</v>
      </c>
      <c r="J81" s="32" t="n">
        <f aca="false">B81*P1_PVP+C81*P2_PVP</f>
        <v>0</v>
      </c>
      <c r="K81" s="32" t="str">
        <f aca="false">IF(H81&gt;0,J81/H81,"")</f>
        <v/>
      </c>
      <c r="L81" s="32" t="str">
        <f aca="false">IF(H81&gt;0,F81/H81,"")</f>
        <v/>
      </c>
      <c r="M81" s="57" t="str">
        <f aca="false">IF(F81&gt;0,J81/F81,"")</f>
        <v/>
      </c>
      <c r="N81" s="34" t="str">
        <f aca="false">IF(D81+E81&gt;0,D81/(D81+E81),"")</f>
        <v/>
      </c>
      <c r="O81" s="33" t="n">
        <f aca="false">IF(H81&gt;0,D81*(B81*(P1_BEN-P1_IVAN)+C81*(P2_BEN-P2_IVAN))/H81,0)-E81*(COSTE_DEV-IVA_DEV)-Y81</f>
        <v>0</v>
      </c>
      <c r="P81" s="33" t="n">
        <f aca="false">T81-U81-V81-W81-X81-Y81</f>
        <v>0</v>
      </c>
      <c r="R81" s="58" t="n">
        <f aca="false">D81+I81*TASA_USADA</f>
        <v>0</v>
      </c>
      <c r="S81" s="58" t="n">
        <f aca="false">E81+I81*(1-TASA_USADA)</f>
        <v>0</v>
      </c>
      <c r="T81" s="59" t="n">
        <f aca="false">IF(H81&gt;0,R81*J81/H81,0)</f>
        <v>0</v>
      </c>
      <c r="U81" s="59" t="n">
        <f aca="false">IF(H81&gt;0,R81*(B81*P1_CPROD+C81*P2_CPROD)/H81,0)</f>
        <v>0</v>
      </c>
      <c r="V81" s="59" t="n">
        <f aca="false">IF(H81&gt;0,R81*(B81*P1_LOG+C81*P2_LOG)/H81,0)</f>
        <v>0</v>
      </c>
      <c r="W81" s="59" t="n">
        <f aca="false">S81*COSTE_DEV</f>
        <v>0</v>
      </c>
      <c r="X81" s="59" t="n">
        <f aca="false">IF(H81&gt;0,R81*(B81*P1_IVAN+C81*P2_IVAN)/H81,0)-S81*IVA_DEV</f>
        <v>0</v>
      </c>
      <c r="Y81" s="59" t="n">
        <f aca="false">F81*(1+RECARGO_ADS)</f>
        <v>0</v>
      </c>
    </row>
    <row r="82" customFormat="false" ht="15" hidden="false" customHeight="false" outlineLevel="0" collapsed="false">
      <c r="A82" s="53" t="n">
        <v>46376</v>
      </c>
      <c r="B82" s="54"/>
      <c r="C82" s="54"/>
      <c r="D82" s="54"/>
      <c r="E82" s="54"/>
      <c r="F82" s="55"/>
      <c r="G82" s="56"/>
      <c r="H82" s="31" t="n">
        <f aca="false">B82+C82</f>
        <v>0</v>
      </c>
      <c r="I82" s="31" t="n">
        <f aca="false">MAX(0,H82-D82-E82)</f>
        <v>0</v>
      </c>
      <c r="J82" s="32" t="n">
        <f aca="false">B82*P1_PVP+C82*P2_PVP</f>
        <v>0</v>
      </c>
      <c r="K82" s="32" t="str">
        <f aca="false">IF(H82&gt;0,J82/H82,"")</f>
        <v/>
      </c>
      <c r="L82" s="32" t="str">
        <f aca="false">IF(H82&gt;0,F82/H82,"")</f>
        <v/>
      </c>
      <c r="M82" s="57" t="str">
        <f aca="false">IF(F82&gt;0,J82/F82,"")</f>
        <v/>
      </c>
      <c r="N82" s="34" t="str">
        <f aca="false">IF(D82+E82&gt;0,D82/(D82+E82),"")</f>
        <v/>
      </c>
      <c r="O82" s="33" t="n">
        <f aca="false">IF(H82&gt;0,D82*(B82*(P1_BEN-P1_IVAN)+C82*(P2_BEN-P2_IVAN))/H82,0)-E82*(COSTE_DEV-IVA_DEV)-Y82</f>
        <v>0</v>
      </c>
      <c r="P82" s="33" t="n">
        <f aca="false">T82-U82-V82-W82-X82-Y82</f>
        <v>0</v>
      </c>
      <c r="R82" s="58" t="n">
        <f aca="false">D82+I82*TASA_USADA</f>
        <v>0</v>
      </c>
      <c r="S82" s="58" t="n">
        <f aca="false">E82+I82*(1-TASA_USADA)</f>
        <v>0</v>
      </c>
      <c r="T82" s="59" t="n">
        <f aca="false">IF(H82&gt;0,R82*J82/H82,0)</f>
        <v>0</v>
      </c>
      <c r="U82" s="59" t="n">
        <f aca="false">IF(H82&gt;0,R82*(B82*P1_CPROD+C82*P2_CPROD)/H82,0)</f>
        <v>0</v>
      </c>
      <c r="V82" s="59" t="n">
        <f aca="false">IF(H82&gt;0,R82*(B82*P1_LOG+C82*P2_LOG)/H82,0)</f>
        <v>0</v>
      </c>
      <c r="W82" s="59" t="n">
        <f aca="false">S82*COSTE_DEV</f>
        <v>0</v>
      </c>
      <c r="X82" s="59" t="n">
        <f aca="false">IF(H82&gt;0,R82*(B82*P1_IVAN+C82*P2_IVAN)/H82,0)-S82*IVA_DEV</f>
        <v>0</v>
      </c>
      <c r="Y82" s="59" t="n">
        <f aca="false">F82*(1+RECARGO_ADS)</f>
        <v>0</v>
      </c>
    </row>
    <row r="83" customFormat="false" ht="15" hidden="false" customHeight="false" outlineLevel="0" collapsed="false">
      <c r="A83" s="53" t="n">
        <v>46377</v>
      </c>
      <c r="B83" s="54"/>
      <c r="C83" s="54"/>
      <c r="D83" s="54"/>
      <c r="E83" s="54"/>
      <c r="F83" s="55"/>
      <c r="G83" s="56"/>
      <c r="H83" s="31" t="n">
        <f aca="false">B83+C83</f>
        <v>0</v>
      </c>
      <c r="I83" s="31" t="n">
        <f aca="false">MAX(0,H83-D83-E83)</f>
        <v>0</v>
      </c>
      <c r="J83" s="32" t="n">
        <f aca="false">B83*P1_PVP+C83*P2_PVP</f>
        <v>0</v>
      </c>
      <c r="K83" s="32" t="str">
        <f aca="false">IF(H83&gt;0,J83/H83,"")</f>
        <v/>
      </c>
      <c r="L83" s="32" t="str">
        <f aca="false">IF(H83&gt;0,F83/H83,"")</f>
        <v/>
      </c>
      <c r="M83" s="57" t="str">
        <f aca="false">IF(F83&gt;0,J83/F83,"")</f>
        <v/>
      </c>
      <c r="N83" s="34" t="str">
        <f aca="false">IF(D83+E83&gt;0,D83/(D83+E83),"")</f>
        <v/>
      </c>
      <c r="O83" s="33" t="n">
        <f aca="false">IF(H83&gt;0,D83*(B83*(P1_BEN-P1_IVAN)+C83*(P2_BEN-P2_IVAN))/H83,0)-E83*(COSTE_DEV-IVA_DEV)-Y83</f>
        <v>0</v>
      </c>
      <c r="P83" s="33" t="n">
        <f aca="false">T83-U83-V83-W83-X83-Y83</f>
        <v>0</v>
      </c>
      <c r="R83" s="58" t="n">
        <f aca="false">D83+I83*TASA_USADA</f>
        <v>0</v>
      </c>
      <c r="S83" s="58" t="n">
        <f aca="false">E83+I83*(1-TASA_USADA)</f>
        <v>0</v>
      </c>
      <c r="T83" s="59" t="n">
        <f aca="false">IF(H83&gt;0,R83*J83/H83,0)</f>
        <v>0</v>
      </c>
      <c r="U83" s="59" t="n">
        <f aca="false">IF(H83&gt;0,R83*(B83*P1_CPROD+C83*P2_CPROD)/H83,0)</f>
        <v>0</v>
      </c>
      <c r="V83" s="59" t="n">
        <f aca="false">IF(H83&gt;0,R83*(B83*P1_LOG+C83*P2_LOG)/H83,0)</f>
        <v>0</v>
      </c>
      <c r="W83" s="59" t="n">
        <f aca="false">S83*COSTE_DEV</f>
        <v>0</v>
      </c>
      <c r="X83" s="59" t="n">
        <f aca="false">IF(H83&gt;0,R83*(B83*P1_IVAN+C83*P2_IVAN)/H83,0)-S83*IVA_DEV</f>
        <v>0</v>
      </c>
      <c r="Y83" s="59" t="n">
        <f aca="false">F83*(1+RECARGO_ADS)</f>
        <v>0</v>
      </c>
    </row>
    <row r="84" customFormat="false" ht="15" hidden="false" customHeight="false" outlineLevel="0" collapsed="false">
      <c r="A84" s="53" t="n">
        <v>46378</v>
      </c>
      <c r="B84" s="54"/>
      <c r="C84" s="54"/>
      <c r="D84" s="54"/>
      <c r="E84" s="54"/>
      <c r="F84" s="55"/>
      <c r="G84" s="56"/>
      <c r="H84" s="31" t="n">
        <f aca="false">B84+C84</f>
        <v>0</v>
      </c>
      <c r="I84" s="31" t="n">
        <f aca="false">MAX(0,H84-D84-E84)</f>
        <v>0</v>
      </c>
      <c r="J84" s="32" t="n">
        <f aca="false">B84*P1_PVP+C84*P2_PVP</f>
        <v>0</v>
      </c>
      <c r="K84" s="32" t="str">
        <f aca="false">IF(H84&gt;0,J84/H84,"")</f>
        <v/>
      </c>
      <c r="L84" s="32" t="str">
        <f aca="false">IF(H84&gt;0,F84/H84,"")</f>
        <v/>
      </c>
      <c r="M84" s="57" t="str">
        <f aca="false">IF(F84&gt;0,J84/F84,"")</f>
        <v/>
      </c>
      <c r="N84" s="34" t="str">
        <f aca="false">IF(D84+E84&gt;0,D84/(D84+E84),"")</f>
        <v/>
      </c>
      <c r="O84" s="33" t="n">
        <f aca="false">IF(H84&gt;0,D84*(B84*(P1_BEN-P1_IVAN)+C84*(P2_BEN-P2_IVAN))/H84,0)-E84*(COSTE_DEV-IVA_DEV)-Y84</f>
        <v>0</v>
      </c>
      <c r="P84" s="33" t="n">
        <f aca="false">T84-U84-V84-W84-X84-Y84</f>
        <v>0</v>
      </c>
      <c r="R84" s="58" t="n">
        <f aca="false">D84+I84*TASA_USADA</f>
        <v>0</v>
      </c>
      <c r="S84" s="58" t="n">
        <f aca="false">E84+I84*(1-TASA_USADA)</f>
        <v>0</v>
      </c>
      <c r="T84" s="59" t="n">
        <f aca="false">IF(H84&gt;0,R84*J84/H84,0)</f>
        <v>0</v>
      </c>
      <c r="U84" s="59" t="n">
        <f aca="false">IF(H84&gt;0,R84*(B84*P1_CPROD+C84*P2_CPROD)/H84,0)</f>
        <v>0</v>
      </c>
      <c r="V84" s="59" t="n">
        <f aca="false">IF(H84&gt;0,R84*(B84*P1_LOG+C84*P2_LOG)/H84,0)</f>
        <v>0</v>
      </c>
      <c r="W84" s="59" t="n">
        <f aca="false">S84*COSTE_DEV</f>
        <v>0</v>
      </c>
      <c r="X84" s="59" t="n">
        <f aca="false">IF(H84&gt;0,R84*(B84*P1_IVAN+C84*P2_IVAN)/H84,0)-S84*IVA_DEV</f>
        <v>0</v>
      </c>
      <c r="Y84" s="59" t="n">
        <f aca="false">F84*(1+RECARGO_ADS)</f>
        <v>0</v>
      </c>
    </row>
    <row r="85" customFormat="false" ht="15" hidden="false" customHeight="false" outlineLevel="0" collapsed="false">
      <c r="A85" s="53" t="n">
        <v>46379</v>
      </c>
      <c r="B85" s="54"/>
      <c r="C85" s="54"/>
      <c r="D85" s="54"/>
      <c r="E85" s="54"/>
      <c r="F85" s="55"/>
      <c r="G85" s="56"/>
      <c r="H85" s="31" t="n">
        <f aca="false">B85+C85</f>
        <v>0</v>
      </c>
      <c r="I85" s="31" t="n">
        <f aca="false">MAX(0,H85-D85-E85)</f>
        <v>0</v>
      </c>
      <c r="J85" s="32" t="n">
        <f aca="false">B85*P1_PVP+C85*P2_PVP</f>
        <v>0</v>
      </c>
      <c r="K85" s="32" t="str">
        <f aca="false">IF(H85&gt;0,J85/H85,"")</f>
        <v/>
      </c>
      <c r="L85" s="32" t="str">
        <f aca="false">IF(H85&gt;0,F85/H85,"")</f>
        <v/>
      </c>
      <c r="M85" s="57" t="str">
        <f aca="false">IF(F85&gt;0,J85/F85,"")</f>
        <v/>
      </c>
      <c r="N85" s="34" t="str">
        <f aca="false">IF(D85+E85&gt;0,D85/(D85+E85),"")</f>
        <v/>
      </c>
      <c r="O85" s="33" t="n">
        <f aca="false">IF(H85&gt;0,D85*(B85*(P1_BEN-P1_IVAN)+C85*(P2_BEN-P2_IVAN))/H85,0)-E85*(COSTE_DEV-IVA_DEV)-Y85</f>
        <v>0</v>
      </c>
      <c r="P85" s="33" t="n">
        <f aca="false">T85-U85-V85-W85-X85-Y85</f>
        <v>0</v>
      </c>
      <c r="R85" s="58" t="n">
        <f aca="false">D85+I85*TASA_USADA</f>
        <v>0</v>
      </c>
      <c r="S85" s="58" t="n">
        <f aca="false">E85+I85*(1-TASA_USADA)</f>
        <v>0</v>
      </c>
      <c r="T85" s="59" t="n">
        <f aca="false">IF(H85&gt;0,R85*J85/H85,0)</f>
        <v>0</v>
      </c>
      <c r="U85" s="59" t="n">
        <f aca="false">IF(H85&gt;0,R85*(B85*P1_CPROD+C85*P2_CPROD)/H85,0)</f>
        <v>0</v>
      </c>
      <c r="V85" s="59" t="n">
        <f aca="false">IF(H85&gt;0,R85*(B85*P1_LOG+C85*P2_LOG)/H85,0)</f>
        <v>0</v>
      </c>
      <c r="W85" s="59" t="n">
        <f aca="false">S85*COSTE_DEV</f>
        <v>0</v>
      </c>
      <c r="X85" s="59" t="n">
        <f aca="false">IF(H85&gt;0,R85*(B85*P1_IVAN+C85*P2_IVAN)/H85,0)-S85*IVA_DEV</f>
        <v>0</v>
      </c>
      <c r="Y85" s="59" t="n">
        <f aca="false">F85*(1+RECARGO_ADS)</f>
        <v>0</v>
      </c>
    </row>
    <row r="86" customFormat="false" ht="15" hidden="false" customHeight="false" outlineLevel="0" collapsed="false">
      <c r="A86" s="53" t="n">
        <v>46380</v>
      </c>
      <c r="B86" s="54"/>
      <c r="C86" s="54"/>
      <c r="D86" s="54"/>
      <c r="E86" s="54"/>
      <c r="F86" s="55"/>
      <c r="G86" s="56"/>
      <c r="H86" s="31" t="n">
        <f aca="false">B86+C86</f>
        <v>0</v>
      </c>
      <c r="I86" s="31" t="n">
        <f aca="false">MAX(0,H86-D86-E86)</f>
        <v>0</v>
      </c>
      <c r="J86" s="32" t="n">
        <f aca="false">B86*P1_PVP+C86*P2_PVP</f>
        <v>0</v>
      </c>
      <c r="K86" s="32" t="str">
        <f aca="false">IF(H86&gt;0,J86/H86,"")</f>
        <v/>
      </c>
      <c r="L86" s="32" t="str">
        <f aca="false">IF(H86&gt;0,F86/H86,"")</f>
        <v/>
      </c>
      <c r="M86" s="57" t="str">
        <f aca="false">IF(F86&gt;0,J86/F86,"")</f>
        <v/>
      </c>
      <c r="N86" s="34" t="str">
        <f aca="false">IF(D86+E86&gt;0,D86/(D86+E86),"")</f>
        <v/>
      </c>
      <c r="O86" s="33" t="n">
        <f aca="false">IF(H86&gt;0,D86*(B86*(P1_BEN-P1_IVAN)+C86*(P2_BEN-P2_IVAN))/H86,0)-E86*(COSTE_DEV-IVA_DEV)-Y86</f>
        <v>0</v>
      </c>
      <c r="P86" s="33" t="n">
        <f aca="false">T86-U86-V86-W86-X86-Y86</f>
        <v>0</v>
      </c>
      <c r="R86" s="58" t="n">
        <f aca="false">D86+I86*TASA_USADA</f>
        <v>0</v>
      </c>
      <c r="S86" s="58" t="n">
        <f aca="false">E86+I86*(1-TASA_USADA)</f>
        <v>0</v>
      </c>
      <c r="T86" s="59" t="n">
        <f aca="false">IF(H86&gt;0,R86*J86/H86,0)</f>
        <v>0</v>
      </c>
      <c r="U86" s="59" t="n">
        <f aca="false">IF(H86&gt;0,R86*(B86*P1_CPROD+C86*P2_CPROD)/H86,0)</f>
        <v>0</v>
      </c>
      <c r="V86" s="59" t="n">
        <f aca="false">IF(H86&gt;0,R86*(B86*P1_LOG+C86*P2_LOG)/H86,0)</f>
        <v>0</v>
      </c>
      <c r="W86" s="59" t="n">
        <f aca="false">S86*COSTE_DEV</f>
        <v>0</v>
      </c>
      <c r="X86" s="59" t="n">
        <f aca="false">IF(H86&gt;0,R86*(B86*P1_IVAN+C86*P2_IVAN)/H86,0)-S86*IVA_DEV</f>
        <v>0</v>
      </c>
      <c r="Y86" s="59" t="n">
        <f aca="false">F86*(1+RECARGO_ADS)</f>
        <v>0</v>
      </c>
    </row>
    <row r="87" customFormat="false" ht="15" hidden="false" customHeight="false" outlineLevel="0" collapsed="false">
      <c r="A87" s="53" t="n">
        <v>46381</v>
      </c>
      <c r="B87" s="54"/>
      <c r="C87" s="54"/>
      <c r="D87" s="54"/>
      <c r="E87" s="54"/>
      <c r="F87" s="55"/>
      <c r="G87" s="56"/>
      <c r="H87" s="31" t="n">
        <f aca="false">B87+C87</f>
        <v>0</v>
      </c>
      <c r="I87" s="31" t="n">
        <f aca="false">MAX(0,H87-D87-E87)</f>
        <v>0</v>
      </c>
      <c r="J87" s="32" t="n">
        <f aca="false">B87*P1_PVP+C87*P2_PVP</f>
        <v>0</v>
      </c>
      <c r="K87" s="32" t="str">
        <f aca="false">IF(H87&gt;0,J87/H87,"")</f>
        <v/>
      </c>
      <c r="L87" s="32" t="str">
        <f aca="false">IF(H87&gt;0,F87/H87,"")</f>
        <v/>
      </c>
      <c r="M87" s="57" t="str">
        <f aca="false">IF(F87&gt;0,J87/F87,"")</f>
        <v/>
      </c>
      <c r="N87" s="34" t="str">
        <f aca="false">IF(D87+E87&gt;0,D87/(D87+E87),"")</f>
        <v/>
      </c>
      <c r="O87" s="33" t="n">
        <f aca="false">IF(H87&gt;0,D87*(B87*(P1_BEN-P1_IVAN)+C87*(P2_BEN-P2_IVAN))/H87,0)-E87*(COSTE_DEV-IVA_DEV)-Y87</f>
        <v>0</v>
      </c>
      <c r="P87" s="33" t="n">
        <f aca="false">T87-U87-V87-W87-X87-Y87</f>
        <v>0</v>
      </c>
      <c r="R87" s="58" t="n">
        <f aca="false">D87+I87*TASA_USADA</f>
        <v>0</v>
      </c>
      <c r="S87" s="58" t="n">
        <f aca="false">E87+I87*(1-TASA_USADA)</f>
        <v>0</v>
      </c>
      <c r="T87" s="59" t="n">
        <f aca="false">IF(H87&gt;0,R87*J87/H87,0)</f>
        <v>0</v>
      </c>
      <c r="U87" s="59" t="n">
        <f aca="false">IF(H87&gt;0,R87*(B87*P1_CPROD+C87*P2_CPROD)/H87,0)</f>
        <v>0</v>
      </c>
      <c r="V87" s="59" t="n">
        <f aca="false">IF(H87&gt;0,R87*(B87*P1_LOG+C87*P2_LOG)/H87,0)</f>
        <v>0</v>
      </c>
      <c r="W87" s="59" t="n">
        <f aca="false">S87*COSTE_DEV</f>
        <v>0</v>
      </c>
      <c r="X87" s="59" t="n">
        <f aca="false">IF(H87&gt;0,R87*(B87*P1_IVAN+C87*P2_IVAN)/H87,0)-S87*IVA_DEV</f>
        <v>0</v>
      </c>
      <c r="Y87" s="59" t="n">
        <f aca="false">F87*(1+RECARGO_ADS)</f>
        <v>0</v>
      </c>
    </row>
    <row r="88" customFormat="false" ht="15" hidden="false" customHeight="false" outlineLevel="0" collapsed="false">
      <c r="A88" s="53" t="n">
        <v>46382</v>
      </c>
      <c r="B88" s="54"/>
      <c r="C88" s="54"/>
      <c r="D88" s="54"/>
      <c r="E88" s="54"/>
      <c r="F88" s="55"/>
      <c r="G88" s="56"/>
      <c r="H88" s="31" t="n">
        <f aca="false">B88+C88</f>
        <v>0</v>
      </c>
      <c r="I88" s="31" t="n">
        <f aca="false">MAX(0,H88-D88-E88)</f>
        <v>0</v>
      </c>
      <c r="J88" s="32" t="n">
        <f aca="false">B88*P1_PVP+C88*P2_PVP</f>
        <v>0</v>
      </c>
      <c r="K88" s="32" t="str">
        <f aca="false">IF(H88&gt;0,J88/H88,"")</f>
        <v/>
      </c>
      <c r="L88" s="32" t="str">
        <f aca="false">IF(H88&gt;0,F88/H88,"")</f>
        <v/>
      </c>
      <c r="M88" s="57" t="str">
        <f aca="false">IF(F88&gt;0,J88/F88,"")</f>
        <v/>
      </c>
      <c r="N88" s="34" t="str">
        <f aca="false">IF(D88+E88&gt;0,D88/(D88+E88),"")</f>
        <v/>
      </c>
      <c r="O88" s="33" t="n">
        <f aca="false">IF(H88&gt;0,D88*(B88*(P1_BEN-P1_IVAN)+C88*(P2_BEN-P2_IVAN))/H88,0)-E88*(COSTE_DEV-IVA_DEV)-Y88</f>
        <v>0</v>
      </c>
      <c r="P88" s="33" t="n">
        <f aca="false">T88-U88-V88-W88-X88-Y88</f>
        <v>0</v>
      </c>
      <c r="R88" s="58" t="n">
        <f aca="false">D88+I88*TASA_USADA</f>
        <v>0</v>
      </c>
      <c r="S88" s="58" t="n">
        <f aca="false">E88+I88*(1-TASA_USADA)</f>
        <v>0</v>
      </c>
      <c r="T88" s="59" t="n">
        <f aca="false">IF(H88&gt;0,R88*J88/H88,0)</f>
        <v>0</v>
      </c>
      <c r="U88" s="59" t="n">
        <f aca="false">IF(H88&gt;0,R88*(B88*P1_CPROD+C88*P2_CPROD)/H88,0)</f>
        <v>0</v>
      </c>
      <c r="V88" s="59" t="n">
        <f aca="false">IF(H88&gt;0,R88*(B88*P1_LOG+C88*P2_LOG)/H88,0)</f>
        <v>0</v>
      </c>
      <c r="W88" s="59" t="n">
        <f aca="false">S88*COSTE_DEV</f>
        <v>0</v>
      </c>
      <c r="X88" s="59" t="n">
        <f aca="false">IF(H88&gt;0,R88*(B88*P1_IVAN+C88*P2_IVAN)/H88,0)-S88*IVA_DEV</f>
        <v>0</v>
      </c>
      <c r="Y88" s="59" t="n">
        <f aca="false">F88*(1+RECARGO_ADS)</f>
        <v>0</v>
      </c>
    </row>
    <row r="89" customFormat="false" ht="15" hidden="false" customHeight="false" outlineLevel="0" collapsed="false">
      <c r="A89" s="53" t="n">
        <v>46383</v>
      </c>
      <c r="B89" s="54"/>
      <c r="C89" s="54"/>
      <c r="D89" s="54"/>
      <c r="E89" s="54"/>
      <c r="F89" s="55"/>
      <c r="G89" s="56"/>
      <c r="H89" s="31" t="n">
        <f aca="false">B89+C89</f>
        <v>0</v>
      </c>
      <c r="I89" s="31" t="n">
        <f aca="false">MAX(0,H89-D89-E89)</f>
        <v>0</v>
      </c>
      <c r="J89" s="32" t="n">
        <f aca="false">B89*P1_PVP+C89*P2_PVP</f>
        <v>0</v>
      </c>
      <c r="K89" s="32" t="str">
        <f aca="false">IF(H89&gt;0,J89/H89,"")</f>
        <v/>
      </c>
      <c r="L89" s="32" t="str">
        <f aca="false">IF(H89&gt;0,F89/H89,"")</f>
        <v/>
      </c>
      <c r="M89" s="57" t="str">
        <f aca="false">IF(F89&gt;0,J89/F89,"")</f>
        <v/>
      </c>
      <c r="N89" s="34" t="str">
        <f aca="false">IF(D89+E89&gt;0,D89/(D89+E89),"")</f>
        <v/>
      </c>
      <c r="O89" s="33" t="n">
        <f aca="false">IF(H89&gt;0,D89*(B89*(P1_BEN-P1_IVAN)+C89*(P2_BEN-P2_IVAN))/H89,0)-E89*(COSTE_DEV-IVA_DEV)-Y89</f>
        <v>0</v>
      </c>
      <c r="P89" s="33" t="n">
        <f aca="false">T89-U89-V89-W89-X89-Y89</f>
        <v>0</v>
      </c>
      <c r="R89" s="58" t="n">
        <f aca="false">D89+I89*TASA_USADA</f>
        <v>0</v>
      </c>
      <c r="S89" s="58" t="n">
        <f aca="false">E89+I89*(1-TASA_USADA)</f>
        <v>0</v>
      </c>
      <c r="T89" s="59" t="n">
        <f aca="false">IF(H89&gt;0,R89*J89/H89,0)</f>
        <v>0</v>
      </c>
      <c r="U89" s="59" t="n">
        <f aca="false">IF(H89&gt;0,R89*(B89*P1_CPROD+C89*P2_CPROD)/H89,0)</f>
        <v>0</v>
      </c>
      <c r="V89" s="59" t="n">
        <f aca="false">IF(H89&gt;0,R89*(B89*P1_LOG+C89*P2_LOG)/H89,0)</f>
        <v>0</v>
      </c>
      <c r="W89" s="59" t="n">
        <f aca="false">S89*COSTE_DEV</f>
        <v>0</v>
      </c>
      <c r="X89" s="59" t="n">
        <f aca="false">IF(H89&gt;0,R89*(B89*P1_IVAN+C89*P2_IVAN)/H89,0)-S89*IVA_DEV</f>
        <v>0</v>
      </c>
      <c r="Y89" s="59" t="n">
        <f aca="false">F89*(1+RECARGO_ADS)</f>
        <v>0</v>
      </c>
    </row>
    <row r="90" customFormat="false" ht="15" hidden="false" customHeight="false" outlineLevel="0" collapsed="false">
      <c r="A90" s="53" t="n">
        <v>46384</v>
      </c>
      <c r="B90" s="54"/>
      <c r="C90" s="54"/>
      <c r="D90" s="54"/>
      <c r="E90" s="54"/>
      <c r="F90" s="55"/>
      <c r="G90" s="56"/>
      <c r="H90" s="31" t="n">
        <f aca="false">B90+C90</f>
        <v>0</v>
      </c>
      <c r="I90" s="31" t="n">
        <f aca="false">MAX(0,H90-D90-E90)</f>
        <v>0</v>
      </c>
      <c r="J90" s="32" t="n">
        <f aca="false">B90*P1_PVP+C90*P2_PVP</f>
        <v>0</v>
      </c>
      <c r="K90" s="32" t="str">
        <f aca="false">IF(H90&gt;0,J90/H90,"")</f>
        <v/>
      </c>
      <c r="L90" s="32" t="str">
        <f aca="false">IF(H90&gt;0,F90/H90,"")</f>
        <v/>
      </c>
      <c r="M90" s="57" t="str">
        <f aca="false">IF(F90&gt;0,J90/F90,"")</f>
        <v/>
      </c>
      <c r="N90" s="34" t="str">
        <f aca="false">IF(D90+E90&gt;0,D90/(D90+E90),"")</f>
        <v/>
      </c>
      <c r="O90" s="33" t="n">
        <f aca="false">IF(H90&gt;0,D90*(B90*(P1_BEN-P1_IVAN)+C90*(P2_BEN-P2_IVAN))/H90,0)-E90*(COSTE_DEV-IVA_DEV)-Y90</f>
        <v>0</v>
      </c>
      <c r="P90" s="33" t="n">
        <f aca="false">T90-U90-V90-W90-X90-Y90</f>
        <v>0</v>
      </c>
      <c r="R90" s="58" t="n">
        <f aca="false">D90+I90*TASA_USADA</f>
        <v>0</v>
      </c>
      <c r="S90" s="58" t="n">
        <f aca="false">E90+I90*(1-TASA_USADA)</f>
        <v>0</v>
      </c>
      <c r="T90" s="59" t="n">
        <f aca="false">IF(H90&gt;0,R90*J90/H90,0)</f>
        <v>0</v>
      </c>
      <c r="U90" s="59" t="n">
        <f aca="false">IF(H90&gt;0,R90*(B90*P1_CPROD+C90*P2_CPROD)/H90,0)</f>
        <v>0</v>
      </c>
      <c r="V90" s="59" t="n">
        <f aca="false">IF(H90&gt;0,R90*(B90*P1_LOG+C90*P2_LOG)/H90,0)</f>
        <v>0</v>
      </c>
      <c r="W90" s="59" t="n">
        <f aca="false">S90*COSTE_DEV</f>
        <v>0</v>
      </c>
      <c r="X90" s="59" t="n">
        <f aca="false">IF(H90&gt;0,R90*(B90*P1_IVAN+C90*P2_IVAN)/H90,0)-S90*IVA_DEV</f>
        <v>0</v>
      </c>
      <c r="Y90" s="59" t="n">
        <f aca="false">F90*(1+RECARGO_ADS)</f>
        <v>0</v>
      </c>
    </row>
    <row r="91" customFormat="false" ht="15" hidden="false" customHeight="false" outlineLevel="0" collapsed="false">
      <c r="A91" s="53" t="n">
        <v>46385</v>
      </c>
      <c r="B91" s="54"/>
      <c r="C91" s="54"/>
      <c r="D91" s="54"/>
      <c r="E91" s="54"/>
      <c r="F91" s="55"/>
      <c r="G91" s="56"/>
      <c r="H91" s="31" t="n">
        <f aca="false">B91+C91</f>
        <v>0</v>
      </c>
      <c r="I91" s="31" t="n">
        <f aca="false">MAX(0,H91-D91-E91)</f>
        <v>0</v>
      </c>
      <c r="J91" s="32" t="n">
        <f aca="false">B91*P1_PVP+C91*P2_PVP</f>
        <v>0</v>
      </c>
      <c r="K91" s="32" t="str">
        <f aca="false">IF(H91&gt;0,J91/H91,"")</f>
        <v/>
      </c>
      <c r="L91" s="32" t="str">
        <f aca="false">IF(H91&gt;0,F91/H91,"")</f>
        <v/>
      </c>
      <c r="M91" s="57" t="str">
        <f aca="false">IF(F91&gt;0,J91/F91,"")</f>
        <v/>
      </c>
      <c r="N91" s="34" t="str">
        <f aca="false">IF(D91+E91&gt;0,D91/(D91+E91),"")</f>
        <v/>
      </c>
      <c r="O91" s="33" t="n">
        <f aca="false">IF(H91&gt;0,D91*(B91*(P1_BEN-P1_IVAN)+C91*(P2_BEN-P2_IVAN))/H91,0)-E91*(COSTE_DEV-IVA_DEV)-Y91</f>
        <v>0</v>
      </c>
      <c r="P91" s="33" t="n">
        <f aca="false">T91-U91-V91-W91-X91-Y91</f>
        <v>0</v>
      </c>
      <c r="R91" s="58" t="n">
        <f aca="false">D91+I91*TASA_USADA</f>
        <v>0</v>
      </c>
      <c r="S91" s="58" t="n">
        <f aca="false">E91+I91*(1-TASA_USADA)</f>
        <v>0</v>
      </c>
      <c r="T91" s="59" t="n">
        <f aca="false">IF(H91&gt;0,R91*J91/H91,0)</f>
        <v>0</v>
      </c>
      <c r="U91" s="59" t="n">
        <f aca="false">IF(H91&gt;0,R91*(B91*P1_CPROD+C91*P2_CPROD)/H91,0)</f>
        <v>0</v>
      </c>
      <c r="V91" s="59" t="n">
        <f aca="false">IF(H91&gt;0,R91*(B91*P1_LOG+C91*P2_LOG)/H91,0)</f>
        <v>0</v>
      </c>
      <c r="W91" s="59" t="n">
        <f aca="false">S91*COSTE_DEV</f>
        <v>0</v>
      </c>
      <c r="X91" s="59" t="n">
        <f aca="false">IF(H91&gt;0,R91*(B91*P1_IVAN+C91*P2_IVAN)/H91,0)-S91*IVA_DEV</f>
        <v>0</v>
      </c>
      <c r="Y91" s="59" t="n">
        <f aca="false">F91*(1+RECARGO_ADS)</f>
        <v>0</v>
      </c>
    </row>
    <row r="92" customFormat="false" ht="15" hidden="false" customHeight="false" outlineLevel="0" collapsed="false">
      <c r="A92" s="53" t="n">
        <v>46386</v>
      </c>
      <c r="B92" s="54"/>
      <c r="C92" s="54"/>
      <c r="D92" s="54"/>
      <c r="E92" s="54"/>
      <c r="F92" s="55"/>
      <c r="G92" s="56"/>
      <c r="H92" s="31" t="n">
        <f aca="false">B92+C92</f>
        <v>0</v>
      </c>
      <c r="I92" s="31" t="n">
        <f aca="false">MAX(0,H92-D92-E92)</f>
        <v>0</v>
      </c>
      <c r="J92" s="32" t="n">
        <f aca="false">B92*P1_PVP+C92*P2_PVP</f>
        <v>0</v>
      </c>
      <c r="K92" s="32" t="str">
        <f aca="false">IF(H92&gt;0,J92/H92,"")</f>
        <v/>
      </c>
      <c r="L92" s="32" t="str">
        <f aca="false">IF(H92&gt;0,F92/H92,"")</f>
        <v/>
      </c>
      <c r="M92" s="57" t="str">
        <f aca="false">IF(F92&gt;0,J92/F92,"")</f>
        <v/>
      </c>
      <c r="N92" s="34" t="str">
        <f aca="false">IF(D92+E92&gt;0,D92/(D92+E92),"")</f>
        <v/>
      </c>
      <c r="O92" s="33" t="n">
        <f aca="false">IF(H92&gt;0,D92*(B92*(P1_BEN-P1_IVAN)+C92*(P2_BEN-P2_IVAN))/H92,0)-E92*(COSTE_DEV-IVA_DEV)-Y92</f>
        <v>0</v>
      </c>
      <c r="P92" s="33" t="n">
        <f aca="false">T92-U92-V92-W92-X92-Y92</f>
        <v>0</v>
      </c>
      <c r="R92" s="58" t="n">
        <f aca="false">D92+I92*TASA_USADA</f>
        <v>0</v>
      </c>
      <c r="S92" s="58" t="n">
        <f aca="false">E92+I92*(1-TASA_USADA)</f>
        <v>0</v>
      </c>
      <c r="T92" s="59" t="n">
        <f aca="false">IF(H92&gt;0,R92*J92/H92,0)</f>
        <v>0</v>
      </c>
      <c r="U92" s="59" t="n">
        <f aca="false">IF(H92&gt;0,R92*(B92*P1_CPROD+C92*P2_CPROD)/H92,0)</f>
        <v>0</v>
      </c>
      <c r="V92" s="59" t="n">
        <f aca="false">IF(H92&gt;0,R92*(B92*P1_LOG+C92*P2_LOG)/H92,0)</f>
        <v>0</v>
      </c>
      <c r="W92" s="59" t="n">
        <f aca="false">S92*COSTE_DEV</f>
        <v>0</v>
      </c>
      <c r="X92" s="59" t="n">
        <f aca="false">IF(H92&gt;0,R92*(B92*P1_IVAN+C92*P2_IVAN)/H92,0)-S92*IVA_DEV</f>
        <v>0</v>
      </c>
      <c r="Y92" s="59" t="n">
        <f aca="false">F92*(1+RECARGO_ADS)</f>
        <v>0</v>
      </c>
    </row>
    <row r="93" customFormat="false" ht="15" hidden="false" customHeight="false" outlineLevel="0" collapsed="false">
      <c r="A93" s="53" t="n">
        <v>46387</v>
      </c>
      <c r="B93" s="54"/>
      <c r="C93" s="54"/>
      <c r="D93" s="54"/>
      <c r="E93" s="54"/>
      <c r="F93" s="55"/>
      <c r="G93" s="56"/>
      <c r="H93" s="31" t="n">
        <f aca="false">B93+C93</f>
        <v>0</v>
      </c>
      <c r="I93" s="31" t="n">
        <f aca="false">MAX(0,H93-D93-E93)</f>
        <v>0</v>
      </c>
      <c r="J93" s="32" t="n">
        <f aca="false">B93*P1_PVP+C93*P2_PVP</f>
        <v>0</v>
      </c>
      <c r="K93" s="32" t="str">
        <f aca="false">IF(H93&gt;0,J93/H93,"")</f>
        <v/>
      </c>
      <c r="L93" s="32" t="str">
        <f aca="false">IF(H93&gt;0,F93/H93,"")</f>
        <v/>
      </c>
      <c r="M93" s="57" t="str">
        <f aca="false">IF(F93&gt;0,J93/F93,"")</f>
        <v/>
      </c>
      <c r="N93" s="34" t="str">
        <f aca="false">IF(D93+E93&gt;0,D93/(D93+E93),"")</f>
        <v/>
      </c>
      <c r="O93" s="33" t="n">
        <f aca="false">IF(H93&gt;0,D93*(B93*(P1_BEN-P1_IVAN)+C93*(P2_BEN-P2_IVAN))/H93,0)-E93*(COSTE_DEV-IVA_DEV)-Y93</f>
        <v>0</v>
      </c>
      <c r="P93" s="33" t="n">
        <f aca="false">T93-U93-V93-W93-X93-Y93</f>
        <v>0</v>
      </c>
      <c r="R93" s="58" t="n">
        <f aca="false">D93+I93*TASA_USADA</f>
        <v>0</v>
      </c>
      <c r="S93" s="58" t="n">
        <f aca="false">E93+I93*(1-TASA_USADA)</f>
        <v>0</v>
      </c>
      <c r="T93" s="59" t="n">
        <f aca="false">IF(H93&gt;0,R93*J93/H93,0)</f>
        <v>0</v>
      </c>
      <c r="U93" s="59" t="n">
        <f aca="false">IF(H93&gt;0,R93*(B93*P1_CPROD+C93*P2_CPROD)/H93,0)</f>
        <v>0</v>
      </c>
      <c r="V93" s="59" t="n">
        <f aca="false">IF(H93&gt;0,R93*(B93*P1_LOG+C93*P2_LOG)/H93,0)</f>
        <v>0</v>
      </c>
      <c r="W93" s="59" t="n">
        <f aca="false">S93*COSTE_DEV</f>
        <v>0</v>
      </c>
      <c r="X93" s="59" t="n">
        <f aca="false">IF(H93&gt;0,R93*(B93*P1_IVAN+C93*P2_IVAN)/H93,0)-S93*IVA_DEV</f>
        <v>0</v>
      </c>
      <c r="Y93" s="59" t="n">
        <f aca="false">F93*(1+RECARGO_ADS)</f>
        <v>0</v>
      </c>
    </row>
    <row r="94" customFormat="false" ht="15" hidden="false" customHeight="false" outlineLevel="0" collapsed="false">
      <c r="A94" s="53" t="n">
        <v>46388</v>
      </c>
      <c r="B94" s="54"/>
      <c r="C94" s="54"/>
      <c r="D94" s="54"/>
      <c r="E94" s="54"/>
      <c r="F94" s="55"/>
      <c r="G94" s="56"/>
      <c r="H94" s="31" t="n">
        <f aca="false">B94+C94</f>
        <v>0</v>
      </c>
      <c r="I94" s="31" t="n">
        <f aca="false">MAX(0,H94-D94-E94)</f>
        <v>0</v>
      </c>
      <c r="J94" s="32" t="n">
        <f aca="false">B94*P1_PVP+C94*P2_PVP</f>
        <v>0</v>
      </c>
      <c r="K94" s="32" t="str">
        <f aca="false">IF(H94&gt;0,J94/H94,"")</f>
        <v/>
      </c>
      <c r="L94" s="32" t="str">
        <f aca="false">IF(H94&gt;0,F94/H94,"")</f>
        <v/>
      </c>
      <c r="M94" s="57" t="str">
        <f aca="false">IF(F94&gt;0,J94/F94,"")</f>
        <v/>
      </c>
      <c r="N94" s="34" t="str">
        <f aca="false">IF(D94+E94&gt;0,D94/(D94+E94),"")</f>
        <v/>
      </c>
      <c r="O94" s="33" t="n">
        <f aca="false">IF(H94&gt;0,D94*(B94*(P1_BEN-P1_IVAN)+C94*(P2_BEN-P2_IVAN))/H94,0)-E94*(COSTE_DEV-IVA_DEV)-Y94</f>
        <v>0</v>
      </c>
      <c r="P94" s="33" t="n">
        <f aca="false">T94-U94-V94-W94-X94-Y94</f>
        <v>0</v>
      </c>
      <c r="R94" s="58" t="n">
        <f aca="false">D94+I94*TASA_USADA</f>
        <v>0</v>
      </c>
      <c r="S94" s="58" t="n">
        <f aca="false">E94+I94*(1-TASA_USADA)</f>
        <v>0</v>
      </c>
      <c r="T94" s="59" t="n">
        <f aca="false">IF(H94&gt;0,R94*J94/H94,0)</f>
        <v>0</v>
      </c>
      <c r="U94" s="59" t="n">
        <f aca="false">IF(H94&gt;0,R94*(B94*P1_CPROD+C94*P2_CPROD)/H94,0)</f>
        <v>0</v>
      </c>
      <c r="V94" s="59" t="n">
        <f aca="false">IF(H94&gt;0,R94*(B94*P1_LOG+C94*P2_LOG)/H94,0)</f>
        <v>0</v>
      </c>
      <c r="W94" s="59" t="n">
        <f aca="false">S94*COSTE_DEV</f>
        <v>0</v>
      </c>
      <c r="X94" s="59" t="n">
        <f aca="false">IF(H94&gt;0,R94*(B94*P1_IVAN+C94*P2_IVAN)/H94,0)-S94*IVA_DEV</f>
        <v>0</v>
      </c>
      <c r="Y94" s="59" t="n">
        <f aca="false">F94*(1+RECARGO_ADS)</f>
        <v>0</v>
      </c>
    </row>
    <row r="95" customFormat="false" ht="15" hidden="false" customHeight="false" outlineLevel="0" collapsed="false">
      <c r="A95" s="53" t="n">
        <v>46389</v>
      </c>
      <c r="B95" s="54"/>
      <c r="C95" s="54"/>
      <c r="D95" s="54"/>
      <c r="E95" s="54"/>
      <c r="F95" s="55"/>
      <c r="G95" s="56"/>
      <c r="H95" s="31" t="n">
        <f aca="false">B95+C95</f>
        <v>0</v>
      </c>
      <c r="I95" s="31" t="n">
        <f aca="false">MAX(0,H95-D95-E95)</f>
        <v>0</v>
      </c>
      <c r="J95" s="32" t="n">
        <f aca="false">B95*P1_PVP+C95*P2_PVP</f>
        <v>0</v>
      </c>
      <c r="K95" s="32" t="str">
        <f aca="false">IF(H95&gt;0,J95/H95,"")</f>
        <v/>
      </c>
      <c r="L95" s="32" t="str">
        <f aca="false">IF(H95&gt;0,F95/H95,"")</f>
        <v/>
      </c>
      <c r="M95" s="57" t="str">
        <f aca="false">IF(F95&gt;0,J95/F95,"")</f>
        <v/>
      </c>
      <c r="N95" s="34" t="str">
        <f aca="false">IF(D95+E95&gt;0,D95/(D95+E95),"")</f>
        <v/>
      </c>
      <c r="O95" s="33" t="n">
        <f aca="false">IF(H95&gt;0,D95*(B95*(P1_BEN-P1_IVAN)+C95*(P2_BEN-P2_IVAN))/H95,0)-E95*(COSTE_DEV-IVA_DEV)-Y95</f>
        <v>0</v>
      </c>
      <c r="P95" s="33" t="n">
        <f aca="false">T95-U95-V95-W95-X95-Y95</f>
        <v>0</v>
      </c>
      <c r="R95" s="58" t="n">
        <f aca="false">D95+I95*TASA_USADA</f>
        <v>0</v>
      </c>
      <c r="S95" s="58" t="n">
        <f aca="false">E95+I95*(1-TASA_USADA)</f>
        <v>0</v>
      </c>
      <c r="T95" s="59" t="n">
        <f aca="false">IF(H95&gt;0,R95*J95/H95,0)</f>
        <v>0</v>
      </c>
      <c r="U95" s="59" t="n">
        <f aca="false">IF(H95&gt;0,R95*(B95*P1_CPROD+C95*P2_CPROD)/H95,0)</f>
        <v>0</v>
      </c>
      <c r="V95" s="59" t="n">
        <f aca="false">IF(H95&gt;0,R95*(B95*P1_LOG+C95*P2_LOG)/H95,0)</f>
        <v>0</v>
      </c>
      <c r="W95" s="59" t="n">
        <f aca="false">S95*COSTE_DEV</f>
        <v>0</v>
      </c>
      <c r="X95" s="59" t="n">
        <f aca="false">IF(H95&gt;0,R95*(B95*P1_IVAN+C95*P2_IVAN)/H95,0)-S95*IVA_DEV</f>
        <v>0</v>
      </c>
      <c r="Y95" s="59" t="n">
        <f aca="false">F95*(1+RECARGO_ADS)</f>
        <v>0</v>
      </c>
    </row>
    <row r="96" customFormat="false" ht="15" hidden="false" customHeight="false" outlineLevel="0" collapsed="false">
      <c r="A96" s="53" t="n">
        <v>46390</v>
      </c>
      <c r="B96" s="54"/>
      <c r="C96" s="54"/>
      <c r="D96" s="54"/>
      <c r="E96" s="54"/>
      <c r="F96" s="55"/>
      <c r="G96" s="56"/>
      <c r="H96" s="31" t="n">
        <f aca="false">B96+C96</f>
        <v>0</v>
      </c>
      <c r="I96" s="31" t="n">
        <f aca="false">MAX(0,H96-D96-E96)</f>
        <v>0</v>
      </c>
      <c r="J96" s="32" t="n">
        <f aca="false">B96*P1_PVP+C96*P2_PVP</f>
        <v>0</v>
      </c>
      <c r="K96" s="32" t="str">
        <f aca="false">IF(H96&gt;0,J96/H96,"")</f>
        <v/>
      </c>
      <c r="L96" s="32" t="str">
        <f aca="false">IF(H96&gt;0,F96/H96,"")</f>
        <v/>
      </c>
      <c r="M96" s="57" t="str">
        <f aca="false">IF(F96&gt;0,J96/F96,"")</f>
        <v/>
      </c>
      <c r="N96" s="34" t="str">
        <f aca="false">IF(D96+E96&gt;0,D96/(D96+E96),"")</f>
        <v/>
      </c>
      <c r="O96" s="33" t="n">
        <f aca="false">IF(H96&gt;0,D96*(B96*(P1_BEN-P1_IVAN)+C96*(P2_BEN-P2_IVAN))/H96,0)-E96*(COSTE_DEV-IVA_DEV)-Y96</f>
        <v>0</v>
      </c>
      <c r="P96" s="33" t="n">
        <f aca="false">T96-U96-V96-W96-X96-Y96</f>
        <v>0</v>
      </c>
      <c r="R96" s="58" t="n">
        <f aca="false">D96+I96*TASA_USADA</f>
        <v>0</v>
      </c>
      <c r="S96" s="58" t="n">
        <f aca="false">E96+I96*(1-TASA_USADA)</f>
        <v>0</v>
      </c>
      <c r="T96" s="59" t="n">
        <f aca="false">IF(H96&gt;0,R96*J96/H96,0)</f>
        <v>0</v>
      </c>
      <c r="U96" s="59" t="n">
        <f aca="false">IF(H96&gt;0,R96*(B96*P1_CPROD+C96*P2_CPROD)/H96,0)</f>
        <v>0</v>
      </c>
      <c r="V96" s="59" t="n">
        <f aca="false">IF(H96&gt;0,R96*(B96*P1_LOG+C96*P2_LOG)/H96,0)</f>
        <v>0</v>
      </c>
      <c r="W96" s="59" t="n">
        <f aca="false">S96*COSTE_DEV</f>
        <v>0</v>
      </c>
      <c r="X96" s="59" t="n">
        <f aca="false">IF(H96&gt;0,R96*(B96*P1_IVAN+C96*P2_IVAN)/H96,0)-S96*IVA_DEV</f>
        <v>0</v>
      </c>
      <c r="Y96" s="59" t="n">
        <f aca="false">F96*(1+RECARGO_ADS)</f>
        <v>0</v>
      </c>
    </row>
    <row r="97" customFormat="false" ht="15" hidden="false" customHeight="false" outlineLevel="0" collapsed="false">
      <c r="A97" s="53" t="n">
        <v>46391</v>
      </c>
      <c r="B97" s="54"/>
      <c r="C97" s="54"/>
      <c r="D97" s="54"/>
      <c r="E97" s="54"/>
      <c r="F97" s="55"/>
      <c r="G97" s="56"/>
      <c r="H97" s="31" t="n">
        <f aca="false">B97+C97</f>
        <v>0</v>
      </c>
      <c r="I97" s="31" t="n">
        <f aca="false">MAX(0,H97-D97-E97)</f>
        <v>0</v>
      </c>
      <c r="J97" s="32" t="n">
        <f aca="false">B97*P1_PVP+C97*P2_PVP</f>
        <v>0</v>
      </c>
      <c r="K97" s="32" t="str">
        <f aca="false">IF(H97&gt;0,J97/H97,"")</f>
        <v/>
      </c>
      <c r="L97" s="32" t="str">
        <f aca="false">IF(H97&gt;0,F97/H97,"")</f>
        <v/>
      </c>
      <c r="M97" s="57" t="str">
        <f aca="false">IF(F97&gt;0,J97/F97,"")</f>
        <v/>
      </c>
      <c r="N97" s="34" t="str">
        <f aca="false">IF(D97+E97&gt;0,D97/(D97+E97),"")</f>
        <v/>
      </c>
      <c r="O97" s="33" t="n">
        <f aca="false">IF(H97&gt;0,D97*(B97*(P1_BEN-P1_IVAN)+C97*(P2_BEN-P2_IVAN))/H97,0)-E97*(COSTE_DEV-IVA_DEV)-Y97</f>
        <v>0</v>
      </c>
      <c r="P97" s="33" t="n">
        <f aca="false">T97-U97-V97-W97-X97-Y97</f>
        <v>0</v>
      </c>
      <c r="R97" s="58" t="n">
        <f aca="false">D97+I97*TASA_USADA</f>
        <v>0</v>
      </c>
      <c r="S97" s="58" t="n">
        <f aca="false">E97+I97*(1-TASA_USADA)</f>
        <v>0</v>
      </c>
      <c r="T97" s="59" t="n">
        <f aca="false">IF(H97&gt;0,R97*J97/H97,0)</f>
        <v>0</v>
      </c>
      <c r="U97" s="59" t="n">
        <f aca="false">IF(H97&gt;0,R97*(B97*P1_CPROD+C97*P2_CPROD)/H97,0)</f>
        <v>0</v>
      </c>
      <c r="V97" s="59" t="n">
        <f aca="false">IF(H97&gt;0,R97*(B97*P1_LOG+C97*P2_LOG)/H97,0)</f>
        <v>0</v>
      </c>
      <c r="W97" s="59" t="n">
        <f aca="false">S97*COSTE_DEV</f>
        <v>0</v>
      </c>
      <c r="X97" s="59" t="n">
        <f aca="false">IF(H97&gt;0,R97*(B97*P1_IVAN+C97*P2_IVAN)/H97,0)-S97*IVA_DEV</f>
        <v>0</v>
      </c>
      <c r="Y97" s="59" t="n">
        <f aca="false">F97*(1+RECARGO_ADS)</f>
        <v>0</v>
      </c>
    </row>
    <row r="98" customFormat="false" ht="15" hidden="false" customHeight="false" outlineLevel="0" collapsed="false">
      <c r="A98" s="53" t="n">
        <v>46392</v>
      </c>
      <c r="B98" s="54"/>
      <c r="C98" s="54"/>
      <c r="D98" s="54"/>
      <c r="E98" s="54"/>
      <c r="F98" s="55"/>
      <c r="G98" s="56"/>
      <c r="H98" s="31" t="n">
        <f aca="false">B98+C98</f>
        <v>0</v>
      </c>
      <c r="I98" s="31" t="n">
        <f aca="false">MAX(0,H98-D98-E98)</f>
        <v>0</v>
      </c>
      <c r="J98" s="32" t="n">
        <f aca="false">B98*P1_PVP+C98*P2_PVP</f>
        <v>0</v>
      </c>
      <c r="K98" s="32" t="str">
        <f aca="false">IF(H98&gt;0,J98/H98,"")</f>
        <v/>
      </c>
      <c r="L98" s="32" t="str">
        <f aca="false">IF(H98&gt;0,F98/H98,"")</f>
        <v/>
      </c>
      <c r="M98" s="57" t="str">
        <f aca="false">IF(F98&gt;0,J98/F98,"")</f>
        <v/>
      </c>
      <c r="N98" s="34" t="str">
        <f aca="false">IF(D98+E98&gt;0,D98/(D98+E98),"")</f>
        <v/>
      </c>
      <c r="O98" s="33" t="n">
        <f aca="false">IF(H98&gt;0,D98*(B98*(P1_BEN-P1_IVAN)+C98*(P2_BEN-P2_IVAN))/H98,0)-E98*(COSTE_DEV-IVA_DEV)-Y98</f>
        <v>0</v>
      </c>
      <c r="P98" s="33" t="n">
        <f aca="false">T98-U98-V98-W98-X98-Y98</f>
        <v>0</v>
      </c>
      <c r="R98" s="58" t="n">
        <f aca="false">D98+I98*TASA_USADA</f>
        <v>0</v>
      </c>
      <c r="S98" s="58" t="n">
        <f aca="false">E98+I98*(1-TASA_USADA)</f>
        <v>0</v>
      </c>
      <c r="T98" s="59" t="n">
        <f aca="false">IF(H98&gt;0,R98*J98/H98,0)</f>
        <v>0</v>
      </c>
      <c r="U98" s="59" t="n">
        <f aca="false">IF(H98&gt;0,R98*(B98*P1_CPROD+C98*P2_CPROD)/H98,0)</f>
        <v>0</v>
      </c>
      <c r="V98" s="59" t="n">
        <f aca="false">IF(H98&gt;0,R98*(B98*P1_LOG+C98*P2_LOG)/H98,0)</f>
        <v>0</v>
      </c>
      <c r="W98" s="59" t="n">
        <f aca="false">S98*COSTE_DEV</f>
        <v>0</v>
      </c>
      <c r="X98" s="59" t="n">
        <f aca="false">IF(H98&gt;0,R98*(B98*P1_IVAN+C98*P2_IVAN)/H98,0)-S98*IVA_DEV</f>
        <v>0</v>
      </c>
      <c r="Y98" s="59" t="n">
        <f aca="false">F98*(1+RECARGO_ADS)</f>
        <v>0</v>
      </c>
    </row>
    <row r="99" customFormat="false" ht="15" hidden="false" customHeight="false" outlineLevel="0" collapsed="false">
      <c r="A99" s="53" t="n">
        <v>46393</v>
      </c>
      <c r="B99" s="54"/>
      <c r="C99" s="54"/>
      <c r="D99" s="54"/>
      <c r="E99" s="54"/>
      <c r="F99" s="55"/>
      <c r="G99" s="56"/>
      <c r="H99" s="31" t="n">
        <f aca="false">B99+C99</f>
        <v>0</v>
      </c>
      <c r="I99" s="31" t="n">
        <f aca="false">MAX(0,H99-D99-E99)</f>
        <v>0</v>
      </c>
      <c r="J99" s="32" t="n">
        <f aca="false">B99*P1_PVP+C99*P2_PVP</f>
        <v>0</v>
      </c>
      <c r="K99" s="32" t="str">
        <f aca="false">IF(H99&gt;0,J99/H99,"")</f>
        <v/>
      </c>
      <c r="L99" s="32" t="str">
        <f aca="false">IF(H99&gt;0,F99/H99,"")</f>
        <v/>
      </c>
      <c r="M99" s="57" t="str">
        <f aca="false">IF(F99&gt;0,J99/F99,"")</f>
        <v/>
      </c>
      <c r="N99" s="34" t="str">
        <f aca="false">IF(D99+E99&gt;0,D99/(D99+E99),"")</f>
        <v/>
      </c>
      <c r="O99" s="33" t="n">
        <f aca="false">IF(H99&gt;0,D99*(B99*(P1_BEN-P1_IVAN)+C99*(P2_BEN-P2_IVAN))/H99,0)-E99*(COSTE_DEV-IVA_DEV)-Y99</f>
        <v>0</v>
      </c>
      <c r="P99" s="33" t="n">
        <f aca="false">T99-U99-V99-W99-X99-Y99</f>
        <v>0</v>
      </c>
      <c r="R99" s="58" t="n">
        <f aca="false">D99+I99*TASA_USADA</f>
        <v>0</v>
      </c>
      <c r="S99" s="58" t="n">
        <f aca="false">E99+I99*(1-TASA_USADA)</f>
        <v>0</v>
      </c>
      <c r="T99" s="59" t="n">
        <f aca="false">IF(H99&gt;0,R99*J99/H99,0)</f>
        <v>0</v>
      </c>
      <c r="U99" s="59" t="n">
        <f aca="false">IF(H99&gt;0,R99*(B99*P1_CPROD+C99*P2_CPROD)/H99,0)</f>
        <v>0</v>
      </c>
      <c r="V99" s="59" t="n">
        <f aca="false">IF(H99&gt;0,R99*(B99*P1_LOG+C99*P2_LOG)/H99,0)</f>
        <v>0</v>
      </c>
      <c r="W99" s="59" t="n">
        <f aca="false">S99*COSTE_DEV</f>
        <v>0</v>
      </c>
      <c r="X99" s="59" t="n">
        <f aca="false">IF(H99&gt;0,R99*(B99*P1_IVAN+C99*P2_IVAN)/H99,0)-S99*IVA_DEV</f>
        <v>0</v>
      </c>
      <c r="Y99" s="59" t="n">
        <f aca="false">F99*(1+RECARGO_ADS)</f>
        <v>0</v>
      </c>
    </row>
    <row r="100" customFormat="false" ht="15" hidden="false" customHeight="false" outlineLevel="0" collapsed="false">
      <c r="A100" s="53" t="n">
        <v>46394</v>
      </c>
      <c r="B100" s="54"/>
      <c r="C100" s="54"/>
      <c r="D100" s="54"/>
      <c r="E100" s="54"/>
      <c r="F100" s="55"/>
      <c r="G100" s="56"/>
      <c r="H100" s="31" t="n">
        <f aca="false">B100+C100</f>
        <v>0</v>
      </c>
      <c r="I100" s="31" t="n">
        <f aca="false">MAX(0,H100-D100-E100)</f>
        <v>0</v>
      </c>
      <c r="J100" s="32" t="n">
        <f aca="false">B100*P1_PVP+C100*P2_PVP</f>
        <v>0</v>
      </c>
      <c r="K100" s="32" t="str">
        <f aca="false">IF(H100&gt;0,J100/H100,"")</f>
        <v/>
      </c>
      <c r="L100" s="32" t="str">
        <f aca="false">IF(H100&gt;0,F100/H100,"")</f>
        <v/>
      </c>
      <c r="M100" s="57" t="str">
        <f aca="false">IF(F100&gt;0,J100/F100,"")</f>
        <v/>
      </c>
      <c r="N100" s="34" t="str">
        <f aca="false">IF(D100+E100&gt;0,D100/(D100+E100),"")</f>
        <v/>
      </c>
      <c r="O100" s="33" t="n">
        <f aca="false">IF(H100&gt;0,D100*(B100*(P1_BEN-P1_IVAN)+C100*(P2_BEN-P2_IVAN))/H100,0)-E100*(COSTE_DEV-IVA_DEV)-Y100</f>
        <v>0</v>
      </c>
      <c r="P100" s="33" t="n">
        <f aca="false">T100-U100-V100-W100-X100-Y100</f>
        <v>0</v>
      </c>
      <c r="R100" s="58" t="n">
        <f aca="false">D100+I100*TASA_USADA</f>
        <v>0</v>
      </c>
      <c r="S100" s="58" t="n">
        <f aca="false">E100+I100*(1-TASA_USADA)</f>
        <v>0</v>
      </c>
      <c r="T100" s="59" t="n">
        <f aca="false">IF(H100&gt;0,R100*J100/H100,0)</f>
        <v>0</v>
      </c>
      <c r="U100" s="59" t="n">
        <f aca="false">IF(H100&gt;0,R100*(B100*P1_CPROD+C100*P2_CPROD)/H100,0)</f>
        <v>0</v>
      </c>
      <c r="V100" s="59" t="n">
        <f aca="false">IF(H100&gt;0,R100*(B100*P1_LOG+C100*P2_LOG)/H100,0)</f>
        <v>0</v>
      </c>
      <c r="W100" s="59" t="n">
        <f aca="false">S100*COSTE_DEV</f>
        <v>0</v>
      </c>
      <c r="X100" s="59" t="n">
        <f aca="false">IF(H100&gt;0,R100*(B100*P1_IVAN+C100*P2_IVAN)/H100,0)-S100*IVA_DEV</f>
        <v>0</v>
      </c>
      <c r="Y100" s="59" t="n">
        <f aca="false">F100*(1+RECARGO_ADS)</f>
        <v>0</v>
      </c>
    </row>
    <row r="101" customFormat="false" ht="15" hidden="false" customHeight="false" outlineLevel="0" collapsed="false">
      <c r="A101" s="53" t="n">
        <v>46395</v>
      </c>
      <c r="B101" s="54"/>
      <c r="C101" s="54"/>
      <c r="D101" s="54"/>
      <c r="E101" s="54"/>
      <c r="F101" s="55"/>
      <c r="G101" s="56"/>
      <c r="H101" s="31" t="n">
        <f aca="false">B101+C101</f>
        <v>0</v>
      </c>
      <c r="I101" s="31" t="n">
        <f aca="false">MAX(0,H101-D101-E101)</f>
        <v>0</v>
      </c>
      <c r="J101" s="32" t="n">
        <f aca="false">B101*P1_PVP+C101*P2_PVP</f>
        <v>0</v>
      </c>
      <c r="K101" s="32" t="str">
        <f aca="false">IF(H101&gt;0,J101/H101,"")</f>
        <v/>
      </c>
      <c r="L101" s="32" t="str">
        <f aca="false">IF(H101&gt;0,F101/H101,"")</f>
        <v/>
      </c>
      <c r="M101" s="57" t="str">
        <f aca="false">IF(F101&gt;0,J101/F101,"")</f>
        <v/>
      </c>
      <c r="N101" s="34" t="str">
        <f aca="false">IF(D101+E101&gt;0,D101/(D101+E101),"")</f>
        <v/>
      </c>
      <c r="O101" s="33" t="n">
        <f aca="false">IF(H101&gt;0,D101*(B101*(P1_BEN-P1_IVAN)+C101*(P2_BEN-P2_IVAN))/H101,0)-E101*(COSTE_DEV-IVA_DEV)-Y101</f>
        <v>0</v>
      </c>
      <c r="P101" s="33" t="n">
        <f aca="false">T101-U101-V101-W101-X101-Y101</f>
        <v>0</v>
      </c>
      <c r="R101" s="58" t="n">
        <f aca="false">D101+I101*TASA_USADA</f>
        <v>0</v>
      </c>
      <c r="S101" s="58" t="n">
        <f aca="false">E101+I101*(1-TASA_USADA)</f>
        <v>0</v>
      </c>
      <c r="T101" s="59" t="n">
        <f aca="false">IF(H101&gt;0,R101*J101/H101,0)</f>
        <v>0</v>
      </c>
      <c r="U101" s="59" t="n">
        <f aca="false">IF(H101&gt;0,R101*(B101*P1_CPROD+C101*P2_CPROD)/H101,0)</f>
        <v>0</v>
      </c>
      <c r="V101" s="59" t="n">
        <f aca="false">IF(H101&gt;0,R101*(B101*P1_LOG+C101*P2_LOG)/H101,0)</f>
        <v>0</v>
      </c>
      <c r="W101" s="59" t="n">
        <f aca="false">S101*COSTE_DEV</f>
        <v>0</v>
      </c>
      <c r="X101" s="59" t="n">
        <f aca="false">IF(H101&gt;0,R101*(B101*P1_IVAN+C101*P2_IVAN)/H101,0)-S101*IVA_DEV</f>
        <v>0</v>
      </c>
      <c r="Y101" s="59" t="n">
        <f aca="false">F101*(1+RECARGO_ADS)</f>
        <v>0</v>
      </c>
    </row>
    <row r="102" customFormat="false" ht="15" hidden="false" customHeight="false" outlineLevel="0" collapsed="false">
      <c r="A102" s="53" t="n">
        <v>46396</v>
      </c>
      <c r="B102" s="54"/>
      <c r="C102" s="54"/>
      <c r="D102" s="54"/>
      <c r="E102" s="54"/>
      <c r="F102" s="55"/>
      <c r="G102" s="56"/>
      <c r="H102" s="31" t="n">
        <f aca="false">B102+C102</f>
        <v>0</v>
      </c>
      <c r="I102" s="31" t="n">
        <f aca="false">MAX(0,H102-D102-E102)</f>
        <v>0</v>
      </c>
      <c r="J102" s="32" t="n">
        <f aca="false">B102*P1_PVP+C102*P2_PVP</f>
        <v>0</v>
      </c>
      <c r="K102" s="32" t="str">
        <f aca="false">IF(H102&gt;0,J102/H102,"")</f>
        <v/>
      </c>
      <c r="L102" s="32" t="str">
        <f aca="false">IF(H102&gt;0,F102/H102,"")</f>
        <v/>
      </c>
      <c r="M102" s="57" t="str">
        <f aca="false">IF(F102&gt;0,J102/F102,"")</f>
        <v/>
      </c>
      <c r="N102" s="34" t="str">
        <f aca="false">IF(D102+E102&gt;0,D102/(D102+E102),"")</f>
        <v/>
      </c>
      <c r="O102" s="33" t="n">
        <f aca="false">IF(H102&gt;0,D102*(B102*(P1_BEN-P1_IVAN)+C102*(P2_BEN-P2_IVAN))/H102,0)-E102*(COSTE_DEV-IVA_DEV)-Y102</f>
        <v>0</v>
      </c>
      <c r="P102" s="33" t="n">
        <f aca="false">T102-U102-V102-W102-X102-Y102</f>
        <v>0</v>
      </c>
      <c r="R102" s="58" t="n">
        <f aca="false">D102+I102*TASA_USADA</f>
        <v>0</v>
      </c>
      <c r="S102" s="58" t="n">
        <f aca="false">E102+I102*(1-TASA_USADA)</f>
        <v>0</v>
      </c>
      <c r="T102" s="59" t="n">
        <f aca="false">IF(H102&gt;0,R102*J102/H102,0)</f>
        <v>0</v>
      </c>
      <c r="U102" s="59" t="n">
        <f aca="false">IF(H102&gt;0,R102*(B102*P1_CPROD+C102*P2_CPROD)/H102,0)</f>
        <v>0</v>
      </c>
      <c r="V102" s="59" t="n">
        <f aca="false">IF(H102&gt;0,R102*(B102*P1_LOG+C102*P2_LOG)/H102,0)</f>
        <v>0</v>
      </c>
      <c r="W102" s="59" t="n">
        <f aca="false">S102*COSTE_DEV</f>
        <v>0</v>
      </c>
      <c r="X102" s="59" t="n">
        <f aca="false">IF(H102&gt;0,R102*(B102*P1_IVAN+C102*P2_IVAN)/H102,0)-S102*IVA_DEV</f>
        <v>0</v>
      </c>
      <c r="Y102" s="59" t="n">
        <f aca="false">F102*(1+RECARGO_ADS)</f>
        <v>0</v>
      </c>
    </row>
    <row r="103" customFormat="false" ht="15" hidden="false" customHeight="false" outlineLevel="0" collapsed="false">
      <c r="A103" s="53" t="n">
        <v>46397</v>
      </c>
      <c r="B103" s="54"/>
      <c r="C103" s="54"/>
      <c r="D103" s="54"/>
      <c r="E103" s="54"/>
      <c r="F103" s="55"/>
      <c r="G103" s="56"/>
      <c r="H103" s="31" t="n">
        <f aca="false">B103+C103</f>
        <v>0</v>
      </c>
      <c r="I103" s="31" t="n">
        <f aca="false">MAX(0,H103-D103-E103)</f>
        <v>0</v>
      </c>
      <c r="J103" s="32" t="n">
        <f aca="false">B103*P1_PVP+C103*P2_PVP</f>
        <v>0</v>
      </c>
      <c r="K103" s="32" t="str">
        <f aca="false">IF(H103&gt;0,J103/H103,"")</f>
        <v/>
      </c>
      <c r="L103" s="32" t="str">
        <f aca="false">IF(H103&gt;0,F103/H103,"")</f>
        <v/>
      </c>
      <c r="M103" s="57" t="str">
        <f aca="false">IF(F103&gt;0,J103/F103,"")</f>
        <v/>
      </c>
      <c r="N103" s="34" t="str">
        <f aca="false">IF(D103+E103&gt;0,D103/(D103+E103),"")</f>
        <v/>
      </c>
      <c r="O103" s="33" t="n">
        <f aca="false">IF(H103&gt;0,D103*(B103*(P1_BEN-P1_IVAN)+C103*(P2_BEN-P2_IVAN))/H103,0)-E103*(COSTE_DEV-IVA_DEV)-Y103</f>
        <v>0</v>
      </c>
      <c r="P103" s="33" t="n">
        <f aca="false">T103-U103-V103-W103-X103-Y103</f>
        <v>0</v>
      </c>
      <c r="R103" s="58" t="n">
        <f aca="false">D103+I103*TASA_USADA</f>
        <v>0</v>
      </c>
      <c r="S103" s="58" t="n">
        <f aca="false">E103+I103*(1-TASA_USADA)</f>
        <v>0</v>
      </c>
      <c r="T103" s="59" t="n">
        <f aca="false">IF(H103&gt;0,R103*J103/H103,0)</f>
        <v>0</v>
      </c>
      <c r="U103" s="59" t="n">
        <f aca="false">IF(H103&gt;0,R103*(B103*P1_CPROD+C103*P2_CPROD)/H103,0)</f>
        <v>0</v>
      </c>
      <c r="V103" s="59" t="n">
        <f aca="false">IF(H103&gt;0,R103*(B103*P1_LOG+C103*P2_LOG)/H103,0)</f>
        <v>0</v>
      </c>
      <c r="W103" s="59" t="n">
        <f aca="false">S103*COSTE_DEV</f>
        <v>0</v>
      </c>
      <c r="X103" s="59" t="n">
        <f aca="false">IF(H103&gt;0,R103*(B103*P1_IVAN+C103*P2_IVAN)/H103,0)-S103*IVA_DEV</f>
        <v>0</v>
      </c>
      <c r="Y103" s="59" t="n">
        <f aca="false">F103*(1+RECARGO_ADS)</f>
        <v>0</v>
      </c>
    </row>
    <row r="104" customFormat="false" ht="15" hidden="false" customHeight="false" outlineLevel="0" collapsed="false">
      <c r="A104" s="53" t="n">
        <v>46398</v>
      </c>
      <c r="B104" s="54"/>
      <c r="C104" s="54"/>
      <c r="D104" s="54"/>
      <c r="E104" s="54"/>
      <c r="F104" s="55"/>
      <c r="G104" s="56"/>
      <c r="H104" s="31" t="n">
        <f aca="false">B104+C104</f>
        <v>0</v>
      </c>
      <c r="I104" s="31" t="n">
        <f aca="false">MAX(0,H104-D104-E104)</f>
        <v>0</v>
      </c>
      <c r="J104" s="32" t="n">
        <f aca="false">B104*P1_PVP+C104*P2_PVP</f>
        <v>0</v>
      </c>
      <c r="K104" s="32" t="str">
        <f aca="false">IF(H104&gt;0,J104/H104,"")</f>
        <v/>
      </c>
      <c r="L104" s="32" t="str">
        <f aca="false">IF(H104&gt;0,F104/H104,"")</f>
        <v/>
      </c>
      <c r="M104" s="57" t="str">
        <f aca="false">IF(F104&gt;0,J104/F104,"")</f>
        <v/>
      </c>
      <c r="N104" s="34" t="str">
        <f aca="false">IF(D104+E104&gt;0,D104/(D104+E104),"")</f>
        <v/>
      </c>
      <c r="O104" s="33" t="n">
        <f aca="false">IF(H104&gt;0,D104*(B104*(P1_BEN-P1_IVAN)+C104*(P2_BEN-P2_IVAN))/H104,0)-E104*(COSTE_DEV-IVA_DEV)-Y104</f>
        <v>0</v>
      </c>
      <c r="P104" s="33" t="n">
        <f aca="false">T104-U104-V104-W104-X104-Y104</f>
        <v>0</v>
      </c>
      <c r="R104" s="58" t="n">
        <f aca="false">D104+I104*TASA_USADA</f>
        <v>0</v>
      </c>
      <c r="S104" s="58" t="n">
        <f aca="false">E104+I104*(1-TASA_USADA)</f>
        <v>0</v>
      </c>
      <c r="T104" s="59" t="n">
        <f aca="false">IF(H104&gt;0,R104*J104/H104,0)</f>
        <v>0</v>
      </c>
      <c r="U104" s="59" t="n">
        <f aca="false">IF(H104&gt;0,R104*(B104*P1_CPROD+C104*P2_CPROD)/H104,0)</f>
        <v>0</v>
      </c>
      <c r="V104" s="59" t="n">
        <f aca="false">IF(H104&gt;0,R104*(B104*P1_LOG+C104*P2_LOG)/H104,0)</f>
        <v>0</v>
      </c>
      <c r="W104" s="59" t="n">
        <f aca="false">S104*COSTE_DEV</f>
        <v>0</v>
      </c>
      <c r="X104" s="59" t="n">
        <f aca="false">IF(H104&gt;0,R104*(B104*P1_IVAN+C104*P2_IVAN)/H104,0)-S104*IVA_DEV</f>
        <v>0</v>
      </c>
      <c r="Y104" s="59" t="n">
        <f aca="false">F104*(1+RECARGO_ADS)</f>
        <v>0</v>
      </c>
    </row>
    <row r="105" customFormat="false" ht="15" hidden="false" customHeight="false" outlineLevel="0" collapsed="false">
      <c r="A105" s="53" t="n">
        <v>46399</v>
      </c>
      <c r="B105" s="54"/>
      <c r="C105" s="54"/>
      <c r="D105" s="54"/>
      <c r="E105" s="54"/>
      <c r="F105" s="55"/>
      <c r="G105" s="56"/>
      <c r="H105" s="31" t="n">
        <f aca="false">B105+C105</f>
        <v>0</v>
      </c>
      <c r="I105" s="31" t="n">
        <f aca="false">MAX(0,H105-D105-E105)</f>
        <v>0</v>
      </c>
      <c r="J105" s="32" t="n">
        <f aca="false">B105*P1_PVP+C105*P2_PVP</f>
        <v>0</v>
      </c>
      <c r="K105" s="32" t="str">
        <f aca="false">IF(H105&gt;0,J105/H105,"")</f>
        <v/>
      </c>
      <c r="L105" s="32" t="str">
        <f aca="false">IF(H105&gt;0,F105/H105,"")</f>
        <v/>
      </c>
      <c r="M105" s="57" t="str">
        <f aca="false">IF(F105&gt;0,J105/F105,"")</f>
        <v/>
      </c>
      <c r="N105" s="34" t="str">
        <f aca="false">IF(D105+E105&gt;0,D105/(D105+E105),"")</f>
        <v/>
      </c>
      <c r="O105" s="33" t="n">
        <f aca="false">IF(H105&gt;0,D105*(B105*(P1_BEN-P1_IVAN)+C105*(P2_BEN-P2_IVAN))/H105,0)-E105*(COSTE_DEV-IVA_DEV)-Y105</f>
        <v>0</v>
      </c>
      <c r="P105" s="33" t="n">
        <f aca="false">T105-U105-V105-W105-X105-Y105</f>
        <v>0</v>
      </c>
      <c r="R105" s="58" t="n">
        <f aca="false">D105+I105*TASA_USADA</f>
        <v>0</v>
      </c>
      <c r="S105" s="58" t="n">
        <f aca="false">E105+I105*(1-TASA_USADA)</f>
        <v>0</v>
      </c>
      <c r="T105" s="59" t="n">
        <f aca="false">IF(H105&gt;0,R105*J105/H105,0)</f>
        <v>0</v>
      </c>
      <c r="U105" s="59" t="n">
        <f aca="false">IF(H105&gt;0,R105*(B105*P1_CPROD+C105*P2_CPROD)/H105,0)</f>
        <v>0</v>
      </c>
      <c r="V105" s="59" t="n">
        <f aca="false">IF(H105&gt;0,R105*(B105*P1_LOG+C105*P2_LOG)/H105,0)</f>
        <v>0</v>
      </c>
      <c r="W105" s="59" t="n">
        <f aca="false">S105*COSTE_DEV</f>
        <v>0</v>
      </c>
      <c r="X105" s="59" t="n">
        <f aca="false">IF(H105&gt;0,R105*(B105*P1_IVAN+C105*P2_IVAN)/H105,0)-S105*IVA_DEV</f>
        <v>0</v>
      </c>
      <c r="Y105" s="59" t="n">
        <f aca="false">F105*(1+RECARGO_ADS)</f>
        <v>0</v>
      </c>
    </row>
    <row r="106" customFormat="false" ht="15" hidden="false" customHeight="false" outlineLevel="0" collapsed="false">
      <c r="A106" s="53" t="n">
        <v>46400</v>
      </c>
      <c r="B106" s="54"/>
      <c r="C106" s="54"/>
      <c r="D106" s="54"/>
      <c r="E106" s="54"/>
      <c r="F106" s="55"/>
      <c r="G106" s="56"/>
      <c r="H106" s="31" t="n">
        <f aca="false">B106+C106</f>
        <v>0</v>
      </c>
      <c r="I106" s="31" t="n">
        <f aca="false">MAX(0,H106-D106-E106)</f>
        <v>0</v>
      </c>
      <c r="J106" s="32" t="n">
        <f aca="false">B106*P1_PVP+C106*P2_PVP</f>
        <v>0</v>
      </c>
      <c r="K106" s="32" t="str">
        <f aca="false">IF(H106&gt;0,J106/H106,"")</f>
        <v/>
      </c>
      <c r="L106" s="32" t="str">
        <f aca="false">IF(H106&gt;0,F106/H106,"")</f>
        <v/>
      </c>
      <c r="M106" s="57" t="str">
        <f aca="false">IF(F106&gt;0,J106/F106,"")</f>
        <v/>
      </c>
      <c r="N106" s="34" t="str">
        <f aca="false">IF(D106+E106&gt;0,D106/(D106+E106),"")</f>
        <v/>
      </c>
      <c r="O106" s="33" t="n">
        <f aca="false">IF(H106&gt;0,D106*(B106*(P1_BEN-P1_IVAN)+C106*(P2_BEN-P2_IVAN))/H106,0)-E106*(COSTE_DEV-IVA_DEV)-Y106</f>
        <v>0</v>
      </c>
      <c r="P106" s="33" t="n">
        <f aca="false">T106-U106-V106-W106-X106-Y106</f>
        <v>0</v>
      </c>
      <c r="R106" s="58" t="n">
        <f aca="false">D106+I106*TASA_USADA</f>
        <v>0</v>
      </c>
      <c r="S106" s="58" t="n">
        <f aca="false">E106+I106*(1-TASA_USADA)</f>
        <v>0</v>
      </c>
      <c r="T106" s="59" t="n">
        <f aca="false">IF(H106&gt;0,R106*J106/H106,0)</f>
        <v>0</v>
      </c>
      <c r="U106" s="59" t="n">
        <f aca="false">IF(H106&gt;0,R106*(B106*P1_CPROD+C106*P2_CPROD)/H106,0)</f>
        <v>0</v>
      </c>
      <c r="V106" s="59" t="n">
        <f aca="false">IF(H106&gt;0,R106*(B106*P1_LOG+C106*P2_LOG)/H106,0)</f>
        <v>0</v>
      </c>
      <c r="W106" s="59" t="n">
        <f aca="false">S106*COSTE_DEV</f>
        <v>0</v>
      </c>
      <c r="X106" s="59" t="n">
        <f aca="false">IF(H106&gt;0,R106*(B106*P1_IVAN+C106*P2_IVAN)/H106,0)-S106*IVA_DEV</f>
        <v>0</v>
      </c>
      <c r="Y106" s="59" t="n">
        <f aca="false">F106*(1+RECARGO_ADS)</f>
        <v>0</v>
      </c>
    </row>
    <row r="107" customFormat="false" ht="15" hidden="false" customHeight="false" outlineLevel="0" collapsed="false">
      <c r="A107" s="53" t="n">
        <v>46401</v>
      </c>
      <c r="B107" s="54"/>
      <c r="C107" s="54"/>
      <c r="D107" s="54"/>
      <c r="E107" s="54"/>
      <c r="F107" s="55"/>
      <c r="G107" s="56"/>
      <c r="H107" s="31" t="n">
        <f aca="false">B107+C107</f>
        <v>0</v>
      </c>
      <c r="I107" s="31" t="n">
        <f aca="false">MAX(0,H107-D107-E107)</f>
        <v>0</v>
      </c>
      <c r="J107" s="32" t="n">
        <f aca="false">B107*P1_PVP+C107*P2_PVP</f>
        <v>0</v>
      </c>
      <c r="K107" s="32" t="str">
        <f aca="false">IF(H107&gt;0,J107/H107,"")</f>
        <v/>
      </c>
      <c r="L107" s="32" t="str">
        <f aca="false">IF(H107&gt;0,F107/H107,"")</f>
        <v/>
      </c>
      <c r="M107" s="57" t="str">
        <f aca="false">IF(F107&gt;0,J107/F107,"")</f>
        <v/>
      </c>
      <c r="N107" s="34" t="str">
        <f aca="false">IF(D107+E107&gt;0,D107/(D107+E107),"")</f>
        <v/>
      </c>
      <c r="O107" s="33" t="n">
        <f aca="false">IF(H107&gt;0,D107*(B107*(P1_BEN-P1_IVAN)+C107*(P2_BEN-P2_IVAN))/H107,0)-E107*(COSTE_DEV-IVA_DEV)-Y107</f>
        <v>0</v>
      </c>
      <c r="P107" s="33" t="n">
        <f aca="false">T107-U107-V107-W107-X107-Y107</f>
        <v>0</v>
      </c>
      <c r="R107" s="58" t="n">
        <f aca="false">D107+I107*TASA_USADA</f>
        <v>0</v>
      </c>
      <c r="S107" s="58" t="n">
        <f aca="false">E107+I107*(1-TASA_USADA)</f>
        <v>0</v>
      </c>
      <c r="T107" s="59" t="n">
        <f aca="false">IF(H107&gt;0,R107*J107/H107,0)</f>
        <v>0</v>
      </c>
      <c r="U107" s="59" t="n">
        <f aca="false">IF(H107&gt;0,R107*(B107*P1_CPROD+C107*P2_CPROD)/H107,0)</f>
        <v>0</v>
      </c>
      <c r="V107" s="59" t="n">
        <f aca="false">IF(H107&gt;0,R107*(B107*P1_LOG+C107*P2_LOG)/H107,0)</f>
        <v>0</v>
      </c>
      <c r="W107" s="59" t="n">
        <f aca="false">S107*COSTE_DEV</f>
        <v>0</v>
      </c>
      <c r="X107" s="59" t="n">
        <f aca="false">IF(H107&gt;0,R107*(B107*P1_IVAN+C107*P2_IVAN)/H107,0)-S107*IVA_DEV</f>
        <v>0</v>
      </c>
      <c r="Y107" s="59" t="n">
        <f aca="false">F107*(1+RECARGO_ADS)</f>
        <v>0</v>
      </c>
    </row>
    <row r="108" customFormat="false" ht="15" hidden="false" customHeight="false" outlineLevel="0" collapsed="false">
      <c r="A108" s="53" t="n">
        <v>46402</v>
      </c>
      <c r="B108" s="54"/>
      <c r="C108" s="54"/>
      <c r="D108" s="54"/>
      <c r="E108" s="54"/>
      <c r="F108" s="55"/>
      <c r="G108" s="56"/>
      <c r="H108" s="31" t="n">
        <f aca="false">B108+C108</f>
        <v>0</v>
      </c>
      <c r="I108" s="31" t="n">
        <f aca="false">MAX(0,H108-D108-E108)</f>
        <v>0</v>
      </c>
      <c r="J108" s="32" t="n">
        <f aca="false">B108*P1_PVP+C108*P2_PVP</f>
        <v>0</v>
      </c>
      <c r="K108" s="32" t="str">
        <f aca="false">IF(H108&gt;0,J108/H108,"")</f>
        <v/>
      </c>
      <c r="L108" s="32" t="str">
        <f aca="false">IF(H108&gt;0,F108/H108,"")</f>
        <v/>
      </c>
      <c r="M108" s="57" t="str">
        <f aca="false">IF(F108&gt;0,J108/F108,"")</f>
        <v/>
      </c>
      <c r="N108" s="34" t="str">
        <f aca="false">IF(D108+E108&gt;0,D108/(D108+E108),"")</f>
        <v/>
      </c>
      <c r="O108" s="33" t="n">
        <f aca="false">IF(H108&gt;0,D108*(B108*(P1_BEN-P1_IVAN)+C108*(P2_BEN-P2_IVAN))/H108,0)-E108*(COSTE_DEV-IVA_DEV)-Y108</f>
        <v>0</v>
      </c>
      <c r="P108" s="33" t="n">
        <f aca="false">T108-U108-V108-W108-X108-Y108</f>
        <v>0</v>
      </c>
      <c r="R108" s="58" t="n">
        <f aca="false">D108+I108*TASA_USADA</f>
        <v>0</v>
      </c>
      <c r="S108" s="58" t="n">
        <f aca="false">E108+I108*(1-TASA_USADA)</f>
        <v>0</v>
      </c>
      <c r="T108" s="59" t="n">
        <f aca="false">IF(H108&gt;0,R108*J108/H108,0)</f>
        <v>0</v>
      </c>
      <c r="U108" s="59" t="n">
        <f aca="false">IF(H108&gt;0,R108*(B108*P1_CPROD+C108*P2_CPROD)/H108,0)</f>
        <v>0</v>
      </c>
      <c r="V108" s="59" t="n">
        <f aca="false">IF(H108&gt;0,R108*(B108*P1_LOG+C108*P2_LOG)/H108,0)</f>
        <v>0</v>
      </c>
      <c r="W108" s="59" t="n">
        <f aca="false">S108*COSTE_DEV</f>
        <v>0</v>
      </c>
      <c r="X108" s="59" t="n">
        <f aca="false">IF(H108&gt;0,R108*(B108*P1_IVAN+C108*P2_IVAN)/H108,0)-S108*IVA_DEV</f>
        <v>0</v>
      </c>
      <c r="Y108" s="59" t="n">
        <f aca="false">F108*(1+RECARGO_ADS)</f>
        <v>0</v>
      </c>
    </row>
    <row r="109" customFormat="false" ht="15" hidden="false" customHeight="false" outlineLevel="0" collapsed="false">
      <c r="A109" s="53" t="n">
        <v>46403</v>
      </c>
      <c r="B109" s="54"/>
      <c r="C109" s="54"/>
      <c r="D109" s="54"/>
      <c r="E109" s="54"/>
      <c r="F109" s="55"/>
      <c r="G109" s="56"/>
      <c r="H109" s="31" t="n">
        <f aca="false">B109+C109</f>
        <v>0</v>
      </c>
      <c r="I109" s="31" t="n">
        <f aca="false">MAX(0,H109-D109-E109)</f>
        <v>0</v>
      </c>
      <c r="J109" s="32" t="n">
        <f aca="false">B109*P1_PVP+C109*P2_PVP</f>
        <v>0</v>
      </c>
      <c r="K109" s="32" t="str">
        <f aca="false">IF(H109&gt;0,J109/H109,"")</f>
        <v/>
      </c>
      <c r="L109" s="32" t="str">
        <f aca="false">IF(H109&gt;0,F109/H109,"")</f>
        <v/>
      </c>
      <c r="M109" s="57" t="str">
        <f aca="false">IF(F109&gt;0,J109/F109,"")</f>
        <v/>
      </c>
      <c r="N109" s="34" t="str">
        <f aca="false">IF(D109+E109&gt;0,D109/(D109+E109),"")</f>
        <v/>
      </c>
      <c r="O109" s="33" t="n">
        <f aca="false">IF(H109&gt;0,D109*(B109*(P1_BEN-P1_IVAN)+C109*(P2_BEN-P2_IVAN))/H109,0)-E109*(COSTE_DEV-IVA_DEV)-Y109</f>
        <v>0</v>
      </c>
      <c r="P109" s="33" t="n">
        <f aca="false">T109-U109-V109-W109-X109-Y109</f>
        <v>0</v>
      </c>
      <c r="R109" s="58" t="n">
        <f aca="false">D109+I109*TASA_USADA</f>
        <v>0</v>
      </c>
      <c r="S109" s="58" t="n">
        <f aca="false">E109+I109*(1-TASA_USADA)</f>
        <v>0</v>
      </c>
      <c r="T109" s="59" t="n">
        <f aca="false">IF(H109&gt;0,R109*J109/H109,0)</f>
        <v>0</v>
      </c>
      <c r="U109" s="59" t="n">
        <f aca="false">IF(H109&gt;0,R109*(B109*P1_CPROD+C109*P2_CPROD)/H109,0)</f>
        <v>0</v>
      </c>
      <c r="V109" s="59" t="n">
        <f aca="false">IF(H109&gt;0,R109*(B109*P1_LOG+C109*P2_LOG)/H109,0)</f>
        <v>0</v>
      </c>
      <c r="W109" s="59" t="n">
        <f aca="false">S109*COSTE_DEV</f>
        <v>0</v>
      </c>
      <c r="X109" s="59" t="n">
        <f aca="false">IF(H109&gt;0,R109*(B109*P1_IVAN+C109*P2_IVAN)/H109,0)-S109*IVA_DEV</f>
        <v>0</v>
      </c>
      <c r="Y109" s="59" t="n">
        <f aca="false">F109*(1+RECARGO_ADS)</f>
        <v>0</v>
      </c>
    </row>
    <row r="110" customFormat="false" ht="15" hidden="false" customHeight="false" outlineLevel="0" collapsed="false">
      <c r="A110" s="53" t="n">
        <v>46404</v>
      </c>
      <c r="B110" s="54"/>
      <c r="C110" s="54"/>
      <c r="D110" s="54"/>
      <c r="E110" s="54"/>
      <c r="F110" s="55"/>
      <c r="G110" s="56"/>
      <c r="H110" s="31" t="n">
        <f aca="false">B110+C110</f>
        <v>0</v>
      </c>
      <c r="I110" s="31" t="n">
        <f aca="false">MAX(0,H110-D110-E110)</f>
        <v>0</v>
      </c>
      <c r="J110" s="32" t="n">
        <f aca="false">B110*P1_PVP+C110*P2_PVP</f>
        <v>0</v>
      </c>
      <c r="K110" s="32" t="str">
        <f aca="false">IF(H110&gt;0,J110/H110,"")</f>
        <v/>
      </c>
      <c r="L110" s="32" t="str">
        <f aca="false">IF(H110&gt;0,F110/H110,"")</f>
        <v/>
      </c>
      <c r="M110" s="57" t="str">
        <f aca="false">IF(F110&gt;0,J110/F110,"")</f>
        <v/>
      </c>
      <c r="N110" s="34" t="str">
        <f aca="false">IF(D110+E110&gt;0,D110/(D110+E110),"")</f>
        <v/>
      </c>
      <c r="O110" s="33" t="n">
        <f aca="false">IF(H110&gt;0,D110*(B110*(P1_BEN-P1_IVAN)+C110*(P2_BEN-P2_IVAN))/H110,0)-E110*(COSTE_DEV-IVA_DEV)-Y110</f>
        <v>0</v>
      </c>
      <c r="P110" s="33" t="n">
        <f aca="false">T110-U110-V110-W110-X110-Y110</f>
        <v>0</v>
      </c>
      <c r="R110" s="58" t="n">
        <f aca="false">D110+I110*TASA_USADA</f>
        <v>0</v>
      </c>
      <c r="S110" s="58" t="n">
        <f aca="false">E110+I110*(1-TASA_USADA)</f>
        <v>0</v>
      </c>
      <c r="T110" s="59" t="n">
        <f aca="false">IF(H110&gt;0,R110*J110/H110,0)</f>
        <v>0</v>
      </c>
      <c r="U110" s="59" t="n">
        <f aca="false">IF(H110&gt;0,R110*(B110*P1_CPROD+C110*P2_CPROD)/H110,0)</f>
        <v>0</v>
      </c>
      <c r="V110" s="59" t="n">
        <f aca="false">IF(H110&gt;0,R110*(B110*P1_LOG+C110*P2_LOG)/H110,0)</f>
        <v>0</v>
      </c>
      <c r="W110" s="59" t="n">
        <f aca="false">S110*COSTE_DEV</f>
        <v>0</v>
      </c>
      <c r="X110" s="59" t="n">
        <f aca="false">IF(H110&gt;0,R110*(B110*P1_IVAN+C110*P2_IVAN)/H110,0)-S110*IVA_DEV</f>
        <v>0</v>
      </c>
      <c r="Y110" s="59" t="n">
        <f aca="false">F110*(1+RECARGO_ADS)</f>
        <v>0</v>
      </c>
    </row>
    <row r="111" customFormat="false" ht="15" hidden="false" customHeight="false" outlineLevel="0" collapsed="false">
      <c r="A111" s="53" t="n">
        <v>46405</v>
      </c>
      <c r="B111" s="54"/>
      <c r="C111" s="54"/>
      <c r="D111" s="54"/>
      <c r="E111" s="54"/>
      <c r="F111" s="55"/>
      <c r="G111" s="56"/>
      <c r="H111" s="31" t="n">
        <f aca="false">B111+C111</f>
        <v>0</v>
      </c>
      <c r="I111" s="31" t="n">
        <f aca="false">MAX(0,H111-D111-E111)</f>
        <v>0</v>
      </c>
      <c r="J111" s="32" t="n">
        <f aca="false">B111*P1_PVP+C111*P2_PVP</f>
        <v>0</v>
      </c>
      <c r="K111" s="32" t="str">
        <f aca="false">IF(H111&gt;0,J111/H111,"")</f>
        <v/>
      </c>
      <c r="L111" s="32" t="str">
        <f aca="false">IF(H111&gt;0,F111/H111,"")</f>
        <v/>
      </c>
      <c r="M111" s="57" t="str">
        <f aca="false">IF(F111&gt;0,J111/F111,"")</f>
        <v/>
      </c>
      <c r="N111" s="34" t="str">
        <f aca="false">IF(D111+E111&gt;0,D111/(D111+E111),"")</f>
        <v/>
      </c>
      <c r="O111" s="33" t="n">
        <f aca="false">IF(H111&gt;0,D111*(B111*(P1_BEN-P1_IVAN)+C111*(P2_BEN-P2_IVAN))/H111,0)-E111*(COSTE_DEV-IVA_DEV)-Y111</f>
        <v>0</v>
      </c>
      <c r="P111" s="33" t="n">
        <f aca="false">T111-U111-V111-W111-X111-Y111</f>
        <v>0</v>
      </c>
      <c r="R111" s="58" t="n">
        <f aca="false">D111+I111*TASA_USADA</f>
        <v>0</v>
      </c>
      <c r="S111" s="58" t="n">
        <f aca="false">E111+I111*(1-TASA_USADA)</f>
        <v>0</v>
      </c>
      <c r="T111" s="59" t="n">
        <f aca="false">IF(H111&gt;0,R111*J111/H111,0)</f>
        <v>0</v>
      </c>
      <c r="U111" s="59" t="n">
        <f aca="false">IF(H111&gt;0,R111*(B111*P1_CPROD+C111*P2_CPROD)/H111,0)</f>
        <v>0</v>
      </c>
      <c r="V111" s="59" t="n">
        <f aca="false">IF(H111&gt;0,R111*(B111*P1_LOG+C111*P2_LOG)/H111,0)</f>
        <v>0</v>
      </c>
      <c r="W111" s="59" t="n">
        <f aca="false">S111*COSTE_DEV</f>
        <v>0</v>
      </c>
      <c r="X111" s="59" t="n">
        <f aca="false">IF(H111&gt;0,R111*(B111*P1_IVAN+C111*P2_IVAN)/H111,0)-S111*IVA_DEV</f>
        <v>0</v>
      </c>
      <c r="Y111" s="59" t="n">
        <f aca="false">F111*(1+RECARGO_ADS)</f>
        <v>0</v>
      </c>
    </row>
    <row r="112" customFormat="false" ht="15" hidden="false" customHeight="false" outlineLevel="0" collapsed="false">
      <c r="A112" s="53" t="n">
        <v>46406</v>
      </c>
      <c r="B112" s="54"/>
      <c r="C112" s="54"/>
      <c r="D112" s="54"/>
      <c r="E112" s="54"/>
      <c r="F112" s="55"/>
      <c r="G112" s="56"/>
      <c r="H112" s="31" t="n">
        <f aca="false">B112+C112</f>
        <v>0</v>
      </c>
      <c r="I112" s="31" t="n">
        <f aca="false">MAX(0,H112-D112-E112)</f>
        <v>0</v>
      </c>
      <c r="J112" s="32" t="n">
        <f aca="false">B112*P1_PVP+C112*P2_PVP</f>
        <v>0</v>
      </c>
      <c r="K112" s="32" t="str">
        <f aca="false">IF(H112&gt;0,J112/H112,"")</f>
        <v/>
      </c>
      <c r="L112" s="32" t="str">
        <f aca="false">IF(H112&gt;0,F112/H112,"")</f>
        <v/>
      </c>
      <c r="M112" s="57" t="str">
        <f aca="false">IF(F112&gt;0,J112/F112,"")</f>
        <v/>
      </c>
      <c r="N112" s="34" t="str">
        <f aca="false">IF(D112+E112&gt;0,D112/(D112+E112),"")</f>
        <v/>
      </c>
      <c r="O112" s="33" t="n">
        <f aca="false">IF(H112&gt;0,D112*(B112*(P1_BEN-P1_IVAN)+C112*(P2_BEN-P2_IVAN))/H112,0)-E112*(COSTE_DEV-IVA_DEV)-Y112</f>
        <v>0</v>
      </c>
      <c r="P112" s="33" t="n">
        <f aca="false">T112-U112-V112-W112-X112-Y112</f>
        <v>0</v>
      </c>
      <c r="R112" s="58" t="n">
        <f aca="false">D112+I112*TASA_USADA</f>
        <v>0</v>
      </c>
      <c r="S112" s="58" t="n">
        <f aca="false">E112+I112*(1-TASA_USADA)</f>
        <v>0</v>
      </c>
      <c r="T112" s="59" t="n">
        <f aca="false">IF(H112&gt;0,R112*J112/H112,0)</f>
        <v>0</v>
      </c>
      <c r="U112" s="59" t="n">
        <f aca="false">IF(H112&gt;0,R112*(B112*P1_CPROD+C112*P2_CPROD)/H112,0)</f>
        <v>0</v>
      </c>
      <c r="V112" s="59" t="n">
        <f aca="false">IF(H112&gt;0,R112*(B112*P1_LOG+C112*P2_LOG)/H112,0)</f>
        <v>0</v>
      </c>
      <c r="W112" s="59" t="n">
        <f aca="false">S112*COSTE_DEV</f>
        <v>0</v>
      </c>
      <c r="X112" s="59" t="n">
        <f aca="false">IF(H112&gt;0,R112*(B112*P1_IVAN+C112*P2_IVAN)/H112,0)-S112*IVA_DEV</f>
        <v>0</v>
      </c>
      <c r="Y112" s="59" t="n">
        <f aca="false">F112*(1+RECARGO_ADS)</f>
        <v>0</v>
      </c>
    </row>
    <row r="113" customFormat="false" ht="15" hidden="false" customHeight="false" outlineLevel="0" collapsed="false">
      <c r="A113" s="53" t="n">
        <v>46407</v>
      </c>
      <c r="B113" s="54"/>
      <c r="C113" s="54"/>
      <c r="D113" s="54"/>
      <c r="E113" s="54"/>
      <c r="F113" s="55"/>
      <c r="G113" s="56"/>
      <c r="H113" s="31" t="n">
        <f aca="false">B113+C113</f>
        <v>0</v>
      </c>
      <c r="I113" s="31" t="n">
        <f aca="false">MAX(0,H113-D113-E113)</f>
        <v>0</v>
      </c>
      <c r="J113" s="32" t="n">
        <f aca="false">B113*P1_PVP+C113*P2_PVP</f>
        <v>0</v>
      </c>
      <c r="K113" s="32" t="str">
        <f aca="false">IF(H113&gt;0,J113/H113,"")</f>
        <v/>
      </c>
      <c r="L113" s="32" t="str">
        <f aca="false">IF(H113&gt;0,F113/H113,"")</f>
        <v/>
      </c>
      <c r="M113" s="57" t="str">
        <f aca="false">IF(F113&gt;0,J113/F113,"")</f>
        <v/>
      </c>
      <c r="N113" s="34" t="str">
        <f aca="false">IF(D113+E113&gt;0,D113/(D113+E113),"")</f>
        <v/>
      </c>
      <c r="O113" s="33" t="n">
        <f aca="false">IF(H113&gt;0,D113*(B113*(P1_BEN-P1_IVAN)+C113*(P2_BEN-P2_IVAN))/H113,0)-E113*(COSTE_DEV-IVA_DEV)-Y113</f>
        <v>0</v>
      </c>
      <c r="P113" s="33" t="n">
        <f aca="false">T113-U113-V113-W113-X113-Y113</f>
        <v>0</v>
      </c>
      <c r="R113" s="58" t="n">
        <f aca="false">D113+I113*TASA_USADA</f>
        <v>0</v>
      </c>
      <c r="S113" s="58" t="n">
        <f aca="false">E113+I113*(1-TASA_USADA)</f>
        <v>0</v>
      </c>
      <c r="T113" s="59" t="n">
        <f aca="false">IF(H113&gt;0,R113*J113/H113,0)</f>
        <v>0</v>
      </c>
      <c r="U113" s="59" t="n">
        <f aca="false">IF(H113&gt;0,R113*(B113*P1_CPROD+C113*P2_CPROD)/H113,0)</f>
        <v>0</v>
      </c>
      <c r="V113" s="59" t="n">
        <f aca="false">IF(H113&gt;0,R113*(B113*P1_LOG+C113*P2_LOG)/H113,0)</f>
        <v>0</v>
      </c>
      <c r="W113" s="59" t="n">
        <f aca="false">S113*COSTE_DEV</f>
        <v>0</v>
      </c>
      <c r="X113" s="59" t="n">
        <f aca="false">IF(H113&gt;0,R113*(B113*P1_IVAN+C113*P2_IVAN)/H113,0)-S113*IVA_DEV</f>
        <v>0</v>
      </c>
      <c r="Y113" s="59" t="n">
        <f aca="false">F113*(1+RECARGO_ADS)</f>
        <v>0</v>
      </c>
    </row>
    <row r="114" customFormat="false" ht="15" hidden="false" customHeight="false" outlineLevel="0" collapsed="false">
      <c r="A114" s="53" t="n">
        <v>46408</v>
      </c>
      <c r="B114" s="54"/>
      <c r="C114" s="54"/>
      <c r="D114" s="54"/>
      <c r="E114" s="54"/>
      <c r="F114" s="55"/>
      <c r="G114" s="56"/>
      <c r="H114" s="31" t="n">
        <f aca="false">B114+C114</f>
        <v>0</v>
      </c>
      <c r="I114" s="31" t="n">
        <f aca="false">MAX(0,H114-D114-E114)</f>
        <v>0</v>
      </c>
      <c r="J114" s="32" t="n">
        <f aca="false">B114*P1_PVP+C114*P2_PVP</f>
        <v>0</v>
      </c>
      <c r="K114" s="32" t="str">
        <f aca="false">IF(H114&gt;0,J114/H114,"")</f>
        <v/>
      </c>
      <c r="L114" s="32" t="str">
        <f aca="false">IF(H114&gt;0,F114/H114,"")</f>
        <v/>
      </c>
      <c r="M114" s="57" t="str">
        <f aca="false">IF(F114&gt;0,J114/F114,"")</f>
        <v/>
      </c>
      <c r="N114" s="34" t="str">
        <f aca="false">IF(D114+E114&gt;0,D114/(D114+E114),"")</f>
        <v/>
      </c>
      <c r="O114" s="33" t="n">
        <f aca="false">IF(H114&gt;0,D114*(B114*(P1_BEN-P1_IVAN)+C114*(P2_BEN-P2_IVAN))/H114,0)-E114*(COSTE_DEV-IVA_DEV)-Y114</f>
        <v>0</v>
      </c>
      <c r="P114" s="33" t="n">
        <f aca="false">T114-U114-V114-W114-X114-Y114</f>
        <v>0</v>
      </c>
      <c r="R114" s="58" t="n">
        <f aca="false">D114+I114*TASA_USADA</f>
        <v>0</v>
      </c>
      <c r="S114" s="58" t="n">
        <f aca="false">E114+I114*(1-TASA_USADA)</f>
        <v>0</v>
      </c>
      <c r="T114" s="59" t="n">
        <f aca="false">IF(H114&gt;0,R114*J114/H114,0)</f>
        <v>0</v>
      </c>
      <c r="U114" s="59" t="n">
        <f aca="false">IF(H114&gt;0,R114*(B114*P1_CPROD+C114*P2_CPROD)/H114,0)</f>
        <v>0</v>
      </c>
      <c r="V114" s="59" t="n">
        <f aca="false">IF(H114&gt;0,R114*(B114*P1_LOG+C114*P2_LOG)/H114,0)</f>
        <v>0</v>
      </c>
      <c r="W114" s="59" t="n">
        <f aca="false">S114*COSTE_DEV</f>
        <v>0</v>
      </c>
      <c r="X114" s="59" t="n">
        <f aca="false">IF(H114&gt;0,R114*(B114*P1_IVAN+C114*P2_IVAN)/H114,0)-S114*IVA_DEV</f>
        <v>0</v>
      </c>
      <c r="Y114" s="59" t="n">
        <f aca="false">F114*(1+RECARGO_ADS)</f>
        <v>0</v>
      </c>
    </row>
    <row r="115" customFormat="false" ht="15" hidden="false" customHeight="false" outlineLevel="0" collapsed="false">
      <c r="A115" s="53" t="n">
        <v>46409</v>
      </c>
      <c r="B115" s="54"/>
      <c r="C115" s="54"/>
      <c r="D115" s="54"/>
      <c r="E115" s="54"/>
      <c r="F115" s="55"/>
      <c r="G115" s="56"/>
      <c r="H115" s="31" t="n">
        <f aca="false">B115+C115</f>
        <v>0</v>
      </c>
      <c r="I115" s="31" t="n">
        <f aca="false">MAX(0,H115-D115-E115)</f>
        <v>0</v>
      </c>
      <c r="J115" s="32" t="n">
        <f aca="false">B115*P1_PVP+C115*P2_PVP</f>
        <v>0</v>
      </c>
      <c r="K115" s="32" t="str">
        <f aca="false">IF(H115&gt;0,J115/H115,"")</f>
        <v/>
      </c>
      <c r="L115" s="32" t="str">
        <f aca="false">IF(H115&gt;0,F115/H115,"")</f>
        <v/>
      </c>
      <c r="M115" s="57" t="str">
        <f aca="false">IF(F115&gt;0,J115/F115,"")</f>
        <v/>
      </c>
      <c r="N115" s="34" t="str">
        <f aca="false">IF(D115+E115&gt;0,D115/(D115+E115),"")</f>
        <v/>
      </c>
      <c r="O115" s="33" t="n">
        <f aca="false">IF(H115&gt;0,D115*(B115*(P1_BEN-P1_IVAN)+C115*(P2_BEN-P2_IVAN))/H115,0)-E115*(COSTE_DEV-IVA_DEV)-Y115</f>
        <v>0</v>
      </c>
      <c r="P115" s="33" t="n">
        <f aca="false">T115-U115-V115-W115-X115-Y115</f>
        <v>0</v>
      </c>
      <c r="R115" s="58" t="n">
        <f aca="false">D115+I115*TASA_USADA</f>
        <v>0</v>
      </c>
      <c r="S115" s="58" t="n">
        <f aca="false">E115+I115*(1-TASA_USADA)</f>
        <v>0</v>
      </c>
      <c r="T115" s="59" t="n">
        <f aca="false">IF(H115&gt;0,R115*J115/H115,0)</f>
        <v>0</v>
      </c>
      <c r="U115" s="59" t="n">
        <f aca="false">IF(H115&gt;0,R115*(B115*P1_CPROD+C115*P2_CPROD)/H115,0)</f>
        <v>0</v>
      </c>
      <c r="V115" s="59" t="n">
        <f aca="false">IF(H115&gt;0,R115*(B115*P1_LOG+C115*P2_LOG)/H115,0)</f>
        <v>0</v>
      </c>
      <c r="W115" s="59" t="n">
        <f aca="false">S115*COSTE_DEV</f>
        <v>0</v>
      </c>
      <c r="X115" s="59" t="n">
        <f aca="false">IF(H115&gt;0,R115*(B115*P1_IVAN+C115*P2_IVAN)/H115,0)-S115*IVA_DEV</f>
        <v>0</v>
      </c>
      <c r="Y115" s="59" t="n">
        <f aca="false">F115*(1+RECARGO_ADS)</f>
        <v>0</v>
      </c>
    </row>
    <row r="116" customFormat="false" ht="15" hidden="false" customHeight="false" outlineLevel="0" collapsed="false">
      <c r="A116" s="53" t="n">
        <v>46410</v>
      </c>
      <c r="B116" s="54"/>
      <c r="C116" s="54"/>
      <c r="D116" s="54"/>
      <c r="E116" s="54"/>
      <c r="F116" s="55"/>
      <c r="G116" s="56"/>
      <c r="H116" s="31" t="n">
        <f aca="false">B116+C116</f>
        <v>0</v>
      </c>
      <c r="I116" s="31" t="n">
        <f aca="false">MAX(0,H116-D116-E116)</f>
        <v>0</v>
      </c>
      <c r="J116" s="32" t="n">
        <f aca="false">B116*P1_PVP+C116*P2_PVP</f>
        <v>0</v>
      </c>
      <c r="K116" s="32" t="str">
        <f aca="false">IF(H116&gt;0,J116/H116,"")</f>
        <v/>
      </c>
      <c r="L116" s="32" t="str">
        <f aca="false">IF(H116&gt;0,F116/H116,"")</f>
        <v/>
      </c>
      <c r="M116" s="57" t="str">
        <f aca="false">IF(F116&gt;0,J116/F116,"")</f>
        <v/>
      </c>
      <c r="N116" s="34" t="str">
        <f aca="false">IF(D116+E116&gt;0,D116/(D116+E116),"")</f>
        <v/>
      </c>
      <c r="O116" s="33" t="n">
        <f aca="false">IF(H116&gt;0,D116*(B116*(P1_BEN-P1_IVAN)+C116*(P2_BEN-P2_IVAN))/H116,0)-E116*(COSTE_DEV-IVA_DEV)-Y116</f>
        <v>0</v>
      </c>
      <c r="P116" s="33" t="n">
        <f aca="false">T116-U116-V116-W116-X116-Y116</f>
        <v>0</v>
      </c>
      <c r="R116" s="58" t="n">
        <f aca="false">D116+I116*TASA_USADA</f>
        <v>0</v>
      </c>
      <c r="S116" s="58" t="n">
        <f aca="false">E116+I116*(1-TASA_USADA)</f>
        <v>0</v>
      </c>
      <c r="T116" s="59" t="n">
        <f aca="false">IF(H116&gt;0,R116*J116/H116,0)</f>
        <v>0</v>
      </c>
      <c r="U116" s="59" t="n">
        <f aca="false">IF(H116&gt;0,R116*(B116*P1_CPROD+C116*P2_CPROD)/H116,0)</f>
        <v>0</v>
      </c>
      <c r="V116" s="59" t="n">
        <f aca="false">IF(H116&gt;0,R116*(B116*P1_LOG+C116*P2_LOG)/H116,0)</f>
        <v>0</v>
      </c>
      <c r="W116" s="59" t="n">
        <f aca="false">S116*COSTE_DEV</f>
        <v>0</v>
      </c>
      <c r="X116" s="59" t="n">
        <f aca="false">IF(H116&gt;0,R116*(B116*P1_IVAN+C116*P2_IVAN)/H116,0)-S116*IVA_DEV</f>
        <v>0</v>
      </c>
      <c r="Y116" s="59" t="n">
        <f aca="false">F116*(1+RECARGO_ADS)</f>
        <v>0</v>
      </c>
    </row>
    <row r="117" customFormat="false" ht="15" hidden="false" customHeight="false" outlineLevel="0" collapsed="false">
      <c r="A117" s="53" t="n">
        <v>46411</v>
      </c>
      <c r="B117" s="54"/>
      <c r="C117" s="54"/>
      <c r="D117" s="54"/>
      <c r="E117" s="54"/>
      <c r="F117" s="55"/>
      <c r="G117" s="56"/>
      <c r="H117" s="31" t="n">
        <f aca="false">B117+C117</f>
        <v>0</v>
      </c>
      <c r="I117" s="31" t="n">
        <f aca="false">MAX(0,H117-D117-E117)</f>
        <v>0</v>
      </c>
      <c r="J117" s="32" t="n">
        <f aca="false">B117*P1_PVP+C117*P2_PVP</f>
        <v>0</v>
      </c>
      <c r="K117" s="32" t="str">
        <f aca="false">IF(H117&gt;0,J117/H117,"")</f>
        <v/>
      </c>
      <c r="L117" s="32" t="str">
        <f aca="false">IF(H117&gt;0,F117/H117,"")</f>
        <v/>
      </c>
      <c r="M117" s="57" t="str">
        <f aca="false">IF(F117&gt;0,J117/F117,"")</f>
        <v/>
      </c>
      <c r="N117" s="34" t="str">
        <f aca="false">IF(D117+E117&gt;0,D117/(D117+E117),"")</f>
        <v/>
      </c>
      <c r="O117" s="33" t="n">
        <f aca="false">IF(H117&gt;0,D117*(B117*(P1_BEN-P1_IVAN)+C117*(P2_BEN-P2_IVAN))/H117,0)-E117*(COSTE_DEV-IVA_DEV)-Y117</f>
        <v>0</v>
      </c>
      <c r="P117" s="33" t="n">
        <f aca="false">T117-U117-V117-W117-X117-Y117</f>
        <v>0</v>
      </c>
      <c r="R117" s="58" t="n">
        <f aca="false">D117+I117*TASA_USADA</f>
        <v>0</v>
      </c>
      <c r="S117" s="58" t="n">
        <f aca="false">E117+I117*(1-TASA_USADA)</f>
        <v>0</v>
      </c>
      <c r="T117" s="59" t="n">
        <f aca="false">IF(H117&gt;0,R117*J117/H117,0)</f>
        <v>0</v>
      </c>
      <c r="U117" s="59" t="n">
        <f aca="false">IF(H117&gt;0,R117*(B117*P1_CPROD+C117*P2_CPROD)/H117,0)</f>
        <v>0</v>
      </c>
      <c r="V117" s="59" t="n">
        <f aca="false">IF(H117&gt;0,R117*(B117*P1_LOG+C117*P2_LOG)/H117,0)</f>
        <v>0</v>
      </c>
      <c r="W117" s="59" t="n">
        <f aca="false">S117*COSTE_DEV</f>
        <v>0</v>
      </c>
      <c r="X117" s="59" t="n">
        <f aca="false">IF(H117&gt;0,R117*(B117*P1_IVAN+C117*P2_IVAN)/H117,0)-S117*IVA_DEV</f>
        <v>0</v>
      </c>
      <c r="Y117" s="59" t="n">
        <f aca="false">F117*(1+RECARGO_ADS)</f>
        <v>0</v>
      </c>
    </row>
    <row r="118" customFormat="false" ht="15" hidden="false" customHeight="false" outlineLevel="0" collapsed="false">
      <c r="A118" s="53" t="n">
        <v>46412</v>
      </c>
      <c r="B118" s="54"/>
      <c r="C118" s="54"/>
      <c r="D118" s="54"/>
      <c r="E118" s="54"/>
      <c r="F118" s="55"/>
      <c r="G118" s="56"/>
      <c r="H118" s="31" t="n">
        <f aca="false">B118+C118</f>
        <v>0</v>
      </c>
      <c r="I118" s="31" t="n">
        <f aca="false">MAX(0,H118-D118-E118)</f>
        <v>0</v>
      </c>
      <c r="J118" s="32" t="n">
        <f aca="false">B118*P1_PVP+C118*P2_PVP</f>
        <v>0</v>
      </c>
      <c r="K118" s="32" t="str">
        <f aca="false">IF(H118&gt;0,J118/H118,"")</f>
        <v/>
      </c>
      <c r="L118" s="32" t="str">
        <f aca="false">IF(H118&gt;0,F118/H118,"")</f>
        <v/>
      </c>
      <c r="M118" s="57" t="str">
        <f aca="false">IF(F118&gt;0,J118/F118,"")</f>
        <v/>
      </c>
      <c r="N118" s="34" t="str">
        <f aca="false">IF(D118+E118&gt;0,D118/(D118+E118),"")</f>
        <v/>
      </c>
      <c r="O118" s="33" t="n">
        <f aca="false">IF(H118&gt;0,D118*(B118*(P1_BEN-P1_IVAN)+C118*(P2_BEN-P2_IVAN))/H118,0)-E118*(COSTE_DEV-IVA_DEV)-Y118</f>
        <v>0</v>
      </c>
      <c r="P118" s="33" t="n">
        <f aca="false">T118-U118-V118-W118-X118-Y118</f>
        <v>0</v>
      </c>
      <c r="R118" s="58" t="n">
        <f aca="false">D118+I118*TASA_USADA</f>
        <v>0</v>
      </c>
      <c r="S118" s="58" t="n">
        <f aca="false">E118+I118*(1-TASA_USADA)</f>
        <v>0</v>
      </c>
      <c r="T118" s="59" t="n">
        <f aca="false">IF(H118&gt;0,R118*J118/H118,0)</f>
        <v>0</v>
      </c>
      <c r="U118" s="59" t="n">
        <f aca="false">IF(H118&gt;0,R118*(B118*P1_CPROD+C118*P2_CPROD)/H118,0)</f>
        <v>0</v>
      </c>
      <c r="V118" s="59" t="n">
        <f aca="false">IF(H118&gt;0,R118*(B118*P1_LOG+C118*P2_LOG)/H118,0)</f>
        <v>0</v>
      </c>
      <c r="W118" s="59" t="n">
        <f aca="false">S118*COSTE_DEV</f>
        <v>0</v>
      </c>
      <c r="X118" s="59" t="n">
        <f aca="false">IF(H118&gt;0,R118*(B118*P1_IVAN+C118*P2_IVAN)/H118,0)-S118*IVA_DEV</f>
        <v>0</v>
      </c>
      <c r="Y118" s="59" t="n">
        <f aca="false">F118*(1+RECARGO_ADS)</f>
        <v>0</v>
      </c>
    </row>
    <row r="119" customFormat="false" ht="15" hidden="false" customHeight="false" outlineLevel="0" collapsed="false">
      <c r="A119" s="53" t="n">
        <v>46413</v>
      </c>
      <c r="B119" s="54"/>
      <c r="C119" s="54"/>
      <c r="D119" s="54"/>
      <c r="E119" s="54"/>
      <c r="F119" s="55"/>
      <c r="G119" s="56"/>
      <c r="H119" s="31" t="n">
        <f aca="false">B119+C119</f>
        <v>0</v>
      </c>
      <c r="I119" s="31" t="n">
        <f aca="false">MAX(0,H119-D119-E119)</f>
        <v>0</v>
      </c>
      <c r="J119" s="32" t="n">
        <f aca="false">B119*P1_PVP+C119*P2_PVP</f>
        <v>0</v>
      </c>
      <c r="K119" s="32" t="str">
        <f aca="false">IF(H119&gt;0,J119/H119,"")</f>
        <v/>
      </c>
      <c r="L119" s="32" t="str">
        <f aca="false">IF(H119&gt;0,F119/H119,"")</f>
        <v/>
      </c>
      <c r="M119" s="57" t="str">
        <f aca="false">IF(F119&gt;0,J119/F119,"")</f>
        <v/>
      </c>
      <c r="N119" s="34" t="str">
        <f aca="false">IF(D119+E119&gt;0,D119/(D119+E119),"")</f>
        <v/>
      </c>
      <c r="O119" s="33" t="n">
        <f aca="false">IF(H119&gt;0,D119*(B119*(P1_BEN-P1_IVAN)+C119*(P2_BEN-P2_IVAN))/H119,0)-E119*(COSTE_DEV-IVA_DEV)-Y119</f>
        <v>0</v>
      </c>
      <c r="P119" s="33" t="n">
        <f aca="false">T119-U119-V119-W119-X119-Y119</f>
        <v>0</v>
      </c>
      <c r="R119" s="58" t="n">
        <f aca="false">D119+I119*TASA_USADA</f>
        <v>0</v>
      </c>
      <c r="S119" s="58" t="n">
        <f aca="false">E119+I119*(1-TASA_USADA)</f>
        <v>0</v>
      </c>
      <c r="T119" s="59" t="n">
        <f aca="false">IF(H119&gt;0,R119*J119/H119,0)</f>
        <v>0</v>
      </c>
      <c r="U119" s="59" t="n">
        <f aca="false">IF(H119&gt;0,R119*(B119*P1_CPROD+C119*P2_CPROD)/H119,0)</f>
        <v>0</v>
      </c>
      <c r="V119" s="59" t="n">
        <f aca="false">IF(H119&gt;0,R119*(B119*P1_LOG+C119*P2_LOG)/H119,0)</f>
        <v>0</v>
      </c>
      <c r="W119" s="59" t="n">
        <f aca="false">S119*COSTE_DEV</f>
        <v>0</v>
      </c>
      <c r="X119" s="59" t="n">
        <f aca="false">IF(H119&gt;0,R119*(B119*P1_IVAN+C119*P2_IVAN)/H119,0)-S119*IVA_DEV</f>
        <v>0</v>
      </c>
      <c r="Y119" s="59" t="n">
        <f aca="false">F119*(1+RECARGO_ADS)</f>
        <v>0</v>
      </c>
    </row>
    <row r="120" customFormat="false" ht="15" hidden="false" customHeight="false" outlineLevel="0" collapsed="false">
      <c r="A120" s="53" t="n">
        <v>46414</v>
      </c>
      <c r="B120" s="54"/>
      <c r="C120" s="54"/>
      <c r="D120" s="54"/>
      <c r="E120" s="54"/>
      <c r="F120" s="55"/>
      <c r="G120" s="56"/>
      <c r="H120" s="31" t="n">
        <f aca="false">B120+C120</f>
        <v>0</v>
      </c>
      <c r="I120" s="31" t="n">
        <f aca="false">MAX(0,H120-D120-E120)</f>
        <v>0</v>
      </c>
      <c r="J120" s="32" t="n">
        <f aca="false">B120*P1_PVP+C120*P2_PVP</f>
        <v>0</v>
      </c>
      <c r="K120" s="32" t="str">
        <f aca="false">IF(H120&gt;0,J120/H120,"")</f>
        <v/>
      </c>
      <c r="L120" s="32" t="str">
        <f aca="false">IF(H120&gt;0,F120/H120,"")</f>
        <v/>
      </c>
      <c r="M120" s="57" t="str">
        <f aca="false">IF(F120&gt;0,J120/F120,"")</f>
        <v/>
      </c>
      <c r="N120" s="34" t="str">
        <f aca="false">IF(D120+E120&gt;0,D120/(D120+E120),"")</f>
        <v/>
      </c>
      <c r="O120" s="33" t="n">
        <f aca="false">IF(H120&gt;0,D120*(B120*(P1_BEN-P1_IVAN)+C120*(P2_BEN-P2_IVAN))/H120,0)-E120*(COSTE_DEV-IVA_DEV)-Y120</f>
        <v>0</v>
      </c>
      <c r="P120" s="33" t="n">
        <f aca="false">T120-U120-V120-W120-X120-Y120</f>
        <v>0</v>
      </c>
      <c r="R120" s="58" t="n">
        <f aca="false">D120+I120*TASA_USADA</f>
        <v>0</v>
      </c>
      <c r="S120" s="58" t="n">
        <f aca="false">E120+I120*(1-TASA_USADA)</f>
        <v>0</v>
      </c>
      <c r="T120" s="59" t="n">
        <f aca="false">IF(H120&gt;0,R120*J120/H120,0)</f>
        <v>0</v>
      </c>
      <c r="U120" s="59" t="n">
        <f aca="false">IF(H120&gt;0,R120*(B120*P1_CPROD+C120*P2_CPROD)/H120,0)</f>
        <v>0</v>
      </c>
      <c r="V120" s="59" t="n">
        <f aca="false">IF(H120&gt;0,R120*(B120*P1_LOG+C120*P2_LOG)/H120,0)</f>
        <v>0</v>
      </c>
      <c r="W120" s="59" t="n">
        <f aca="false">S120*COSTE_DEV</f>
        <v>0</v>
      </c>
      <c r="X120" s="59" t="n">
        <f aca="false">IF(H120&gt;0,R120*(B120*P1_IVAN+C120*P2_IVAN)/H120,0)-S120*IVA_DEV</f>
        <v>0</v>
      </c>
      <c r="Y120" s="59" t="n">
        <f aca="false">F120*(1+RECARGO_ADS)</f>
        <v>0</v>
      </c>
    </row>
    <row r="121" customFormat="false" ht="15" hidden="false" customHeight="false" outlineLevel="0" collapsed="false">
      <c r="A121" s="53" t="n">
        <v>46415</v>
      </c>
      <c r="B121" s="54"/>
      <c r="C121" s="54"/>
      <c r="D121" s="54"/>
      <c r="E121" s="54"/>
      <c r="F121" s="55"/>
      <c r="G121" s="56"/>
      <c r="H121" s="31" t="n">
        <f aca="false">B121+C121</f>
        <v>0</v>
      </c>
      <c r="I121" s="31" t="n">
        <f aca="false">MAX(0,H121-D121-E121)</f>
        <v>0</v>
      </c>
      <c r="J121" s="32" t="n">
        <f aca="false">B121*P1_PVP+C121*P2_PVP</f>
        <v>0</v>
      </c>
      <c r="K121" s="32" t="str">
        <f aca="false">IF(H121&gt;0,J121/H121,"")</f>
        <v/>
      </c>
      <c r="L121" s="32" t="str">
        <f aca="false">IF(H121&gt;0,F121/H121,"")</f>
        <v/>
      </c>
      <c r="M121" s="57" t="str">
        <f aca="false">IF(F121&gt;0,J121/F121,"")</f>
        <v/>
      </c>
      <c r="N121" s="34" t="str">
        <f aca="false">IF(D121+E121&gt;0,D121/(D121+E121),"")</f>
        <v/>
      </c>
      <c r="O121" s="33" t="n">
        <f aca="false">IF(H121&gt;0,D121*(B121*(P1_BEN-P1_IVAN)+C121*(P2_BEN-P2_IVAN))/H121,0)-E121*(COSTE_DEV-IVA_DEV)-Y121</f>
        <v>0</v>
      </c>
      <c r="P121" s="33" t="n">
        <f aca="false">T121-U121-V121-W121-X121-Y121</f>
        <v>0</v>
      </c>
      <c r="R121" s="58" t="n">
        <f aca="false">D121+I121*TASA_USADA</f>
        <v>0</v>
      </c>
      <c r="S121" s="58" t="n">
        <f aca="false">E121+I121*(1-TASA_USADA)</f>
        <v>0</v>
      </c>
      <c r="T121" s="59" t="n">
        <f aca="false">IF(H121&gt;0,R121*J121/H121,0)</f>
        <v>0</v>
      </c>
      <c r="U121" s="59" t="n">
        <f aca="false">IF(H121&gt;0,R121*(B121*P1_CPROD+C121*P2_CPROD)/H121,0)</f>
        <v>0</v>
      </c>
      <c r="V121" s="59" t="n">
        <f aca="false">IF(H121&gt;0,R121*(B121*P1_LOG+C121*P2_LOG)/H121,0)</f>
        <v>0</v>
      </c>
      <c r="W121" s="59" t="n">
        <f aca="false">S121*COSTE_DEV</f>
        <v>0</v>
      </c>
      <c r="X121" s="59" t="n">
        <f aca="false">IF(H121&gt;0,R121*(B121*P1_IVAN+C121*P2_IVAN)/H121,0)-S121*IVA_DEV</f>
        <v>0</v>
      </c>
      <c r="Y121" s="59" t="n">
        <f aca="false">F121*(1+RECARGO_ADS)</f>
        <v>0</v>
      </c>
    </row>
    <row r="122" customFormat="false" ht="15" hidden="false" customHeight="false" outlineLevel="0" collapsed="false">
      <c r="A122" s="53" t="n">
        <v>46416</v>
      </c>
      <c r="B122" s="54"/>
      <c r="C122" s="54"/>
      <c r="D122" s="54"/>
      <c r="E122" s="54"/>
      <c r="F122" s="55"/>
      <c r="G122" s="56"/>
      <c r="H122" s="31" t="n">
        <f aca="false">B122+C122</f>
        <v>0</v>
      </c>
      <c r="I122" s="31" t="n">
        <f aca="false">MAX(0,H122-D122-E122)</f>
        <v>0</v>
      </c>
      <c r="J122" s="32" t="n">
        <f aca="false">B122*P1_PVP+C122*P2_PVP</f>
        <v>0</v>
      </c>
      <c r="K122" s="32" t="str">
        <f aca="false">IF(H122&gt;0,J122/H122,"")</f>
        <v/>
      </c>
      <c r="L122" s="32" t="str">
        <f aca="false">IF(H122&gt;0,F122/H122,"")</f>
        <v/>
      </c>
      <c r="M122" s="57" t="str">
        <f aca="false">IF(F122&gt;0,J122/F122,"")</f>
        <v/>
      </c>
      <c r="N122" s="34" t="str">
        <f aca="false">IF(D122+E122&gt;0,D122/(D122+E122),"")</f>
        <v/>
      </c>
      <c r="O122" s="33" t="n">
        <f aca="false">IF(H122&gt;0,D122*(B122*(P1_BEN-P1_IVAN)+C122*(P2_BEN-P2_IVAN))/H122,0)-E122*(COSTE_DEV-IVA_DEV)-Y122</f>
        <v>0</v>
      </c>
      <c r="P122" s="33" t="n">
        <f aca="false">T122-U122-V122-W122-X122-Y122</f>
        <v>0</v>
      </c>
      <c r="R122" s="58" t="n">
        <f aca="false">D122+I122*TASA_USADA</f>
        <v>0</v>
      </c>
      <c r="S122" s="58" t="n">
        <f aca="false">E122+I122*(1-TASA_USADA)</f>
        <v>0</v>
      </c>
      <c r="T122" s="59" t="n">
        <f aca="false">IF(H122&gt;0,R122*J122/H122,0)</f>
        <v>0</v>
      </c>
      <c r="U122" s="59" t="n">
        <f aca="false">IF(H122&gt;0,R122*(B122*P1_CPROD+C122*P2_CPROD)/H122,0)</f>
        <v>0</v>
      </c>
      <c r="V122" s="59" t="n">
        <f aca="false">IF(H122&gt;0,R122*(B122*P1_LOG+C122*P2_LOG)/H122,0)</f>
        <v>0</v>
      </c>
      <c r="W122" s="59" t="n">
        <f aca="false">S122*COSTE_DEV</f>
        <v>0</v>
      </c>
      <c r="X122" s="59" t="n">
        <f aca="false">IF(H122&gt;0,R122*(B122*P1_IVAN+C122*P2_IVAN)/H122,0)-S122*IVA_DEV</f>
        <v>0</v>
      </c>
      <c r="Y122" s="59" t="n">
        <f aca="false">F122*(1+RECARGO_ADS)</f>
        <v>0</v>
      </c>
    </row>
    <row r="123" customFormat="false" ht="15" hidden="false" customHeight="false" outlineLevel="0" collapsed="false">
      <c r="A123" s="53" t="n">
        <v>46417</v>
      </c>
      <c r="B123" s="54"/>
      <c r="C123" s="54"/>
      <c r="D123" s="54"/>
      <c r="E123" s="54"/>
      <c r="F123" s="55"/>
      <c r="G123" s="56"/>
      <c r="H123" s="31" t="n">
        <f aca="false">B123+C123</f>
        <v>0</v>
      </c>
      <c r="I123" s="31" t="n">
        <f aca="false">MAX(0,H123-D123-E123)</f>
        <v>0</v>
      </c>
      <c r="J123" s="32" t="n">
        <f aca="false">B123*P1_PVP+C123*P2_PVP</f>
        <v>0</v>
      </c>
      <c r="K123" s="32" t="str">
        <f aca="false">IF(H123&gt;0,J123/H123,"")</f>
        <v/>
      </c>
      <c r="L123" s="32" t="str">
        <f aca="false">IF(H123&gt;0,F123/H123,"")</f>
        <v/>
      </c>
      <c r="M123" s="57" t="str">
        <f aca="false">IF(F123&gt;0,J123/F123,"")</f>
        <v/>
      </c>
      <c r="N123" s="34" t="str">
        <f aca="false">IF(D123+E123&gt;0,D123/(D123+E123),"")</f>
        <v/>
      </c>
      <c r="O123" s="33" t="n">
        <f aca="false">IF(H123&gt;0,D123*(B123*(P1_BEN-P1_IVAN)+C123*(P2_BEN-P2_IVAN))/H123,0)-E123*(COSTE_DEV-IVA_DEV)-Y123</f>
        <v>0</v>
      </c>
      <c r="P123" s="33" t="n">
        <f aca="false">T123-U123-V123-W123-X123-Y123</f>
        <v>0</v>
      </c>
      <c r="R123" s="58" t="n">
        <f aca="false">D123+I123*TASA_USADA</f>
        <v>0</v>
      </c>
      <c r="S123" s="58" t="n">
        <f aca="false">E123+I123*(1-TASA_USADA)</f>
        <v>0</v>
      </c>
      <c r="T123" s="59" t="n">
        <f aca="false">IF(H123&gt;0,R123*J123/H123,0)</f>
        <v>0</v>
      </c>
      <c r="U123" s="59" t="n">
        <f aca="false">IF(H123&gt;0,R123*(B123*P1_CPROD+C123*P2_CPROD)/H123,0)</f>
        <v>0</v>
      </c>
      <c r="V123" s="59" t="n">
        <f aca="false">IF(H123&gt;0,R123*(B123*P1_LOG+C123*P2_LOG)/H123,0)</f>
        <v>0</v>
      </c>
      <c r="W123" s="59" t="n">
        <f aca="false">S123*COSTE_DEV</f>
        <v>0</v>
      </c>
      <c r="X123" s="59" t="n">
        <f aca="false">IF(H123&gt;0,R123*(B123*P1_IVAN+C123*P2_IVAN)/H123,0)-S123*IVA_DEV</f>
        <v>0</v>
      </c>
      <c r="Y123" s="59" t="n">
        <f aca="false">F123*(1+RECARGO_ADS)</f>
        <v>0</v>
      </c>
    </row>
    <row r="124" customFormat="false" ht="15" hidden="false" customHeight="false" outlineLevel="0" collapsed="false">
      <c r="A124" s="53" t="n">
        <v>46418</v>
      </c>
      <c r="B124" s="54"/>
      <c r="C124" s="54"/>
      <c r="D124" s="54"/>
      <c r="E124" s="54"/>
      <c r="F124" s="55"/>
      <c r="G124" s="56"/>
      <c r="H124" s="31" t="n">
        <f aca="false">B124+C124</f>
        <v>0</v>
      </c>
      <c r="I124" s="31" t="n">
        <f aca="false">MAX(0,H124-D124-E124)</f>
        <v>0</v>
      </c>
      <c r="J124" s="32" t="n">
        <f aca="false">B124*P1_PVP+C124*P2_PVP</f>
        <v>0</v>
      </c>
      <c r="K124" s="32" t="str">
        <f aca="false">IF(H124&gt;0,J124/H124,"")</f>
        <v/>
      </c>
      <c r="L124" s="32" t="str">
        <f aca="false">IF(H124&gt;0,F124/H124,"")</f>
        <v/>
      </c>
      <c r="M124" s="57" t="str">
        <f aca="false">IF(F124&gt;0,J124/F124,"")</f>
        <v/>
      </c>
      <c r="N124" s="34" t="str">
        <f aca="false">IF(D124+E124&gt;0,D124/(D124+E124),"")</f>
        <v/>
      </c>
      <c r="O124" s="33" t="n">
        <f aca="false">IF(H124&gt;0,D124*(B124*(P1_BEN-P1_IVAN)+C124*(P2_BEN-P2_IVAN))/H124,0)-E124*(COSTE_DEV-IVA_DEV)-Y124</f>
        <v>0</v>
      </c>
      <c r="P124" s="33" t="n">
        <f aca="false">T124-U124-V124-W124-X124-Y124</f>
        <v>0</v>
      </c>
      <c r="R124" s="58" t="n">
        <f aca="false">D124+I124*TASA_USADA</f>
        <v>0</v>
      </c>
      <c r="S124" s="58" t="n">
        <f aca="false">E124+I124*(1-TASA_USADA)</f>
        <v>0</v>
      </c>
      <c r="T124" s="59" t="n">
        <f aca="false">IF(H124&gt;0,R124*J124/H124,0)</f>
        <v>0</v>
      </c>
      <c r="U124" s="59" t="n">
        <f aca="false">IF(H124&gt;0,R124*(B124*P1_CPROD+C124*P2_CPROD)/H124,0)</f>
        <v>0</v>
      </c>
      <c r="V124" s="59" t="n">
        <f aca="false">IF(H124&gt;0,R124*(B124*P1_LOG+C124*P2_LOG)/H124,0)</f>
        <v>0</v>
      </c>
      <c r="W124" s="59" t="n">
        <f aca="false">S124*COSTE_DEV</f>
        <v>0</v>
      </c>
      <c r="X124" s="59" t="n">
        <f aca="false">IF(H124&gt;0,R124*(B124*P1_IVAN+C124*P2_IVAN)/H124,0)-S124*IVA_DEV</f>
        <v>0</v>
      </c>
      <c r="Y124" s="59" t="n">
        <f aca="false">F124*(1+RECARGO_ADS)</f>
        <v>0</v>
      </c>
    </row>
    <row r="125" customFormat="false" ht="15" hidden="false" customHeight="false" outlineLevel="0" collapsed="false">
      <c r="A125" s="53" t="n">
        <v>46419</v>
      </c>
      <c r="B125" s="54"/>
      <c r="C125" s="54"/>
      <c r="D125" s="54"/>
      <c r="E125" s="54"/>
      <c r="F125" s="55"/>
      <c r="G125" s="56"/>
      <c r="H125" s="31" t="n">
        <f aca="false">B125+C125</f>
        <v>0</v>
      </c>
      <c r="I125" s="31" t="n">
        <f aca="false">MAX(0,H125-D125-E125)</f>
        <v>0</v>
      </c>
      <c r="J125" s="32" t="n">
        <f aca="false">B125*P1_PVP+C125*P2_PVP</f>
        <v>0</v>
      </c>
      <c r="K125" s="32" t="str">
        <f aca="false">IF(H125&gt;0,J125/H125,"")</f>
        <v/>
      </c>
      <c r="L125" s="32" t="str">
        <f aca="false">IF(H125&gt;0,F125/H125,"")</f>
        <v/>
      </c>
      <c r="M125" s="57" t="str">
        <f aca="false">IF(F125&gt;0,J125/F125,"")</f>
        <v/>
      </c>
      <c r="N125" s="34" t="str">
        <f aca="false">IF(D125+E125&gt;0,D125/(D125+E125),"")</f>
        <v/>
      </c>
      <c r="O125" s="33" t="n">
        <f aca="false">IF(H125&gt;0,D125*(B125*(P1_BEN-P1_IVAN)+C125*(P2_BEN-P2_IVAN))/H125,0)-E125*(COSTE_DEV-IVA_DEV)-Y125</f>
        <v>0</v>
      </c>
      <c r="P125" s="33" t="n">
        <f aca="false">T125-U125-V125-W125-X125-Y125</f>
        <v>0</v>
      </c>
      <c r="R125" s="58" t="n">
        <f aca="false">D125+I125*TASA_USADA</f>
        <v>0</v>
      </c>
      <c r="S125" s="58" t="n">
        <f aca="false">E125+I125*(1-TASA_USADA)</f>
        <v>0</v>
      </c>
      <c r="T125" s="59" t="n">
        <f aca="false">IF(H125&gt;0,R125*J125/H125,0)</f>
        <v>0</v>
      </c>
      <c r="U125" s="59" t="n">
        <f aca="false">IF(H125&gt;0,R125*(B125*P1_CPROD+C125*P2_CPROD)/H125,0)</f>
        <v>0</v>
      </c>
      <c r="V125" s="59" t="n">
        <f aca="false">IF(H125&gt;0,R125*(B125*P1_LOG+C125*P2_LOG)/H125,0)</f>
        <v>0</v>
      </c>
      <c r="W125" s="59" t="n">
        <f aca="false">S125*COSTE_DEV</f>
        <v>0</v>
      </c>
      <c r="X125" s="59" t="n">
        <f aca="false">IF(H125&gt;0,R125*(B125*P1_IVAN+C125*P2_IVAN)/H125,0)-S125*IVA_DEV</f>
        <v>0</v>
      </c>
      <c r="Y125" s="59" t="n">
        <f aca="false">F125*(1+RECARGO_ADS)</f>
        <v>0</v>
      </c>
    </row>
    <row r="126" customFormat="false" ht="15" hidden="false" customHeight="false" outlineLevel="0" collapsed="false">
      <c r="A126" s="53" t="n">
        <v>46420</v>
      </c>
      <c r="B126" s="54"/>
      <c r="C126" s="54"/>
      <c r="D126" s="54"/>
      <c r="E126" s="54"/>
      <c r="F126" s="55"/>
      <c r="G126" s="56"/>
      <c r="H126" s="31" t="n">
        <f aca="false">B126+C126</f>
        <v>0</v>
      </c>
      <c r="I126" s="31" t="n">
        <f aca="false">MAX(0,H126-D126-E126)</f>
        <v>0</v>
      </c>
      <c r="J126" s="32" t="n">
        <f aca="false">B126*P1_PVP+C126*P2_PVP</f>
        <v>0</v>
      </c>
      <c r="K126" s="32" t="str">
        <f aca="false">IF(H126&gt;0,J126/H126,"")</f>
        <v/>
      </c>
      <c r="L126" s="32" t="str">
        <f aca="false">IF(H126&gt;0,F126/H126,"")</f>
        <v/>
      </c>
      <c r="M126" s="57" t="str">
        <f aca="false">IF(F126&gt;0,J126/F126,"")</f>
        <v/>
      </c>
      <c r="N126" s="34" t="str">
        <f aca="false">IF(D126+E126&gt;0,D126/(D126+E126),"")</f>
        <v/>
      </c>
      <c r="O126" s="33" t="n">
        <f aca="false">IF(H126&gt;0,D126*(B126*(P1_BEN-P1_IVAN)+C126*(P2_BEN-P2_IVAN))/H126,0)-E126*(COSTE_DEV-IVA_DEV)-Y126</f>
        <v>0</v>
      </c>
      <c r="P126" s="33" t="n">
        <f aca="false">T126-U126-V126-W126-X126-Y126</f>
        <v>0</v>
      </c>
      <c r="R126" s="58" t="n">
        <f aca="false">D126+I126*TASA_USADA</f>
        <v>0</v>
      </c>
      <c r="S126" s="58" t="n">
        <f aca="false">E126+I126*(1-TASA_USADA)</f>
        <v>0</v>
      </c>
      <c r="T126" s="59" t="n">
        <f aca="false">IF(H126&gt;0,R126*J126/H126,0)</f>
        <v>0</v>
      </c>
      <c r="U126" s="59" t="n">
        <f aca="false">IF(H126&gt;0,R126*(B126*P1_CPROD+C126*P2_CPROD)/H126,0)</f>
        <v>0</v>
      </c>
      <c r="V126" s="59" t="n">
        <f aca="false">IF(H126&gt;0,R126*(B126*P1_LOG+C126*P2_LOG)/H126,0)</f>
        <v>0</v>
      </c>
      <c r="W126" s="59" t="n">
        <f aca="false">S126*COSTE_DEV</f>
        <v>0</v>
      </c>
      <c r="X126" s="59" t="n">
        <f aca="false">IF(H126&gt;0,R126*(B126*P1_IVAN+C126*P2_IVAN)/H126,0)-S126*IVA_DEV</f>
        <v>0</v>
      </c>
      <c r="Y126" s="59" t="n">
        <f aca="false">F126*(1+RECARGO_ADS)</f>
        <v>0</v>
      </c>
    </row>
    <row r="127" customFormat="false" ht="15" hidden="false" customHeight="false" outlineLevel="0" collapsed="false">
      <c r="A127" s="53" t="n">
        <v>46421</v>
      </c>
      <c r="B127" s="54"/>
      <c r="C127" s="54"/>
      <c r="D127" s="54"/>
      <c r="E127" s="54"/>
      <c r="F127" s="55"/>
      <c r="G127" s="56"/>
      <c r="H127" s="31" t="n">
        <f aca="false">B127+C127</f>
        <v>0</v>
      </c>
      <c r="I127" s="31" t="n">
        <f aca="false">MAX(0,H127-D127-E127)</f>
        <v>0</v>
      </c>
      <c r="J127" s="32" t="n">
        <f aca="false">B127*P1_PVP+C127*P2_PVP</f>
        <v>0</v>
      </c>
      <c r="K127" s="32" t="str">
        <f aca="false">IF(H127&gt;0,J127/H127,"")</f>
        <v/>
      </c>
      <c r="L127" s="32" t="str">
        <f aca="false">IF(H127&gt;0,F127/H127,"")</f>
        <v/>
      </c>
      <c r="M127" s="57" t="str">
        <f aca="false">IF(F127&gt;0,J127/F127,"")</f>
        <v/>
      </c>
      <c r="N127" s="34" t="str">
        <f aca="false">IF(D127+E127&gt;0,D127/(D127+E127),"")</f>
        <v/>
      </c>
      <c r="O127" s="33" t="n">
        <f aca="false">IF(H127&gt;0,D127*(B127*(P1_BEN-P1_IVAN)+C127*(P2_BEN-P2_IVAN))/H127,0)-E127*(COSTE_DEV-IVA_DEV)-Y127</f>
        <v>0</v>
      </c>
      <c r="P127" s="33" t="n">
        <f aca="false">T127-U127-V127-W127-X127-Y127</f>
        <v>0</v>
      </c>
      <c r="R127" s="58" t="n">
        <f aca="false">D127+I127*TASA_USADA</f>
        <v>0</v>
      </c>
      <c r="S127" s="58" t="n">
        <f aca="false">E127+I127*(1-TASA_USADA)</f>
        <v>0</v>
      </c>
      <c r="T127" s="59" t="n">
        <f aca="false">IF(H127&gt;0,R127*J127/H127,0)</f>
        <v>0</v>
      </c>
      <c r="U127" s="59" t="n">
        <f aca="false">IF(H127&gt;0,R127*(B127*P1_CPROD+C127*P2_CPROD)/H127,0)</f>
        <v>0</v>
      </c>
      <c r="V127" s="59" t="n">
        <f aca="false">IF(H127&gt;0,R127*(B127*P1_LOG+C127*P2_LOG)/H127,0)</f>
        <v>0</v>
      </c>
      <c r="W127" s="59" t="n">
        <f aca="false">S127*COSTE_DEV</f>
        <v>0</v>
      </c>
      <c r="X127" s="59" t="n">
        <f aca="false">IF(H127&gt;0,R127*(B127*P1_IVAN+C127*P2_IVAN)/H127,0)-S127*IVA_DEV</f>
        <v>0</v>
      </c>
      <c r="Y127" s="59" t="n">
        <f aca="false">F127*(1+RECARGO_ADS)</f>
        <v>0</v>
      </c>
    </row>
    <row r="128" customFormat="false" ht="15" hidden="false" customHeight="false" outlineLevel="0" collapsed="false">
      <c r="A128" s="53" t="n">
        <v>46422</v>
      </c>
      <c r="B128" s="54"/>
      <c r="C128" s="54"/>
      <c r="D128" s="54"/>
      <c r="E128" s="54"/>
      <c r="F128" s="55"/>
      <c r="G128" s="56"/>
      <c r="H128" s="31" t="n">
        <f aca="false">B128+C128</f>
        <v>0</v>
      </c>
      <c r="I128" s="31" t="n">
        <f aca="false">MAX(0,H128-D128-E128)</f>
        <v>0</v>
      </c>
      <c r="J128" s="32" t="n">
        <f aca="false">B128*P1_PVP+C128*P2_PVP</f>
        <v>0</v>
      </c>
      <c r="K128" s="32" t="str">
        <f aca="false">IF(H128&gt;0,J128/H128,"")</f>
        <v/>
      </c>
      <c r="L128" s="32" t="str">
        <f aca="false">IF(H128&gt;0,F128/H128,"")</f>
        <v/>
      </c>
      <c r="M128" s="57" t="str">
        <f aca="false">IF(F128&gt;0,J128/F128,"")</f>
        <v/>
      </c>
      <c r="N128" s="34" t="str">
        <f aca="false">IF(D128+E128&gt;0,D128/(D128+E128),"")</f>
        <v/>
      </c>
      <c r="O128" s="33" t="n">
        <f aca="false">IF(H128&gt;0,D128*(B128*(P1_BEN-P1_IVAN)+C128*(P2_BEN-P2_IVAN))/H128,0)-E128*(COSTE_DEV-IVA_DEV)-Y128</f>
        <v>0</v>
      </c>
      <c r="P128" s="33" t="n">
        <f aca="false">T128-U128-V128-W128-X128-Y128</f>
        <v>0</v>
      </c>
      <c r="R128" s="58" t="n">
        <f aca="false">D128+I128*TASA_USADA</f>
        <v>0</v>
      </c>
      <c r="S128" s="58" t="n">
        <f aca="false">E128+I128*(1-TASA_USADA)</f>
        <v>0</v>
      </c>
      <c r="T128" s="59" t="n">
        <f aca="false">IF(H128&gt;0,R128*J128/H128,0)</f>
        <v>0</v>
      </c>
      <c r="U128" s="59" t="n">
        <f aca="false">IF(H128&gt;0,R128*(B128*P1_CPROD+C128*P2_CPROD)/H128,0)</f>
        <v>0</v>
      </c>
      <c r="V128" s="59" t="n">
        <f aca="false">IF(H128&gt;0,R128*(B128*P1_LOG+C128*P2_LOG)/H128,0)</f>
        <v>0</v>
      </c>
      <c r="W128" s="59" t="n">
        <f aca="false">S128*COSTE_DEV</f>
        <v>0</v>
      </c>
      <c r="X128" s="59" t="n">
        <f aca="false">IF(H128&gt;0,R128*(B128*P1_IVAN+C128*P2_IVAN)/H128,0)-S128*IVA_DEV</f>
        <v>0</v>
      </c>
      <c r="Y128" s="59" t="n">
        <f aca="false">F128*(1+RECARGO_ADS)</f>
        <v>0</v>
      </c>
    </row>
    <row r="129" customFormat="false" ht="15" hidden="false" customHeight="false" outlineLevel="0" collapsed="false">
      <c r="A129" s="53" t="n">
        <v>46423</v>
      </c>
      <c r="B129" s="54"/>
      <c r="C129" s="54"/>
      <c r="D129" s="54"/>
      <c r="E129" s="54"/>
      <c r="F129" s="55"/>
      <c r="G129" s="56"/>
      <c r="H129" s="31" t="n">
        <f aca="false">B129+C129</f>
        <v>0</v>
      </c>
      <c r="I129" s="31" t="n">
        <f aca="false">MAX(0,H129-D129-E129)</f>
        <v>0</v>
      </c>
      <c r="J129" s="32" t="n">
        <f aca="false">B129*P1_PVP+C129*P2_PVP</f>
        <v>0</v>
      </c>
      <c r="K129" s="32" t="str">
        <f aca="false">IF(H129&gt;0,J129/H129,"")</f>
        <v/>
      </c>
      <c r="L129" s="32" t="str">
        <f aca="false">IF(H129&gt;0,F129/H129,"")</f>
        <v/>
      </c>
      <c r="M129" s="57" t="str">
        <f aca="false">IF(F129&gt;0,J129/F129,"")</f>
        <v/>
      </c>
      <c r="N129" s="34" t="str">
        <f aca="false">IF(D129+E129&gt;0,D129/(D129+E129),"")</f>
        <v/>
      </c>
      <c r="O129" s="33" t="n">
        <f aca="false">IF(H129&gt;0,D129*(B129*(P1_BEN-P1_IVAN)+C129*(P2_BEN-P2_IVAN))/H129,0)-E129*(COSTE_DEV-IVA_DEV)-Y129</f>
        <v>0</v>
      </c>
      <c r="P129" s="33" t="n">
        <f aca="false">T129-U129-V129-W129-X129-Y129</f>
        <v>0</v>
      </c>
      <c r="R129" s="58" t="n">
        <f aca="false">D129+I129*TASA_USADA</f>
        <v>0</v>
      </c>
      <c r="S129" s="58" t="n">
        <f aca="false">E129+I129*(1-TASA_USADA)</f>
        <v>0</v>
      </c>
      <c r="T129" s="59" t="n">
        <f aca="false">IF(H129&gt;0,R129*J129/H129,0)</f>
        <v>0</v>
      </c>
      <c r="U129" s="59" t="n">
        <f aca="false">IF(H129&gt;0,R129*(B129*P1_CPROD+C129*P2_CPROD)/H129,0)</f>
        <v>0</v>
      </c>
      <c r="V129" s="59" t="n">
        <f aca="false">IF(H129&gt;0,R129*(B129*P1_LOG+C129*P2_LOG)/H129,0)</f>
        <v>0</v>
      </c>
      <c r="W129" s="59" t="n">
        <f aca="false">S129*COSTE_DEV</f>
        <v>0</v>
      </c>
      <c r="X129" s="59" t="n">
        <f aca="false">IF(H129&gt;0,R129*(B129*P1_IVAN+C129*P2_IVAN)/H129,0)-S129*IVA_DEV</f>
        <v>0</v>
      </c>
      <c r="Y129" s="59" t="n">
        <f aca="false">F129*(1+RECARGO_ADS)</f>
        <v>0</v>
      </c>
    </row>
    <row r="130" customFormat="false" ht="15" hidden="false" customHeight="false" outlineLevel="0" collapsed="false">
      <c r="A130" s="53" t="n">
        <v>46424</v>
      </c>
      <c r="B130" s="54"/>
      <c r="C130" s="54"/>
      <c r="D130" s="54"/>
      <c r="E130" s="54"/>
      <c r="F130" s="55"/>
      <c r="G130" s="56"/>
      <c r="H130" s="31" t="n">
        <f aca="false">B130+C130</f>
        <v>0</v>
      </c>
      <c r="I130" s="31" t="n">
        <f aca="false">MAX(0,H130-D130-E130)</f>
        <v>0</v>
      </c>
      <c r="J130" s="32" t="n">
        <f aca="false">B130*P1_PVP+C130*P2_PVP</f>
        <v>0</v>
      </c>
      <c r="K130" s="32" t="str">
        <f aca="false">IF(H130&gt;0,J130/H130,"")</f>
        <v/>
      </c>
      <c r="L130" s="32" t="str">
        <f aca="false">IF(H130&gt;0,F130/H130,"")</f>
        <v/>
      </c>
      <c r="M130" s="57" t="str">
        <f aca="false">IF(F130&gt;0,J130/F130,"")</f>
        <v/>
      </c>
      <c r="N130" s="34" t="str">
        <f aca="false">IF(D130+E130&gt;0,D130/(D130+E130),"")</f>
        <v/>
      </c>
      <c r="O130" s="33" t="n">
        <f aca="false">IF(H130&gt;0,D130*(B130*(P1_BEN-P1_IVAN)+C130*(P2_BEN-P2_IVAN))/H130,0)-E130*(COSTE_DEV-IVA_DEV)-Y130</f>
        <v>0</v>
      </c>
      <c r="P130" s="33" t="n">
        <f aca="false">T130-U130-V130-W130-X130-Y130</f>
        <v>0</v>
      </c>
      <c r="R130" s="58" t="n">
        <f aca="false">D130+I130*TASA_USADA</f>
        <v>0</v>
      </c>
      <c r="S130" s="58" t="n">
        <f aca="false">E130+I130*(1-TASA_USADA)</f>
        <v>0</v>
      </c>
      <c r="T130" s="59" t="n">
        <f aca="false">IF(H130&gt;0,R130*J130/H130,0)</f>
        <v>0</v>
      </c>
      <c r="U130" s="59" t="n">
        <f aca="false">IF(H130&gt;0,R130*(B130*P1_CPROD+C130*P2_CPROD)/H130,0)</f>
        <v>0</v>
      </c>
      <c r="V130" s="59" t="n">
        <f aca="false">IF(H130&gt;0,R130*(B130*P1_LOG+C130*P2_LOG)/H130,0)</f>
        <v>0</v>
      </c>
      <c r="W130" s="59" t="n">
        <f aca="false">S130*COSTE_DEV</f>
        <v>0</v>
      </c>
      <c r="X130" s="59" t="n">
        <f aca="false">IF(H130&gt;0,R130*(B130*P1_IVAN+C130*P2_IVAN)/H130,0)-S130*IVA_DEV</f>
        <v>0</v>
      </c>
      <c r="Y130" s="59" t="n">
        <f aca="false">F130*(1+RECARGO_ADS)</f>
        <v>0</v>
      </c>
    </row>
    <row r="131" customFormat="false" ht="15" hidden="false" customHeight="false" outlineLevel="0" collapsed="false">
      <c r="A131" s="53" t="n">
        <v>46425</v>
      </c>
      <c r="B131" s="54"/>
      <c r="C131" s="54"/>
      <c r="D131" s="54"/>
      <c r="E131" s="54"/>
      <c r="F131" s="55"/>
      <c r="G131" s="56"/>
      <c r="H131" s="31" t="n">
        <f aca="false">B131+C131</f>
        <v>0</v>
      </c>
      <c r="I131" s="31" t="n">
        <f aca="false">MAX(0,H131-D131-E131)</f>
        <v>0</v>
      </c>
      <c r="J131" s="32" t="n">
        <f aca="false">B131*P1_PVP+C131*P2_PVP</f>
        <v>0</v>
      </c>
      <c r="K131" s="32" t="str">
        <f aca="false">IF(H131&gt;0,J131/H131,"")</f>
        <v/>
      </c>
      <c r="L131" s="32" t="str">
        <f aca="false">IF(H131&gt;0,F131/H131,"")</f>
        <v/>
      </c>
      <c r="M131" s="57" t="str">
        <f aca="false">IF(F131&gt;0,J131/F131,"")</f>
        <v/>
      </c>
      <c r="N131" s="34" t="str">
        <f aca="false">IF(D131+E131&gt;0,D131/(D131+E131),"")</f>
        <v/>
      </c>
      <c r="O131" s="33" t="n">
        <f aca="false">IF(H131&gt;0,D131*(B131*(P1_BEN-P1_IVAN)+C131*(P2_BEN-P2_IVAN))/H131,0)-E131*(COSTE_DEV-IVA_DEV)-Y131</f>
        <v>0</v>
      </c>
      <c r="P131" s="33" t="n">
        <f aca="false">T131-U131-V131-W131-X131-Y131</f>
        <v>0</v>
      </c>
      <c r="R131" s="58" t="n">
        <f aca="false">D131+I131*TASA_USADA</f>
        <v>0</v>
      </c>
      <c r="S131" s="58" t="n">
        <f aca="false">E131+I131*(1-TASA_USADA)</f>
        <v>0</v>
      </c>
      <c r="T131" s="59" t="n">
        <f aca="false">IF(H131&gt;0,R131*J131/H131,0)</f>
        <v>0</v>
      </c>
      <c r="U131" s="59" t="n">
        <f aca="false">IF(H131&gt;0,R131*(B131*P1_CPROD+C131*P2_CPROD)/H131,0)</f>
        <v>0</v>
      </c>
      <c r="V131" s="59" t="n">
        <f aca="false">IF(H131&gt;0,R131*(B131*P1_LOG+C131*P2_LOG)/H131,0)</f>
        <v>0</v>
      </c>
      <c r="W131" s="59" t="n">
        <f aca="false">S131*COSTE_DEV</f>
        <v>0</v>
      </c>
      <c r="X131" s="59" t="n">
        <f aca="false">IF(H131&gt;0,R131*(B131*P1_IVAN+C131*P2_IVAN)/H131,0)-S131*IVA_DEV</f>
        <v>0</v>
      </c>
      <c r="Y131" s="59" t="n">
        <f aca="false">F131*(1+RECARGO_ADS)</f>
        <v>0</v>
      </c>
    </row>
    <row r="132" customFormat="false" ht="15" hidden="false" customHeight="false" outlineLevel="0" collapsed="false">
      <c r="A132" s="53" t="n">
        <v>46426</v>
      </c>
      <c r="B132" s="54"/>
      <c r="C132" s="54"/>
      <c r="D132" s="54"/>
      <c r="E132" s="54"/>
      <c r="F132" s="55"/>
      <c r="G132" s="56"/>
      <c r="H132" s="31" t="n">
        <f aca="false">B132+C132</f>
        <v>0</v>
      </c>
      <c r="I132" s="31" t="n">
        <f aca="false">MAX(0,H132-D132-E132)</f>
        <v>0</v>
      </c>
      <c r="J132" s="32" t="n">
        <f aca="false">B132*P1_PVP+C132*P2_PVP</f>
        <v>0</v>
      </c>
      <c r="K132" s="32" t="str">
        <f aca="false">IF(H132&gt;0,J132/H132,"")</f>
        <v/>
      </c>
      <c r="L132" s="32" t="str">
        <f aca="false">IF(H132&gt;0,F132/H132,"")</f>
        <v/>
      </c>
      <c r="M132" s="57" t="str">
        <f aca="false">IF(F132&gt;0,J132/F132,"")</f>
        <v/>
      </c>
      <c r="N132" s="34" t="str">
        <f aca="false">IF(D132+E132&gt;0,D132/(D132+E132),"")</f>
        <v/>
      </c>
      <c r="O132" s="33" t="n">
        <f aca="false">IF(H132&gt;0,D132*(B132*(P1_BEN-P1_IVAN)+C132*(P2_BEN-P2_IVAN))/H132,0)-E132*(COSTE_DEV-IVA_DEV)-Y132</f>
        <v>0</v>
      </c>
      <c r="P132" s="33" t="n">
        <f aca="false">T132-U132-V132-W132-X132-Y132</f>
        <v>0</v>
      </c>
      <c r="R132" s="58" t="n">
        <f aca="false">D132+I132*TASA_USADA</f>
        <v>0</v>
      </c>
      <c r="S132" s="58" t="n">
        <f aca="false">E132+I132*(1-TASA_USADA)</f>
        <v>0</v>
      </c>
      <c r="T132" s="59" t="n">
        <f aca="false">IF(H132&gt;0,R132*J132/H132,0)</f>
        <v>0</v>
      </c>
      <c r="U132" s="59" t="n">
        <f aca="false">IF(H132&gt;0,R132*(B132*P1_CPROD+C132*P2_CPROD)/H132,0)</f>
        <v>0</v>
      </c>
      <c r="V132" s="59" t="n">
        <f aca="false">IF(H132&gt;0,R132*(B132*P1_LOG+C132*P2_LOG)/H132,0)</f>
        <v>0</v>
      </c>
      <c r="W132" s="59" t="n">
        <f aca="false">S132*COSTE_DEV</f>
        <v>0</v>
      </c>
      <c r="X132" s="59" t="n">
        <f aca="false">IF(H132&gt;0,R132*(B132*P1_IVAN+C132*P2_IVAN)/H132,0)-S132*IVA_DEV</f>
        <v>0</v>
      </c>
      <c r="Y132" s="59" t="n">
        <f aca="false">F132*(1+RECARGO_ADS)</f>
        <v>0</v>
      </c>
    </row>
    <row r="133" customFormat="false" ht="15" hidden="false" customHeight="false" outlineLevel="0" collapsed="false">
      <c r="A133" s="53" t="n">
        <v>46427</v>
      </c>
      <c r="B133" s="54"/>
      <c r="C133" s="54"/>
      <c r="D133" s="54"/>
      <c r="E133" s="54"/>
      <c r="F133" s="55"/>
      <c r="G133" s="56"/>
      <c r="H133" s="31" t="n">
        <f aca="false">B133+C133</f>
        <v>0</v>
      </c>
      <c r="I133" s="31" t="n">
        <f aca="false">MAX(0,H133-D133-E133)</f>
        <v>0</v>
      </c>
      <c r="J133" s="32" t="n">
        <f aca="false">B133*P1_PVP+C133*P2_PVP</f>
        <v>0</v>
      </c>
      <c r="K133" s="32" t="str">
        <f aca="false">IF(H133&gt;0,J133/H133,"")</f>
        <v/>
      </c>
      <c r="L133" s="32" t="str">
        <f aca="false">IF(H133&gt;0,F133/H133,"")</f>
        <v/>
      </c>
      <c r="M133" s="57" t="str">
        <f aca="false">IF(F133&gt;0,J133/F133,"")</f>
        <v/>
      </c>
      <c r="N133" s="34" t="str">
        <f aca="false">IF(D133+E133&gt;0,D133/(D133+E133),"")</f>
        <v/>
      </c>
      <c r="O133" s="33" t="n">
        <f aca="false">IF(H133&gt;0,D133*(B133*(P1_BEN-P1_IVAN)+C133*(P2_BEN-P2_IVAN))/H133,0)-E133*(COSTE_DEV-IVA_DEV)-Y133</f>
        <v>0</v>
      </c>
      <c r="P133" s="33" t="n">
        <f aca="false">T133-U133-V133-W133-X133-Y133</f>
        <v>0</v>
      </c>
      <c r="R133" s="58" t="n">
        <f aca="false">D133+I133*TASA_USADA</f>
        <v>0</v>
      </c>
      <c r="S133" s="58" t="n">
        <f aca="false">E133+I133*(1-TASA_USADA)</f>
        <v>0</v>
      </c>
      <c r="T133" s="59" t="n">
        <f aca="false">IF(H133&gt;0,R133*J133/H133,0)</f>
        <v>0</v>
      </c>
      <c r="U133" s="59" t="n">
        <f aca="false">IF(H133&gt;0,R133*(B133*P1_CPROD+C133*P2_CPROD)/H133,0)</f>
        <v>0</v>
      </c>
      <c r="V133" s="59" t="n">
        <f aca="false">IF(H133&gt;0,R133*(B133*P1_LOG+C133*P2_LOG)/H133,0)</f>
        <v>0</v>
      </c>
      <c r="W133" s="59" t="n">
        <f aca="false">S133*COSTE_DEV</f>
        <v>0</v>
      </c>
      <c r="X133" s="59" t="n">
        <f aca="false">IF(H133&gt;0,R133*(B133*P1_IVAN+C133*P2_IVAN)/H133,0)-S133*IVA_DEV</f>
        <v>0</v>
      </c>
      <c r="Y133" s="59" t="n">
        <f aca="false">F133*(1+RECARGO_ADS)</f>
        <v>0</v>
      </c>
    </row>
    <row r="134" customFormat="false" ht="15" hidden="false" customHeight="false" outlineLevel="0" collapsed="false">
      <c r="A134" s="53" t="n">
        <v>46428</v>
      </c>
      <c r="B134" s="54"/>
      <c r="C134" s="54"/>
      <c r="D134" s="54"/>
      <c r="E134" s="54"/>
      <c r="F134" s="55"/>
      <c r="G134" s="56"/>
      <c r="H134" s="31" t="n">
        <f aca="false">B134+C134</f>
        <v>0</v>
      </c>
      <c r="I134" s="31" t="n">
        <f aca="false">MAX(0,H134-D134-E134)</f>
        <v>0</v>
      </c>
      <c r="J134" s="32" t="n">
        <f aca="false">B134*P1_PVP+C134*P2_PVP</f>
        <v>0</v>
      </c>
      <c r="K134" s="32" t="str">
        <f aca="false">IF(H134&gt;0,J134/H134,"")</f>
        <v/>
      </c>
      <c r="L134" s="32" t="str">
        <f aca="false">IF(H134&gt;0,F134/H134,"")</f>
        <v/>
      </c>
      <c r="M134" s="57" t="str">
        <f aca="false">IF(F134&gt;0,J134/F134,"")</f>
        <v/>
      </c>
      <c r="N134" s="34" t="str">
        <f aca="false">IF(D134+E134&gt;0,D134/(D134+E134),"")</f>
        <v/>
      </c>
      <c r="O134" s="33" t="n">
        <f aca="false">IF(H134&gt;0,D134*(B134*(P1_BEN-P1_IVAN)+C134*(P2_BEN-P2_IVAN))/H134,0)-E134*(COSTE_DEV-IVA_DEV)-Y134</f>
        <v>0</v>
      </c>
      <c r="P134" s="33" t="n">
        <f aca="false">T134-U134-V134-W134-X134-Y134</f>
        <v>0</v>
      </c>
      <c r="R134" s="58" t="n">
        <f aca="false">D134+I134*TASA_USADA</f>
        <v>0</v>
      </c>
      <c r="S134" s="58" t="n">
        <f aca="false">E134+I134*(1-TASA_USADA)</f>
        <v>0</v>
      </c>
      <c r="T134" s="59" t="n">
        <f aca="false">IF(H134&gt;0,R134*J134/H134,0)</f>
        <v>0</v>
      </c>
      <c r="U134" s="59" t="n">
        <f aca="false">IF(H134&gt;0,R134*(B134*P1_CPROD+C134*P2_CPROD)/H134,0)</f>
        <v>0</v>
      </c>
      <c r="V134" s="59" t="n">
        <f aca="false">IF(H134&gt;0,R134*(B134*P1_LOG+C134*P2_LOG)/H134,0)</f>
        <v>0</v>
      </c>
      <c r="W134" s="59" t="n">
        <f aca="false">S134*COSTE_DEV</f>
        <v>0</v>
      </c>
      <c r="X134" s="59" t="n">
        <f aca="false">IF(H134&gt;0,R134*(B134*P1_IVAN+C134*P2_IVAN)/H134,0)-S134*IVA_DEV</f>
        <v>0</v>
      </c>
      <c r="Y134" s="59" t="n">
        <f aca="false">F134*(1+RECARGO_ADS)</f>
        <v>0</v>
      </c>
    </row>
    <row r="135" customFormat="false" ht="15" hidden="false" customHeight="false" outlineLevel="0" collapsed="false">
      <c r="A135" s="53" t="n">
        <v>46429</v>
      </c>
      <c r="B135" s="54"/>
      <c r="C135" s="54"/>
      <c r="D135" s="54"/>
      <c r="E135" s="54"/>
      <c r="F135" s="55"/>
      <c r="G135" s="56"/>
      <c r="H135" s="31" t="n">
        <f aca="false">B135+C135</f>
        <v>0</v>
      </c>
      <c r="I135" s="31" t="n">
        <f aca="false">MAX(0,H135-D135-E135)</f>
        <v>0</v>
      </c>
      <c r="J135" s="32" t="n">
        <f aca="false">B135*P1_PVP+C135*P2_PVP</f>
        <v>0</v>
      </c>
      <c r="K135" s="32" t="str">
        <f aca="false">IF(H135&gt;0,J135/H135,"")</f>
        <v/>
      </c>
      <c r="L135" s="32" t="str">
        <f aca="false">IF(H135&gt;0,F135/H135,"")</f>
        <v/>
      </c>
      <c r="M135" s="57" t="str">
        <f aca="false">IF(F135&gt;0,J135/F135,"")</f>
        <v/>
      </c>
      <c r="N135" s="34" t="str">
        <f aca="false">IF(D135+E135&gt;0,D135/(D135+E135),"")</f>
        <v/>
      </c>
      <c r="O135" s="33" t="n">
        <f aca="false">IF(H135&gt;0,D135*(B135*(P1_BEN-P1_IVAN)+C135*(P2_BEN-P2_IVAN))/H135,0)-E135*(COSTE_DEV-IVA_DEV)-Y135</f>
        <v>0</v>
      </c>
      <c r="P135" s="33" t="n">
        <f aca="false">T135-U135-V135-W135-X135-Y135</f>
        <v>0</v>
      </c>
      <c r="R135" s="58" t="n">
        <f aca="false">D135+I135*TASA_USADA</f>
        <v>0</v>
      </c>
      <c r="S135" s="58" t="n">
        <f aca="false">E135+I135*(1-TASA_USADA)</f>
        <v>0</v>
      </c>
      <c r="T135" s="59" t="n">
        <f aca="false">IF(H135&gt;0,R135*J135/H135,0)</f>
        <v>0</v>
      </c>
      <c r="U135" s="59" t="n">
        <f aca="false">IF(H135&gt;0,R135*(B135*P1_CPROD+C135*P2_CPROD)/H135,0)</f>
        <v>0</v>
      </c>
      <c r="V135" s="59" t="n">
        <f aca="false">IF(H135&gt;0,R135*(B135*P1_LOG+C135*P2_LOG)/H135,0)</f>
        <v>0</v>
      </c>
      <c r="W135" s="59" t="n">
        <f aca="false">S135*COSTE_DEV</f>
        <v>0</v>
      </c>
      <c r="X135" s="59" t="n">
        <f aca="false">IF(H135&gt;0,R135*(B135*P1_IVAN+C135*P2_IVAN)/H135,0)-S135*IVA_DEV</f>
        <v>0</v>
      </c>
      <c r="Y135" s="59" t="n">
        <f aca="false">F135*(1+RECARGO_ADS)</f>
        <v>0</v>
      </c>
    </row>
    <row r="136" customFormat="false" ht="15" hidden="false" customHeight="false" outlineLevel="0" collapsed="false">
      <c r="A136" s="53" t="n">
        <v>46430</v>
      </c>
      <c r="B136" s="54"/>
      <c r="C136" s="54"/>
      <c r="D136" s="54"/>
      <c r="E136" s="54"/>
      <c r="F136" s="55"/>
      <c r="G136" s="56"/>
      <c r="H136" s="31" t="n">
        <f aca="false">B136+C136</f>
        <v>0</v>
      </c>
      <c r="I136" s="31" t="n">
        <f aca="false">MAX(0,H136-D136-E136)</f>
        <v>0</v>
      </c>
      <c r="J136" s="32" t="n">
        <f aca="false">B136*P1_PVP+C136*P2_PVP</f>
        <v>0</v>
      </c>
      <c r="K136" s="32" t="str">
        <f aca="false">IF(H136&gt;0,J136/H136,"")</f>
        <v/>
      </c>
      <c r="L136" s="32" t="str">
        <f aca="false">IF(H136&gt;0,F136/H136,"")</f>
        <v/>
      </c>
      <c r="M136" s="57" t="str">
        <f aca="false">IF(F136&gt;0,J136/F136,"")</f>
        <v/>
      </c>
      <c r="N136" s="34" t="str">
        <f aca="false">IF(D136+E136&gt;0,D136/(D136+E136),"")</f>
        <v/>
      </c>
      <c r="O136" s="33" t="n">
        <f aca="false">IF(H136&gt;0,D136*(B136*(P1_BEN-P1_IVAN)+C136*(P2_BEN-P2_IVAN))/H136,0)-E136*(COSTE_DEV-IVA_DEV)-Y136</f>
        <v>0</v>
      </c>
      <c r="P136" s="33" t="n">
        <f aca="false">T136-U136-V136-W136-X136-Y136</f>
        <v>0</v>
      </c>
      <c r="R136" s="58" t="n">
        <f aca="false">D136+I136*TASA_USADA</f>
        <v>0</v>
      </c>
      <c r="S136" s="58" t="n">
        <f aca="false">E136+I136*(1-TASA_USADA)</f>
        <v>0</v>
      </c>
      <c r="T136" s="59" t="n">
        <f aca="false">IF(H136&gt;0,R136*J136/H136,0)</f>
        <v>0</v>
      </c>
      <c r="U136" s="59" t="n">
        <f aca="false">IF(H136&gt;0,R136*(B136*P1_CPROD+C136*P2_CPROD)/H136,0)</f>
        <v>0</v>
      </c>
      <c r="V136" s="59" t="n">
        <f aca="false">IF(H136&gt;0,R136*(B136*P1_LOG+C136*P2_LOG)/H136,0)</f>
        <v>0</v>
      </c>
      <c r="W136" s="59" t="n">
        <f aca="false">S136*COSTE_DEV</f>
        <v>0</v>
      </c>
      <c r="X136" s="59" t="n">
        <f aca="false">IF(H136&gt;0,R136*(B136*P1_IVAN+C136*P2_IVAN)/H136,0)-S136*IVA_DEV</f>
        <v>0</v>
      </c>
      <c r="Y136" s="59" t="n">
        <f aca="false">F136*(1+RECARGO_ADS)</f>
        <v>0</v>
      </c>
    </row>
    <row r="137" customFormat="false" ht="15" hidden="false" customHeight="false" outlineLevel="0" collapsed="false">
      <c r="A137" s="53" t="n">
        <v>46431</v>
      </c>
      <c r="B137" s="54"/>
      <c r="C137" s="54"/>
      <c r="D137" s="54"/>
      <c r="E137" s="54"/>
      <c r="F137" s="55"/>
      <c r="G137" s="56"/>
      <c r="H137" s="31" t="n">
        <f aca="false">B137+C137</f>
        <v>0</v>
      </c>
      <c r="I137" s="31" t="n">
        <f aca="false">MAX(0,H137-D137-E137)</f>
        <v>0</v>
      </c>
      <c r="J137" s="32" t="n">
        <f aca="false">B137*P1_PVP+C137*P2_PVP</f>
        <v>0</v>
      </c>
      <c r="K137" s="32" t="str">
        <f aca="false">IF(H137&gt;0,J137/H137,"")</f>
        <v/>
      </c>
      <c r="L137" s="32" t="str">
        <f aca="false">IF(H137&gt;0,F137/H137,"")</f>
        <v/>
      </c>
      <c r="M137" s="57" t="str">
        <f aca="false">IF(F137&gt;0,J137/F137,"")</f>
        <v/>
      </c>
      <c r="N137" s="34" t="str">
        <f aca="false">IF(D137+E137&gt;0,D137/(D137+E137),"")</f>
        <v/>
      </c>
      <c r="O137" s="33" t="n">
        <f aca="false">IF(H137&gt;0,D137*(B137*(P1_BEN-P1_IVAN)+C137*(P2_BEN-P2_IVAN))/H137,0)-E137*(COSTE_DEV-IVA_DEV)-Y137</f>
        <v>0</v>
      </c>
      <c r="P137" s="33" t="n">
        <f aca="false">T137-U137-V137-W137-X137-Y137</f>
        <v>0</v>
      </c>
      <c r="R137" s="58" t="n">
        <f aca="false">D137+I137*TASA_USADA</f>
        <v>0</v>
      </c>
      <c r="S137" s="58" t="n">
        <f aca="false">E137+I137*(1-TASA_USADA)</f>
        <v>0</v>
      </c>
      <c r="T137" s="59" t="n">
        <f aca="false">IF(H137&gt;0,R137*J137/H137,0)</f>
        <v>0</v>
      </c>
      <c r="U137" s="59" t="n">
        <f aca="false">IF(H137&gt;0,R137*(B137*P1_CPROD+C137*P2_CPROD)/H137,0)</f>
        <v>0</v>
      </c>
      <c r="V137" s="59" t="n">
        <f aca="false">IF(H137&gt;0,R137*(B137*P1_LOG+C137*P2_LOG)/H137,0)</f>
        <v>0</v>
      </c>
      <c r="W137" s="59" t="n">
        <f aca="false">S137*COSTE_DEV</f>
        <v>0</v>
      </c>
      <c r="X137" s="59" t="n">
        <f aca="false">IF(H137&gt;0,R137*(B137*P1_IVAN+C137*P2_IVAN)/H137,0)-S137*IVA_DEV</f>
        <v>0</v>
      </c>
      <c r="Y137" s="59" t="n">
        <f aca="false">F137*(1+RECARGO_ADS)</f>
        <v>0</v>
      </c>
    </row>
    <row r="138" customFormat="false" ht="15" hidden="false" customHeight="false" outlineLevel="0" collapsed="false">
      <c r="A138" s="53" t="n">
        <v>46432</v>
      </c>
      <c r="B138" s="54"/>
      <c r="C138" s="54"/>
      <c r="D138" s="54"/>
      <c r="E138" s="54"/>
      <c r="F138" s="55"/>
      <c r="G138" s="56"/>
      <c r="H138" s="31" t="n">
        <f aca="false">B138+C138</f>
        <v>0</v>
      </c>
      <c r="I138" s="31" t="n">
        <f aca="false">MAX(0,H138-D138-E138)</f>
        <v>0</v>
      </c>
      <c r="J138" s="32" t="n">
        <f aca="false">B138*P1_PVP+C138*P2_PVP</f>
        <v>0</v>
      </c>
      <c r="K138" s="32" t="str">
        <f aca="false">IF(H138&gt;0,J138/H138,"")</f>
        <v/>
      </c>
      <c r="L138" s="32" t="str">
        <f aca="false">IF(H138&gt;0,F138/H138,"")</f>
        <v/>
      </c>
      <c r="M138" s="57" t="str">
        <f aca="false">IF(F138&gt;0,J138/F138,"")</f>
        <v/>
      </c>
      <c r="N138" s="34" t="str">
        <f aca="false">IF(D138+E138&gt;0,D138/(D138+E138),"")</f>
        <v/>
      </c>
      <c r="O138" s="33" t="n">
        <f aca="false">IF(H138&gt;0,D138*(B138*(P1_BEN-P1_IVAN)+C138*(P2_BEN-P2_IVAN))/H138,0)-E138*(COSTE_DEV-IVA_DEV)-Y138</f>
        <v>0</v>
      </c>
      <c r="P138" s="33" t="n">
        <f aca="false">T138-U138-V138-W138-X138-Y138</f>
        <v>0</v>
      </c>
      <c r="R138" s="58" t="n">
        <f aca="false">D138+I138*TASA_USADA</f>
        <v>0</v>
      </c>
      <c r="S138" s="58" t="n">
        <f aca="false">E138+I138*(1-TASA_USADA)</f>
        <v>0</v>
      </c>
      <c r="T138" s="59" t="n">
        <f aca="false">IF(H138&gt;0,R138*J138/H138,0)</f>
        <v>0</v>
      </c>
      <c r="U138" s="59" t="n">
        <f aca="false">IF(H138&gt;0,R138*(B138*P1_CPROD+C138*P2_CPROD)/H138,0)</f>
        <v>0</v>
      </c>
      <c r="V138" s="59" t="n">
        <f aca="false">IF(H138&gt;0,R138*(B138*P1_LOG+C138*P2_LOG)/H138,0)</f>
        <v>0</v>
      </c>
      <c r="W138" s="59" t="n">
        <f aca="false">S138*COSTE_DEV</f>
        <v>0</v>
      </c>
      <c r="X138" s="59" t="n">
        <f aca="false">IF(H138&gt;0,R138*(B138*P1_IVAN+C138*P2_IVAN)/H138,0)-S138*IVA_DEV</f>
        <v>0</v>
      </c>
      <c r="Y138" s="59" t="n">
        <f aca="false">F138*(1+RECARGO_ADS)</f>
        <v>0</v>
      </c>
    </row>
    <row r="139" customFormat="false" ht="15" hidden="false" customHeight="false" outlineLevel="0" collapsed="false">
      <c r="A139" s="53" t="n">
        <v>46433</v>
      </c>
      <c r="B139" s="54"/>
      <c r="C139" s="54"/>
      <c r="D139" s="54"/>
      <c r="E139" s="54"/>
      <c r="F139" s="55"/>
      <c r="G139" s="56"/>
      <c r="H139" s="31" t="n">
        <f aca="false">B139+C139</f>
        <v>0</v>
      </c>
      <c r="I139" s="31" t="n">
        <f aca="false">MAX(0,H139-D139-E139)</f>
        <v>0</v>
      </c>
      <c r="J139" s="32" t="n">
        <f aca="false">B139*P1_PVP+C139*P2_PVP</f>
        <v>0</v>
      </c>
      <c r="K139" s="32" t="str">
        <f aca="false">IF(H139&gt;0,J139/H139,"")</f>
        <v/>
      </c>
      <c r="L139" s="32" t="str">
        <f aca="false">IF(H139&gt;0,F139/H139,"")</f>
        <v/>
      </c>
      <c r="M139" s="57" t="str">
        <f aca="false">IF(F139&gt;0,J139/F139,"")</f>
        <v/>
      </c>
      <c r="N139" s="34" t="str">
        <f aca="false">IF(D139+E139&gt;0,D139/(D139+E139),"")</f>
        <v/>
      </c>
      <c r="O139" s="33" t="n">
        <f aca="false">IF(H139&gt;0,D139*(B139*(P1_BEN-P1_IVAN)+C139*(P2_BEN-P2_IVAN))/H139,0)-E139*(COSTE_DEV-IVA_DEV)-Y139</f>
        <v>0</v>
      </c>
      <c r="P139" s="33" t="n">
        <f aca="false">T139-U139-V139-W139-X139-Y139</f>
        <v>0</v>
      </c>
      <c r="R139" s="58" t="n">
        <f aca="false">D139+I139*TASA_USADA</f>
        <v>0</v>
      </c>
      <c r="S139" s="58" t="n">
        <f aca="false">E139+I139*(1-TASA_USADA)</f>
        <v>0</v>
      </c>
      <c r="T139" s="59" t="n">
        <f aca="false">IF(H139&gt;0,R139*J139/H139,0)</f>
        <v>0</v>
      </c>
      <c r="U139" s="59" t="n">
        <f aca="false">IF(H139&gt;0,R139*(B139*P1_CPROD+C139*P2_CPROD)/H139,0)</f>
        <v>0</v>
      </c>
      <c r="V139" s="59" t="n">
        <f aca="false">IF(H139&gt;0,R139*(B139*P1_LOG+C139*P2_LOG)/H139,0)</f>
        <v>0</v>
      </c>
      <c r="W139" s="59" t="n">
        <f aca="false">S139*COSTE_DEV</f>
        <v>0</v>
      </c>
      <c r="X139" s="59" t="n">
        <f aca="false">IF(H139&gt;0,R139*(B139*P1_IVAN+C139*P2_IVAN)/H139,0)-S139*IVA_DEV</f>
        <v>0</v>
      </c>
      <c r="Y139" s="59" t="n">
        <f aca="false">F139*(1+RECARGO_ADS)</f>
        <v>0</v>
      </c>
    </row>
    <row r="140" customFormat="false" ht="15" hidden="false" customHeight="false" outlineLevel="0" collapsed="false">
      <c r="A140" s="53" t="n">
        <v>46434</v>
      </c>
      <c r="B140" s="54"/>
      <c r="C140" s="54"/>
      <c r="D140" s="54"/>
      <c r="E140" s="54"/>
      <c r="F140" s="55"/>
      <c r="G140" s="56"/>
      <c r="H140" s="31" t="n">
        <f aca="false">B140+C140</f>
        <v>0</v>
      </c>
      <c r="I140" s="31" t="n">
        <f aca="false">MAX(0,H140-D140-E140)</f>
        <v>0</v>
      </c>
      <c r="J140" s="32" t="n">
        <f aca="false">B140*P1_PVP+C140*P2_PVP</f>
        <v>0</v>
      </c>
      <c r="K140" s="32" t="str">
        <f aca="false">IF(H140&gt;0,J140/H140,"")</f>
        <v/>
      </c>
      <c r="L140" s="32" t="str">
        <f aca="false">IF(H140&gt;0,F140/H140,"")</f>
        <v/>
      </c>
      <c r="M140" s="57" t="str">
        <f aca="false">IF(F140&gt;0,J140/F140,"")</f>
        <v/>
      </c>
      <c r="N140" s="34" t="str">
        <f aca="false">IF(D140+E140&gt;0,D140/(D140+E140),"")</f>
        <v/>
      </c>
      <c r="O140" s="33" t="n">
        <f aca="false">IF(H140&gt;0,D140*(B140*(P1_BEN-P1_IVAN)+C140*(P2_BEN-P2_IVAN))/H140,0)-E140*(COSTE_DEV-IVA_DEV)-Y140</f>
        <v>0</v>
      </c>
      <c r="P140" s="33" t="n">
        <f aca="false">T140-U140-V140-W140-X140-Y140</f>
        <v>0</v>
      </c>
      <c r="R140" s="58" t="n">
        <f aca="false">D140+I140*TASA_USADA</f>
        <v>0</v>
      </c>
      <c r="S140" s="58" t="n">
        <f aca="false">E140+I140*(1-TASA_USADA)</f>
        <v>0</v>
      </c>
      <c r="T140" s="59" t="n">
        <f aca="false">IF(H140&gt;0,R140*J140/H140,0)</f>
        <v>0</v>
      </c>
      <c r="U140" s="59" t="n">
        <f aca="false">IF(H140&gt;0,R140*(B140*P1_CPROD+C140*P2_CPROD)/H140,0)</f>
        <v>0</v>
      </c>
      <c r="V140" s="59" t="n">
        <f aca="false">IF(H140&gt;0,R140*(B140*P1_LOG+C140*P2_LOG)/H140,0)</f>
        <v>0</v>
      </c>
      <c r="W140" s="59" t="n">
        <f aca="false">S140*COSTE_DEV</f>
        <v>0</v>
      </c>
      <c r="X140" s="59" t="n">
        <f aca="false">IF(H140&gt;0,R140*(B140*P1_IVAN+C140*P2_IVAN)/H140,0)-S140*IVA_DEV</f>
        <v>0</v>
      </c>
      <c r="Y140" s="59" t="n">
        <f aca="false">F140*(1+RECARGO_ADS)</f>
        <v>0</v>
      </c>
    </row>
    <row r="141" customFormat="false" ht="15" hidden="false" customHeight="false" outlineLevel="0" collapsed="false">
      <c r="A141" s="53" t="n">
        <v>46435</v>
      </c>
      <c r="B141" s="54"/>
      <c r="C141" s="54"/>
      <c r="D141" s="54"/>
      <c r="E141" s="54"/>
      <c r="F141" s="55"/>
      <c r="G141" s="56"/>
      <c r="H141" s="31" t="n">
        <f aca="false">B141+C141</f>
        <v>0</v>
      </c>
      <c r="I141" s="31" t="n">
        <f aca="false">MAX(0,H141-D141-E141)</f>
        <v>0</v>
      </c>
      <c r="J141" s="32" t="n">
        <f aca="false">B141*P1_PVP+C141*P2_PVP</f>
        <v>0</v>
      </c>
      <c r="K141" s="32" t="str">
        <f aca="false">IF(H141&gt;0,J141/H141,"")</f>
        <v/>
      </c>
      <c r="L141" s="32" t="str">
        <f aca="false">IF(H141&gt;0,F141/H141,"")</f>
        <v/>
      </c>
      <c r="M141" s="57" t="str">
        <f aca="false">IF(F141&gt;0,J141/F141,"")</f>
        <v/>
      </c>
      <c r="N141" s="34" t="str">
        <f aca="false">IF(D141+E141&gt;0,D141/(D141+E141),"")</f>
        <v/>
      </c>
      <c r="O141" s="33" t="n">
        <f aca="false">IF(H141&gt;0,D141*(B141*(P1_BEN-P1_IVAN)+C141*(P2_BEN-P2_IVAN))/H141,0)-E141*(COSTE_DEV-IVA_DEV)-Y141</f>
        <v>0</v>
      </c>
      <c r="P141" s="33" t="n">
        <f aca="false">T141-U141-V141-W141-X141-Y141</f>
        <v>0</v>
      </c>
      <c r="R141" s="58" t="n">
        <f aca="false">D141+I141*TASA_USADA</f>
        <v>0</v>
      </c>
      <c r="S141" s="58" t="n">
        <f aca="false">E141+I141*(1-TASA_USADA)</f>
        <v>0</v>
      </c>
      <c r="T141" s="59" t="n">
        <f aca="false">IF(H141&gt;0,R141*J141/H141,0)</f>
        <v>0</v>
      </c>
      <c r="U141" s="59" t="n">
        <f aca="false">IF(H141&gt;0,R141*(B141*P1_CPROD+C141*P2_CPROD)/H141,0)</f>
        <v>0</v>
      </c>
      <c r="V141" s="59" t="n">
        <f aca="false">IF(H141&gt;0,R141*(B141*P1_LOG+C141*P2_LOG)/H141,0)</f>
        <v>0</v>
      </c>
      <c r="W141" s="59" t="n">
        <f aca="false">S141*COSTE_DEV</f>
        <v>0</v>
      </c>
      <c r="X141" s="59" t="n">
        <f aca="false">IF(H141&gt;0,R141*(B141*P1_IVAN+C141*P2_IVAN)/H141,0)-S141*IVA_DEV</f>
        <v>0</v>
      </c>
      <c r="Y141" s="59" t="n">
        <f aca="false">F141*(1+RECARGO_ADS)</f>
        <v>0</v>
      </c>
    </row>
    <row r="142" customFormat="false" ht="15" hidden="false" customHeight="false" outlineLevel="0" collapsed="false">
      <c r="A142" s="53" t="n">
        <v>46436</v>
      </c>
      <c r="B142" s="54"/>
      <c r="C142" s="54"/>
      <c r="D142" s="54"/>
      <c r="E142" s="54"/>
      <c r="F142" s="55"/>
      <c r="G142" s="56"/>
      <c r="H142" s="31" t="n">
        <f aca="false">B142+C142</f>
        <v>0</v>
      </c>
      <c r="I142" s="31" t="n">
        <f aca="false">MAX(0,H142-D142-E142)</f>
        <v>0</v>
      </c>
      <c r="J142" s="32" t="n">
        <f aca="false">B142*P1_PVP+C142*P2_PVP</f>
        <v>0</v>
      </c>
      <c r="K142" s="32" t="str">
        <f aca="false">IF(H142&gt;0,J142/H142,"")</f>
        <v/>
      </c>
      <c r="L142" s="32" t="str">
        <f aca="false">IF(H142&gt;0,F142/H142,"")</f>
        <v/>
      </c>
      <c r="M142" s="57" t="str">
        <f aca="false">IF(F142&gt;0,J142/F142,"")</f>
        <v/>
      </c>
      <c r="N142" s="34" t="str">
        <f aca="false">IF(D142+E142&gt;0,D142/(D142+E142),"")</f>
        <v/>
      </c>
      <c r="O142" s="33" t="n">
        <f aca="false">IF(H142&gt;0,D142*(B142*(P1_BEN-P1_IVAN)+C142*(P2_BEN-P2_IVAN))/H142,0)-E142*(COSTE_DEV-IVA_DEV)-Y142</f>
        <v>0</v>
      </c>
      <c r="P142" s="33" t="n">
        <f aca="false">T142-U142-V142-W142-X142-Y142</f>
        <v>0</v>
      </c>
      <c r="R142" s="58" t="n">
        <f aca="false">D142+I142*TASA_USADA</f>
        <v>0</v>
      </c>
      <c r="S142" s="58" t="n">
        <f aca="false">E142+I142*(1-TASA_USADA)</f>
        <v>0</v>
      </c>
      <c r="T142" s="59" t="n">
        <f aca="false">IF(H142&gt;0,R142*J142/H142,0)</f>
        <v>0</v>
      </c>
      <c r="U142" s="59" t="n">
        <f aca="false">IF(H142&gt;0,R142*(B142*P1_CPROD+C142*P2_CPROD)/H142,0)</f>
        <v>0</v>
      </c>
      <c r="V142" s="59" t="n">
        <f aca="false">IF(H142&gt;0,R142*(B142*P1_LOG+C142*P2_LOG)/H142,0)</f>
        <v>0</v>
      </c>
      <c r="W142" s="59" t="n">
        <f aca="false">S142*COSTE_DEV</f>
        <v>0</v>
      </c>
      <c r="X142" s="59" t="n">
        <f aca="false">IF(H142&gt;0,R142*(B142*P1_IVAN+C142*P2_IVAN)/H142,0)-S142*IVA_DEV</f>
        <v>0</v>
      </c>
      <c r="Y142" s="59" t="n">
        <f aca="false">F142*(1+RECARGO_ADS)</f>
        <v>0</v>
      </c>
    </row>
    <row r="143" customFormat="false" ht="15" hidden="false" customHeight="false" outlineLevel="0" collapsed="false">
      <c r="A143" s="53" t="n">
        <v>46437</v>
      </c>
      <c r="B143" s="54"/>
      <c r="C143" s="54"/>
      <c r="D143" s="54"/>
      <c r="E143" s="54"/>
      <c r="F143" s="55"/>
      <c r="G143" s="56"/>
      <c r="H143" s="31" t="n">
        <f aca="false">B143+C143</f>
        <v>0</v>
      </c>
      <c r="I143" s="31" t="n">
        <f aca="false">MAX(0,H143-D143-E143)</f>
        <v>0</v>
      </c>
      <c r="J143" s="32" t="n">
        <f aca="false">B143*P1_PVP+C143*P2_PVP</f>
        <v>0</v>
      </c>
      <c r="K143" s="32" t="str">
        <f aca="false">IF(H143&gt;0,J143/H143,"")</f>
        <v/>
      </c>
      <c r="L143" s="32" t="str">
        <f aca="false">IF(H143&gt;0,F143/H143,"")</f>
        <v/>
      </c>
      <c r="M143" s="57" t="str">
        <f aca="false">IF(F143&gt;0,J143/F143,"")</f>
        <v/>
      </c>
      <c r="N143" s="34" t="str">
        <f aca="false">IF(D143+E143&gt;0,D143/(D143+E143),"")</f>
        <v/>
      </c>
      <c r="O143" s="33" t="n">
        <f aca="false">IF(H143&gt;0,D143*(B143*(P1_BEN-P1_IVAN)+C143*(P2_BEN-P2_IVAN))/H143,0)-E143*(COSTE_DEV-IVA_DEV)-Y143</f>
        <v>0</v>
      </c>
      <c r="P143" s="33" t="n">
        <f aca="false">T143-U143-V143-W143-X143-Y143</f>
        <v>0</v>
      </c>
      <c r="R143" s="58" t="n">
        <f aca="false">D143+I143*TASA_USADA</f>
        <v>0</v>
      </c>
      <c r="S143" s="58" t="n">
        <f aca="false">E143+I143*(1-TASA_USADA)</f>
        <v>0</v>
      </c>
      <c r="T143" s="59" t="n">
        <f aca="false">IF(H143&gt;0,R143*J143/H143,0)</f>
        <v>0</v>
      </c>
      <c r="U143" s="59" t="n">
        <f aca="false">IF(H143&gt;0,R143*(B143*P1_CPROD+C143*P2_CPROD)/H143,0)</f>
        <v>0</v>
      </c>
      <c r="V143" s="59" t="n">
        <f aca="false">IF(H143&gt;0,R143*(B143*P1_LOG+C143*P2_LOG)/H143,0)</f>
        <v>0</v>
      </c>
      <c r="W143" s="59" t="n">
        <f aca="false">S143*COSTE_DEV</f>
        <v>0</v>
      </c>
      <c r="X143" s="59" t="n">
        <f aca="false">IF(H143&gt;0,R143*(B143*P1_IVAN+C143*P2_IVAN)/H143,0)-S143*IVA_DEV</f>
        <v>0</v>
      </c>
      <c r="Y143" s="59" t="n">
        <f aca="false">F143*(1+RECARGO_ADS)</f>
        <v>0</v>
      </c>
    </row>
    <row r="144" customFormat="false" ht="15" hidden="false" customHeight="false" outlineLevel="0" collapsed="false">
      <c r="A144" s="53" t="n">
        <v>46438</v>
      </c>
      <c r="B144" s="54"/>
      <c r="C144" s="54"/>
      <c r="D144" s="54"/>
      <c r="E144" s="54"/>
      <c r="F144" s="55"/>
      <c r="G144" s="56"/>
      <c r="H144" s="31" t="n">
        <f aca="false">B144+C144</f>
        <v>0</v>
      </c>
      <c r="I144" s="31" t="n">
        <f aca="false">MAX(0,H144-D144-E144)</f>
        <v>0</v>
      </c>
      <c r="J144" s="32" t="n">
        <f aca="false">B144*P1_PVP+C144*P2_PVP</f>
        <v>0</v>
      </c>
      <c r="K144" s="32" t="str">
        <f aca="false">IF(H144&gt;0,J144/H144,"")</f>
        <v/>
      </c>
      <c r="L144" s="32" t="str">
        <f aca="false">IF(H144&gt;0,F144/H144,"")</f>
        <v/>
      </c>
      <c r="M144" s="57" t="str">
        <f aca="false">IF(F144&gt;0,J144/F144,"")</f>
        <v/>
      </c>
      <c r="N144" s="34" t="str">
        <f aca="false">IF(D144+E144&gt;0,D144/(D144+E144),"")</f>
        <v/>
      </c>
      <c r="O144" s="33" t="n">
        <f aca="false">IF(H144&gt;0,D144*(B144*(P1_BEN-P1_IVAN)+C144*(P2_BEN-P2_IVAN))/H144,0)-E144*(COSTE_DEV-IVA_DEV)-Y144</f>
        <v>0</v>
      </c>
      <c r="P144" s="33" t="n">
        <f aca="false">T144-U144-V144-W144-X144-Y144</f>
        <v>0</v>
      </c>
      <c r="R144" s="58" t="n">
        <f aca="false">D144+I144*TASA_USADA</f>
        <v>0</v>
      </c>
      <c r="S144" s="58" t="n">
        <f aca="false">E144+I144*(1-TASA_USADA)</f>
        <v>0</v>
      </c>
      <c r="T144" s="59" t="n">
        <f aca="false">IF(H144&gt;0,R144*J144/H144,0)</f>
        <v>0</v>
      </c>
      <c r="U144" s="59" t="n">
        <f aca="false">IF(H144&gt;0,R144*(B144*P1_CPROD+C144*P2_CPROD)/H144,0)</f>
        <v>0</v>
      </c>
      <c r="V144" s="59" t="n">
        <f aca="false">IF(H144&gt;0,R144*(B144*P1_LOG+C144*P2_LOG)/H144,0)</f>
        <v>0</v>
      </c>
      <c r="W144" s="59" t="n">
        <f aca="false">S144*COSTE_DEV</f>
        <v>0</v>
      </c>
      <c r="X144" s="59" t="n">
        <f aca="false">IF(H144&gt;0,R144*(B144*P1_IVAN+C144*P2_IVAN)/H144,0)-S144*IVA_DEV</f>
        <v>0</v>
      </c>
      <c r="Y144" s="59" t="n">
        <f aca="false">F144*(1+RECARGO_ADS)</f>
        <v>0</v>
      </c>
    </row>
    <row r="145" customFormat="false" ht="15" hidden="false" customHeight="false" outlineLevel="0" collapsed="false">
      <c r="A145" s="53" t="n">
        <v>46439</v>
      </c>
      <c r="B145" s="54"/>
      <c r="C145" s="54"/>
      <c r="D145" s="54"/>
      <c r="E145" s="54"/>
      <c r="F145" s="55"/>
      <c r="G145" s="56"/>
      <c r="H145" s="31" t="n">
        <f aca="false">B145+C145</f>
        <v>0</v>
      </c>
      <c r="I145" s="31" t="n">
        <f aca="false">MAX(0,H145-D145-E145)</f>
        <v>0</v>
      </c>
      <c r="J145" s="32" t="n">
        <f aca="false">B145*P1_PVP+C145*P2_PVP</f>
        <v>0</v>
      </c>
      <c r="K145" s="32" t="str">
        <f aca="false">IF(H145&gt;0,J145/H145,"")</f>
        <v/>
      </c>
      <c r="L145" s="32" t="str">
        <f aca="false">IF(H145&gt;0,F145/H145,"")</f>
        <v/>
      </c>
      <c r="M145" s="57" t="str">
        <f aca="false">IF(F145&gt;0,J145/F145,"")</f>
        <v/>
      </c>
      <c r="N145" s="34" t="str">
        <f aca="false">IF(D145+E145&gt;0,D145/(D145+E145),"")</f>
        <v/>
      </c>
      <c r="O145" s="33" t="n">
        <f aca="false">IF(H145&gt;0,D145*(B145*(P1_BEN-P1_IVAN)+C145*(P2_BEN-P2_IVAN))/H145,0)-E145*(COSTE_DEV-IVA_DEV)-Y145</f>
        <v>0</v>
      </c>
      <c r="P145" s="33" t="n">
        <f aca="false">T145-U145-V145-W145-X145-Y145</f>
        <v>0</v>
      </c>
      <c r="R145" s="58" t="n">
        <f aca="false">D145+I145*TASA_USADA</f>
        <v>0</v>
      </c>
      <c r="S145" s="58" t="n">
        <f aca="false">E145+I145*(1-TASA_USADA)</f>
        <v>0</v>
      </c>
      <c r="T145" s="59" t="n">
        <f aca="false">IF(H145&gt;0,R145*J145/H145,0)</f>
        <v>0</v>
      </c>
      <c r="U145" s="59" t="n">
        <f aca="false">IF(H145&gt;0,R145*(B145*P1_CPROD+C145*P2_CPROD)/H145,0)</f>
        <v>0</v>
      </c>
      <c r="V145" s="59" t="n">
        <f aca="false">IF(H145&gt;0,R145*(B145*P1_LOG+C145*P2_LOG)/H145,0)</f>
        <v>0</v>
      </c>
      <c r="W145" s="59" t="n">
        <f aca="false">S145*COSTE_DEV</f>
        <v>0</v>
      </c>
      <c r="X145" s="59" t="n">
        <f aca="false">IF(H145&gt;0,R145*(B145*P1_IVAN+C145*P2_IVAN)/H145,0)-S145*IVA_DEV</f>
        <v>0</v>
      </c>
      <c r="Y145" s="59" t="n">
        <f aca="false">F145*(1+RECARGO_ADS)</f>
        <v>0</v>
      </c>
    </row>
    <row r="146" customFormat="false" ht="15" hidden="false" customHeight="false" outlineLevel="0" collapsed="false">
      <c r="A146" s="53" t="n">
        <v>46440</v>
      </c>
      <c r="B146" s="54"/>
      <c r="C146" s="54"/>
      <c r="D146" s="54"/>
      <c r="E146" s="54"/>
      <c r="F146" s="55"/>
      <c r="G146" s="56"/>
      <c r="H146" s="31" t="n">
        <f aca="false">B146+C146</f>
        <v>0</v>
      </c>
      <c r="I146" s="31" t="n">
        <f aca="false">MAX(0,H146-D146-E146)</f>
        <v>0</v>
      </c>
      <c r="J146" s="32" t="n">
        <f aca="false">B146*P1_PVP+C146*P2_PVP</f>
        <v>0</v>
      </c>
      <c r="K146" s="32" t="str">
        <f aca="false">IF(H146&gt;0,J146/H146,"")</f>
        <v/>
      </c>
      <c r="L146" s="32" t="str">
        <f aca="false">IF(H146&gt;0,F146/H146,"")</f>
        <v/>
      </c>
      <c r="M146" s="57" t="str">
        <f aca="false">IF(F146&gt;0,J146/F146,"")</f>
        <v/>
      </c>
      <c r="N146" s="34" t="str">
        <f aca="false">IF(D146+E146&gt;0,D146/(D146+E146),"")</f>
        <v/>
      </c>
      <c r="O146" s="33" t="n">
        <f aca="false">IF(H146&gt;0,D146*(B146*(P1_BEN-P1_IVAN)+C146*(P2_BEN-P2_IVAN))/H146,0)-E146*(COSTE_DEV-IVA_DEV)-Y146</f>
        <v>0</v>
      </c>
      <c r="P146" s="33" t="n">
        <f aca="false">T146-U146-V146-W146-X146-Y146</f>
        <v>0</v>
      </c>
      <c r="R146" s="58" t="n">
        <f aca="false">D146+I146*TASA_USADA</f>
        <v>0</v>
      </c>
      <c r="S146" s="58" t="n">
        <f aca="false">E146+I146*(1-TASA_USADA)</f>
        <v>0</v>
      </c>
      <c r="T146" s="59" t="n">
        <f aca="false">IF(H146&gt;0,R146*J146/H146,0)</f>
        <v>0</v>
      </c>
      <c r="U146" s="59" t="n">
        <f aca="false">IF(H146&gt;0,R146*(B146*P1_CPROD+C146*P2_CPROD)/H146,0)</f>
        <v>0</v>
      </c>
      <c r="V146" s="59" t="n">
        <f aca="false">IF(H146&gt;0,R146*(B146*P1_LOG+C146*P2_LOG)/H146,0)</f>
        <v>0</v>
      </c>
      <c r="W146" s="59" t="n">
        <f aca="false">S146*COSTE_DEV</f>
        <v>0</v>
      </c>
      <c r="X146" s="59" t="n">
        <f aca="false">IF(H146&gt;0,R146*(B146*P1_IVAN+C146*P2_IVAN)/H146,0)-S146*IVA_DEV</f>
        <v>0</v>
      </c>
      <c r="Y146" s="59" t="n">
        <f aca="false">F146*(1+RECARGO_ADS)</f>
        <v>0</v>
      </c>
    </row>
    <row r="147" customFormat="false" ht="15" hidden="false" customHeight="false" outlineLevel="0" collapsed="false">
      <c r="A147" s="53" t="n">
        <v>46441</v>
      </c>
      <c r="B147" s="54"/>
      <c r="C147" s="54"/>
      <c r="D147" s="54"/>
      <c r="E147" s="54"/>
      <c r="F147" s="55"/>
      <c r="G147" s="56"/>
      <c r="H147" s="31" t="n">
        <f aca="false">B147+C147</f>
        <v>0</v>
      </c>
      <c r="I147" s="31" t="n">
        <f aca="false">MAX(0,H147-D147-E147)</f>
        <v>0</v>
      </c>
      <c r="J147" s="32" t="n">
        <f aca="false">B147*P1_PVP+C147*P2_PVP</f>
        <v>0</v>
      </c>
      <c r="K147" s="32" t="str">
        <f aca="false">IF(H147&gt;0,J147/H147,"")</f>
        <v/>
      </c>
      <c r="L147" s="32" t="str">
        <f aca="false">IF(H147&gt;0,F147/H147,"")</f>
        <v/>
      </c>
      <c r="M147" s="57" t="str">
        <f aca="false">IF(F147&gt;0,J147/F147,"")</f>
        <v/>
      </c>
      <c r="N147" s="34" t="str">
        <f aca="false">IF(D147+E147&gt;0,D147/(D147+E147),"")</f>
        <v/>
      </c>
      <c r="O147" s="33" t="n">
        <f aca="false">IF(H147&gt;0,D147*(B147*(P1_BEN-P1_IVAN)+C147*(P2_BEN-P2_IVAN))/H147,0)-E147*(COSTE_DEV-IVA_DEV)-Y147</f>
        <v>0</v>
      </c>
      <c r="P147" s="33" t="n">
        <f aca="false">T147-U147-V147-W147-X147-Y147</f>
        <v>0</v>
      </c>
      <c r="R147" s="58" t="n">
        <f aca="false">D147+I147*TASA_USADA</f>
        <v>0</v>
      </c>
      <c r="S147" s="58" t="n">
        <f aca="false">E147+I147*(1-TASA_USADA)</f>
        <v>0</v>
      </c>
      <c r="T147" s="59" t="n">
        <f aca="false">IF(H147&gt;0,R147*J147/H147,0)</f>
        <v>0</v>
      </c>
      <c r="U147" s="59" t="n">
        <f aca="false">IF(H147&gt;0,R147*(B147*P1_CPROD+C147*P2_CPROD)/H147,0)</f>
        <v>0</v>
      </c>
      <c r="V147" s="59" t="n">
        <f aca="false">IF(H147&gt;0,R147*(B147*P1_LOG+C147*P2_LOG)/H147,0)</f>
        <v>0</v>
      </c>
      <c r="W147" s="59" t="n">
        <f aca="false">S147*COSTE_DEV</f>
        <v>0</v>
      </c>
      <c r="X147" s="59" t="n">
        <f aca="false">IF(H147&gt;0,R147*(B147*P1_IVAN+C147*P2_IVAN)/H147,0)-S147*IVA_DEV</f>
        <v>0</v>
      </c>
      <c r="Y147" s="59" t="n">
        <f aca="false">F147*(1+RECARGO_ADS)</f>
        <v>0</v>
      </c>
    </row>
    <row r="148" customFormat="false" ht="15" hidden="false" customHeight="false" outlineLevel="0" collapsed="false">
      <c r="A148" s="53" t="n">
        <v>46442</v>
      </c>
      <c r="B148" s="54"/>
      <c r="C148" s="54"/>
      <c r="D148" s="54"/>
      <c r="E148" s="54"/>
      <c r="F148" s="55"/>
      <c r="G148" s="56"/>
      <c r="H148" s="31" t="n">
        <f aca="false">B148+C148</f>
        <v>0</v>
      </c>
      <c r="I148" s="31" t="n">
        <f aca="false">MAX(0,H148-D148-E148)</f>
        <v>0</v>
      </c>
      <c r="J148" s="32" t="n">
        <f aca="false">B148*P1_PVP+C148*P2_PVP</f>
        <v>0</v>
      </c>
      <c r="K148" s="32" t="str">
        <f aca="false">IF(H148&gt;0,J148/H148,"")</f>
        <v/>
      </c>
      <c r="L148" s="32" t="str">
        <f aca="false">IF(H148&gt;0,F148/H148,"")</f>
        <v/>
      </c>
      <c r="M148" s="57" t="str">
        <f aca="false">IF(F148&gt;0,J148/F148,"")</f>
        <v/>
      </c>
      <c r="N148" s="34" t="str">
        <f aca="false">IF(D148+E148&gt;0,D148/(D148+E148),"")</f>
        <v/>
      </c>
      <c r="O148" s="33" t="n">
        <f aca="false">IF(H148&gt;0,D148*(B148*(P1_BEN-P1_IVAN)+C148*(P2_BEN-P2_IVAN))/H148,0)-E148*(COSTE_DEV-IVA_DEV)-Y148</f>
        <v>0</v>
      </c>
      <c r="P148" s="33" t="n">
        <f aca="false">T148-U148-V148-W148-X148-Y148</f>
        <v>0</v>
      </c>
      <c r="R148" s="58" t="n">
        <f aca="false">D148+I148*TASA_USADA</f>
        <v>0</v>
      </c>
      <c r="S148" s="58" t="n">
        <f aca="false">E148+I148*(1-TASA_USADA)</f>
        <v>0</v>
      </c>
      <c r="T148" s="59" t="n">
        <f aca="false">IF(H148&gt;0,R148*J148/H148,0)</f>
        <v>0</v>
      </c>
      <c r="U148" s="59" t="n">
        <f aca="false">IF(H148&gt;0,R148*(B148*P1_CPROD+C148*P2_CPROD)/H148,0)</f>
        <v>0</v>
      </c>
      <c r="V148" s="59" t="n">
        <f aca="false">IF(H148&gt;0,R148*(B148*P1_LOG+C148*P2_LOG)/H148,0)</f>
        <v>0</v>
      </c>
      <c r="W148" s="59" t="n">
        <f aca="false">S148*COSTE_DEV</f>
        <v>0</v>
      </c>
      <c r="X148" s="59" t="n">
        <f aca="false">IF(H148&gt;0,R148*(B148*P1_IVAN+C148*P2_IVAN)/H148,0)-S148*IVA_DEV</f>
        <v>0</v>
      </c>
      <c r="Y148" s="59" t="n">
        <f aca="false">F148*(1+RECARGO_ADS)</f>
        <v>0</v>
      </c>
    </row>
    <row r="149" customFormat="false" ht="15" hidden="false" customHeight="false" outlineLevel="0" collapsed="false">
      <c r="A149" s="53" t="n">
        <v>46443</v>
      </c>
      <c r="B149" s="54"/>
      <c r="C149" s="54"/>
      <c r="D149" s="54"/>
      <c r="E149" s="54"/>
      <c r="F149" s="55"/>
      <c r="G149" s="56"/>
      <c r="H149" s="31" t="n">
        <f aca="false">B149+C149</f>
        <v>0</v>
      </c>
      <c r="I149" s="31" t="n">
        <f aca="false">MAX(0,H149-D149-E149)</f>
        <v>0</v>
      </c>
      <c r="J149" s="32" t="n">
        <f aca="false">B149*P1_PVP+C149*P2_PVP</f>
        <v>0</v>
      </c>
      <c r="K149" s="32" t="str">
        <f aca="false">IF(H149&gt;0,J149/H149,"")</f>
        <v/>
      </c>
      <c r="L149" s="32" t="str">
        <f aca="false">IF(H149&gt;0,F149/H149,"")</f>
        <v/>
      </c>
      <c r="M149" s="57" t="str">
        <f aca="false">IF(F149&gt;0,J149/F149,"")</f>
        <v/>
      </c>
      <c r="N149" s="34" t="str">
        <f aca="false">IF(D149+E149&gt;0,D149/(D149+E149),"")</f>
        <v/>
      </c>
      <c r="O149" s="33" t="n">
        <f aca="false">IF(H149&gt;0,D149*(B149*(P1_BEN-P1_IVAN)+C149*(P2_BEN-P2_IVAN))/H149,0)-E149*(COSTE_DEV-IVA_DEV)-Y149</f>
        <v>0</v>
      </c>
      <c r="P149" s="33" t="n">
        <f aca="false">T149-U149-V149-W149-X149-Y149</f>
        <v>0</v>
      </c>
      <c r="R149" s="58" t="n">
        <f aca="false">D149+I149*TASA_USADA</f>
        <v>0</v>
      </c>
      <c r="S149" s="58" t="n">
        <f aca="false">E149+I149*(1-TASA_USADA)</f>
        <v>0</v>
      </c>
      <c r="T149" s="59" t="n">
        <f aca="false">IF(H149&gt;0,R149*J149/H149,0)</f>
        <v>0</v>
      </c>
      <c r="U149" s="59" t="n">
        <f aca="false">IF(H149&gt;0,R149*(B149*P1_CPROD+C149*P2_CPROD)/H149,0)</f>
        <v>0</v>
      </c>
      <c r="V149" s="59" t="n">
        <f aca="false">IF(H149&gt;0,R149*(B149*P1_LOG+C149*P2_LOG)/H149,0)</f>
        <v>0</v>
      </c>
      <c r="W149" s="59" t="n">
        <f aca="false">S149*COSTE_DEV</f>
        <v>0</v>
      </c>
      <c r="X149" s="59" t="n">
        <f aca="false">IF(H149&gt;0,R149*(B149*P1_IVAN+C149*P2_IVAN)/H149,0)-S149*IVA_DEV</f>
        <v>0</v>
      </c>
      <c r="Y149" s="59" t="n">
        <f aca="false">F149*(1+RECARGO_ADS)</f>
        <v>0</v>
      </c>
    </row>
    <row r="150" customFormat="false" ht="15" hidden="false" customHeight="false" outlineLevel="0" collapsed="false">
      <c r="A150" s="53" t="n">
        <v>46444</v>
      </c>
      <c r="B150" s="54"/>
      <c r="C150" s="54"/>
      <c r="D150" s="54"/>
      <c r="E150" s="54"/>
      <c r="F150" s="55"/>
      <c r="G150" s="56"/>
      <c r="H150" s="31" t="n">
        <f aca="false">B150+C150</f>
        <v>0</v>
      </c>
      <c r="I150" s="31" t="n">
        <f aca="false">MAX(0,H150-D150-E150)</f>
        <v>0</v>
      </c>
      <c r="J150" s="32" t="n">
        <f aca="false">B150*P1_PVP+C150*P2_PVP</f>
        <v>0</v>
      </c>
      <c r="K150" s="32" t="str">
        <f aca="false">IF(H150&gt;0,J150/H150,"")</f>
        <v/>
      </c>
      <c r="L150" s="32" t="str">
        <f aca="false">IF(H150&gt;0,F150/H150,"")</f>
        <v/>
      </c>
      <c r="M150" s="57" t="str">
        <f aca="false">IF(F150&gt;0,J150/F150,"")</f>
        <v/>
      </c>
      <c r="N150" s="34" t="str">
        <f aca="false">IF(D150+E150&gt;0,D150/(D150+E150),"")</f>
        <v/>
      </c>
      <c r="O150" s="33" t="n">
        <f aca="false">IF(H150&gt;0,D150*(B150*(P1_BEN-P1_IVAN)+C150*(P2_BEN-P2_IVAN))/H150,0)-E150*(COSTE_DEV-IVA_DEV)-Y150</f>
        <v>0</v>
      </c>
      <c r="P150" s="33" t="n">
        <f aca="false">T150-U150-V150-W150-X150-Y150</f>
        <v>0</v>
      </c>
      <c r="R150" s="58" t="n">
        <f aca="false">D150+I150*TASA_USADA</f>
        <v>0</v>
      </c>
      <c r="S150" s="58" t="n">
        <f aca="false">E150+I150*(1-TASA_USADA)</f>
        <v>0</v>
      </c>
      <c r="T150" s="59" t="n">
        <f aca="false">IF(H150&gt;0,R150*J150/H150,0)</f>
        <v>0</v>
      </c>
      <c r="U150" s="59" t="n">
        <f aca="false">IF(H150&gt;0,R150*(B150*P1_CPROD+C150*P2_CPROD)/H150,0)</f>
        <v>0</v>
      </c>
      <c r="V150" s="59" t="n">
        <f aca="false">IF(H150&gt;0,R150*(B150*P1_LOG+C150*P2_LOG)/H150,0)</f>
        <v>0</v>
      </c>
      <c r="W150" s="59" t="n">
        <f aca="false">S150*COSTE_DEV</f>
        <v>0</v>
      </c>
      <c r="X150" s="59" t="n">
        <f aca="false">IF(H150&gt;0,R150*(B150*P1_IVAN+C150*P2_IVAN)/H150,0)-S150*IVA_DEV</f>
        <v>0</v>
      </c>
      <c r="Y150" s="59" t="n">
        <f aca="false">F150*(1+RECARGO_ADS)</f>
        <v>0</v>
      </c>
    </row>
    <row r="151" customFormat="false" ht="15" hidden="false" customHeight="false" outlineLevel="0" collapsed="false">
      <c r="A151" s="53" t="n">
        <v>46445</v>
      </c>
      <c r="B151" s="54"/>
      <c r="C151" s="54"/>
      <c r="D151" s="54"/>
      <c r="E151" s="54"/>
      <c r="F151" s="55"/>
      <c r="G151" s="56"/>
      <c r="H151" s="31" t="n">
        <f aca="false">B151+C151</f>
        <v>0</v>
      </c>
      <c r="I151" s="31" t="n">
        <f aca="false">MAX(0,H151-D151-E151)</f>
        <v>0</v>
      </c>
      <c r="J151" s="32" t="n">
        <f aca="false">B151*P1_PVP+C151*P2_PVP</f>
        <v>0</v>
      </c>
      <c r="K151" s="32" t="str">
        <f aca="false">IF(H151&gt;0,J151/H151,"")</f>
        <v/>
      </c>
      <c r="L151" s="32" t="str">
        <f aca="false">IF(H151&gt;0,F151/H151,"")</f>
        <v/>
      </c>
      <c r="M151" s="57" t="str">
        <f aca="false">IF(F151&gt;0,J151/F151,"")</f>
        <v/>
      </c>
      <c r="N151" s="34" t="str">
        <f aca="false">IF(D151+E151&gt;0,D151/(D151+E151),"")</f>
        <v/>
      </c>
      <c r="O151" s="33" t="n">
        <f aca="false">IF(H151&gt;0,D151*(B151*(P1_BEN-P1_IVAN)+C151*(P2_BEN-P2_IVAN))/H151,0)-E151*(COSTE_DEV-IVA_DEV)-Y151</f>
        <v>0</v>
      </c>
      <c r="P151" s="33" t="n">
        <f aca="false">T151-U151-V151-W151-X151-Y151</f>
        <v>0</v>
      </c>
      <c r="R151" s="58" t="n">
        <f aca="false">D151+I151*TASA_USADA</f>
        <v>0</v>
      </c>
      <c r="S151" s="58" t="n">
        <f aca="false">E151+I151*(1-TASA_USADA)</f>
        <v>0</v>
      </c>
      <c r="T151" s="59" t="n">
        <f aca="false">IF(H151&gt;0,R151*J151/H151,0)</f>
        <v>0</v>
      </c>
      <c r="U151" s="59" t="n">
        <f aca="false">IF(H151&gt;0,R151*(B151*P1_CPROD+C151*P2_CPROD)/H151,0)</f>
        <v>0</v>
      </c>
      <c r="V151" s="59" t="n">
        <f aca="false">IF(H151&gt;0,R151*(B151*P1_LOG+C151*P2_LOG)/H151,0)</f>
        <v>0</v>
      </c>
      <c r="W151" s="59" t="n">
        <f aca="false">S151*COSTE_DEV</f>
        <v>0</v>
      </c>
      <c r="X151" s="59" t="n">
        <f aca="false">IF(H151&gt;0,R151*(B151*P1_IVAN+C151*P2_IVAN)/H151,0)-S151*IVA_DEV</f>
        <v>0</v>
      </c>
      <c r="Y151" s="59" t="n">
        <f aca="false">F151*(1+RECARGO_ADS)</f>
        <v>0</v>
      </c>
    </row>
    <row r="152" customFormat="false" ht="15" hidden="false" customHeight="false" outlineLevel="0" collapsed="false">
      <c r="A152" s="53" t="n">
        <v>46446</v>
      </c>
      <c r="B152" s="54"/>
      <c r="C152" s="54"/>
      <c r="D152" s="54"/>
      <c r="E152" s="54"/>
      <c r="F152" s="55"/>
      <c r="G152" s="56"/>
      <c r="H152" s="31" t="n">
        <f aca="false">B152+C152</f>
        <v>0</v>
      </c>
      <c r="I152" s="31" t="n">
        <f aca="false">MAX(0,H152-D152-E152)</f>
        <v>0</v>
      </c>
      <c r="J152" s="32" t="n">
        <f aca="false">B152*P1_PVP+C152*P2_PVP</f>
        <v>0</v>
      </c>
      <c r="K152" s="32" t="str">
        <f aca="false">IF(H152&gt;0,J152/H152,"")</f>
        <v/>
      </c>
      <c r="L152" s="32" t="str">
        <f aca="false">IF(H152&gt;0,F152/H152,"")</f>
        <v/>
      </c>
      <c r="M152" s="57" t="str">
        <f aca="false">IF(F152&gt;0,J152/F152,"")</f>
        <v/>
      </c>
      <c r="N152" s="34" t="str">
        <f aca="false">IF(D152+E152&gt;0,D152/(D152+E152),"")</f>
        <v/>
      </c>
      <c r="O152" s="33" t="n">
        <f aca="false">IF(H152&gt;0,D152*(B152*(P1_BEN-P1_IVAN)+C152*(P2_BEN-P2_IVAN))/H152,0)-E152*(COSTE_DEV-IVA_DEV)-Y152</f>
        <v>0</v>
      </c>
      <c r="P152" s="33" t="n">
        <f aca="false">T152-U152-V152-W152-X152-Y152</f>
        <v>0</v>
      </c>
      <c r="R152" s="58" t="n">
        <f aca="false">D152+I152*TASA_USADA</f>
        <v>0</v>
      </c>
      <c r="S152" s="58" t="n">
        <f aca="false">E152+I152*(1-TASA_USADA)</f>
        <v>0</v>
      </c>
      <c r="T152" s="59" t="n">
        <f aca="false">IF(H152&gt;0,R152*J152/H152,0)</f>
        <v>0</v>
      </c>
      <c r="U152" s="59" t="n">
        <f aca="false">IF(H152&gt;0,R152*(B152*P1_CPROD+C152*P2_CPROD)/H152,0)</f>
        <v>0</v>
      </c>
      <c r="V152" s="59" t="n">
        <f aca="false">IF(H152&gt;0,R152*(B152*P1_LOG+C152*P2_LOG)/H152,0)</f>
        <v>0</v>
      </c>
      <c r="W152" s="59" t="n">
        <f aca="false">S152*COSTE_DEV</f>
        <v>0</v>
      </c>
      <c r="X152" s="59" t="n">
        <f aca="false">IF(H152&gt;0,R152*(B152*P1_IVAN+C152*P2_IVAN)/H152,0)-S152*IVA_DEV</f>
        <v>0</v>
      </c>
      <c r="Y152" s="59" t="n">
        <f aca="false">F152*(1+RECARGO_ADS)</f>
        <v>0</v>
      </c>
    </row>
    <row r="153" customFormat="false" ht="15" hidden="false" customHeight="false" outlineLevel="0" collapsed="false">
      <c r="A153" s="53" t="n">
        <v>46447</v>
      </c>
      <c r="B153" s="54"/>
      <c r="C153" s="54"/>
      <c r="D153" s="54"/>
      <c r="E153" s="54"/>
      <c r="F153" s="55"/>
      <c r="G153" s="56"/>
      <c r="H153" s="31" t="n">
        <f aca="false">B153+C153</f>
        <v>0</v>
      </c>
      <c r="I153" s="31" t="n">
        <f aca="false">MAX(0,H153-D153-E153)</f>
        <v>0</v>
      </c>
      <c r="J153" s="32" t="n">
        <f aca="false">B153*P1_PVP+C153*P2_PVP</f>
        <v>0</v>
      </c>
      <c r="K153" s="32" t="str">
        <f aca="false">IF(H153&gt;0,J153/H153,"")</f>
        <v/>
      </c>
      <c r="L153" s="32" t="str">
        <f aca="false">IF(H153&gt;0,F153/H153,"")</f>
        <v/>
      </c>
      <c r="M153" s="57" t="str">
        <f aca="false">IF(F153&gt;0,J153/F153,"")</f>
        <v/>
      </c>
      <c r="N153" s="34" t="str">
        <f aca="false">IF(D153+E153&gt;0,D153/(D153+E153),"")</f>
        <v/>
      </c>
      <c r="O153" s="33" t="n">
        <f aca="false">IF(H153&gt;0,D153*(B153*(P1_BEN-P1_IVAN)+C153*(P2_BEN-P2_IVAN))/H153,0)-E153*(COSTE_DEV-IVA_DEV)-Y153</f>
        <v>0</v>
      </c>
      <c r="P153" s="33" t="n">
        <f aca="false">T153-U153-V153-W153-X153-Y153</f>
        <v>0</v>
      </c>
      <c r="R153" s="58" t="n">
        <f aca="false">D153+I153*TASA_USADA</f>
        <v>0</v>
      </c>
      <c r="S153" s="58" t="n">
        <f aca="false">E153+I153*(1-TASA_USADA)</f>
        <v>0</v>
      </c>
      <c r="T153" s="59" t="n">
        <f aca="false">IF(H153&gt;0,R153*J153/H153,0)</f>
        <v>0</v>
      </c>
      <c r="U153" s="59" t="n">
        <f aca="false">IF(H153&gt;0,R153*(B153*P1_CPROD+C153*P2_CPROD)/H153,0)</f>
        <v>0</v>
      </c>
      <c r="V153" s="59" t="n">
        <f aca="false">IF(H153&gt;0,R153*(B153*P1_LOG+C153*P2_LOG)/H153,0)</f>
        <v>0</v>
      </c>
      <c r="W153" s="59" t="n">
        <f aca="false">S153*COSTE_DEV</f>
        <v>0</v>
      </c>
      <c r="X153" s="59" t="n">
        <f aca="false">IF(H153&gt;0,R153*(B153*P1_IVAN+C153*P2_IVAN)/H153,0)-S153*IVA_DEV</f>
        <v>0</v>
      </c>
      <c r="Y153" s="59" t="n">
        <f aca="false">F153*(1+RECARGO_ADS)</f>
        <v>0</v>
      </c>
    </row>
    <row r="154" customFormat="false" ht="15" hidden="false" customHeight="false" outlineLevel="0" collapsed="false">
      <c r="A154" s="53" t="n">
        <v>46448</v>
      </c>
      <c r="B154" s="54"/>
      <c r="C154" s="54"/>
      <c r="D154" s="54"/>
      <c r="E154" s="54"/>
      <c r="F154" s="55"/>
      <c r="G154" s="56"/>
      <c r="H154" s="31" t="n">
        <f aca="false">B154+C154</f>
        <v>0</v>
      </c>
      <c r="I154" s="31" t="n">
        <f aca="false">MAX(0,H154-D154-E154)</f>
        <v>0</v>
      </c>
      <c r="J154" s="32" t="n">
        <f aca="false">B154*P1_PVP+C154*P2_PVP</f>
        <v>0</v>
      </c>
      <c r="K154" s="32" t="str">
        <f aca="false">IF(H154&gt;0,J154/H154,"")</f>
        <v/>
      </c>
      <c r="L154" s="32" t="str">
        <f aca="false">IF(H154&gt;0,F154/H154,"")</f>
        <v/>
      </c>
      <c r="M154" s="57" t="str">
        <f aca="false">IF(F154&gt;0,J154/F154,"")</f>
        <v/>
      </c>
      <c r="N154" s="34" t="str">
        <f aca="false">IF(D154+E154&gt;0,D154/(D154+E154),"")</f>
        <v/>
      </c>
      <c r="O154" s="33" t="n">
        <f aca="false">IF(H154&gt;0,D154*(B154*(P1_BEN-P1_IVAN)+C154*(P2_BEN-P2_IVAN))/H154,0)-E154*(COSTE_DEV-IVA_DEV)-Y154</f>
        <v>0</v>
      </c>
      <c r="P154" s="33" t="n">
        <f aca="false">T154-U154-V154-W154-X154-Y154</f>
        <v>0</v>
      </c>
      <c r="R154" s="58" t="n">
        <f aca="false">D154+I154*TASA_USADA</f>
        <v>0</v>
      </c>
      <c r="S154" s="58" t="n">
        <f aca="false">E154+I154*(1-TASA_USADA)</f>
        <v>0</v>
      </c>
      <c r="T154" s="59" t="n">
        <f aca="false">IF(H154&gt;0,R154*J154/H154,0)</f>
        <v>0</v>
      </c>
      <c r="U154" s="59" t="n">
        <f aca="false">IF(H154&gt;0,R154*(B154*P1_CPROD+C154*P2_CPROD)/H154,0)</f>
        <v>0</v>
      </c>
      <c r="V154" s="59" t="n">
        <f aca="false">IF(H154&gt;0,R154*(B154*P1_LOG+C154*P2_LOG)/H154,0)</f>
        <v>0</v>
      </c>
      <c r="W154" s="59" t="n">
        <f aca="false">S154*COSTE_DEV</f>
        <v>0</v>
      </c>
      <c r="X154" s="59" t="n">
        <f aca="false">IF(H154&gt;0,R154*(B154*P1_IVAN+C154*P2_IVAN)/H154,0)-S154*IVA_DEV</f>
        <v>0</v>
      </c>
      <c r="Y154" s="59" t="n">
        <f aca="false">F154*(1+RECARGO_ADS)</f>
        <v>0</v>
      </c>
    </row>
    <row r="155" customFormat="false" ht="15" hidden="false" customHeight="false" outlineLevel="0" collapsed="false">
      <c r="A155" s="53" t="n">
        <v>46449</v>
      </c>
      <c r="B155" s="54"/>
      <c r="C155" s="54"/>
      <c r="D155" s="54"/>
      <c r="E155" s="54"/>
      <c r="F155" s="55"/>
      <c r="G155" s="56"/>
      <c r="H155" s="31" t="n">
        <f aca="false">B155+C155</f>
        <v>0</v>
      </c>
      <c r="I155" s="31" t="n">
        <f aca="false">MAX(0,H155-D155-E155)</f>
        <v>0</v>
      </c>
      <c r="J155" s="32" t="n">
        <f aca="false">B155*P1_PVP+C155*P2_PVP</f>
        <v>0</v>
      </c>
      <c r="K155" s="32" t="str">
        <f aca="false">IF(H155&gt;0,J155/H155,"")</f>
        <v/>
      </c>
      <c r="L155" s="32" t="str">
        <f aca="false">IF(H155&gt;0,F155/H155,"")</f>
        <v/>
      </c>
      <c r="M155" s="57" t="str">
        <f aca="false">IF(F155&gt;0,J155/F155,"")</f>
        <v/>
      </c>
      <c r="N155" s="34" t="str">
        <f aca="false">IF(D155+E155&gt;0,D155/(D155+E155),"")</f>
        <v/>
      </c>
      <c r="O155" s="33" t="n">
        <f aca="false">IF(H155&gt;0,D155*(B155*(P1_BEN-P1_IVAN)+C155*(P2_BEN-P2_IVAN))/H155,0)-E155*(COSTE_DEV-IVA_DEV)-Y155</f>
        <v>0</v>
      </c>
      <c r="P155" s="33" t="n">
        <f aca="false">T155-U155-V155-W155-X155-Y155</f>
        <v>0</v>
      </c>
      <c r="R155" s="58" t="n">
        <f aca="false">D155+I155*TASA_USADA</f>
        <v>0</v>
      </c>
      <c r="S155" s="58" t="n">
        <f aca="false">E155+I155*(1-TASA_USADA)</f>
        <v>0</v>
      </c>
      <c r="T155" s="59" t="n">
        <f aca="false">IF(H155&gt;0,R155*J155/H155,0)</f>
        <v>0</v>
      </c>
      <c r="U155" s="59" t="n">
        <f aca="false">IF(H155&gt;0,R155*(B155*P1_CPROD+C155*P2_CPROD)/H155,0)</f>
        <v>0</v>
      </c>
      <c r="V155" s="59" t="n">
        <f aca="false">IF(H155&gt;0,R155*(B155*P1_LOG+C155*P2_LOG)/H155,0)</f>
        <v>0</v>
      </c>
      <c r="W155" s="59" t="n">
        <f aca="false">S155*COSTE_DEV</f>
        <v>0</v>
      </c>
      <c r="X155" s="59" t="n">
        <f aca="false">IF(H155&gt;0,R155*(B155*P1_IVAN+C155*P2_IVAN)/H155,0)-S155*IVA_DEV</f>
        <v>0</v>
      </c>
      <c r="Y155" s="59" t="n">
        <f aca="false">F155*(1+RECARGO_ADS)</f>
        <v>0</v>
      </c>
    </row>
    <row r="156" customFormat="false" ht="15" hidden="false" customHeight="false" outlineLevel="0" collapsed="false">
      <c r="A156" s="53" t="n">
        <v>46450</v>
      </c>
      <c r="B156" s="54"/>
      <c r="C156" s="54"/>
      <c r="D156" s="54"/>
      <c r="E156" s="54"/>
      <c r="F156" s="55"/>
      <c r="G156" s="56"/>
      <c r="H156" s="31" t="n">
        <f aca="false">B156+C156</f>
        <v>0</v>
      </c>
      <c r="I156" s="31" t="n">
        <f aca="false">MAX(0,H156-D156-E156)</f>
        <v>0</v>
      </c>
      <c r="J156" s="32" t="n">
        <f aca="false">B156*P1_PVP+C156*P2_PVP</f>
        <v>0</v>
      </c>
      <c r="K156" s="32" t="str">
        <f aca="false">IF(H156&gt;0,J156/H156,"")</f>
        <v/>
      </c>
      <c r="L156" s="32" t="str">
        <f aca="false">IF(H156&gt;0,F156/H156,"")</f>
        <v/>
      </c>
      <c r="M156" s="57" t="str">
        <f aca="false">IF(F156&gt;0,J156/F156,"")</f>
        <v/>
      </c>
      <c r="N156" s="34" t="str">
        <f aca="false">IF(D156+E156&gt;0,D156/(D156+E156),"")</f>
        <v/>
      </c>
      <c r="O156" s="33" t="n">
        <f aca="false">IF(H156&gt;0,D156*(B156*(P1_BEN-P1_IVAN)+C156*(P2_BEN-P2_IVAN))/H156,0)-E156*(COSTE_DEV-IVA_DEV)-Y156</f>
        <v>0</v>
      </c>
      <c r="P156" s="33" t="n">
        <f aca="false">T156-U156-V156-W156-X156-Y156</f>
        <v>0</v>
      </c>
      <c r="R156" s="58" t="n">
        <f aca="false">D156+I156*TASA_USADA</f>
        <v>0</v>
      </c>
      <c r="S156" s="58" t="n">
        <f aca="false">E156+I156*(1-TASA_USADA)</f>
        <v>0</v>
      </c>
      <c r="T156" s="59" t="n">
        <f aca="false">IF(H156&gt;0,R156*J156/H156,0)</f>
        <v>0</v>
      </c>
      <c r="U156" s="59" t="n">
        <f aca="false">IF(H156&gt;0,R156*(B156*P1_CPROD+C156*P2_CPROD)/H156,0)</f>
        <v>0</v>
      </c>
      <c r="V156" s="59" t="n">
        <f aca="false">IF(H156&gt;0,R156*(B156*P1_LOG+C156*P2_LOG)/H156,0)</f>
        <v>0</v>
      </c>
      <c r="W156" s="59" t="n">
        <f aca="false">S156*COSTE_DEV</f>
        <v>0</v>
      </c>
      <c r="X156" s="59" t="n">
        <f aca="false">IF(H156&gt;0,R156*(B156*P1_IVAN+C156*P2_IVAN)/H156,0)-S156*IVA_DEV</f>
        <v>0</v>
      </c>
      <c r="Y156" s="59" t="n">
        <f aca="false">F156*(1+RECARGO_ADS)</f>
        <v>0</v>
      </c>
    </row>
    <row r="157" customFormat="false" ht="15" hidden="false" customHeight="false" outlineLevel="0" collapsed="false">
      <c r="A157" s="53" t="n">
        <v>46451</v>
      </c>
      <c r="B157" s="54"/>
      <c r="C157" s="54"/>
      <c r="D157" s="54"/>
      <c r="E157" s="54"/>
      <c r="F157" s="55"/>
      <c r="G157" s="56"/>
      <c r="H157" s="31" t="n">
        <f aca="false">B157+C157</f>
        <v>0</v>
      </c>
      <c r="I157" s="31" t="n">
        <f aca="false">MAX(0,H157-D157-E157)</f>
        <v>0</v>
      </c>
      <c r="J157" s="32" t="n">
        <f aca="false">B157*P1_PVP+C157*P2_PVP</f>
        <v>0</v>
      </c>
      <c r="K157" s="32" t="str">
        <f aca="false">IF(H157&gt;0,J157/H157,"")</f>
        <v/>
      </c>
      <c r="L157" s="32" t="str">
        <f aca="false">IF(H157&gt;0,F157/H157,"")</f>
        <v/>
      </c>
      <c r="M157" s="57" t="str">
        <f aca="false">IF(F157&gt;0,J157/F157,"")</f>
        <v/>
      </c>
      <c r="N157" s="34" t="str">
        <f aca="false">IF(D157+E157&gt;0,D157/(D157+E157),"")</f>
        <v/>
      </c>
      <c r="O157" s="33" t="n">
        <f aca="false">IF(H157&gt;0,D157*(B157*(P1_BEN-P1_IVAN)+C157*(P2_BEN-P2_IVAN))/H157,0)-E157*(COSTE_DEV-IVA_DEV)-Y157</f>
        <v>0</v>
      </c>
      <c r="P157" s="33" t="n">
        <f aca="false">T157-U157-V157-W157-X157-Y157</f>
        <v>0</v>
      </c>
      <c r="R157" s="58" t="n">
        <f aca="false">D157+I157*TASA_USADA</f>
        <v>0</v>
      </c>
      <c r="S157" s="58" t="n">
        <f aca="false">E157+I157*(1-TASA_USADA)</f>
        <v>0</v>
      </c>
      <c r="T157" s="59" t="n">
        <f aca="false">IF(H157&gt;0,R157*J157/H157,0)</f>
        <v>0</v>
      </c>
      <c r="U157" s="59" t="n">
        <f aca="false">IF(H157&gt;0,R157*(B157*P1_CPROD+C157*P2_CPROD)/H157,0)</f>
        <v>0</v>
      </c>
      <c r="V157" s="59" t="n">
        <f aca="false">IF(H157&gt;0,R157*(B157*P1_LOG+C157*P2_LOG)/H157,0)</f>
        <v>0</v>
      </c>
      <c r="W157" s="59" t="n">
        <f aca="false">S157*COSTE_DEV</f>
        <v>0</v>
      </c>
      <c r="X157" s="59" t="n">
        <f aca="false">IF(H157&gt;0,R157*(B157*P1_IVAN+C157*P2_IVAN)/H157,0)-S157*IVA_DEV</f>
        <v>0</v>
      </c>
      <c r="Y157" s="59" t="n">
        <f aca="false">F157*(1+RECARGO_ADS)</f>
        <v>0</v>
      </c>
    </row>
    <row r="158" customFormat="false" ht="15" hidden="false" customHeight="false" outlineLevel="0" collapsed="false">
      <c r="A158" s="53" t="n">
        <v>46452</v>
      </c>
      <c r="B158" s="54"/>
      <c r="C158" s="54"/>
      <c r="D158" s="54"/>
      <c r="E158" s="54"/>
      <c r="F158" s="55"/>
      <c r="G158" s="56"/>
      <c r="H158" s="31" t="n">
        <f aca="false">B158+C158</f>
        <v>0</v>
      </c>
      <c r="I158" s="31" t="n">
        <f aca="false">MAX(0,H158-D158-E158)</f>
        <v>0</v>
      </c>
      <c r="J158" s="32" t="n">
        <f aca="false">B158*P1_PVP+C158*P2_PVP</f>
        <v>0</v>
      </c>
      <c r="K158" s="32" t="str">
        <f aca="false">IF(H158&gt;0,J158/H158,"")</f>
        <v/>
      </c>
      <c r="L158" s="32" t="str">
        <f aca="false">IF(H158&gt;0,F158/H158,"")</f>
        <v/>
      </c>
      <c r="M158" s="57" t="str">
        <f aca="false">IF(F158&gt;0,J158/F158,"")</f>
        <v/>
      </c>
      <c r="N158" s="34" t="str">
        <f aca="false">IF(D158+E158&gt;0,D158/(D158+E158),"")</f>
        <v/>
      </c>
      <c r="O158" s="33" t="n">
        <f aca="false">IF(H158&gt;0,D158*(B158*(P1_BEN-P1_IVAN)+C158*(P2_BEN-P2_IVAN))/H158,0)-E158*(COSTE_DEV-IVA_DEV)-Y158</f>
        <v>0</v>
      </c>
      <c r="P158" s="33" t="n">
        <f aca="false">T158-U158-V158-W158-X158-Y158</f>
        <v>0</v>
      </c>
      <c r="R158" s="58" t="n">
        <f aca="false">D158+I158*TASA_USADA</f>
        <v>0</v>
      </c>
      <c r="S158" s="58" t="n">
        <f aca="false">E158+I158*(1-TASA_USADA)</f>
        <v>0</v>
      </c>
      <c r="T158" s="59" t="n">
        <f aca="false">IF(H158&gt;0,R158*J158/H158,0)</f>
        <v>0</v>
      </c>
      <c r="U158" s="59" t="n">
        <f aca="false">IF(H158&gt;0,R158*(B158*P1_CPROD+C158*P2_CPROD)/H158,0)</f>
        <v>0</v>
      </c>
      <c r="V158" s="59" t="n">
        <f aca="false">IF(H158&gt;0,R158*(B158*P1_LOG+C158*P2_LOG)/H158,0)</f>
        <v>0</v>
      </c>
      <c r="W158" s="59" t="n">
        <f aca="false">S158*COSTE_DEV</f>
        <v>0</v>
      </c>
      <c r="X158" s="59" t="n">
        <f aca="false">IF(H158&gt;0,R158*(B158*P1_IVAN+C158*P2_IVAN)/H158,0)-S158*IVA_DEV</f>
        <v>0</v>
      </c>
      <c r="Y158" s="59" t="n">
        <f aca="false">F158*(1+RECARGO_ADS)</f>
        <v>0</v>
      </c>
    </row>
    <row r="159" customFormat="false" ht="15" hidden="false" customHeight="false" outlineLevel="0" collapsed="false">
      <c r="A159" s="53" t="n">
        <v>46453</v>
      </c>
      <c r="B159" s="54"/>
      <c r="C159" s="54"/>
      <c r="D159" s="54"/>
      <c r="E159" s="54"/>
      <c r="F159" s="55"/>
      <c r="G159" s="56"/>
      <c r="H159" s="31" t="n">
        <f aca="false">B159+C159</f>
        <v>0</v>
      </c>
      <c r="I159" s="31" t="n">
        <f aca="false">MAX(0,H159-D159-E159)</f>
        <v>0</v>
      </c>
      <c r="J159" s="32" t="n">
        <f aca="false">B159*P1_PVP+C159*P2_PVP</f>
        <v>0</v>
      </c>
      <c r="K159" s="32" t="str">
        <f aca="false">IF(H159&gt;0,J159/H159,"")</f>
        <v/>
      </c>
      <c r="L159" s="32" t="str">
        <f aca="false">IF(H159&gt;0,F159/H159,"")</f>
        <v/>
      </c>
      <c r="M159" s="57" t="str">
        <f aca="false">IF(F159&gt;0,J159/F159,"")</f>
        <v/>
      </c>
      <c r="N159" s="34" t="str">
        <f aca="false">IF(D159+E159&gt;0,D159/(D159+E159),"")</f>
        <v/>
      </c>
      <c r="O159" s="33" t="n">
        <f aca="false">IF(H159&gt;0,D159*(B159*(P1_BEN-P1_IVAN)+C159*(P2_BEN-P2_IVAN))/H159,0)-E159*(COSTE_DEV-IVA_DEV)-Y159</f>
        <v>0</v>
      </c>
      <c r="P159" s="33" t="n">
        <f aca="false">T159-U159-V159-W159-X159-Y159</f>
        <v>0</v>
      </c>
      <c r="R159" s="58" t="n">
        <f aca="false">D159+I159*TASA_USADA</f>
        <v>0</v>
      </c>
      <c r="S159" s="58" t="n">
        <f aca="false">E159+I159*(1-TASA_USADA)</f>
        <v>0</v>
      </c>
      <c r="T159" s="59" t="n">
        <f aca="false">IF(H159&gt;0,R159*J159/H159,0)</f>
        <v>0</v>
      </c>
      <c r="U159" s="59" t="n">
        <f aca="false">IF(H159&gt;0,R159*(B159*P1_CPROD+C159*P2_CPROD)/H159,0)</f>
        <v>0</v>
      </c>
      <c r="V159" s="59" t="n">
        <f aca="false">IF(H159&gt;0,R159*(B159*P1_LOG+C159*P2_LOG)/H159,0)</f>
        <v>0</v>
      </c>
      <c r="W159" s="59" t="n">
        <f aca="false">S159*COSTE_DEV</f>
        <v>0</v>
      </c>
      <c r="X159" s="59" t="n">
        <f aca="false">IF(H159&gt;0,R159*(B159*P1_IVAN+C159*P2_IVAN)/H159,0)-S159*IVA_DEV</f>
        <v>0</v>
      </c>
      <c r="Y159" s="59" t="n">
        <f aca="false">F159*(1+RECARGO_ADS)</f>
        <v>0</v>
      </c>
    </row>
    <row r="160" customFormat="false" ht="15" hidden="false" customHeight="false" outlineLevel="0" collapsed="false">
      <c r="A160" s="53" t="n">
        <v>46454</v>
      </c>
      <c r="B160" s="54"/>
      <c r="C160" s="54"/>
      <c r="D160" s="54"/>
      <c r="E160" s="54"/>
      <c r="F160" s="55"/>
      <c r="G160" s="56"/>
      <c r="H160" s="31" t="n">
        <f aca="false">B160+C160</f>
        <v>0</v>
      </c>
      <c r="I160" s="31" t="n">
        <f aca="false">MAX(0,H160-D160-E160)</f>
        <v>0</v>
      </c>
      <c r="J160" s="32" t="n">
        <f aca="false">B160*P1_PVP+C160*P2_PVP</f>
        <v>0</v>
      </c>
      <c r="K160" s="32" t="str">
        <f aca="false">IF(H160&gt;0,J160/H160,"")</f>
        <v/>
      </c>
      <c r="L160" s="32" t="str">
        <f aca="false">IF(H160&gt;0,F160/H160,"")</f>
        <v/>
      </c>
      <c r="M160" s="57" t="str">
        <f aca="false">IF(F160&gt;0,J160/F160,"")</f>
        <v/>
      </c>
      <c r="N160" s="34" t="str">
        <f aca="false">IF(D160+E160&gt;0,D160/(D160+E160),"")</f>
        <v/>
      </c>
      <c r="O160" s="33" t="n">
        <f aca="false">IF(H160&gt;0,D160*(B160*(P1_BEN-P1_IVAN)+C160*(P2_BEN-P2_IVAN))/H160,0)-E160*(COSTE_DEV-IVA_DEV)-Y160</f>
        <v>0</v>
      </c>
      <c r="P160" s="33" t="n">
        <f aca="false">T160-U160-V160-W160-X160-Y160</f>
        <v>0</v>
      </c>
      <c r="R160" s="58" t="n">
        <f aca="false">D160+I160*TASA_USADA</f>
        <v>0</v>
      </c>
      <c r="S160" s="58" t="n">
        <f aca="false">E160+I160*(1-TASA_USADA)</f>
        <v>0</v>
      </c>
      <c r="T160" s="59" t="n">
        <f aca="false">IF(H160&gt;0,R160*J160/H160,0)</f>
        <v>0</v>
      </c>
      <c r="U160" s="59" t="n">
        <f aca="false">IF(H160&gt;0,R160*(B160*P1_CPROD+C160*P2_CPROD)/H160,0)</f>
        <v>0</v>
      </c>
      <c r="V160" s="59" t="n">
        <f aca="false">IF(H160&gt;0,R160*(B160*P1_LOG+C160*P2_LOG)/H160,0)</f>
        <v>0</v>
      </c>
      <c r="W160" s="59" t="n">
        <f aca="false">S160*COSTE_DEV</f>
        <v>0</v>
      </c>
      <c r="X160" s="59" t="n">
        <f aca="false">IF(H160&gt;0,R160*(B160*P1_IVAN+C160*P2_IVAN)/H160,0)-S160*IVA_DEV</f>
        <v>0</v>
      </c>
      <c r="Y160" s="59" t="n">
        <f aca="false">F160*(1+RECARGO_ADS)</f>
        <v>0</v>
      </c>
    </row>
    <row r="161" customFormat="false" ht="15" hidden="false" customHeight="false" outlineLevel="0" collapsed="false">
      <c r="A161" s="53" t="n">
        <v>46455</v>
      </c>
      <c r="B161" s="54"/>
      <c r="C161" s="54"/>
      <c r="D161" s="54"/>
      <c r="E161" s="54"/>
      <c r="F161" s="55"/>
      <c r="G161" s="56"/>
      <c r="H161" s="31" t="n">
        <f aca="false">B161+C161</f>
        <v>0</v>
      </c>
      <c r="I161" s="31" t="n">
        <f aca="false">MAX(0,H161-D161-E161)</f>
        <v>0</v>
      </c>
      <c r="J161" s="32" t="n">
        <f aca="false">B161*P1_PVP+C161*P2_PVP</f>
        <v>0</v>
      </c>
      <c r="K161" s="32" t="str">
        <f aca="false">IF(H161&gt;0,J161/H161,"")</f>
        <v/>
      </c>
      <c r="L161" s="32" t="str">
        <f aca="false">IF(H161&gt;0,F161/H161,"")</f>
        <v/>
      </c>
      <c r="M161" s="57" t="str">
        <f aca="false">IF(F161&gt;0,J161/F161,"")</f>
        <v/>
      </c>
      <c r="N161" s="34" t="str">
        <f aca="false">IF(D161+E161&gt;0,D161/(D161+E161),"")</f>
        <v/>
      </c>
      <c r="O161" s="33" t="n">
        <f aca="false">IF(H161&gt;0,D161*(B161*(P1_BEN-P1_IVAN)+C161*(P2_BEN-P2_IVAN))/H161,0)-E161*(COSTE_DEV-IVA_DEV)-Y161</f>
        <v>0</v>
      </c>
      <c r="P161" s="33" t="n">
        <f aca="false">T161-U161-V161-W161-X161-Y161</f>
        <v>0</v>
      </c>
      <c r="R161" s="58" t="n">
        <f aca="false">D161+I161*TASA_USADA</f>
        <v>0</v>
      </c>
      <c r="S161" s="58" t="n">
        <f aca="false">E161+I161*(1-TASA_USADA)</f>
        <v>0</v>
      </c>
      <c r="T161" s="59" t="n">
        <f aca="false">IF(H161&gt;0,R161*J161/H161,0)</f>
        <v>0</v>
      </c>
      <c r="U161" s="59" t="n">
        <f aca="false">IF(H161&gt;0,R161*(B161*P1_CPROD+C161*P2_CPROD)/H161,0)</f>
        <v>0</v>
      </c>
      <c r="V161" s="59" t="n">
        <f aca="false">IF(H161&gt;0,R161*(B161*P1_LOG+C161*P2_LOG)/H161,0)</f>
        <v>0</v>
      </c>
      <c r="W161" s="59" t="n">
        <f aca="false">S161*COSTE_DEV</f>
        <v>0</v>
      </c>
      <c r="X161" s="59" t="n">
        <f aca="false">IF(H161&gt;0,R161*(B161*P1_IVAN+C161*P2_IVAN)/H161,0)-S161*IVA_DEV</f>
        <v>0</v>
      </c>
      <c r="Y161" s="59" t="n">
        <f aca="false">F161*(1+RECARGO_ADS)</f>
        <v>0</v>
      </c>
    </row>
    <row r="162" customFormat="false" ht="15" hidden="false" customHeight="false" outlineLevel="0" collapsed="false">
      <c r="A162" s="53" t="n">
        <v>46456</v>
      </c>
      <c r="B162" s="54"/>
      <c r="C162" s="54"/>
      <c r="D162" s="54"/>
      <c r="E162" s="54"/>
      <c r="F162" s="55"/>
      <c r="G162" s="56"/>
      <c r="H162" s="31" t="n">
        <f aca="false">B162+C162</f>
        <v>0</v>
      </c>
      <c r="I162" s="31" t="n">
        <f aca="false">MAX(0,H162-D162-E162)</f>
        <v>0</v>
      </c>
      <c r="J162" s="32" t="n">
        <f aca="false">B162*P1_PVP+C162*P2_PVP</f>
        <v>0</v>
      </c>
      <c r="K162" s="32" t="str">
        <f aca="false">IF(H162&gt;0,J162/H162,"")</f>
        <v/>
      </c>
      <c r="L162" s="32" t="str">
        <f aca="false">IF(H162&gt;0,F162/H162,"")</f>
        <v/>
      </c>
      <c r="M162" s="57" t="str">
        <f aca="false">IF(F162&gt;0,J162/F162,"")</f>
        <v/>
      </c>
      <c r="N162" s="34" t="str">
        <f aca="false">IF(D162+E162&gt;0,D162/(D162+E162),"")</f>
        <v/>
      </c>
      <c r="O162" s="33" t="n">
        <f aca="false">IF(H162&gt;0,D162*(B162*(P1_BEN-P1_IVAN)+C162*(P2_BEN-P2_IVAN))/H162,0)-E162*(COSTE_DEV-IVA_DEV)-Y162</f>
        <v>0</v>
      </c>
      <c r="P162" s="33" t="n">
        <f aca="false">T162-U162-V162-W162-X162-Y162</f>
        <v>0</v>
      </c>
      <c r="R162" s="58" t="n">
        <f aca="false">D162+I162*TASA_USADA</f>
        <v>0</v>
      </c>
      <c r="S162" s="58" t="n">
        <f aca="false">E162+I162*(1-TASA_USADA)</f>
        <v>0</v>
      </c>
      <c r="T162" s="59" t="n">
        <f aca="false">IF(H162&gt;0,R162*J162/H162,0)</f>
        <v>0</v>
      </c>
      <c r="U162" s="59" t="n">
        <f aca="false">IF(H162&gt;0,R162*(B162*P1_CPROD+C162*P2_CPROD)/H162,0)</f>
        <v>0</v>
      </c>
      <c r="V162" s="59" t="n">
        <f aca="false">IF(H162&gt;0,R162*(B162*P1_LOG+C162*P2_LOG)/H162,0)</f>
        <v>0</v>
      </c>
      <c r="W162" s="59" t="n">
        <f aca="false">S162*COSTE_DEV</f>
        <v>0</v>
      </c>
      <c r="X162" s="59" t="n">
        <f aca="false">IF(H162&gt;0,R162*(B162*P1_IVAN+C162*P2_IVAN)/H162,0)-S162*IVA_DEV</f>
        <v>0</v>
      </c>
      <c r="Y162" s="59" t="n">
        <f aca="false">F162*(1+RECARGO_ADS)</f>
        <v>0</v>
      </c>
    </row>
    <row r="163" customFormat="false" ht="15" hidden="false" customHeight="false" outlineLevel="0" collapsed="false">
      <c r="A163" s="53" t="n">
        <v>46457</v>
      </c>
      <c r="B163" s="54"/>
      <c r="C163" s="54"/>
      <c r="D163" s="54"/>
      <c r="E163" s="54"/>
      <c r="F163" s="55"/>
      <c r="G163" s="56"/>
      <c r="H163" s="31" t="n">
        <f aca="false">B163+C163</f>
        <v>0</v>
      </c>
      <c r="I163" s="31" t="n">
        <f aca="false">MAX(0,H163-D163-E163)</f>
        <v>0</v>
      </c>
      <c r="J163" s="32" t="n">
        <f aca="false">B163*P1_PVP+C163*P2_PVP</f>
        <v>0</v>
      </c>
      <c r="K163" s="32" t="str">
        <f aca="false">IF(H163&gt;0,J163/H163,"")</f>
        <v/>
      </c>
      <c r="L163" s="32" t="str">
        <f aca="false">IF(H163&gt;0,F163/H163,"")</f>
        <v/>
      </c>
      <c r="M163" s="57" t="str">
        <f aca="false">IF(F163&gt;0,J163/F163,"")</f>
        <v/>
      </c>
      <c r="N163" s="34" t="str">
        <f aca="false">IF(D163+E163&gt;0,D163/(D163+E163),"")</f>
        <v/>
      </c>
      <c r="O163" s="33" t="n">
        <f aca="false">IF(H163&gt;0,D163*(B163*(P1_BEN-P1_IVAN)+C163*(P2_BEN-P2_IVAN))/H163,0)-E163*(COSTE_DEV-IVA_DEV)-Y163</f>
        <v>0</v>
      </c>
      <c r="P163" s="33" t="n">
        <f aca="false">T163-U163-V163-W163-X163-Y163</f>
        <v>0</v>
      </c>
      <c r="R163" s="58" t="n">
        <f aca="false">D163+I163*TASA_USADA</f>
        <v>0</v>
      </c>
      <c r="S163" s="58" t="n">
        <f aca="false">E163+I163*(1-TASA_USADA)</f>
        <v>0</v>
      </c>
      <c r="T163" s="59" t="n">
        <f aca="false">IF(H163&gt;0,R163*J163/H163,0)</f>
        <v>0</v>
      </c>
      <c r="U163" s="59" t="n">
        <f aca="false">IF(H163&gt;0,R163*(B163*P1_CPROD+C163*P2_CPROD)/H163,0)</f>
        <v>0</v>
      </c>
      <c r="V163" s="59" t="n">
        <f aca="false">IF(H163&gt;0,R163*(B163*P1_LOG+C163*P2_LOG)/H163,0)</f>
        <v>0</v>
      </c>
      <c r="W163" s="59" t="n">
        <f aca="false">S163*COSTE_DEV</f>
        <v>0</v>
      </c>
      <c r="X163" s="59" t="n">
        <f aca="false">IF(H163&gt;0,R163*(B163*P1_IVAN+C163*P2_IVAN)/H163,0)-S163*IVA_DEV</f>
        <v>0</v>
      </c>
      <c r="Y163" s="59" t="n">
        <f aca="false">F163*(1+RECARGO_ADS)</f>
        <v>0</v>
      </c>
    </row>
    <row r="164" customFormat="false" ht="15" hidden="false" customHeight="false" outlineLevel="0" collapsed="false">
      <c r="A164" s="53" t="n">
        <v>46458</v>
      </c>
      <c r="B164" s="54"/>
      <c r="C164" s="54"/>
      <c r="D164" s="54"/>
      <c r="E164" s="54"/>
      <c r="F164" s="55"/>
      <c r="G164" s="56"/>
      <c r="H164" s="31" t="n">
        <f aca="false">B164+C164</f>
        <v>0</v>
      </c>
      <c r="I164" s="31" t="n">
        <f aca="false">MAX(0,H164-D164-E164)</f>
        <v>0</v>
      </c>
      <c r="J164" s="32" t="n">
        <f aca="false">B164*P1_PVP+C164*P2_PVP</f>
        <v>0</v>
      </c>
      <c r="K164" s="32" t="str">
        <f aca="false">IF(H164&gt;0,J164/H164,"")</f>
        <v/>
      </c>
      <c r="L164" s="32" t="str">
        <f aca="false">IF(H164&gt;0,F164/H164,"")</f>
        <v/>
      </c>
      <c r="M164" s="57" t="str">
        <f aca="false">IF(F164&gt;0,J164/F164,"")</f>
        <v/>
      </c>
      <c r="N164" s="34" t="str">
        <f aca="false">IF(D164+E164&gt;0,D164/(D164+E164),"")</f>
        <v/>
      </c>
      <c r="O164" s="33" t="n">
        <f aca="false">IF(H164&gt;0,D164*(B164*(P1_BEN-P1_IVAN)+C164*(P2_BEN-P2_IVAN))/H164,0)-E164*(COSTE_DEV-IVA_DEV)-Y164</f>
        <v>0</v>
      </c>
      <c r="P164" s="33" t="n">
        <f aca="false">T164-U164-V164-W164-X164-Y164</f>
        <v>0</v>
      </c>
      <c r="R164" s="58" t="n">
        <f aca="false">D164+I164*TASA_USADA</f>
        <v>0</v>
      </c>
      <c r="S164" s="58" t="n">
        <f aca="false">E164+I164*(1-TASA_USADA)</f>
        <v>0</v>
      </c>
      <c r="T164" s="59" t="n">
        <f aca="false">IF(H164&gt;0,R164*J164/H164,0)</f>
        <v>0</v>
      </c>
      <c r="U164" s="59" t="n">
        <f aca="false">IF(H164&gt;0,R164*(B164*P1_CPROD+C164*P2_CPROD)/H164,0)</f>
        <v>0</v>
      </c>
      <c r="V164" s="59" t="n">
        <f aca="false">IF(H164&gt;0,R164*(B164*P1_LOG+C164*P2_LOG)/H164,0)</f>
        <v>0</v>
      </c>
      <c r="W164" s="59" t="n">
        <f aca="false">S164*COSTE_DEV</f>
        <v>0</v>
      </c>
      <c r="X164" s="59" t="n">
        <f aca="false">IF(H164&gt;0,R164*(B164*P1_IVAN+C164*P2_IVAN)/H164,0)-S164*IVA_DEV</f>
        <v>0</v>
      </c>
      <c r="Y164" s="59" t="n">
        <f aca="false">F164*(1+RECARGO_ADS)</f>
        <v>0</v>
      </c>
    </row>
    <row r="165" customFormat="false" ht="15" hidden="false" customHeight="false" outlineLevel="0" collapsed="false">
      <c r="A165" s="53" t="n">
        <v>46459</v>
      </c>
      <c r="B165" s="54"/>
      <c r="C165" s="54"/>
      <c r="D165" s="54"/>
      <c r="E165" s="54"/>
      <c r="F165" s="55"/>
      <c r="G165" s="56"/>
      <c r="H165" s="31" t="n">
        <f aca="false">B165+C165</f>
        <v>0</v>
      </c>
      <c r="I165" s="31" t="n">
        <f aca="false">MAX(0,H165-D165-E165)</f>
        <v>0</v>
      </c>
      <c r="J165" s="32" t="n">
        <f aca="false">B165*P1_PVP+C165*P2_PVP</f>
        <v>0</v>
      </c>
      <c r="K165" s="32" t="str">
        <f aca="false">IF(H165&gt;0,J165/H165,"")</f>
        <v/>
      </c>
      <c r="L165" s="32" t="str">
        <f aca="false">IF(H165&gt;0,F165/H165,"")</f>
        <v/>
      </c>
      <c r="M165" s="57" t="str">
        <f aca="false">IF(F165&gt;0,J165/F165,"")</f>
        <v/>
      </c>
      <c r="N165" s="34" t="str">
        <f aca="false">IF(D165+E165&gt;0,D165/(D165+E165),"")</f>
        <v/>
      </c>
      <c r="O165" s="33" t="n">
        <f aca="false">IF(H165&gt;0,D165*(B165*(P1_BEN-P1_IVAN)+C165*(P2_BEN-P2_IVAN))/H165,0)-E165*(COSTE_DEV-IVA_DEV)-Y165</f>
        <v>0</v>
      </c>
      <c r="P165" s="33" t="n">
        <f aca="false">T165-U165-V165-W165-X165-Y165</f>
        <v>0</v>
      </c>
      <c r="R165" s="58" t="n">
        <f aca="false">D165+I165*TASA_USADA</f>
        <v>0</v>
      </c>
      <c r="S165" s="58" t="n">
        <f aca="false">E165+I165*(1-TASA_USADA)</f>
        <v>0</v>
      </c>
      <c r="T165" s="59" t="n">
        <f aca="false">IF(H165&gt;0,R165*J165/H165,0)</f>
        <v>0</v>
      </c>
      <c r="U165" s="59" t="n">
        <f aca="false">IF(H165&gt;0,R165*(B165*P1_CPROD+C165*P2_CPROD)/H165,0)</f>
        <v>0</v>
      </c>
      <c r="V165" s="59" t="n">
        <f aca="false">IF(H165&gt;0,R165*(B165*P1_LOG+C165*P2_LOG)/H165,0)</f>
        <v>0</v>
      </c>
      <c r="W165" s="59" t="n">
        <f aca="false">S165*COSTE_DEV</f>
        <v>0</v>
      </c>
      <c r="X165" s="59" t="n">
        <f aca="false">IF(H165&gt;0,R165*(B165*P1_IVAN+C165*P2_IVAN)/H165,0)-S165*IVA_DEV</f>
        <v>0</v>
      </c>
      <c r="Y165" s="59" t="n">
        <f aca="false">F165*(1+RECARGO_ADS)</f>
        <v>0</v>
      </c>
    </row>
    <row r="166" customFormat="false" ht="15" hidden="false" customHeight="false" outlineLevel="0" collapsed="false">
      <c r="A166" s="53" t="n">
        <v>46460</v>
      </c>
      <c r="B166" s="54"/>
      <c r="C166" s="54"/>
      <c r="D166" s="54"/>
      <c r="E166" s="54"/>
      <c r="F166" s="55"/>
      <c r="G166" s="56"/>
      <c r="H166" s="31" t="n">
        <f aca="false">B166+C166</f>
        <v>0</v>
      </c>
      <c r="I166" s="31" t="n">
        <f aca="false">MAX(0,H166-D166-E166)</f>
        <v>0</v>
      </c>
      <c r="J166" s="32" t="n">
        <f aca="false">B166*P1_PVP+C166*P2_PVP</f>
        <v>0</v>
      </c>
      <c r="K166" s="32" t="str">
        <f aca="false">IF(H166&gt;0,J166/H166,"")</f>
        <v/>
      </c>
      <c r="L166" s="32" t="str">
        <f aca="false">IF(H166&gt;0,F166/H166,"")</f>
        <v/>
      </c>
      <c r="M166" s="57" t="str">
        <f aca="false">IF(F166&gt;0,J166/F166,"")</f>
        <v/>
      </c>
      <c r="N166" s="34" t="str">
        <f aca="false">IF(D166+E166&gt;0,D166/(D166+E166),"")</f>
        <v/>
      </c>
      <c r="O166" s="33" t="n">
        <f aca="false">IF(H166&gt;0,D166*(B166*(P1_BEN-P1_IVAN)+C166*(P2_BEN-P2_IVAN))/H166,0)-E166*(COSTE_DEV-IVA_DEV)-Y166</f>
        <v>0</v>
      </c>
      <c r="P166" s="33" t="n">
        <f aca="false">T166-U166-V166-W166-X166-Y166</f>
        <v>0</v>
      </c>
      <c r="R166" s="58" t="n">
        <f aca="false">D166+I166*TASA_USADA</f>
        <v>0</v>
      </c>
      <c r="S166" s="58" t="n">
        <f aca="false">E166+I166*(1-TASA_USADA)</f>
        <v>0</v>
      </c>
      <c r="T166" s="59" t="n">
        <f aca="false">IF(H166&gt;0,R166*J166/H166,0)</f>
        <v>0</v>
      </c>
      <c r="U166" s="59" t="n">
        <f aca="false">IF(H166&gt;0,R166*(B166*P1_CPROD+C166*P2_CPROD)/H166,0)</f>
        <v>0</v>
      </c>
      <c r="V166" s="59" t="n">
        <f aca="false">IF(H166&gt;0,R166*(B166*P1_LOG+C166*P2_LOG)/H166,0)</f>
        <v>0</v>
      </c>
      <c r="W166" s="59" t="n">
        <f aca="false">S166*COSTE_DEV</f>
        <v>0</v>
      </c>
      <c r="X166" s="59" t="n">
        <f aca="false">IF(H166&gt;0,R166*(B166*P1_IVAN+C166*P2_IVAN)/H166,0)-S166*IVA_DEV</f>
        <v>0</v>
      </c>
      <c r="Y166" s="59" t="n">
        <f aca="false">F166*(1+RECARGO_ADS)</f>
        <v>0</v>
      </c>
    </row>
    <row r="167" customFormat="false" ht="15" hidden="false" customHeight="false" outlineLevel="0" collapsed="false">
      <c r="A167" s="53" t="n">
        <v>46461</v>
      </c>
      <c r="B167" s="54"/>
      <c r="C167" s="54"/>
      <c r="D167" s="54"/>
      <c r="E167" s="54"/>
      <c r="F167" s="55"/>
      <c r="G167" s="56"/>
      <c r="H167" s="31" t="n">
        <f aca="false">B167+C167</f>
        <v>0</v>
      </c>
      <c r="I167" s="31" t="n">
        <f aca="false">MAX(0,H167-D167-E167)</f>
        <v>0</v>
      </c>
      <c r="J167" s="32" t="n">
        <f aca="false">B167*P1_PVP+C167*P2_PVP</f>
        <v>0</v>
      </c>
      <c r="K167" s="32" t="str">
        <f aca="false">IF(H167&gt;0,J167/H167,"")</f>
        <v/>
      </c>
      <c r="L167" s="32" t="str">
        <f aca="false">IF(H167&gt;0,F167/H167,"")</f>
        <v/>
      </c>
      <c r="M167" s="57" t="str">
        <f aca="false">IF(F167&gt;0,J167/F167,"")</f>
        <v/>
      </c>
      <c r="N167" s="34" t="str">
        <f aca="false">IF(D167+E167&gt;0,D167/(D167+E167),"")</f>
        <v/>
      </c>
      <c r="O167" s="33" t="n">
        <f aca="false">IF(H167&gt;0,D167*(B167*(P1_BEN-P1_IVAN)+C167*(P2_BEN-P2_IVAN))/H167,0)-E167*(COSTE_DEV-IVA_DEV)-Y167</f>
        <v>0</v>
      </c>
      <c r="P167" s="33" t="n">
        <f aca="false">T167-U167-V167-W167-X167-Y167</f>
        <v>0</v>
      </c>
      <c r="R167" s="58" t="n">
        <f aca="false">D167+I167*TASA_USADA</f>
        <v>0</v>
      </c>
      <c r="S167" s="58" t="n">
        <f aca="false">E167+I167*(1-TASA_USADA)</f>
        <v>0</v>
      </c>
      <c r="T167" s="59" t="n">
        <f aca="false">IF(H167&gt;0,R167*J167/H167,0)</f>
        <v>0</v>
      </c>
      <c r="U167" s="59" t="n">
        <f aca="false">IF(H167&gt;0,R167*(B167*P1_CPROD+C167*P2_CPROD)/H167,0)</f>
        <v>0</v>
      </c>
      <c r="V167" s="59" t="n">
        <f aca="false">IF(H167&gt;0,R167*(B167*P1_LOG+C167*P2_LOG)/H167,0)</f>
        <v>0</v>
      </c>
      <c r="W167" s="59" t="n">
        <f aca="false">S167*COSTE_DEV</f>
        <v>0</v>
      </c>
      <c r="X167" s="59" t="n">
        <f aca="false">IF(H167&gt;0,R167*(B167*P1_IVAN+C167*P2_IVAN)/H167,0)-S167*IVA_DEV</f>
        <v>0</v>
      </c>
      <c r="Y167" s="59" t="n">
        <f aca="false">F167*(1+RECARGO_ADS)</f>
        <v>0</v>
      </c>
    </row>
    <row r="168" customFormat="false" ht="15" hidden="false" customHeight="false" outlineLevel="0" collapsed="false">
      <c r="A168" s="53" t="n">
        <v>46462</v>
      </c>
      <c r="B168" s="54"/>
      <c r="C168" s="54"/>
      <c r="D168" s="54"/>
      <c r="E168" s="54"/>
      <c r="F168" s="55"/>
      <c r="G168" s="56"/>
      <c r="H168" s="31" t="n">
        <f aca="false">B168+C168</f>
        <v>0</v>
      </c>
      <c r="I168" s="31" t="n">
        <f aca="false">MAX(0,H168-D168-E168)</f>
        <v>0</v>
      </c>
      <c r="J168" s="32" t="n">
        <f aca="false">B168*P1_PVP+C168*P2_PVP</f>
        <v>0</v>
      </c>
      <c r="K168" s="32" t="str">
        <f aca="false">IF(H168&gt;0,J168/H168,"")</f>
        <v/>
      </c>
      <c r="L168" s="32" t="str">
        <f aca="false">IF(H168&gt;0,F168/H168,"")</f>
        <v/>
      </c>
      <c r="M168" s="57" t="str">
        <f aca="false">IF(F168&gt;0,J168/F168,"")</f>
        <v/>
      </c>
      <c r="N168" s="34" t="str">
        <f aca="false">IF(D168+E168&gt;0,D168/(D168+E168),"")</f>
        <v/>
      </c>
      <c r="O168" s="33" t="n">
        <f aca="false">IF(H168&gt;0,D168*(B168*(P1_BEN-P1_IVAN)+C168*(P2_BEN-P2_IVAN))/H168,0)-E168*(COSTE_DEV-IVA_DEV)-Y168</f>
        <v>0</v>
      </c>
      <c r="P168" s="33" t="n">
        <f aca="false">T168-U168-V168-W168-X168-Y168</f>
        <v>0</v>
      </c>
      <c r="R168" s="58" t="n">
        <f aca="false">D168+I168*TASA_USADA</f>
        <v>0</v>
      </c>
      <c r="S168" s="58" t="n">
        <f aca="false">E168+I168*(1-TASA_USADA)</f>
        <v>0</v>
      </c>
      <c r="T168" s="59" t="n">
        <f aca="false">IF(H168&gt;0,R168*J168/H168,0)</f>
        <v>0</v>
      </c>
      <c r="U168" s="59" t="n">
        <f aca="false">IF(H168&gt;0,R168*(B168*P1_CPROD+C168*P2_CPROD)/H168,0)</f>
        <v>0</v>
      </c>
      <c r="V168" s="59" t="n">
        <f aca="false">IF(H168&gt;0,R168*(B168*P1_LOG+C168*P2_LOG)/H168,0)</f>
        <v>0</v>
      </c>
      <c r="W168" s="59" t="n">
        <f aca="false">S168*COSTE_DEV</f>
        <v>0</v>
      </c>
      <c r="X168" s="59" t="n">
        <f aca="false">IF(H168&gt;0,R168*(B168*P1_IVAN+C168*P2_IVAN)/H168,0)-S168*IVA_DEV</f>
        <v>0</v>
      </c>
      <c r="Y168" s="59" t="n">
        <f aca="false">F168*(1+RECARGO_ADS)</f>
        <v>0</v>
      </c>
    </row>
    <row r="169" customFormat="false" ht="15" hidden="false" customHeight="false" outlineLevel="0" collapsed="false">
      <c r="A169" s="53" t="n">
        <v>46463</v>
      </c>
      <c r="B169" s="54"/>
      <c r="C169" s="54"/>
      <c r="D169" s="54"/>
      <c r="E169" s="54"/>
      <c r="F169" s="55"/>
      <c r="G169" s="56"/>
      <c r="H169" s="31" t="n">
        <f aca="false">B169+C169</f>
        <v>0</v>
      </c>
      <c r="I169" s="31" t="n">
        <f aca="false">MAX(0,H169-D169-E169)</f>
        <v>0</v>
      </c>
      <c r="J169" s="32" t="n">
        <f aca="false">B169*P1_PVP+C169*P2_PVP</f>
        <v>0</v>
      </c>
      <c r="K169" s="32" t="str">
        <f aca="false">IF(H169&gt;0,J169/H169,"")</f>
        <v/>
      </c>
      <c r="L169" s="32" t="str">
        <f aca="false">IF(H169&gt;0,F169/H169,"")</f>
        <v/>
      </c>
      <c r="M169" s="57" t="str">
        <f aca="false">IF(F169&gt;0,J169/F169,"")</f>
        <v/>
      </c>
      <c r="N169" s="34" t="str">
        <f aca="false">IF(D169+E169&gt;0,D169/(D169+E169),"")</f>
        <v/>
      </c>
      <c r="O169" s="33" t="n">
        <f aca="false">IF(H169&gt;0,D169*(B169*(P1_BEN-P1_IVAN)+C169*(P2_BEN-P2_IVAN))/H169,0)-E169*(COSTE_DEV-IVA_DEV)-Y169</f>
        <v>0</v>
      </c>
      <c r="P169" s="33" t="n">
        <f aca="false">T169-U169-V169-W169-X169-Y169</f>
        <v>0</v>
      </c>
      <c r="R169" s="58" t="n">
        <f aca="false">D169+I169*TASA_USADA</f>
        <v>0</v>
      </c>
      <c r="S169" s="58" t="n">
        <f aca="false">E169+I169*(1-TASA_USADA)</f>
        <v>0</v>
      </c>
      <c r="T169" s="59" t="n">
        <f aca="false">IF(H169&gt;0,R169*J169/H169,0)</f>
        <v>0</v>
      </c>
      <c r="U169" s="59" t="n">
        <f aca="false">IF(H169&gt;0,R169*(B169*P1_CPROD+C169*P2_CPROD)/H169,0)</f>
        <v>0</v>
      </c>
      <c r="V169" s="59" t="n">
        <f aca="false">IF(H169&gt;0,R169*(B169*P1_LOG+C169*P2_LOG)/H169,0)</f>
        <v>0</v>
      </c>
      <c r="W169" s="59" t="n">
        <f aca="false">S169*COSTE_DEV</f>
        <v>0</v>
      </c>
      <c r="X169" s="59" t="n">
        <f aca="false">IF(H169&gt;0,R169*(B169*P1_IVAN+C169*P2_IVAN)/H169,0)-S169*IVA_DEV</f>
        <v>0</v>
      </c>
      <c r="Y169" s="59" t="n">
        <f aca="false">F169*(1+RECARGO_ADS)</f>
        <v>0</v>
      </c>
    </row>
    <row r="170" customFormat="false" ht="15" hidden="false" customHeight="false" outlineLevel="0" collapsed="false">
      <c r="A170" s="53" t="n">
        <v>46464</v>
      </c>
      <c r="B170" s="54"/>
      <c r="C170" s="54"/>
      <c r="D170" s="54"/>
      <c r="E170" s="54"/>
      <c r="F170" s="55"/>
      <c r="G170" s="56"/>
      <c r="H170" s="31" t="n">
        <f aca="false">B170+C170</f>
        <v>0</v>
      </c>
      <c r="I170" s="31" t="n">
        <f aca="false">MAX(0,H170-D170-E170)</f>
        <v>0</v>
      </c>
      <c r="J170" s="32" t="n">
        <f aca="false">B170*P1_PVP+C170*P2_PVP</f>
        <v>0</v>
      </c>
      <c r="K170" s="32" t="str">
        <f aca="false">IF(H170&gt;0,J170/H170,"")</f>
        <v/>
      </c>
      <c r="L170" s="32" t="str">
        <f aca="false">IF(H170&gt;0,F170/H170,"")</f>
        <v/>
      </c>
      <c r="M170" s="57" t="str">
        <f aca="false">IF(F170&gt;0,J170/F170,"")</f>
        <v/>
      </c>
      <c r="N170" s="34" t="str">
        <f aca="false">IF(D170+E170&gt;0,D170/(D170+E170),"")</f>
        <v/>
      </c>
      <c r="O170" s="33" t="n">
        <f aca="false">IF(H170&gt;0,D170*(B170*(P1_BEN-P1_IVAN)+C170*(P2_BEN-P2_IVAN))/H170,0)-E170*(COSTE_DEV-IVA_DEV)-Y170</f>
        <v>0</v>
      </c>
      <c r="P170" s="33" t="n">
        <f aca="false">T170-U170-V170-W170-X170-Y170</f>
        <v>0</v>
      </c>
      <c r="R170" s="58" t="n">
        <f aca="false">D170+I170*TASA_USADA</f>
        <v>0</v>
      </c>
      <c r="S170" s="58" t="n">
        <f aca="false">E170+I170*(1-TASA_USADA)</f>
        <v>0</v>
      </c>
      <c r="T170" s="59" t="n">
        <f aca="false">IF(H170&gt;0,R170*J170/H170,0)</f>
        <v>0</v>
      </c>
      <c r="U170" s="59" t="n">
        <f aca="false">IF(H170&gt;0,R170*(B170*P1_CPROD+C170*P2_CPROD)/H170,0)</f>
        <v>0</v>
      </c>
      <c r="V170" s="59" t="n">
        <f aca="false">IF(H170&gt;0,R170*(B170*P1_LOG+C170*P2_LOG)/H170,0)</f>
        <v>0</v>
      </c>
      <c r="W170" s="59" t="n">
        <f aca="false">S170*COSTE_DEV</f>
        <v>0</v>
      </c>
      <c r="X170" s="59" t="n">
        <f aca="false">IF(H170&gt;0,R170*(B170*P1_IVAN+C170*P2_IVAN)/H170,0)-S170*IVA_DEV</f>
        <v>0</v>
      </c>
      <c r="Y170" s="59" t="n">
        <f aca="false">F170*(1+RECARGO_ADS)</f>
        <v>0</v>
      </c>
    </row>
    <row r="171" customFormat="false" ht="15" hidden="false" customHeight="false" outlineLevel="0" collapsed="false">
      <c r="A171" s="53" t="n">
        <v>46465</v>
      </c>
      <c r="B171" s="54"/>
      <c r="C171" s="54"/>
      <c r="D171" s="54"/>
      <c r="E171" s="54"/>
      <c r="F171" s="55"/>
      <c r="G171" s="56"/>
      <c r="H171" s="31" t="n">
        <f aca="false">B171+C171</f>
        <v>0</v>
      </c>
      <c r="I171" s="31" t="n">
        <f aca="false">MAX(0,H171-D171-E171)</f>
        <v>0</v>
      </c>
      <c r="J171" s="32" t="n">
        <f aca="false">B171*P1_PVP+C171*P2_PVP</f>
        <v>0</v>
      </c>
      <c r="K171" s="32" t="str">
        <f aca="false">IF(H171&gt;0,J171/H171,"")</f>
        <v/>
      </c>
      <c r="L171" s="32" t="str">
        <f aca="false">IF(H171&gt;0,F171/H171,"")</f>
        <v/>
      </c>
      <c r="M171" s="57" t="str">
        <f aca="false">IF(F171&gt;0,J171/F171,"")</f>
        <v/>
      </c>
      <c r="N171" s="34" t="str">
        <f aca="false">IF(D171+E171&gt;0,D171/(D171+E171),"")</f>
        <v/>
      </c>
      <c r="O171" s="33" t="n">
        <f aca="false">IF(H171&gt;0,D171*(B171*(P1_BEN-P1_IVAN)+C171*(P2_BEN-P2_IVAN))/H171,0)-E171*(COSTE_DEV-IVA_DEV)-Y171</f>
        <v>0</v>
      </c>
      <c r="P171" s="33" t="n">
        <f aca="false">T171-U171-V171-W171-X171-Y171</f>
        <v>0</v>
      </c>
      <c r="R171" s="58" t="n">
        <f aca="false">D171+I171*TASA_USADA</f>
        <v>0</v>
      </c>
      <c r="S171" s="58" t="n">
        <f aca="false">E171+I171*(1-TASA_USADA)</f>
        <v>0</v>
      </c>
      <c r="T171" s="59" t="n">
        <f aca="false">IF(H171&gt;0,R171*J171/H171,0)</f>
        <v>0</v>
      </c>
      <c r="U171" s="59" t="n">
        <f aca="false">IF(H171&gt;0,R171*(B171*P1_CPROD+C171*P2_CPROD)/H171,0)</f>
        <v>0</v>
      </c>
      <c r="V171" s="59" t="n">
        <f aca="false">IF(H171&gt;0,R171*(B171*P1_LOG+C171*P2_LOG)/H171,0)</f>
        <v>0</v>
      </c>
      <c r="W171" s="59" t="n">
        <f aca="false">S171*COSTE_DEV</f>
        <v>0</v>
      </c>
      <c r="X171" s="59" t="n">
        <f aca="false">IF(H171&gt;0,R171*(B171*P1_IVAN+C171*P2_IVAN)/H171,0)-S171*IVA_DEV</f>
        <v>0</v>
      </c>
      <c r="Y171" s="59" t="n">
        <f aca="false">F171*(1+RECARGO_ADS)</f>
        <v>0</v>
      </c>
    </row>
    <row r="172" customFormat="false" ht="15" hidden="false" customHeight="false" outlineLevel="0" collapsed="false">
      <c r="A172" s="53" t="n">
        <v>46466</v>
      </c>
      <c r="B172" s="54"/>
      <c r="C172" s="54"/>
      <c r="D172" s="54"/>
      <c r="E172" s="54"/>
      <c r="F172" s="55"/>
      <c r="G172" s="56"/>
      <c r="H172" s="31" t="n">
        <f aca="false">B172+C172</f>
        <v>0</v>
      </c>
      <c r="I172" s="31" t="n">
        <f aca="false">MAX(0,H172-D172-E172)</f>
        <v>0</v>
      </c>
      <c r="J172" s="32" t="n">
        <f aca="false">B172*P1_PVP+C172*P2_PVP</f>
        <v>0</v>
      </c>
      <c r="K172" s="32" t="str">
        <f aca="false">IF(H172&gt;0,J172/H172,"")</f>
        <v/>
      </c>
      <c r="L172" s="32" t="str">
        <f aca="false">IF(H172&gt;0,F172/H172,"")</f>
        <v/>
      </c>
      <c r="M172" s="57" t="str">
        <f aca="false">IF(F172&gt;0,J172/F172,"")</f>
        <v/>
      </c>
      <c r="N172" s="34" t="str">
        <f aca="false">IF(D172+E172&gt;0,D172/(D172+E172),"")</f>
        <v/>
      </c>
      <c r="O172" s="33" t="n">
        <f aca="false">IF(H172&gt;0,D172*(B172*(P1_BEN-P1_IVAN)+C172*(P2_BEN-P2_IVAN))/H172,0)-E172*(COSTE_DEV-IVA_DEV)-Y172</f>
        <v>0</v>
      </c>
      <c r="P172" s="33" t="n">
        <f aca="false">T172-U172-V172-W172-X172-Y172</f>
        <v>0</v>
      </c>
      <c r="R172" s="58" t="n">
        <f aca="false">D172+I172*TASA_USADA</f>
        <v>0</v>
      </c>
      <c r="S172" s="58" t="n">
        <f aca="false">E172+I172*(1-TASA_USADA)</f>
        <v>0</v>
      </c>
      <c r="T172" s="59" t="n">
        <f aca="false">IF(H172&gt;0,R172*J172/H172,0)</f>
        <v>0</v>
      </c>
      <c r="U172" s="59" t="n">
        <f aca="false">IF(H172&gt;0,R172*(B172*P1_CPROD+C172*P2_CPROD)/H172,0)</f>
        <v>0</v>
      </c>
      <c r="V172" s="59" t="n">
        <f aca="false">IF(H172&gt;0,R172*(B172*P1_LOG+C172*P2_LOG)/H172,0)</f>
        <v>0</v>
      </c>
      <c r="W172" s="59" t="n">
        <f aca="false">S172*COSTE_DEV</f>
        <v>0</v>
      </c>
      <c r="X172" s="59" t="n">
        <f aca="false">IF(H172&gt;0,R172*(B172*P1_IVAN+C172*P2_IVAN)/H172,0)-S172*IVA_DEV</f>
        <v>0</v>
      </c>
      <c r="Y172" s="59" t="n">
        <f aca="false">F172*(1+RECARGO_ADS)</f>
        <v>0</v>
      </c>
    </row>
    <row r="173" customFormat="false" ht="15" hidden="false" customHeight="false" outlineLevel="0" collapsed="false">
      <c r="A173" s="53" t="n">
        <v>46467</v>
      </c>
      <c r="B173" s="54"/>
      <c r="C173" s="54"/>
      <c r="D173" s="54"/>
      <c r="E173" s="54"/>
      <c r="F173" s="55"/>
      <c r="G173" s="56"/>
      <c r="H173" s="31" t="n">
        <f aca="false">B173+C173</f>
        <v>0</v>
      </c>
      <c r="I173" s="31" t="n">
        <f aca="false">MAX(0,H173-D173-E173)</f>
        <v>0</v>
      </c>
      <c r="J173" s="32" t="n">
        <f aca="false">B173*P1_PVP+C173*P2_PVP</f>
        <v>0</v>
      </c>
      <c r="K173" s="32" t="str">
        <f aca="false">IF(H173&gt;0,J173/H173,"")</f>
        <v/>
      </c>
      <c r="L173" s="32" t="str">
        <f aca="false">IF(H173&gt;0,F173/H173,"")</f>
        <v/>
      </c>
      <c r="M173" s="57" t="str">
        <f aca="false">IF(F173&gt;0,J173/F173,"")</f>
        <v/>
      </c>
      <c r="N173" s="34" t="str">
        <f aca="false">IF(D173+E173&gt;0,D173/(D173+E173),"")</f>
        <v/>
      </c>
      <c r="O173" s="33" t="n">
        <f aca="false">IF(H173&gt;0,D173*(B173*(P1_BEN-P1_IVAN)+C173*(P2_BEN-P2_IVAN))/H173,0)-E173*(COSTE_DEV-IVA_DEV)-Y173</f>
        <v>0</v>
      </c>
      <c r="P173" s="33" t="n">
        <f aca="false">T173-U173-V173-W173-X173-Y173</f>
        <v>0</v>
      </c>
      <c r="R173" s="58" t="n">
        <f aca="false">D173+I173*TASA_USADA</f>
        <v>0</v>
      </c>
      <c r="S173" s="58" t="n">
        <f aca="false">E173+I173*(1-TASA_USADA)</f>
        <v>0</v>
      </c>
      <c r="T173" s="59" t="n">
        <f aca="false">IF(H173&gt;0,R173*J173/H173,0)</f>
        <v>0</v>
      </c>
      <c r="U173" s="59" t="n">
        <f aca="false">IF(H173&gt;0,R173*(B173*P1_CPROD+C173*P2_CPROD)/H173,0)</f>
        <v>0</v>
      </c>
      <c r="V173" s="59" t="n">
        <f aca="false">IF(H173&gt;0,R173*(B173*P1_LOG+C173*P2_LOG)/H173,0)</f>
        <v>0</v>
      </c>
      <c r="W173" s="59" t="n">
        <f aca="false">S173*COSTE_DEV</f>
        <v>0</v>
      </c>
      <c r="X173" s="59" t="n">
        <f aca="false">IF(H173&gt;0,R173*(B173*P1_IVAN+C173*P2_IVAN)/H173,0)-S173*IVA_DEV</f>
        <v>0</v>
      </c>
      <c r="Y173" s="59" t="n">
        <f aca="false">F173*(1+RECARGO_ADS)</f>
        <v>0</v>
      </c>
    </row>
    <row r="174" customFormat="false" ht="15" hidden="false" customHeight="false" outlineLevel="0" collapsed="false">
      <c r="A174" s="53" t="n">
        <v>46468</v>
      </c>
      <c r="B174" s="54"/>
      <c r="C174" s="54"/>
      <c r="D174" s="54"/>
      <c r="E174" s="54"/>
      <c r="F174" s="55"/>
      <c r="G174" s="56"/>
      <c r="H174" s="31" t="n">
        <f aca="false">B174+C174</f>
        <v>0</v>
      </c>
      <c r="I174" s="31" t="n">
        <f aca="false">MAX(0,H174-D174-E174)</f>
        <v>0</v>
      </c>
      <c r="J174" s="32" t="n">
        <f aca="false">B174*P1_PVP+C174*P2_PVP</f>
        <v>0</v>
      </c>
      <c r="K174" s="32" t="str">
        <f aca="false">IF(H174&gt;0,J174/H174,"")</f>
        <v/>
      </c>
      <c r="L174" s="32" t="str">
        <f aca="false">IF(H174&gt;0,F174/H174,"")</f>
        <v/>
      </c>
      <c r="M174" s="57" t="str">
        <f aca="false">IF(F174&gt;0,J174/F174,"")</f>
        <v/>
      </c>
      <c r="N174" s="34" t="str">
        <f aca="false">IF(D174+E174&gt;0,D174/(D174+E174),"")</f>
        <v/>
      </c>
      <c r="O174" s="33" t="n">
        <f aca="false">IF(H174&gt;0,D174*(B174*(P1_BEN-P1_IVAN)+C174*(P2_BEN-P2_IVAN))/H174,0)-E174*(COSTE_DEV-IVA_DEV)-Y174</f>
        <v>0</v>
      </c>
      <c r="P174" s="33" t="n">
        <f aca="false">T174-U174-V174-W174-X174-Y174</f>
        <v>0</v>
      </c>
      <c r="R174" s="58" t="n">
        <f aca="false">D174+I174*TASA_USADA</f>
        <v>0</v>
      </c>
      <c r="S174" s="58" t="n">
        <f aca="false">E174+I174*(1-TASA_USADA)</f>
        <v>0</v>
      </c>
      <c r="T174" s="59" t="n">
        <f aca="false">IF(H174&gt;0,R174*J174/H174,0)</f>
        <v>0</v>
      </c>
      <c r="U174" s="59" t="n">
        <f aca="false">IF(H174&gt;0,R174*(B174*P1_CPROD+C174*P2_CPROD)/H174,0)</f>
        <v>0</v>
      </c>
      <c r="V174" s="59" t="n">
        <f aca="false">IF(H174&gt;0,R174*(B174*P1_LOG+C174*P2_LOG)/H174,0)</f>
        <v>0</v>
      </c>
      <c r="W174" s="59" t="n">
        <f aca="false">S174*COSTE_DEV</f>
        <v>0</v>
      </c>
      <c r="X174" s="59" t="n">
        <f aca="false">IF(H174&gt;0,R174*(B174*P1_IVAN+C174*P2_IVAN)/H174,0)-S174*IVA_DEV</f>
        <v>0</v>
      </c>
      <c r="Y174" s="59" t="n">
        <f aca="false">F174*(1+RECARGO_ADS)</f>
        <v>0</v>
      </c>
    </row>
    <row r="175" customFormat="false" ht="15" hidden="false" customHeight="false" outlineLevel="0" collapsed="false">
      <c r="A175" s="53" t="n">
        <v>46469</v>
      </c>
      <c r="B175" s="54"/>
      <c r="C175" s="54"/>
      <c r="D175" s="54"/>
      <c r="E175" s="54"/>
      <c r="F175" s="55"/>
      <c r="G175" s="56"/>
      <c r="H175" s="31" t="n">
        <f aca="false">B175+C175</f>
        <v>0</v>
      </c>
      <c r="I175" s="31" t="n">
        <f aca="false">MAX(0,H175-D175-E175)</f>
        <v>0</v>
      </c>
      <c r="J175" s="32" t="n">
        <f aca="false">B175*P1_PVP+C175*P2_PVP</f>
        <v>0</v>
      </c>
      <c r="K175" s="32" t="str">
        <f aca="false">IF(H175&gt;0,J175/H175,"")</f>
        <v/>
      </c>
      <c r="L175" s="32" t="str">
        <f aca="false">IF(H175&gt;0,F175/H175,"")</f>
        <v/>
      </c>
      <c r="M175" s="57" t="str">
        <f aca="false">IF(F175&gt;0,J175/F175,"")</f>
        <v/>
      </c>
      <c r="N175" s="34" t="str">
        <f aca="false">IF(D175+E175&gt;0,D175/(D175+E175),"")</f>
        <v/>
      </c>
      <c r="O175" s="33" t="n">
        <f aca="false">IF(H175&gt;0,D175*(B175*(P1_BEN-P1_IVAN)+C175*(P2_BEN-P2_IVAN))/H175,0)-E175*(COSTE_DEV-IVA_DEV)-Y175</f>
        <v>0</v>
      </c>
      <c r="P175" s="33" t="n">
        <f aca="false">T175-U175-V175-W175-X175-Y175</f>
        <v>0</v>
      </c>
      <c r="R175" s="58" t="n">
        <f aca="false">D175+I175*TASA_USADA</f>
        <v>0</v>
      </c>
      <c r="S175" s="58" t="n">
        <f aca="false">E175+I175*(1-TASA_USADA)</f>
        <v>0</v>
      </c>
      <c r="T175" s="59" t="n">
        <f aca="false">IF(H175&gt;0,R175*J175/H175,0)</f>
        <v>0</v>
      </c>
      <c r="U175" s="59" t="n">
        <f aca="false">IF(H175&gt;0,R175*(B175*P1_CPROD+C175*P2_CPROD)/H175,0)</f>
        <v>0</v>
      </c>
      <c r="V175" s="59" t="n">
        <f aca="false">IF(H175&gt;0,R175*(B175*P1_LOG+C175*P2_LOG)/H175,0)</f>
        <v>0</v>
      </c>
      <c r="W175" s="59" t="n">
        <f aca="false">S175*COSTE_DEV</f>
        <v>0</v>
      </c>
      <c r="X175" s="59" t="n">
        <f aca="false">IF(H175&gt;0,R175*(B175*P1_IVAN+C175*P2_IVAN)/H175,0)-S175*IVA_DEV</f>
        <v>0</v>
      </c>
      <c r="Y175" s="59" t="n">
        <f aca="false">F175*(1+RECARGO_ADS)</f>
        <v>0</v>
      </c>
    </row>
    <row r="176" customFormat="false" ht="15" hidden="false" customHeight="false" outlineLevel="0" collapsed="false">
      <c r="A176" s="53" t="n">
        <v>46470</v>
      </c>
      <c r="B176" s="54"/>
      <c r="C176" s="54"/>
      <c r="D176" s="54"/>
      <c r="E176" s="54"/>
      <c r="F176" s="55"/>
      <c r="G176" s="56"/>
      <c r="H176" s="31" t="n">
        <f aca="false">B176+C176</f>
        <v>0</v>
      </c>
      <c r="I176" s="31" t="n">
        <f aca="false">MAX(0,H176-D176-E176)</f>
        <v>0</v>
      </c>
      <c r="J176" s="32" t="n">
        <f aca="false">B176*P1_PVP+C176*P2_PVP</f>
        <v>0</v>
      </c>
      <c r="K176" s="32" t="str">
        <f aca="false">IF(H176&gt;0,J176/H176,"")</f>
        <v/>
      </c>
      <c r="L176" s="32" t="str">
        <f aca="false">IF(H176&gt;0,F176/H176,"")</f>
        <v/>
      </c>
      <c r="M176" s="57" t="str">
        <f aca="false">IF(F176&gt;0,J176/F176,"")</f>
        <v/>
      </c>
      <c r="N176" s="34" t="str">
        <f aca="false">IF(D176+E176&gt;0,D176/(D176+E176),"")</f>
        <v/>
      </c>
      <c r="O176" s="33" t="n">
        <f aca="false">IF(H176&gt;0,D176*(B176*(P1_BEN-P1_IVAN)+C176*(P2_BEN-P2_IVAN))/H176,0)-E176*(COSTE_DEV-IVA_DEV)-Y176</f>
        <v>0</v>
      </c>
      <c r="P176" s="33" t="n">
        <f aca="false">T176-U176-V176-W176-X176-Y176</f>
        <v>0</v>
      </c>
      <c r="R176" s="58" t="n">
        <f aca="false">D176+I176*TASA_USADA</f>
        <v>0</v>
      </c>
      <c r="S176" s="58" t="n">
        <f aca="false">E176+I176*(1-TASA_USADA)</f>
        <v>0</v>
      </c>
      <c r="T176" s="59" t="n">
        <f aca="false">IF(H176&gt;0,R176*J176/H176,0)</f>
        <v>0</v>
      </c>
      <c r="U176" s="59" t="n">
        <f aca="false">IF(H176&gt;0,R176*(B176*P1_CPROD+C176*P2_CPROD)/H176,0)</f>
        <v>0</v>
      </c>
      <c r="V176" s="59" t="n">
        <f aca="false">IF(H176&gt;0,R176*(B176*P1_LOG+C176*P2_LOG)/H176,0)</f>
        <v>0</v>
      </c>
      <c r="W176" s="59" t="n">
        <f aca="false">S176*COSTE_DEV</f>
        <v>0</v>
      </c>
      <c r="X176" s="59" t="n">
        <f aca="false">IF(H176&gt;0,R176*(B176*P1_IVAN+C176*P2_IVAN)/H176,0)-S176*IVA_DEV</f>
        <v>0</v>
      </c>
      <c r="Y176" s="59" t="n">
        <f aca="false">F176*(1+RECARGO_ADS)</f>
        <v>0</v>
      </c>
    </row>
    <row r="177" customFormat="false" ht="15" hidden="false" customHeight="false" outlineLevel="0" collapsed="false">
      <c r="A177" s="53" t="n">
        <v>46471</v>
      </c>
      <c r="B177" s="54"/>
      <c r="C177" s="54"/>
      <c r="D177" s="54"/>
      <c r="E177" s="54"/>
      <c r="F177" s="55"/>
      <c r="G177" s="56"/>
      <c r="H177" s="31" t="n">
        <f aca="false">B177+C177</f>
        <v>0</v>
      </c>
      <c r="I177" s="31" t="n">
        <f aca="false">MAX(0,H177-D177-E177)</f>
        <v>0</v>
      </c>
      <c r="J177" s="32" t="n">
        <f aca="false">B177*P1_PVP+C177*P2_PVP</f>
        <v>0</v>
      </c>
      <c r="K177" s="32" t="str">
        <f aca="false">IF(H177&gt;0,J177/H177,"")</f>
        <v/>
      </c>
      <c r="L177" s="32" t="str">
        <f aca="false">IF(H177&gt;0,F177/H177,"")</f>
        <v/>
      </c>
      <c r="M177" s="57" t="str">
        <f aca="false">IF(F177&gt;0,J177/F177,"")</f>
        <v/>
      </c>
      <c r="N177" s="34" t="str">
        <f aca="false">IF(D177+E177&gt;0,D177/(D177+E177),"")</f>
        <v/>
      </c>
      <c r="O177" s="33" t="n">
        <f aca="false">IF(H177&gt;0,D177*(B177*(P1_BEN-P1_IVAN)+C177*(P2_BEN-P2_IVAN))/H177,0)-E177*(COSTE_DEV-IVA_DEV)-Y177</f>
        <v>0</v>
      </c>
      <c r="P177" s="33" t="n">
        <f aca="false">T177-U177-V177-W177-X177-Y177</f>
        <v>0</v>
      </c>
      <c r="R177" s="58" t="n">
        <f aca="false">D177+I177*TASA_USADA</f>
        <v>0</v>
      </c>
      <c r="S177" s="58" t="n">
        <f aca="false">E177+I177*(1-TASA_USADA)</f>
        <v>0</v>
      </c>
      <c r="T177" s="59" t="n">
        <f aca="false">IF(H177&gt;0,R177*J177/H177,0)</f>
        <v>0</v>
      </c>
      <c r="U177" s="59" t="n">
        <f aca="false">IF(H177&gt;0,R177*(B177*P1_CPROD+C177*P2_CPROD)/H177,0)</f>
        <v>0</v>
      </c>
      <c r="V177" s="59" t="n">
        <f aca="false">IF(H177&gt;0,R177*(B177*P1_LOG+C177*P2_LOG)/H177,0)</f>
        <v>0</v>
      </c>
      <c r="W177" s="59" t="n">
        <f aca="false">S177*COSTE_DEV</f>
        <v>0</v>
      </c>
      <c r="X177" s="59" t="n">
        <f aca="false">IF(H177&gt;0,R177*(B177*P1_IVAN+C177*P2_IVAN)/H177,0)-S177*IVA_DEV</f>
        <v>0</v>
      </c>
      <c r="Y177" s="59" t="n">
        <f aca="false">F177*(1+RECARGO_ADS)</f>
        <v>0</v>
      </c>
    </row>
    <row r="178" customFormat="false" ht="15" hidden="false" customHeight="false" outlineLevel="0" collapsed="false">
      <c r="A178" s="53" t="n">
        <v>46472</v>
      </c>
      <c r="B178" s="54"/>
      <c r="C178" s="54"/>
      <c r="D178" s="54"/>
      <c r="E178" s="54"/>
      <c r="F178" s="55"/>
      <c r="G178" s="56"/>
      <c r="H178" s="31" t="n">
        <f aca="false">B178+C178</f>
        <v>0</v>
      </c>
      <c r="I178" s="31" t="n">
        <f aca="false">MAX(0,H178-D178-E178)</f>
        <v>0</v>
      </c>
      <c r="J178" s="32" t="n">
        <f aca="false">B178*P1_PVP+C178*P2_PVP</f>
        <v>0</v>
      </c>
      <c r="K178" s="32" t="str">
        <f aca="false">IF(H178&gt;0,J178/H178,"")</f>
        <v/>
      </c>
      <c r="L178" s="32" t="str">
        <f aca="false">IF(H178&gt;0,F178/H178,"")</f>
        <v/>
      </c>
      <c r="M178" s="57" t="str">
        <f aca="false">IF(F178&gt;0,J178/F178,"")</f>
        <v/>
      </c>
      <c r="N178" s="34" t="str">
        <f aca="false">IF(D178+E178&gt;0,D178/(D178+E178),"")</f>
        <v/>
      </c>
      <c r="O178" s="33" t="n">
        <f aca="false">IF(H178&gt;0,D178*(B178*(P1_BEN-P1_IVAN)+C178*(P2_BEN-P2_IVAN))/H178,0)-E178*(COSTE_DEV-IVA_DEV)-Y178</f>
        <v>0</v>
      </c>
      <c r="P178" s="33" t="n">
        <f aca="false">T178-U178-V178-W178-X178-Y178</f>
        <v>0</v>
      </c>
      <c r="R178" s="58" t="n">
        <f aca="false">D178+I178*TASA_USADA</f>
        <v>0</v>
      </c>
      <c r="S178" s="58" t="n">
        <f aca="false">E178+I178*(1-TASA_USADA)</f>
        <v>0</v>
      </c>
      <c r="T178" s="59" t="n">
        <f aca="false">IF(H178&gt;0,R178*J178/H178,0)</f>
        <v>0</v>
      </c>
      <c r="U178" s="59" t="n">
        <f aca="false">IF(H178&gt;0,R178*(B178*P1_CPROD+C178*P2_CPROD)/H178,0)</f>
        <v>0</v>
      </c>
      <c r="V178" s="59" t="n">
        <f aca="false">IF(H178&gt;0,R178*(B178*P1_LOG+C178*P2_LOG)/H178,0)</f>
        <v>0</v>
      </c>
      <c r="W178" s="59" t="n">
        <f aca="false">S178*COSTE_DEV</f>
        <v>0</v>
      </c>
      <c r="X178" s="59" t="n">
        <f aca="false">IF(H178&gt;0,R178*(B178*P1_IVAN+C178*P2_IVAN)/H178,0)-S178*IVA_DEV</f>
        <v>0</v>
      </c>
      <c r="Y178" s="59" t="n">
        <f aca="false">F178*(1+RECARGO_ADS)</f>
        <v>0</v>
      </c>
    </row>
    <row r="179" customFormat="false" ht="15" hidden="false" customHeight="false" outlineLevel="0" collapsed="false">
      <c r="A179" s="53" t="n">
        <v>46473</v>
      </c>
      <c r="B179" s="54"/>
      <c r="C179" s="54"/>
      <c r="D179" s="54"/>
      <c r="E179" s="54"/>
      <c r="F179" s="55"/>
      <c r="G179" s="56"/>
      <c r="H179" s="31" t="n">
        <f aca="false">B179+C179</f>
        <v>0</v>
      </c>
      <c r="I179" s="31" t="n">
        <f aca="false">MAX(0,H179-D179-E179)</f>
        <v>0</v>
      </c>
      <c r="J179" s="32" t="n">
        <f aca="false">B179*P1_PVP+C179*P2_PVP</f>
        <v>0</v>
      </c>
      <c r="K179" s="32" t="str">
        <f aca="false">IF(H179&gt;0,J179/H179,"")</f>
        <v/>
      </c>
      <c r="L179" s="32" t="str">
        <f aca="false">IF(H179&gt;0,F179/H179,"")</f>
        <v/>
      </c>
      <c r="M179" s="57" t="str">
        <f aca="false">IF(F179&gt;0,J179/F179,"")</f>
        <v/>
      </c>
      <c r="N179" s="34" t="str">
        <f aca="false">IF(D179+E179&gt;0,D179/(D179+E179),"")</f>
        <v/>
      </c>
      <c r="O179" s="33" t="n">
        <f aca="false">IF(H179&gt;0,D179*(B179*(P1_BEN-P1_IVAN)+C179*(P2_BEN-P2_IVAN))/H179,0)-E179*(COSTE_DEV-IVA_DEV)-Y179</f>
        <v>0</v>
      </c>
      <c r="P179" s="33" t="n">
        <f aca="false">T179-U179-V179-W179-X179-Y179</f>
        <v>0</v>
      </c>
      <c r="R179" s="58" t="n">
        <f aca="false">D179+I179*TASA_USADA</f>
        <v>0</v>
      </c>
      <c r="S179" s="58" t="n">
        <f aca="false">E179+I179*(1-TASA_USADA)</f>
        <v>0</v>
      </c>
      <c r="T179" s="59" t="n">
        <f aca="false">IF(H179&gt;0,R179*J179/H179,0)</f>
        <v>0</v>
      </c>
      <c r="U179" s="59" t="n">
        <f aca="false">IF(H179&gt;0,R179*(B179*P1_CPROD+C179*P2_CPROD)/H179,0)</f>
        <v>0</v>
      </c>
      <c r="V179" s="59" t="n">
        <f aca="false">IF(H179&gt;0,R179*(B179*P1_LOG+C179*P2_LOG)/H179,0)</f>
        <v>0</v>
      </c>
      <c r="W179" s="59" t="n">
        <f aca="false">S179*COSTE_DEV</f>
        <v>0</v>
      </c>
      <c r="X179" s="59" t="n">
        <f aca="false">IF(H179&gt;0,R179*(B179*P1_IVAN+C179*P2_IVAN)/H179,0)-S179*IVA_DEV</f>
        <v>0</v>
      </c>
      <c r="Y179" s="59" t="n">
        <f aca="false">F179*(1+RECARGO_ADS)</f>
        <v>0</v>
      </c>
    </row>
    <row r="180" customFormat="false" ht="15" hidden="false" customHeight="false" outlineLevel="0" collapsed="false">
      <c r="A180" s="53" t="n">
        <v>46474</v>
      </c>
      <c r="B180" s="54"/>
      <c r="C180" s="54"/>
      <c r="D180" s="54"/>
      <c r="E180" s="54"/>
      <c r="F180" s="55"/>
      <c r="G180" s="56"/>
      <c r="H180" s="31" t="n">
        <f aca="false">B180+C180</f>
        <v>0</v>
      </c>
      <c r="I180" s="31" t="n">
        <f aca="false">MAX(0,H180-D180-E180)</f>
        <v>0</v>
      </c>
      <c r="J180" s="32" t="n">
        <f aca="false">B180*P1_PVP+C180*P2_PVP</f>
        <v>0</v>
      </c>
      <c r="K180" s="32" t="str">
        <f aca="false">IF(H180&gt;0,J180/H180,"")</f>
        <v/>
      </c>
      <c r="L180" s="32" t="str">
        <f aca="false">IF(H180&gt;0,F180/H180,"")</f>
        <v/>
      </c>
      <c r="M180" s="57" t="str">
        <f aca="false">IF(F180&gt;0,J180/F180,"")</f>
        <v/>
      </c>
      <c r="N180" s="34" t="str">
        <f aca="false">IF(D180+E180&gt;0,D180/(D180+E180),"")</f>
        <v/>
      </c>
      <c r="O180" s="33" t="n">
        <f aca="false">IF(H180&gt;0,D180*(B180*(P1_BEN-P1_IVAN)+C180*(P2_BEN-P2_IVAN))/H180,0)-E180*(COSTE_DEV-IVA_DEV)-Y180</f>
        <v>0</v>
      </c>
      <c r="P180" s="33" t="n">
        <f aca="false">T180-U180-V180-W180-X180-Y180</f>
        <v>0</v>
      </c>
      <c r="R180" s="58" t="n">
        <f aca="false">D180+I180*TASA_USADA</f>
        <v>0</v>
      </c>
      <c r="S180" s="58" t="n">
        <f aca="false">E180+I180*(1-TASA_USADA)</f>
        <v>0</v>
      </c>
      <c r="T180" s="59" t="n">
        <f aca="false">IF(H180&gt;0,R180*J180/H180,0)</f>
        <v>0</v>
      </c>
      <c r="U180" s="59" t="n">
        <f aca="false">IF(H180&gt;0,R180*(B180*P1_CPROD+C180*P2_CPROD)/H180,0)</f>
        <v>0</v>
      </c>
      <c r="V180" s="59" t="n">
        <f aca="false">IF(H180&gt;0,R180*(B180*P1_LOG+C180*P2_LOG)/H180,0)</f>
        <v>0</v>
      </c>
      <c r="W180" s="59" t="n">
        <f aca="false">S180*COSTE_DEV</f>
        <v>0</v>
      </c>
      <c r="X180" s="59" t="n">
        <f aca="false">IF(H180&gt;0,R180*(B180*P1_IVAN+C180*P2_IVAN)/H180,0)-S180*IVA_DEV</f>
        <v>0</v>
      </c>
      <c r="Y180" s="59" t="n">
        <f aca="false">F180*(1+RECARGO_ADS)</f>
        <v>0</v>
      </c>
    </row>
    <row r="181" customFormat="false" ht="15" hidden="false" customHeight="false" outlineLevel="0" collapsed="false">
      <c r="A181" s="53" t="n">
        <v>46475</v>
      </c>
      <c r="B181" s="54"/>
      <c r="C181" s="54"/>
      <c r="D181" s="54"/>
      <c r="E181" s="54"/>
      <c r="F181" s="55"/>
      <c r="G181" s="56"/>
      <c r="H181" s="31" t="n">
        <f aca="false">B181+C181</f>
        <v>0</v>
      </c>
      <c r="I181" s="31" t="n">
        <f aca="false">MAX(0,H181-D181-E181)</f>
        <v>0</v>
      </c>
      <c r="J181" s="32" t="n">
        <f aca="false">B181*P1_PVP+C181*P2_PVP</f>
        <v>0</v>
      </c>
      <c r="K181" s="32" t="str">
        <f aca="false">IF(H181&gt;0,J181/H181,"")</f>
        <v/>
      </c>
      <c r="L181" s="32" t="str">
        <f aca="false">IF(H181&gt;0,F181/H181,"")</f>
        <v/>
      </c>
      <c r="M181" s="57" t="str">
        <f aca="false">IF(F181&gt;0,J181/F181,"")</f>
        <v/>
      </c>
      <c r="N181" s="34" t="str">
        <f aca="false">IF(D181+E181&gt;0,D181/(D181+E181),"")</f>
        <v/>
      </c>
      <c r="O181" s="33" t="n">
        <f aca="false">IF(H181&gt;0,D181*(B181*(P1_BEN-P1_IVAN)+C181*(P2_BEN-P2_IVAN))/H181,0)-E181*(COSTE_DEV-IVA_DEV)-Y181</f>
        <v>0</v>
      </c>
      <c r="P181" s="33" t="n">
        <f aca="false">T181-U181-V181-W181-X181-Y181</f>
        <v>0</v>
      </c>
      <c r="R181" s="58" t="n">
        <f aca="false">D181+I181*TASA_USADA</f>
        <v>0</v>
      </c>
      <c r="S181" s="58" t="n">
        <f aca="false">E181+I181*(1-TASA_USADA)</f>
        <v>0</v>
      </c>
      <c r="T181" s="59" t="n">
        <f aca="false">IF(H181&gt;0,R181*J181/H181,0)</f>
        <v>0</v>
      </c>
      <c r="U181" s="59" t="n">
        <f aca="false">IF(H181&gt;0,R181*(B181*P1_CPROD+C181*P2_CPROD)/H181,0)</f>
        <v>0</v>
      </c>
      <c r="V181" s="59" t="n">
        <f aca="false">IF(H181&gt;0,R181*(B181*P1_LOG+C181*P2_LOG)/H181,0)</f>
        <v>0</v>
      </c>
      <c r="W181" s="59" t="n">
        <f aca="false">S181*COSTE_DEV</f>
        <v>0</v>
      </c>
      <c r="X181" s="59" t="n">
        <f aca="false">IF(H181&gt;0,R181*(B181*P1_IVAN+C181*P2_IVAN)/H181,0)-S181*IVA_DEV</f>
        <v>0</v>
      </c>
      <c r="Y181" s="59" t="n">
        <f aca="false">F181*(1+RECARGO_ADS)</f>
        <v>0</v>
      </c>
    </row>
    <row r="182" customFormat="false" ht="15" hidden="false" customHeight="false" outlineLevel="0" collapsed="false">
      <c r="A182" s="53" t="n">
        <v>46476</v>
      </c>
      <c r="B182" s="54"/>
      <c r="C182" s="54"/>
      <c r="D182" s="54"/>
      <c r="E182" s="54"/>
      <c r="F182" s="55"/>
      <c r="G182" s="56"/>
      <c r="H182" s="31" t="n">
        <f aca="false">B182+C182</f>
        <v>0</v>
      </c>
      <c r="I182" s="31" t="n">
        <f aca="false">MAX(0,H182-D182-E182)</f>
        <v>0</v>
      </c>
      <c r="J182" s="32" t="n">
        <f aca="false">B182*P1_PVP+C182*P2_PVP</f>
        <v>0</v>
      </c>
      <c r="K182" s="32" t="str">
        <f aca="false">IF(H182&gt;0,J182/H182,"")</f>
        <v/>
      </c>
      <c r="L182" s="32" t="str">
        <f aca="false">IF(H182&gt;0,F182/H182,"")</f>
        <v/>
      </c>
      <c r="M182" s="57" t="str">
        <f aca="false">IF(F182&gt;0,J182/F182,"")</f>
        <v/>
      </c>
      <c r="N182" s="34" t="str">
        <f aca="false">IF(D182+E182&gt;0,D182/(D182+E182),"")</f>
        <v/>
      </c>
      <c r="O182" s="33" t="n">
        <f aca="false">IF(H182&gt;0,D182*(B182*(P1_BEN-P1_IVAN)+C182*(P2_BEN-P2_IVAN))/H182,0)-E182*(COSTE_DEV-IVA_DEV)-Y182</f>
        <v>0</v>
      </c>
      <c r="P182" s="33" t="n">
        <f aca="false">T182-U182-V182-W182-X182-Y182</f>
        <v>0</v>
      </c>
      <c r="R182" s="58" t="n">
        <f aca="false">D182+I182*TASA_USADA</f>
        <v>0</v>
      </c>
      <c r="S182" s="58" t="n">
        <f aca="false">E182+I182*(1-TASA_USADA)</f>
        <v>0</v>
      </c>
      <c r="T182" s="59" t="n">
        <f aca="false">IF(H182&gt;0,R182*J182/H182,0)</f>
        <v>0</v>
      </c>
      <c r="U182" s="59" t="n">
        <f aca="false">IF(H182&gt;0,R182*(B182*P1_CPROD+C182*P2_CPROD)/H182,0)</f>
        <v>0</v>
      </c>
      <c r="V182" s="59" t="n">
        <f aca="false">IF(H182&gt;0,R182*(B182*P1_LOG+C182*P2_LOG)/H182,0)</f>
        <v>0</v>
      </c>
      <c r="W182" s="59" t="n">
        <f aca="false">S182*COSTE_DEV</f>
        <v>0</v>
      </c>
      <c r="X182" s="59" t="n">
        <f aca="false">IF(H182&gt;0,R182*(B182*P1_IVAN+C182*P2_IVAN)/H182,0)-S182*IVA_DEV</f>
        <v>0</v>
      </c>
      <c r="Y182" s="59" t="n">
        <f aca="false">F182*(1+RECARGO_ADS)</f>
        <v>0</v>
      </c>
    </row>
    <row r="183" customFormat="false" ht="15" hidden="false" customHeight="false" outlineLevel="0" collapsed="false">
      <c r="A183" s="53" t="n">
        <v>46477</v>
      </c>
      <c r="B183" s="54"/>
      <c r="C183" s="54"/>
      <c r="D183" s="54"/>
      <c r="E183" s="54"/>
      <c r="F183" s="55"/>
      <c r="G183" s="56"/>
      <c r="H183" s="31" t="n">
        <f aca="false">B183+C183</f>
        <v>0</v>
      </c>
      <c r="I183" s="31" t="n">
        <f aca="false">MAX(0,H183-D183-E183)</f>
        <v>0</v>
      </c>
      <c r="J183" s="32" t="n">
        <f aca="false">B183*P1_PVP+C183*P2_PVP</f>
        <v>0</v>
      </c>
      <c r="K183" s="32" t="str">
        <f aca="false">IF(H183&gt;0,J183/H183,"")</f>
        <v/>
      </c>
      <c r="L183" s="32" t="str">
        <f aca="false">IF(H183&gt;0,F183/H183,"")</f>
        <v/>
      </c>
      <c r="M183" s="57" t="str">
        <f aca="false">IF(F183&gt;0,J183/F183,"")</f>
        <v/>
      </c>
      <c r="N183" s="34" t="str">
        <f aca="false">IF(D183+E183&gt;0,D183/(D183+E183),"")</f>
        <v/>
      </c>
      <c r="O183" s="33" t="n">
        <f aca="false">IF(H183&gt;0,D183*(B183*(P1_BEN-P1_IVAN)+C183*(P2_BEN-P2_IVAN))/H183,0)-E183*(COSTE_DEV-IVA_DEV)-Y183</f>
        <v>0</v>
      </c>
      <c r="P183" s="33" t="n">
        <f aca="false">T183-U183-V183-W183-X183-Y183</f>
        <v>0</v>
      </c>
      <c r="R183" s="58" t="n">
        <f aca="false">D183+I183*TASA_USADA</f>
        <v>0</v>
      </c>
      <c r="S183" s="58" t="n">
        <f aca="false">E183+I183*(1-TASA_USADA)</f>
        <v>0</v>
      </c>
      <c r="T183" s="59" t="n">
        <f aca="false">IF(H183&gt;0,R183*J183/H183,0)</f>
        <v>0</v>
      </c>
      <c r="U183" s="59" t="n">
        <f aca="false">IF(H183&gt;0,R183*(B183*P1_CPROD+C183*P2_CPROD)/H183,0)</f>
        <v>0</v>
      </c>
      <c r="V183" s="59" t="n">
        <f aca="false">IF(H183&gt;0,R183*(B183*P1_LOG+C183*P2_LOG)/H183,0)</f>
        <v>0</v>
      </c>
      <c r="W183" s="59" t="n">
        <f aca="false">S183*COSTE_DEV</f>
        <v>0</v>
      </c>
      <c r="X183" s="59" t="n">
        <f aca="false">IF(H183&gt;0,R183*(B183*P1_IVAN+C183*P2_IVAN)/H183,0)-S183*IVA_DEV</f>
        <v>0</v>
      </c>
      <c r="Y183" s="59" t="n">
        <f aca="false">F183*(1+RECARGO_ADS)</f>
        <v>0</v>
      </c>
    </row>
    <row r="184" customFormat="false" ht="15" hidden="false" customHeight="false" outlineLevel="0" collapsed="false">
      <c r="A184" s="53" t="n">
        <v>46478</v>
      </c>
      <c r="B184" s="54"/>
      <c r="C184" s="54"/>
      <c r="D184" s="54"/>
      <c r="E184" s="54"/>
      <c r="F184" s="55"/>
      <c r="G184" s="56"/>
      <c r="H184" s="31" t="n">
        <f aca="false">B184+C184</f>
        <v>0</v>
      </c>
      <c r="I184" s="31" t="n">
        <f aca="false">MAX(0,H184-D184-E184)</f>
        <v>0</v>
      </c>
      <c r="J184" s="32" t="n">
        <f aca="false">B184*P1_PVP+C184*P2_PVP</f>
        <v>0</v>
      </c>
      <c r="K184" s="32" t="str">
        <f aca="false">IF(H184&gt;0,J184/H184,"")</f>
        <v/>
      </c>
      <c r="L184" s="32" t="str">
        <f aca="false">IF(H184&gt;0,F184/H184,"")</f>
        <v/>
      </c>
      <c r="M184" s="57" t="str">
        <f aca="false">IF(F184&gt;0,J184/F184,"")</f>
        <v/>
      </c>
      <c r="N184" s="34" t="str">
        <f aca="false">IF(D184+E184&gt;0,D184/(D184+E184),"")</f>
        <v/>
      </c>
      <c r="O184" s="33" t="n">
        <f aca="false">IF(H184&gt;0,D184*(B184*(P1_BEN-P1_IVAN)+C184*(P2_BEN-P2_IVAN))/H184,0)-E184*(COSTE_DEV-IVA_DEV)-Y184</f>
        <v>0</v>
      </c>
      <c r="P184" s="33" t="n">
        <f aca="false">T184-U184-V184-W184-X184-Y184</f>
        <v>0</v>
      </c>
      <c r="R184" s="58" t="n">
        <f aca="false">D184+I184*TASA_USADA</f>
        <v>0</v>
      </c>
      <c r="S184" s="58" t="n">
        <f aca="false">E184+I184*(1-TASA_USADA)</f>
        <v>0</v>
      </c>
      <c r="T184" s="59" t="n">
        <f aca="false">IF(H184&gt;0,R184*J184/H184,0)</f>
        <v>0</v>
      </c>
      <c r="U184" s="59" t="n">
        <f aca="false">IF(H184&gt;0,R184*(B184*P1_CPROD+C184*P2_CPROD)/H184,0)</f>
        <v>0</v>
      </c>
      <c r="V184" s="59" t="n">
        <f aca="false">IF(H184&gt;0,R184*(B184*P1_LOG+C184*P2_LOG)/H184,0)</f>
        <v>0</v>
      </c>
      <c r="W184" s="59" t="n">
        <f aca="false">S184*COSTE_DEV</f>
        <v>0</v>
      </c>
      <c r="X184" s="59" t="n">
        <f aca="false">IF(H184&gt;0,R184*(B184*P1_IVAN+C184*P2_IVAN)/H184,0)-S184*IVA_DEV</f>
        <v>0</v>
      </c>
      <c r="Y184" s="59" t="n">
        <f aca="false">F184*(1+RECARGO_ADS)</f>
        <v>0</v>
      </c>
    </row>
    <row r="185" customFormat="false" ht="15" hidden="false" customHeight="false" outlineLevel="0" collapsed="false">
      <c r="A185" s="53" t="n">
        <v>46479</v>
      </c>
      <c r="B185" s="54"/>
      <c r="C185" s="54"/>
      <c r="D185" s="54"/>
      <c r="E185" s="54"/>
      <c r="F185" s="55"/>
      <c r="G185" s="56"/>
      <c r="H185" s="31" t="n">
        <f aca="false">B185+C185</f>
        <v>0</v>
      </c>
      <c r="I185" s="31" t="n">
        <f aca="false">MAX(0,H185-D185-E185)</f>
        <v>0</v>
      </c>
      <c r="J185" s="32" t="n">
        <f aca="false">B185*P1_PVP+C185*P2_PVP</f>
        <v>0</v>
      </c>
      <c r="K185" s="32" t="str">
        <f aca="false">IF(H185&gt;0,J185/H185,"")</f>
        <v/>
      </c>
      <c r="L185" s="32" t="str">
        <f aca="false">IF(H185&gt;0,F185/H185,"")</f>
        <v/>
      </c>
      <c r="M185" s="57" t="str">
        <f aca="false">IF(F185&gt;0,J185/F185,"")</f>
        <v/>
      </c>
      <c r="N185" s="34" t="str">
        <f aca="false">IF(D185+E185&gt;0,D185/(D185+E185),"")</f>
        <v/>
      </c>
      <c r="O185" s="33" t="n">
        <f aca="false">IF(H185&gt;0,D185*(B185*(P1_BEN-P1_IVAN)+C185*(P2_BEN-P2_IVAN))/H185,0)-E185*(COSTE_DEV-IVA_DEV)-Y185</f>
        <v>0</v>
      </c>
      <c r="P185" s="33" t="n">
        <f aca="false">T185-U185-V185-W185-X185-Y185</f>
        <v>0</v>
      </c>
      <c r="R185" s="58" t="n">
        <f aca="false">D185+I185*TASA_USADA</f>
        <v>0</v>
      </c>
      <c r="S185" s="58" t="n">
        <f aca="false">E185+I185*(1-TASA_USADA)</f>
        <v>0</v>
      </c>
      <c r="T185" s="59" t="n">
        <f aca="false">IF(H185&gt;0,R185*J185/H185,0)</f>
        <v>0</v>
      </c>
      <c r="U185" s="59" t="n">
        <f aca="false">IF(H185&gt;0,R185*(B185*P1_CPROD+C185*P2_CPROD)/H185,0)</f>
        <v>0</v>
      </c>
      <c r="V185" s="59" t="n">
        <f aca="false">IF(H185&gt;0,R185*(B185*P1_LOG+C185*P2_LOG)/H185,0)</f>
        <v>0</v>
      </c>
      <c r="W185" s="59" t="n">
        <f aca="false">S185*COSTE_DEV</f>
        <v>0</v>
      </c>
      <c r="X185" s="59" t="n">
        <f aca="false">IF(H185&gt;0,R185*(B185*P1_IVAN+C185*P2_IVAN)/H185,0)-S185*IVA_DEV</f>
        <v>0</v>
      </c>
      <c r="Y185" s="59" t="n">
        <f aca="false">F185*(1+RECARGO_ADS)</f>
        <v>0</v>
      </c>
    </row>
    <row r="186" customFormat="false" ht="15" hidden="false" customHeight="false" outlineLevel="0" collapsed="false">
      <c r="A186" s="53" t="n">
        <v>46480</v>
      </c>
      <c r="B186" s="54"/>
      <c r="C186" s="54"/>
      <c r="D186" s="54"/>
      <c r="E186" s="54"/>
      <c r="F186" s="55"/>
      <c r="G186" s="56"/>
      <c r="H186" s="31" t="n">
        <f aca="false">B186+C186</f>
        <v>0</v>
      </c>
      <c r="I186" s="31" t="n">
        <f aca="false">MAX(0,H186-D186-E186)</f>
        <v>0</v>
      </c>
      <c r="J186" s="32" t="n">
        <f aca="false">B186*P1_PVP+C186*P2_PVP</f>
        <v>0</v>
      </c>
      <c r="K186" s="32" t="str">
        <f aca="false">IF(H186&gt;0,J186/H186,"")</f>
        <v/>
      </c>
      <c r="L186" s="32" t="str">
        <f aca="false">IF(H186&gt;0,F186/H186,"")</f>
        <v/>
      </c>
      <c r="M186" s="57" t="str">
        <f aca="false">IF(F186&gt;0,J186/F186,"")</f>
        <v/>
      </c>
      <c r="N186" s="34" t="str">
        <f aca="false">IF(D186+E186&gt;0,D186/(D186+E186),"")</f>
        <v/>
      </c>
      <c r="O186" s="33" t="n">
        <f aca="false">IF(H186&gt;0,D186*(B186*(P1_BEN-P1_IVAN)+C186*(P2_BEN-P2_IVAN))/H186,0)-E186*(COSTE_DEV-IVA_DEV)-Y186</f>
        <v>0</v>
      </c>
      <c r="P186" s="33" t="n">
        <f aca="false">T186-U186-V186-W186-X186-Y186</f>
        <v>0</v>
      </c>
      <c r="R186" s="58" t="n">
        <f aca="false">D186+I186*TASA_USADA</f>
        <v>0</v>
      </c>
      <c r="S186" s="58" t="n">
        <f aca="false">E186+I186*(1-TASA_USADA)</f>
        <v>0</v>
      </c>
      <c r="T186" s="59" t="n">
        <f aca="false">IF(H186&gt;0,R186*J186/H186,0)</f>
        <v>0</v>
      </c>
      <c r="U186" s="59" t="n">
        <f aca="false">IF(H186&gt;0,R186*(B186*P1_CPROD+C186*P2_CPROD)/H186,0)</f>
        <v>0</v>
      </c>
      <c r="V186" s="59" t="n">
        <f aca="false">IF(H186&gt;0,R186*(B186*P1_LOG+C186*P2_LOG)/H186,0)</f>
        <v>0</v>
      </c>
      <c r="W186" s="59" t="n">
        <f aca="false">S186*COSTE_DEV</f>
        <v>0</v>
      </c>
      <c r="X186" s="59" t="n">
        <f aca="false">IF(H186&gt;0,R186*(B186*P1_IVAN+C186*P2_IVAN)/H186,0)-S186*IVA_DEV</f>
        <v>0</v>
      </c>
      <c r="Y186" s="59" t="n">
        <f aca="false">F186*(1+RECARGO_ADS)</f>
        <v>0</v>
      </c>
    </row>
    <row r="187" customFormat="false" ht="15" hidden="false" customHeight="false" outlineLevel="0" collapsed="false">
      <c r="A187" s="53" t="n">
        <v>46481</v>
      </c>
      <c r="B187" s="54"/>
      <c r="C187" s="54"/>
      <c r="D187" s="54"/>
      <c r="E187" s="54"/>
      <c r="F187" s="55"/>
      <c r="G187" s="56"/>
      <c r="H187" s="31" t="n">
        <f aca="false">B187+C187</f>
        <v>0</v>
      </c>
      <c r="I187" s="31" t="n">
        <f aca="false">MAX(0,H187-D187-E187)</f>
        <v>0</v>
      </c>
      <c r="J187" s="32" t="n">
        <f aca="false">B187*P1_PVP+C187*P2_PVP</f>
        <v>0</v>
      </c>
      <c r="K187" s="32" t="str">
        <f aca="false">IF(H187&gt;0,J187/H187,"")</f>
        <v/>
      </c>
      <c r="L187" s="32" t="str">
        <f aca="false">IF(H187&gt;0,F187/H187,"")</f>
        <v/>
      </c>
      <c r="M187" s="57" t="str">
        <f aca="false">IF(F187&gt;0,J187/F187,"")</f>
        <v/>
      </c>
      <c r="N187" s="34" t="str">
        <f aca="false">IF(D187+E187&gt;0,D187/(D187+E187),"")</f>
        <v/>
      </c>
      <c r="O187" s="33" t="n">
        <f aca="false">IF(H187&gt;0,D187*(B187*(P1_BEN-P1_IVAN)+C187*(P2_BEN-P2_IVAN))/H187,0)-E187*(COSTE_DEV-IVA_DEV)-Y187</f>
        <v>0</v>
      </c>
      <c r="P187" s="33" t="n">
        <f aca="false">T187-U187-V187-W187-X187-Y187</f>
        <v>0</v>
      </c>
      <c r="R187" s="58" t="n">
        <f aca="false">D187+I187*TASA_USADA</f>
        <v>0</v>
      </c>
      <c r="S187" s="58" t="n">
        <f aca="false">E187+I187*(1-TASA_USADA)</f>
        <v>0</v>
      </c>
      <c r="T187" s="59" t="n">
        <f aca="false">IF(H187&gt;0,R187*J187/H187,0)</f>
        <v>0</v>
      </c>
      <c r="U187" s="59" t="n">
        <f aca="false">IF(H187&gt;0,R187*(B187*P1_CPROD+C187*P2_CPROD)/H187,0)</f>
        <v>0</v>
      </c>
      <c r="V187" s="59" t="n">
        <f aca="false">IF(H187&gt;0,R187*(B187*P1_LOG+C187*P2_LOG)/H187,0)</f>
        <v>0</v>
      </c>
      <c r="W187" s="59" t="n">
        <f aca="false">S187*COSTE_DEV</f>
        <v>0</v>
      </c>
      <c r="X187" s="59" t="n">
        <f aca="false">IF(H187&gt;0,R187*(B187*P1_IVAN+C187*P2_IVAN)/H187,0)-S187*IVA_DEV</f>
        <v>0</v>
      </c>
      <c r="Y187" s="59" t="n">
        <f aca="false">F187*(1+RECARGO_ADS)</f>
        <v>0</v>
      </c>
    </row>
    <row r="188" customFormat="false" ht="15" hidden="false" customHeight="false" outlineLevel="0" collapsed="false">
      <c r="A188" s="53" t="n">
        <v>46482</v>
      </c>
      <c r="B188" s="54"/>
      <c r="C188" s="54"/>
      <c r="D188" s="54"/>
      <c r="E188" s="54"/>
      <c r="F188" s="55"/>
      <c r="G188" s="56"/>
      <c r="H188" s="31" t="n">
        <f aca="false">B188+C188</f>
        <v>0</v>
      </c>
      <c r="I188" s="31" t="n">
        <f aca="false">MAX(0,H188-D188-E188)</f>
        <v>0</v>
      </c>
      <c r="J188" s="32" t="n">
        <f aca="false">B188*P1_PVP+C188*P2_PVP</f>
        <v>0</v>
      </c>
      <c r="K188" s="32" t="str">
        <f aca="false">IF(H188&gt;0,J188/H188,"")</f>
        <v/>
      </c>
      <c r="L188" s="32" t="str">
        <f aca="false">IF(H188&gt;0,F188/H188,"")</f>
        <v/>
      </c>
      <c r="M188" s="57" t="str">
        <f aca="false">IF(F188&gt;0,J188/F188,"")</f>
        <v/>
      </c>
      <c r="N188" s="34" t="str">
        <f aca="false">IF(D188+E188&gt;0,D188/(D188+E188),"")</f>
        <v/>
      </c>
      <c r="O188" s="33" t="n">
        <f aca="false">IF(H188&gt;0,D188*(B188*(P1_BEN-P1_IVAN)+C188*(P2_BEN-P2_IVAN))/H188,0)-E188*(COSTE_DEV-IVA_DEV)-Y188</f>
        <v>0</v>
      </c>
      <c r="P188" s="33" t="n">
        <f aca="false">T188-U188-V188-W188-X188-Y188</f>
        <v>0</v>
      </c>
      <c r="R188" s="58" t="n">
        <f aca="false">D188+I188*TASA_USADA</f>
        <v>0</v>
      </c>
      <c r="S188" s="58" t="n">
        <f aca="false">E188+I188*(1-TASA_USADA)</f>
        <v>0</v>
      </c>
      <c r="T188" s="59" t="n">
        <f aca="false">IF(H188&gt;0,R188*J188/H188,0)</f>
        <v>0</v>
      </c>
      <c r="U188" s="59" t="n">
        <f aca="false">IF(H188&gt;0,R188*(B188*P1_CPROD+C188*P2_CPROD)/H188,0)</f>
        <v>0</v>
      </c>
      <c r="V188" s="59" t="n">
        <f aca="false">IF(H188&gt;0,R188*(B188*P1_LOG+C188*P2_LOG)/H188,0)</f>
        <v>0</v>
      </c>
      <c r="W188" s="59" t="n">
        <f aca="false">S188*COSTE_DEV</f>
        <v>0</v>
      </c>
      <c r="X188" s="59" t="n">
        <f aca="false">IF(H188&gt;0,R188*(B188*P1_IVAN+C188*P2_IVAN)/H188,0)-S188*IVA_DEV</f>
        <v>0</v>
      </c>
      <c r="Y188" s="59" t="n">
        <f aca="false">F188*(1+RECARGO_ADS)</f>
        <v>0</v>
      </c>
    </row>
    <row r="189" customFormat="false" ht="15" hidden="false" customHeight="false" outlineLevel="0" collapsed="false">
      <c r="A189" s="53" t="n">
        <v>46483</v>
      </c>
      <c r="B189" s="54"/>
      <c r="C189" s="54"/>
      <c r="D189" s="54"/>
      <c r="E189" s="54"/>
      <c r="F189" s="55"/>
      <c r="G189" s="56"/>
      <c r="H189" s="31" t="n">
        <f aca="false">B189+C189</f>
        <v>0</v>
      </c>
      <c r="I189" s="31" t="n">
        <f aca="false">MAX(0,H189-D189-E189)</f>
        <v>0</v>
      </c>
      <c r="J189" s="32" t="n">
        <f aca="false">B189*P1_PVP+C189*P2_PVP</f>
        <v>0</v>
      </c>
      <c r="K189" s="32" t="str">
        <f aca="false">IF(H189&gt;0,J189/H189,"")</f>
        <v/>
      </c>
      <c r="L189" s="32" t="str">
        <f aca="false">IF(H189&gt;0,F189/H189,"")</f>
        <v/>
      </c>
      <c r="M189" s="57" t="str">
        <f aca="false">IF(F189&gt;0,J189/F189,"")</f>
        <v/>
      </c>
      <c r="N189" s="34" t="str">
        <f aca="false">IF(D189+E189&gt;0,D189/(D189+E189),"")</f>
        <v/>
      </c>
      <c r="O189" s="33" t="n">
        <f aca="false">IF(H189&gt;0,D189*(B189*(P1_BEN-P1_IVAN)+C189*(P2_BEN-P2_IVAN))/H189,0)-E189*(COSTE_DEV-IVA_DEV)-Y189</f>
        <v>0</v>
      </c>
      <c r="P189" s="33" t="n">
        <f aca="false">T189-U189-V189-W189-X189-Y189</f>
        <v>0</v>
      </c>
      <c r="R189" s="58" t="n">
        <f aca="false">D189+I189*TASA_USADA</f>
        <v>0</v>
      </c>
      <c r="S189" s="58" t="n">
        <f aca="false">E189+I189*(1-TASA_USADA)</f>
        <v>0</v>
      </c>
      <c r="T189" s="59" t="n">
        <f aca="false">IF(H189&gt;0,R189*J189/H189,0)</f>
        <v>0</v>
      </c>
      <c r="U189" s="59" t="n">
        <f aca="false">IF(H189&gt;0,R189*(B189*P1_CPROD+C189*P2_CPROD)/H189,0)</f>
        <v>0</v>
      </c>
      <c r="V189" s="59" t="n">
        <f aca="false">IF(H189&gt;0,R189*(B189*P1_LOG+C189*P2_LOG)/H189,0)</f>
        <v>0</v>
      </c>
      <c r="W189" s="59" t="n">
        <f aca="false">S189*COSTE_DEV</f>
        <v>0</v>
      </c>
      <c r="X189" s="59" t="n">
        <f aca="false">IF(H189&gt;0,R189*(B189*P1_IVAN+C189*P2_IVAN)/H189,0)-S189*IVA_DEV</f>
        <v>0</v>
      </c>
      <c r="Y189" s="59" t="n">
        <f aca="false">F189*(1+RECARGO_ADS)</f>
        <v>0</v>
      </c>
    </row>
    <row r="190" customFormat="false" ht="15" hidden="false" customHeight="false" outlineLevel="0" collapsed="false">
      <c r="A190" s="53" t="n">
        <v>46484</v>
      </c>
      <c r="B190" s="54"/>
      <c r="C190" s="54"/>
      <c r="D190" s="54"/>
      <c r="E190" s="54"/>
      <c r="F190" s="55"/>
      <c r="G190" s="56"/>
      <c r="H190" s="31" t="n">
        <f aca="false">B190+C190</f>
        <v>0</v>
      </c>
      <c r="I190" s="31" t="n">
        <f aca="false">MAX(0,H190-D190-E190)</f>
        <v>0</v>
      </c>
      <c r="J190" s="32" t="n">
        <f aca="false">B190*P1_PVP+C190*P2_PVP</f>
        <v>0</v>
      </c>
      <c r="K190" s="32" t="str">
        <f aca="false">IF(H190&gt;0,J190/H190,"")</f>
        <v/>
      </c>
      <c r="L190" s="32" t="str">
        <f aca="false">IF(H190&gt;0,F190/H190,"")</f>
        <v/>
      </c>
      <c r="M190" s="57" t="str">
        <f aca="false">IF(F190&gt;0,J190/F190,"")</f>
        <v/>
      </c>
      <c r="N190" s="34" t="str">
        <f aca="false">IF(D190+E190&gt;0,D190/(D190+E190),"")</f>
        <v/>
      </c>
      <c r="O190" s="33" t="n">
        <f aca="false">IF(H190&gt;0,D190*(B190*(P1_BEN-P1_IVAN)+C190*(P2_BEN-P2_IVAN))/H190,0)-E190*(COSTE_DEV-IVA_DEV)-Y190</f>
        <v>0</v>
      </c>
      <c r="P190" s="33" t="n">
        <f aca="false">T190-U190-V190-W190-X190-Y190</f>
        <v>0</v>
      </c>
      <c r="R190" s="58" t="n">
        <f aca="false">D190+I190*TASA_USADA</f>
        <v>0</v>
      </c>
      <c r="S190" s="58" t="n">
        <f aca="false">E190+I190*(1-TASA_USADA)</f>
        <v>0</v>
      </c>
      <c r="T190" s="59" t="n">
        <f aca="false">IF(H190&gt;0,R190*J190/H190,0)</f>
        <v>0</v>
      </c>
      <c r="U190" s="59" t="n">
        <f aca="false">IF(H190&gt;0,R190*(B190*P1_CPROD+C190*P2_CPROD)/H190,0)</f>
        <v>0</v>
      </c>
      <c r="V190" s="59" t="n">
        <f aca="false">IF(H190&gt;0,R190*(B190*P1_LOG+C190*P2_LOG)/H190,0)</f>
        <v>0</v>
      </c>
      <c r="W190" s="59" t="n">
        <f aca="false">S190*COSTE_DEV</f>
        <v>0</v>
      </c>
      <c r="X190" s="59" t="n">
        <f aca="false">IF(H190&gt;0,R190*(B190*P1_IVAN+C190*P2_IVAN)/H190,0)-S190*IVA_DEV</f>
        <v>0</v>
      </c>
      <c r="Y190" s="59" t="n">
        <f aca="false">F190*(1+RECARGO_ADS)</f>
        <v>0</v>
      </c>
    </row>
    <row r="191" customFormat="false" ht="15" hidden="false" customHeight="false" outlineLevel="0" collapsed="false">
      <c r="A191" s="53" t="n">
        <v>46485</v>
      </c>
      <c r="B191" s="54"/>
      <c r="C191" s="54"/>
      <c r="D191" s="54"/>
      <c r="E191" s="54"/>
      <c r="F191" s="55"/>
      <c r="G191" s="56"/>
      <c r="H191" s="31" t="n">
        <f aca="false">B191+C191</f>
        <v>0</v>
      </c>
      <c r="I191" s="31" t="n">
        <f aca="false">MAX(0,H191-D191-E191)</f>
        <v>0</v>
      </c>
      <c r="J191" s="32" t="n">
        <f aca="false">B191*P1_PVP+C191*P2_PVP</f>
        <v>0</v>
      </c>
      <c r="K191" s="32" t="str">
        <f aca="false">IF(H191&gt;0,J191/H191,"")</f>
        <v/>
      </c>
      <c r="L191" s="32" t="str">
        <f aca="false">IF(H191&gt;0,F191/H191,"")</f>
        <v/>
      </c>
      <c r="M191" s="57" t="str">
        <f aca="false">IF(F191&gt;0,J191/F191,"")</f>
        <v/>
      </c>
      <c r="N191" s="34" t="str">
        <f aca="false">IF(D191+E191&gt;0,D191/(D191+E191),"")</f>
        <v/>
      </c>
      <c r="O191" s="33" t="n">
        <f aca="false">IF(H191&gt;0,D191*(B191*(P1_BEN-P1_IVAN)+C191*(P2_BEN-P2_IVAN))/H191,0)-E191*(COSTE_DEV-IVA_DEV)-Y191</f>
        <v>0</v>
      </c>
      <c r="P191" s="33" t="n">
        <f aca="false">T191-U191-V191-W191-X191-Y191</f>
        <v>0</v>
      </c>
      <c r="R191" s="58" t="n">
        <f aca="false">D191+I191*TASA_USADA</f>
        <v>0</v>
      </c>
      <c r="S191" s="58" t="n">
        <f aca="false">E191+I191*(1-TASA_USADA)</f>
        <v>0</v>
      </c>
      <c r="T191" s="59" t="n">
        <f aca="false">IF(H191&gt;0,R191*J191/H191,0)</f>
        <v>0</v>
      </c>
      <c r="U191" s="59" t="n">
        <f aca="false">IF(H191&gt;0,R191*(B191*P1_CPROD+C191*P2_CPROD)/H191,0)</f>
        <v>0</v>
      </c>
      <c r="V191" s="59" t="n">
        <f aca="false">IF(H191&gt;0,R191*(B191*P1_LOG+C191*P2_LOG)/H191,0)</f>
        <v>0</v>
      </c>
      <c r="W191" s="59" t="n">
        <f aca="false">S191*COSTE_DEV</f>
        <v>0</v>
      </c>
      <c r="X191" s="59" t="n">
        <f aca="false">IF(H191&gt;0,R191*(B191*P1_IVAN+C191*P2_IVAN)/H191,0)-S191*IVA_DEV</f>
        <v>0</v>
      </c>
      <c r="Y191" s="59" t="n">
        <f aca="false">F191*(1+RECARGO_ADS)</f>
        <v>0</v>
      </c>
    </row>
    <row r="192" customFormat="false" ht="15" hidden="false" customHeight="false" outlineLevel="0" collapsed="false">
      <c r="A192" s="53" t="n">
        <v>46486</v>
      </c>
      <c r="B192" s="54"/>
      <c r="C192" s="54"/>
      <c r="D192" s="54"/>
      <c r="E192" s="54"/>
      <c r="F192" s="55"/>
      <c r="G192" s="56"/>
      <c r="H192" s="31" t="n">
        <f aca="false">B192+C192</f>
        <v>0</v>
      </c>
      <c r="I192" s="31" t="n">
        <f aca="false">MAX(0,H192-D192-E192)</f>
        <v>0</v>
      </c>
      <c r="J192" s="32" t="n">
        <f aca="false">B192*P1_PVP+C192*P2_PVP</f>
        <v>0</v>
      </c>
      <c r="K192" s="32" t="str">
        <f aca="false">IF(H192&gt;0,J192/H192,"")</f>
        <v/>
      </c>
      <c r="L192" s="32" t="str">
        <f aca="false">IF(H192&gt;0,F192/H192,"")</f>
        <v/>
      </c>
      <c r="M192" s="57" t="str">
        <f aca="false">IF(F192&gt;0,J192/F192,"")</f>
        <v/>
      </c>
      <c r="N192" s="34" t="str">
        <f aca="false">IF(D192+E192&gt;0,D192/(D192+E192),"")</f>
        <v/>
      </c>
      <c r="O192" s="33" t="n">
        <f aca="false">IF(H192&gt;0,D192*(B192*(P1_BEN-P1_IVAN)+C192*(P2_BEN-P2_IVAN))/H192,0)-E192*(COSTE_DEV-IVA_DEV)-Y192</f>
        <v>0</v>
      </c>
      <c r="P192" s="33" t="n">
        <f aca="false">T192-U192-V192-W192-X192-Y192</f>
        <v>0</v>
      </c>
      <c r="R192" s="58" t="n">
        <f aca="false">D192+I192*TASA_USADA</f>
        <v>0</v>
      </c>
      <c r="S192" s="58" t="n">
        <f aca="false">E192+I192*(1-TASA_USADA)</f>
        <v>0</v>
      </c>
      <c r="T192" s="59" t="n">
        <f aca="false">IF(H192&gt;0,R192*J192/H192,0)</f>
        <v>0</v>
      </c>
      <c r="U192" s="59" t="n">
        <f aca="false">IF(H192&gt;0,R192*(B192*P1_CPROD+C192*P2_CPROD)/H192,0)</f>
        <v>0</v>
      </c>
      <c r="V192" s="59" t="n">
        <f aca="false">IF(H192&gt;0,R192*(B192*P1_LOG+C192*P2_LOG)/H192,0)</f>
        <v>0</v>
      </c>
      <c r="W192" s="59" t="n">
        <f aca="false">S192*COSTE_DEV</f>
        <v>0</v>
      </c>
      <c r="X192" s="59" t="n">
        <f aca="false">IF(H192&gt;0,R192*(B192*P1_IVAN+C192*P2_IVAN)/H192,0)-S192*IVA_DEV</f>
        <v>0</v>
      </c>
      <c r="Y192" s="59" t="n">
        <f aca="false">F192*(1+RECARGO_ADS)</f>
        <v>0</v>
      </c>
    </row>
    <row r="193" customFormat="false" ht="15" hidden="false" customHeight="false" outlineLevel="0" collapsed="false">
      <c r="A193" s="53" t="n">
        <v>46487</v>
      </c>
      <c r="B193" s="54"/>
      <c r="C193" s="54"/>
      <c r="D193" s="54"/>
      <c r="E193" s="54"/>
      <c r="F193" s="55"/>
      <c r="G193" s="56"/>
      <c r="H193" s="31" t="n">
        <f aca="false">B193+C193</f>
        <v>0</v>
      </c>
      <c r="I193" s="31" t="n">
        <f aca="false">MAX(0,H193-D193-E193)</f>
        <v>0</v>
      </c>
      <c r="J193" s="32" t="n">
        <f aca="false">B193*P1_PVP+C193*P2_PVP</f>
        <v>0</v>
      </c>
      <c r="K193" s="32" t="str">
        <f aca="false">IF(H193&gt;0,J193/H193,"")</f>
        <v/>
      </c>
      <c r="L193" s="32" t="str">
        <f aca="false">IF(H193&gt;0,F193/H193,"")</f>
        <v/>
      </c>
      <c r="M193" s="57" t="str">
        <f aca="false">IF(F193&gt;0,J193/F193,"")</f>
        <v/>
      </c>
      <c r="N193" s="34" t="str">
        <f aca="false">IF(D193+E193&gt;0,D193/(D193+E193),"")</f>
        <v/>
      </c>
      <c r="O193" s="33" t="n">
        <f aca="false">IF(H193&gt;0,D193*(B193*(P1_BEN-P1_IVAN)+C193*(P2_BEN-P2_IVAN))/H193,0)-E193*(COSTE_DEV-IVA_DEV)-Y193</f>
        <v>0</v>
      </c>
      <c r="P193" s="33" t="n">
        <f aca="false">T193-U193-V193-W193-X193-Y193</f>
        <v>0</v>
      </c>
      <c r="R193" s="58" t="n">
        <f aca="false">D193+I193*TASA_USADA</f>
        <v>0</v>
      </c>
      <c r="S193" s="58" t="n">
        <f aca="false">E193+I193*(1-TASA_USADA)</f>
        <v>0</v>
      </c>
      <c r="T193" s="59" t="n">
        <f aca="false">IF(H193&gt;0,R193*J193/H193,0)</f>
        <v>0</v>
      </c>
      <c r="U193" s="59" t="n">
        <f aca="false">IF(H193&gt;0,R193*(B193*P1_CPROD+C193*P2_CPROD)/H193,0)</f>
        <v>0</v>
      </c>
      <c r="V193" s="59" t="n">
        <f aca="false">IF(H193&gt;0,R193*(B193*P1_LOG+C193*P2_LOG)/H193,0)</f>
        <v>0</v>
      </c>
      <c r="W193" s="59" t="n">
        <f aca="false">S193*COSTE_DEV</f>
        <v>0</v>
      </c>
      <c r="X193" s="59" t="n">
        <f aca="false">IF(H193&gt;0,R193*(B193*P1_IVAN+C193*P2_IVAN)/H193,0)-S193*IVA_DEV</f>
        <v>0</v>
      </c>
      <c r="Y193" s="59" t="n">
        <f aca="false">F193*(1+RECARGO_ADS)</f>
        <v>0</v>
      </c>
    </row>
    <row r="194" customFormat="false" ht="15" hidden="false" customHeight="false" outlineLevel="0" collapsed="false">
      <c r="A194" s="53" t="n">
        <v>46488</v>
      </c>
      <c r="B194" s="54"/>
      <c r="C194" s="54"/>
      <c r="D194" s="54"/>
      <c r="E194" s="54"/>
      <c r="F194" s="55"/>
      <c r="G194" s="56"/>
      <c r="H194" s="31" t="n">
        <f aca="false">B194+C194</f>
        <v>0</v>
      </c>
      <c r="I194" s="31" t="n">
        <f aca="false">MAX(0,H194-D194-E194)</f>
        <v>0</v>
      </c>
      <c r="J194" s="32" t="n">
        <f aca="false">B194*P1_PVP+C194*P2_PVP</f>
        <v>0</v>
      </c>
      <c r="K194" s="32" t="str">
        <f aca="false">IF(H194&gt;0,J194/H194,"")</f>
        <v/>
      </c>
      <c r="L194" s="32" t="str">
        <f aca="false">IF(H194&gt;0,F194/H194,"")</f>
        <v/>
      </c>
      <c r="M194" s="57" t="str">
        <f aca="false">IF(F194&gt;0,J194/F194,"")</f>
        <v/>
      </c>
      <c r="N194" s="34" t="str">
        <f aca="false">IF(D194+E194&gt;0,D194/(D194+E194),"")</f>
        <v/>
      </c>
      <c r="O194" s="33" t="n">
        <f aca="false">IF(H194&gt;0,D194*(B194*(P1_BEN-P1_IVAN)+C194*(P2_BEN-P2_IVAN))/H194,0)-E194*(COSTE_DEV-IVA_DEV)-Y194</f>
        <v>0</v>
      </c>
      <c r="P194" s="33" t="n">
        <f aca="false">T194-U194-V194-W194-X194-Y194</f>
        <v>0</v>
      </c>
      <c r="R194" s="58" t="n">
        <f aca="false">D194+I194*TASA_USADA</f>
        <v>0</v>
      </c>
      <c r="S194" s="58" t="n">
        <f aca="false">E194+I194*(1-TASA_USADA)</f>
        <v>0</v>
      </c>
      <c r="T194" s="59" t="n">
        <f aca="false">IF(H194&gt;0,R194*J194/H194,0)</f>
        <v>0</v>
      </c>
      <c r="U194" s="59" t="n">
        <f aca="false">IF(H194&gt;0,R194*(B194*P1_CPROD+C194*P2_CPROD)/H194,0)</f>
        <v>0</v>
      </c>
      <c r="V194" s="59" t="n">
        <f aca="false">IF(H194&gt;0,R194*(B194*P1_LOG+C194*P2_LOG)/H194,0)</f>
        <v>0</v>
      </c>
      <c r="W194" s="59" t="n">
        <f aca="false">S194*COSTE_DEV</f>
        <v>0</v>
      </c>
      <c r="X194" s="59" t="n">
        <f aca="false">IF(H194&gt;0,R194*(B194*P1_IVAN+C194*P2_IVAN)/H194,0)-S194*IVA_DEV</f>
        <v>0</v>
      </c>
      <c r="Y194" s="59" t="n">
        <f aca="false">F194*(1+RECARGO_ADS)</f>
        <v>0</v>
      </c>
    </row>
    <row r="195" customFormat="false" ht="15" hidden="false" customHeight="false" outlineLevel="0" collapsed="false">
      <c r="A195" s="53" t="n">
        <v>46489</v>
      </c>
      <c r="B195" s="54"/>
      <c r="C195" s="54"/>
      <c r="D195" s="54"/>
      <c r="E195" s="54"/>
      <c r="F195" s="55"/>
      <c r="G195" s="56"/>
      <c r="H195" s="31" t="n">
        <f aca="false">B195+C195</f>
        <v>0</v>
      </c>
      <c r="I195" s="31" t="n">
        <f aca="false">MAX(0,H195-D195-E195)</f>
        <v>0</v>
      </c>
      <c r="J195" s="32" t="n">
        <f aca="false">B195*P1_PVP+C195*P2_PVP</f>
        <v>0</v>
      </c>
      <c r="K195" s="32" t="str">
        <f aca="false">IF(H195&gt;0,J195/H195,"")</f>
        <v/>
      </c>
      <c r="L195" s="32" t="str">
        <f aca="false">IF(H195&gt;0,F195/H195,"")</f>
        <v/>
      </c>
      <c r="M195" s="57" t="str">
        <f aca="false">IF(F195&gt;0,J195/F195,"")</f>
        <v/>
      </c>
      <c r="N195" s="34" t="str">
        <f aca="false">IF(D195+E195&gt;0,D195/(D195+E195),"")</f>
        <v/>
      </c>
      <c r="O195" s="33" t="n">
        <f aca="false">IF(H195&gt;0,D195*(B195*(P1_BEN-P1_IVAN)+C195*(P2_BEN-P2_IVAN))/H195,0)-E195*(COSTE_DEV-IVA_DEV)-Y195</f>
        <v>0</v>
      </c>
      <c r="P195" s="33" t="n">
        <f aca="false">T195-U195-V195-W195-X195-Y195</f>
        <v>0</v>
      </c>
      <c r="R195" s="58" t="n">
        <f aca="false">D195+I195*TASA_USADA</f>
        <v>0</v>
      </c>
      <c r="S195" s="58" t="n">
        <f aca="false">E195+I195*(1-TASA_USADA)</f>
        <v>0</v>
      </c>
      <c r="T195" s="59" t="n">
        <f aca="false">IF(H195&gt;0,R195*J195/H195,0)</f>
        <v>0</v>
      </c>
      <c r="U195" s="59" t="n">
        <f aca="false">IF(H195&gt;0,R195*(B195*P1_CPROD+C195*P2_CPROD)/H195,0)</f>
        <v>0</v>
      </c>
      <c r="V195" s="59" t="n">
        <f aca="false">IF(H195&gt;0,R195*(B195*P1_LOG+C195*P2_LOG)/H195,0)</f>
        <v>0</v>
      </c>
      <c r="W195" s="59" t="n">
        <f aca="false">S195*COSTE_DEV</f>
        <v>0</v>
      </c>
      <c r="X195" s="59" t="n">
        <f aca="false">IF(H195&gt;0,R195*(B195*P1_IVAN+C195*P2_IVAN)/H195,0)-S195*IVA_DEV</f>
        <v>0</v>
      </c>
      <c r="Y195" s="59" t="n">
        <f aca="false">F195*(1+RECARGO_ADS)</f>
        <v>0</v>
      </c>
    </row>
    <row r="196" customFormat="false" ht="15" hidden="false" customHeight="false" outlineLevel="0" collapsed="false">
      <c r="A196" s="53" t="n">
        <v>46490</v>
      </c>
      <c r="B196" s="54"/>
      <c r="C196" s="54"/>
      <c r="D196" s="54"/>
      <c r="E196" s="54"/>
      <c r="F196" s="55"/>
      <c r="G196" s="56"/>
      <c r="H196" s="31" t="n">
        <f aca="false">B196+C196</f>
        <v>0</v>
      </c>
      <c r="I196" s="31" t="n">
        <f aca="false">MAX(0,H196-D196-E196)</f>
        <v>0</v>
      </c>
      <c r="J196" s="32" t="n">
        <f aca="false">B196*P1_PVP+C196*P2_PVP</f>
        <v>0</v>
      </c>
      <c r="K196" s="32" t="str">
        <f aca="false">IF(H196&gt;0,J196/H196,"")</f>
        <v/>
      </c>
      <c r="L196" s="32" t="str">
        <f aca="false">IF(H196&gt;0,F196/H196,"")</f>
        <v/>
      </c>
      <c r="M196" s="57" t="str">
        <f aca="false">IF(F196&gt;0,J196/F196,"")</f>
        <v/>
      </c>
      <c r="N196" s="34" t="str">
        <f aca="false">IF(D196+E196&gt;0,D196/(D196+E196),"")</f>
        <v/>
      </c>
      <c r="O196" s="33" t="n">
        <f aca="false">IF(H196&gt;0,D196*(B196*(P1_BEN-P1_IVAN)+C196*(P2_BEN-P2_IVAN))/H196,0)-E196*(COSTE_DEV-IVA_DEV)-Y196</f>
        <v>0</v>
      </c>
      <c r="P196" s="33" t="n">
        <f aca="false">T196-U196-V196-W196-X196-Y196</f>
        <v>0</v>
      </c>
      <c r="R196" s="58" t="n">
        <f aca="false">D196+I196*TASA_USADA</f>
        <v>0</v>
      </c>
      <c r="S196" s="58" t="n">
        <f aca="false">E196+I196*(1-TASA_USADA)</f>
        <v>0</v>
      </c>
      <c r="T196" s="59" t="n">
        <f aca="false">IF(H196&gt;0,R196*J196/H196,0)</f>
        <v>0</v>
      </c>
      <c r="U196" s="59" t="n">
        <f aca="false">IF(H196&gt;0,R196*(B196*P1_CPROD+C196*P2_CPROD)/H196,0)</f>
        <v>0</v>
      </c>
      <c r="V196" s="59" t="n">
        <f aca="false">IF(H196&gt;0,R196*(B196*P1_LOG+C196*P2_LOG)/H196,0)</f>
        <v>0</v>
      </c>
      <c r="W196" s="59" t="n">
        <f aca="false">S196*COSTE_DEV</f>
        <v>0</v>
      </c>
      <c r="X196" s="59" t="n">
        <f aca="false">IF(H196&gt;0,R196*(B196*P1_IVAN+C196*P2_IVAN)/H196,0)-S196*IVA_DEV</f>
        <v>0</v>
      </c>
      <c r="Y196" s="59" t="n">
        <f aca="false">F196*(1+RECARGO_ADS)</f>
        <v>0</v>
      </c>
    </row>
    <row r="197" customFormat="false" ht="15" hidden="false" customHeight="false" outlineLevel="0" collapsed="false">
      <c r="A197" s="53" t="n">
        <v>46491</v>
      </c>
      <c r="B197" s="54"/>
      <c r="C197" s="54"/>
      <c r="D197" s="54"/>
      <c r="E197" s="54"/>
      <c r="F197" s="55"/>
      <c r="G197" s="56"/>
      <c r="H197" s="31" t="n">
        <f aca="false">B197+C197</f>
        <v>0</v>
      </c>
      <c r="I197" s="31" t="n">
        <f aca="false">MAX(0,H197-D197-E197)</f>
        <v>0</v>
      </c>
      <c r="J197" s="32" t="n">
        <f aca="false">B197*P1_PVP+C197*P2_PVP</f>
        <v>0</v>
      </c>
      <c r="K197" s="32" t="str">
        <f aca="false">IF(H197&gt;0,J197/H197,"")</f>
        <v/>
      </c>
      <c r="L197" s="32" t="str">
        <f aca="false">IF(H197&gt;0,F197/H197,"")</f>
        <v/>
      </c>
      <c r="M197" s="57" t="str">
        <f aca="false">IF(F197&gt;0,J197/F197,"")</f>
        <v/>
      </c>
      <c r="N197" s="34" t="str">
        <f aca="false">IF(D197+E197&gt;0,D197/(D197+E197),"")</f>
        <v/>
      </c>
      <c r="O197" s="33" t="n">
        <f aca="false">IF(H197&gt;0,D197*(B197*(P1_BEN-P1_IVAN)+C197*(P2_BEN-P2_IVAN))/H197,0)-E197*(COSTE_DEV-IVA_DEV)-Y197</f>
        <v>0</v>
      </c>
      <c r="P197" s="33" t="n">
        <f aca="false">T197-U197-V197-W197-X197-Y197</f>
        <v>0</v>
      </c>
      <c r="R197" s="58" t="n">
        <f aca="false">D197+I197*TASA_USADA</f>
        <v>0</v>
      </c>
      <c r="S197" s="58" t="n">
        <f aca="false">E197+I197*(1-TASA_USADA)</f>
        <v>0</v>
      </c>
      <c r="T197" s="59" t="n">
        <f aca="false">IF(H197&gt;0,R197*J197/H197,0)</f>
        <v>0</v>
      </c>
      <c r="U197" s="59" t="n">
        <f aca="false">IF(H197&gt;0,R197*(B197*P1_CPROD+C197*P2_CPROD)/H197,0)</f>
        <v>0</v>
      </c>
      <c r="V197" s="59" t="n">
        <f aca="false">IF(H197&gt;0,R197*(B197*P1_LOG+C197*P2_LOG)/H197,0)</f>
        <v>0</v>
      </c>
      <c r="W197" s="59" t="n">
        <f aca="false">S197*COSTE_DEV</f>
        <v>0</v>
      </c>
      <c r="X197" s="59" t="n">
        <f aca="false">IF(H197&gt;0,R197*(B197*P1_IVAN+C197*P2_IVAN)/H197,0)-S197*IVA_DEV</f>
        <v>0</v>
      </c>
      <c r="Y197" s="59" t="n">
        <f aca="false">F197*(1+RECARGO_ADS)</f>
        <v>0</v>
      </c>
    </row>
    <row r="198" customFormat="false" ht="15" hidden="false" customHeight="false" outlineLevel="0" collapsed="false">
      <c r="A198" s="53" t="n">
        <v>46492</v>
      </c>
      <c r="B198" s="54"/>
      <c r="C198" s="54"/>
      <c r="D198" s="54"/>
      <c r="E198" s="54"/>
      <c r="F198" s="55"/>
      <c r="G198" s="56"/>
      <c r="H198" s="31" t="n">
        <f aca="false">B198+C198</f>
        <v>0</v>
      </c>
      <c r="I198" s="31" t="n">
        <f aca="false">MAX(0,H198-D198-E198)</f>
        <v>0</v>
      </c>
      <c r="J198" s="32" t="n">
        <f aca="false">B198*P1_PVP+C198*P2_PVP</f>
        <v>0</v>
      </c>
      <c r="K198" s="32" t="str">
        <f aca="false">IF(H198&gt;0,J198/H198,"")</f>
        <v/>
      </c>
      <c r="L198" s="32" t="str">
        <f aca="false">IF(H198&gt;0,F198/H198,"")</f>
        <v/>
      </c>
      <c r="M198" s="57" t="str">
        <f aca="false">IF(F198&gt;0,J198/F198,"")</f>
        <v/>
      </c>
      <c r="N198" s="34" t="str">
        <f aca="false">IF(D198+E198&gt;0,D198/(D198+E198),"")</f>
        <v/>
      </c>
      <c r="O198" s="33" t="n">
        <f aca="false">IF(H198&gt;0,D198*(B198*(P1_BEN-P1_IVAN)+C198*(P2_BEN-P2_IVAN))/H198,0)-E198*(COSTE_DEV-IVA_DEV)-Y198</f>
        <v>0</v>
      </c>
      <c r="P198" s="33" t="n">
        <f aca="false">T198-U198-V198-W198-X198-Y198</f>
        <v>0</v>
      </c>
      <c r="R198" s="58" t="n">
        <f aca="false">D198+I198*TASA_USADA</f>
        <v>0</v>
      </c>
      <c r="S198" s="58" t="n">
        <f aca="false">E198+I198*(1-TASA_USADA)</f>
        <v>0</v>
      </c>
      <c r="T198" s="59" t="n">
        <f aca="false">IF(H198&gt;0,R198*J198/H198,0)</f>
        <v>0</v>
      </c>
      <c r="U198" s="59" t="n">
        <f aca="false">IF(H198&gt;0,R198*(B198*P1_CPROD+C198*P2_CPROD)/H198,0)</f>
        <v>0</v>
      </c>
      <c r="V198" s="59" t="n">
        <f aca="false">IF(H198&gt;0,R198*(B198*P1_LOG+C198*P2_LOG)/H198,0)</f>
        <v>0</v>
      </c>
      <c r="W198" s="59" t="n">
        <f aca="false">S198*COSTE_DEV</f>
        <v>0</v>
      </c>
      <c r="X198" s="59" t="n">
        <f aca="false">IF(H198&gt;0,R198*(B198*P1_IVAN+C198*P2_IVAN)/H198,0)-S198*IVA_DEV</f>
        <v>0</v>
      </c>
      <c r="Y198" s="59" t="n">
        <f aca="false">F198*(1+RECARGO_ADS)</f>
        <v>0</v>
      </c>
    </row>
    <row r="199" customFormat="false" ht="15" hidden="false" customHeight="false" outlineLevel="0" collapsed="false">
      <c r="A199" s="53" t="n">
        <v>46493</v>
      </c>
      <c r="B199" s="54"/>
      <c r="C199" s="54"/>
      <c r="D199" s="54"/>
      <c r="E199" s="54"/>
      <c r="F199" s="55"/>
      <c r="G199" s="56"/>
      <c r="H199" s="31" t="n">
        <f aca="false">B199+C199</f>
        <v>0</v>
      </c>
      <c r="I199" s="31" t="n">
        <f aca="false">MAX(0,H199-D199-E199)</f>
        <v>0</v>
      </c>
      <c r="J199" s="32" t="n">
        <f aca="false">B199*P1_PVP+C199*P2_PVP</f>
        <v>0</v>
      </c>
      <c r="K199" s="32" t="str">
        <f aca="false">IF(H199&gt;0,J199/H199,"")</f>
        <v/>
      </c>
      <c r="L199" s="32" t="str">
        <f aca="false">IF(H199&gt;0,F199/H199,"")</f>
        <v/>
      </c>
      <c r="M199" s="57" t="str">
        <f aca="false">IF(F199&gt;0,J199/F199,"")</f>
        <v/>
      </c>
      <c r="N199" s="34" t="str">
        <f aca="false">IF(D199+E199&gt;0,D199/(D199+E199),"")</f>
        <v/>
      </c>
      <c r="O199" s="33" t="n">
        <f aca="false">IF(H199&gt;0,D199*(B199*(P1_BEN-P1_IVAN)+C199*(P2_BEN-P2_IVAN))/H199,0)-E199*(COSTE_DEV-IVA_DEV)-Y199</f>
        <v>0</v>
      </c>
      <c r="P199" s="33" t="n">
        <f aca="false">T199-U199-V199-W199-X199-Y199</f>
        <v>0</v>
      </c>
      <c r="R199" s="58" t="n">
        <f aca="false">D199+I199*TASA_USADA</f>
        <v>0</v>
      </c>
      <c r="S199" s="58" t="n">
        <f aca="false">E199+I199*(1-TASA_USADA)</f>
        <v>0</v>
      </c>
      <c r="T199" s="59" t="n">
        <f aca="false">IF(H199&gt;0,R199*J199/H199,0)</f>
        <v>0</v>
      </c>
      <c r="U199" s="59" t="n">
        <f aca="false">IF(H199&gt;0,R199*(B199*P1_CPROD+C199*P2_CPROD)/H199,0)</f>
        <v>0</v>
      </c>
      <c r="V199" s="59" t="n">
        <f aca="false">IF(H199&gt;0,R199*(B199*P1_LOG+C199*P2_LOG)/H199,0)</f>
        <v>0</v>
      </c>
      <c r="W199" s="59" t="n">
        <f aca="false">S199*COSTE_DEV</f>
        <v>0</v>
      </c>
      <c r="X199" s="59" t="n">
        <f aca="false">IF(H199&gt;0,R199*(B199*P1_IVAN+C199*P2_IVAN)/H199,0)-S199*IVA_DEV</f>
        <v>0</v>
      </c>
      <c r="Y199" s="59" t="n">
        <f aca="false">F199*(1+RECARGO_ADS)</f>
        <v>0</v>
      </c>
    </row>
    <row r="200" customFormat="false" ht="15" hidden="false" customHeight="false" outlineLevel="0" collapsed="false">
      <c r="A200" s="53" t="n">
        <v>46494</v>
      </c>
      <c r="B200" s="54"/>
      <c r="C200" s="54"/>
      <c r="D200" s="54"/>
      <c r="E200" s="54"/>
      <c r="F200" s="55"/>
      <c r="G200" s="56"/>
      <c r="H200" s="31" t="n">
        <f aca="false">B200+C200</f>
        <v>0</v>
      </c>
      <c r="I200" s="31" t="n">
        <f aca="false">MAX(0,H200-D200-E200)</f>
        <v>0</v>
      </c>
      <c r="J200" s="32" t="n">
        <f aca="false">B200*P1_PVP+C200*P2_PVP</f>
        <v>0</v>
      </c>
      <c r="K200" s="32" t="str">
        <f aca="false">IF(H200&gt;0,J200/H200,"")</f>
        <v/>
      </c>
      <c r="L200" s="32" t="str">
        <f aca="false">IF(H200&gt;0,F200/H200,"")</f>
        <v/>
      </c>
      <c r="M200" s="57" t="str">
        <f aca="false">IF(F200&gt;0,J200/F200,"")</f>
        <v/>
      </c>
      <c r="N200" s="34" t="str">
        <f aca="false">IF(D200+E200&gt;0,D200/(D200+E200),"")</f>
        <v/>
      </c>
      <c r="O200" s="33" t="n">
        <f aca="false">IF(H200&gt;0,D200*(B200*(P1_BEN-P1_IVAN)+C200*(P2_BEN-P2_IVAN))/H200,0)-E200*(COSTE_DEV-IVA_DEV)-Y200</f>
        <v>0</v>
      </c>
      <c r="P200" s="33" t="n">
        <f aca="false">T200-U200-V200-W200-X200-Y200</f>
        <v>0</v>
      </c>
      <c r="R200" s="58" t="n">
        <f aca="false">D200+I200*TASA_USADA</f>
        <v>0</v>
      </c>
      <c r="S200" s="58" t="n">
        <f aca="false">E200+I200*(1-TASA_USADA)</f>
        <v>0</v>
      </c>
      <c r="T200" s="59" t="n">
        <f aca="false">IF(H200&gt;0,R200*J200/H200,0)</f>
        <v>0</v>
      </c>
      <c r="U200" s="59" t="n">
        <f aca="false">IF(H200&gt;0,R200*(B200*P1_CPROD+C200*P2_CPROD)/H200,0)</f>
        <v>0</v>
      </c>
      <c r="V200" s="59" t="n">
        <f aca="false">IF(H200&gt;0,R200*(B200*P1_LOG+C200*P2_LOG)/H200,0)</f>
        <v>0</v>
      </c>
      <c r="W200" s="59" t="n">
        <f aca="false">S200*COSTE_DEV</f>
        <v>0</v>
      </c>
      <c r="X200" s="59" t="n">
        <f aca="false">IF(H200&gt;0,R200*(B200*P1_IVAN+C200*P2_IVAN)/H200,0)-S200*IVA_DEV</f>
        <v>0</v>
      </c>
      <c r="Y200" s="59" t="n">
        <f aca="false">F200*(1+RECARGO_ADS)</f>
        <v>0</v>
      </c>
    </row>
    <row r="201" customFormat="false" ht="15" hidden="false" customHeight="false" outlineLevel="0" collapsed="false">
      <c r="A201" s="53" t="n">
        <v>46495</v>
      </c>
      <c r="B201" s="54"/>
      <c r="C201" s="54"/>
      <c r="D201" s="54"/>
      <c r="E201" s="54"/>
      <c r="F201" s="55"/>
      <c r="G201" s="56"/>
      <c r="H201" s="31" t="n">
        <f aca="false">B201+C201</f>
        <v>0</v>
      </c>
      <c r="I201" s="31" t="n">
        <f aca="false">MAX(0,H201-D201-E201)</f>
        <v>0</v>
      </c>
      <c r="J201" s="32" t="n">
        <f aca="false">B201*P1_PVP+C201*P2_PVP</f>
        <v>0</v>
      </c>
      <c r="K201" s="32" t="str">
        <f aca="false">IF(H201&gt;0,J201/H201,"")</f>
        <v/>
      </c>
      <c r="L201" s="32" t="str">
        <f aca="false">IF(H201&gt;0,F201/H201,"")</f>
        <v/>
      </c>
      <c r="M201" s="57" t="str">
        <f aca="false">IF(F201&gt;0,J201/F201,"")</f>
        <v/>
      </c>
      <c r="N201" s="34" t="str">
        <f aca="false">IF(D201+E201&gt;0,D201/(D201+E201),"")</f>
        <v/>
      </c>
      <c r="O201" s="33" t="n">
        <f aca="false">IF(H201&gt;0,D201*(B201*(P1_BEN-P1_IVAN)+C201*(P2_BEN-P2_IVAN))/H201,0)-E201*(COSTE_DEV-IVA_DEV)-Y201</f>
        <v>0</v>
      </c>
      <c r="P201" s="33" t="n">
        <f aca="false">T201-U201-V201-W201-X201-Y201</f>
        <v>0</v>
      </c>
      <c r="R201" s="58" t="n">
        <f aca="false">D201+I201*TASA_USADA</f>
        <v>0</v>
      </c>
      <c r="S201" s="58" t="n">
        <f aca="false">E201+I201*(1-TASA_USADA)</f>
        <v>0</v>
      </c>
      <c r="T201" s="59" t="n">
        <f aca="false">IF(H201&gt;0,R201*J201/H201,0)</f>
        <v>0</v>
      </c>
      <c r="U201" s="59" t="n">
        <f aca="false">IF(H201&gt;0,R201*(B201*P1_CPROD+C201*P2_CPROD)/H201,0)</f>
        <v>0</v>
      </c>
      <c r="V201" s="59" t="n">
        <f aca="false">IF(H201&gt;0,R201*(B201*P1_LOG+C201*P2_LOG)/H201,0)</f>
        <v>0</v>
      </c>
      <c r="W201" s="59" t="n">
        <f aca="false">S201*COSTE_DEV</f>
        <v>0</v>
      </c>
      <c r="X201" s="59" t="n">
        <f aca="false">IF(H201&gt;0,R201*(B201*P1_IVAN+C201*P2_IVAN)/H201,0)-S201*IVA_DEV</f>
        <v>0</v>
      </c>
      <c r="Y201" s="59" t="n">
        <f aca="false">F201*(1+RECARGO_ADS)</f>
        <v>0</v>
      </c>
    </row>
    <row r="202" customFormat="false" ht="15" hidden="false" customHeight="false" outlineLevel="0" collapsed="false">
      <c r="A202" s="53" t="n">
        <v>46496</v>
      </c>
      <c r="B202" s="54"/>
      <c r="C202" s="54"/>
      <c r="D202" s="54"/>
      <c r="E202" s="54"/>
      <c r="F202" s="55"/>
      <c r="G202" s="56"/>
      <c r="H202" s="31" t="n">
        <f aca="false">B202+C202</f>
        <v>0</v>
      </c>
      <c r="I202" s="31" t="n">
        <f aca="false">MAX(0,H202-D202-E202)</f>
        <v>0</v>
      </c>
      <c r="J202" s="32" t="n">
        <f aca="false">B202*P1_PVP+C202*P2_PVP</f>
        <v>0</v>
      </c>
      <c r="K202" s="32" t="str">
        <f aca="false">IF(H202&gt;0,J202/H202,"")</f>
        <v/>
      </c>
      <c r="L202" s="32" t="str">
        <f aca="false">IF(H202&gt;0,F202/H202,"")</f>
        <v/>
      </c>
      <c r="M202" s="57" t="str">
        <f aca="false">IF(F202&gt;0,J202/F202,"")</f>
        <v/>
      </c>
      <c r="N202" s="34" t="str">
        <f aca="false">IF(D202+E202&gt;0,D202/(D202+E202),"")</f>
        <v/>
      </c>
      <c r="O202" s="33" t="n">
        <f aca="false">IF(H202&gt;0,D202*(B202*(P1_BEN-P1_IVAN)+C202*(P2_BEN-P2_IVAN))/H202,0)-E202*(COSTE_DEV-IVA_DEV)-Y202</f>
        <v>0</v>
      </c>
      <c r="P202" s="33" t="n">
        <f aca="false">T202-U202-V202-W202-X202-Y202</f>
        <v>0</v>
      </c>
      <c r="R202" s="58" t="n">
        <f aca="false">D202+I202*TASA_USADA</f>
        <v>0</v>
      </c>
      <c r="S202" s="58" t="n">
        <f aca="false">E202+I202*(1-TASA_USADA)</f>
        <v>0</v>
      </c>
      <c r="T202" s="59" t="n">
        <f aca="false">IF(H202&gt;0,R202*J202/H202,0)</f>
        <v>0</v>
      </c>
      <c r="U202" s="59" t="n">
        <f aca="false">IF(H202&gt;0,R202*(B202*P1_CPROD+C202*P2_CPROD)/H202,0)</f>
        <v>0</v>
      </c>
      <c r="V202" s="59" t="n">
        <f aca="false">IF(H202&gt;0,R202*(B202*P1_LOG+C202*P2_LOG)/H202,0)</f>
        <v>0</v>
      </c>
      <c r="W202" s="59" t="n">
        <f aca="false">S202*COSTE_DEV</f>
        <v>0</v>
      </c>
      <c r="X202" s="59" t="n">
        <f aca="false">IF(H202&gt;0,R202*(B202*P1_IVAN+C202*P2_IVAN)/H202,0)-S202*IVA_DEV</f>
        <v>0</v>
      </c>
      <c r="Y202" s="59" t="n">
        <f aca="false">F202*(1+RECARGO_ADS)</f>
        <v>0</v>
      </c>
    </row>
    <row r="203" customFormat="false" ht="15" hidden="false" customHeight="false" outlineLevel="0" collapsed="false">
      <c r="A203" s="53" t="n">
        <v>46497</v>
      </c>
      <c r="B203" s="54"/>
      <c r="C203" s="54"/>
      <c r="D203" s="54"/>
      <c r="E203" s="54"/>
      <c r="F203" s="55"/>
      <c r="G203" s="56"/>
      <c r="H203" s="31" t="n">
        <f aca="false">B203+C203</f>
        <v>0</v>
      </c>
      <c r="I203" s="31" t="n">
        <f aca="false">MAX(0,H203-D203-E203)</f>
        <v>0</v>
      </c>
      <c r="J203" s="32" t="n">
        <f aca="false">B203*P1_PVP+C203*P2_PVP</f>
        <v>0</v>
      </c>
      <c r="K203" s="32" t="str">
        <f aca="false">IF(H203&gt;0,J203/H203,"")</f>
        <v/>
      </c>
      <c r="L203" s="32" t="str">
        <f aca="false">IF(H203&gt;0,F203/H203,"")</f>
        <v/>
      </c>
      <c r="M203" s="57" t="str">
        <f aca="false">IF(F203&gt;0,J203/F203,"")</f>
        <v/>
      </c>
      <c r="N203" s="34" t="str">
        <f aca="false">IF(D203+E203&gt;0,D203/(D203+E203),"")</f>
        <v/>
      </c>
      <c r="O203" s="33" t="n">
        <f aca="false">IF(H203&gt;0,D203*(B203*(P1_BEN-P1_IVAN)+C203*(P2_BEN-P2_IVAN))/H203,0)-E203*(COSTE_DEV-IVA_DEV)-Y203</f>
        <v>0</v>
      </c>
      <c r="P203" s="33" t="n">
        <f aca="false">T203-U203-V203-W203-X203-Y203</f>
        <v>0</v>
      </c>
      <c r="R203" s="58" t="n">
        <f aca="false">D203+I203*TASA_USADA</f>
        <v>0</v>
      </c>
      <c r="S203" s="58" t="n">
        <f aca="false">E203+I203*(1-TASA_USADA)</f>
        <v>0</v>
      </c>
      <c r="T203" s="59" t="n">
        <f aca="false">IF(H203&gt;0,R203*J203/H203,0)</f>
        <v>0</v>
      </c>
      <c r="U203" s="59" t="n">
        <f aca="false">IF(H203&gt;0,R203*(B203*P1_CPROD+C203*P2_CPROD)/H203,0)</f>
        <v>0</v>
      </c>
      <c r="V203" s="59" t="n">
        <f aca="false">IF(H203&gt;0,R203*(B203*P1_LOG+C203*P2_LOG)/H203,0)</f>
        <v>0</v>
      </c>
      <c r="W203" s="59" t="n">
        <f aca="false">S203*COSTE_DEV</f>
        <v>0</v>
      </c>
      <c r="X203" s="59" t="n">
        <f aca="false">IF(H203&gt;0,R203*(B203*P1_IVAN+C203*P2_IVAN)/H203,0)-S203*IVA_DEV</f>
        <v>0</v>
      </c>
      <c r="Y203" s="59" t="n">
        <f aca="false">F203*(1+RECARGO_ADS)</f>
        <v>0</v>
      </c>
    </row>
    <row r="204" customFormat="false" ht="15" hidden="false" customHeight="false" outlineLevel="0" collapsed="false">
      <c r="A204" s="53" t="n">
        <v>46498</v>
      </c>
      <c r="B204" s="54"/>
      <c r="C204" s="54"/>
      <c r="D204" s="54"/>
      <c r="E204" s="54"/>
      <c r="F204" s="55"/>
      <c r="G204" s="56"/>
      <c r="H204" s="31" t="n">
        <f aca="false">B204+C204</f>
        <v>0</v>
      </c>
      <c r="I204" s="31" t="n">
        <f aca="false">MAX(0,H204-D204-E204)</f>
        <v>0</v>
      </c>
      <c r="J204" s="32" t="n">
        <f aca="false">B204*P1_PVP+C204*P2_PVP</f>
        <v>0</v>
      </c>
      <c r="K204" s="32" t="str">
        <f aca="false">IF(H204&gt;0,J204/H204,"")</f>
        <v/>
      </c>
      <c r="L204" s="32" t="str">
        <f aca="false">IF(H204&gt;0,F204/H204,"")</f>
        <v/>
      </c>
      <c r="M204" s="57" t="str">
        <f aca="false">IF(F204&gt;0,J204/F204,"")</f>
        <v/>
      </c>
      <c r="N204" s="34" t="str">
        <f aca="false">IF(D204+E204&gt;0,D204/(D204+E204),"")</f>
        <v/>
      </c>
      <c r="O204" s="33" t="n">
        <f aca="false">IF(H204&gt;0,D204*(B204*(P1_BEN-P1_IVAN)+C204*(P2_BEN-P2_IVAN))/H204,0)-E204*(COSTE_DEV-IVA_DEV)-Y204</f>
        <v>0</v>
      </c>
      <c r="P204" s="33" t="n">
        <f aca="false">T204-U204-V204-W204-X204-Y204</f>
        <v>0</v>
      </c>
      <c r="R204" s="58" t="n">
        <f aca="false">D204+I204*TASA_USADA</f>
        <v>0</v>
      </c>
      <c r="S204" s="58" t="n">
        <f aca="false">E204+I204*(1-TASA_USADA)</f>
        <v>0</v>
      </c>
      <c r="T204" s="59" t="n">
        <f aca="false">IF(H204&gt;0,R204*J204/H204,0)</f>
        <v>0</v>
      </c>
      <c r="U204" s="59" t="n">
        <f aca="false">IF(H204&gt;0,R204*(B204*P1_CPROD+C204*P2_CPROD)/H204,0)</f>
        <v>0</v>
      </c>
      <c r="V204" s="59" t="n">
        <f aca="false">IF(H204&gt;0,R204*(B204*P1_LOG+C204*P2_LOG)/H204,0)</f>
        <v>0</v>
      </c>
      <c r="W204" s="59" t="n">
        <f aca="false">S204*COSTE_DEV</f>
        <v>0</v>
      </c>
      <c r="X204" s="59" t="n">
        <f aca="false">IF(H204&gt;0,R204*(B204*P1_IVAN+C204*P2_IVAN)/H204,0)-S204*IVA_DEV</f>
        <v>0</v>
      </c>
      <c r="Y204" s="59" t="n">
        <f aca="false">F204*(1+RECARGO_ADS)</f>
        <v>0</v>
      </c>
    </row>
    <row r="205" customFormat="false" ht="15" hidden="false" customHeight="false" outlineLevel="0" collapsed="false">
      <c r="A205" s="53" t="n">
        <v>46499</v>
      </c>
      <c r="B205" s="54"/>
      <c r="C205" s="54"/>
      <c r="D205" s="54"/>
      <c r="E205" s="54"/>
      <c r="F205" s="55"/>
      <c r="G205" s="56"/>
      <c r="H205" s="31" t="n">
        <f aca="false">B205+C205</f>
        <v>0</v>
      </c>
      <c r="I205" s="31" t="n">
        <f aca="false">MAX(0,H205-D205-E205)</f>
        <v>0</v>
      </c>
      <c r="J205" s="32" t="n">
        <f aca="false">B205*P1_PVP+C205*P2_PVP</f>
        <v>0</v>
      </c>
      <c r="K205" s="32" t="str">
        <f aca="false">IF(H205&gt;0,J205/H205,"")</f>
        <v/>
      </c>
      <c r="L205" s="32" t="str">
        <f aca="false">IF(H205&gt;0,F205/H205,"")</f>
        <v/>
      </c>
      <c r="M205" s="57" t="str">
        <f aca="false">IF(F205&gt;0,J205/F205,"")</f>
        <v/>
      </c>
      <c r="N205" s="34" t="str">
        <f aca="false">IF(D205+E205&gt;0,D205/(D205+E205),"")</f>
        <v/>
      </c>
      <c r="O205" s="33" t="n">
        <f aca="false">IF(H205&gt;0,D205*(B205*(P1_BEN-P1_IVAN)+C205*(P2_BEN-P2_IVAN))/H205,0)-E205*(COSTE_DEV-IVA_DEV)-Y205</f>
        <v>0</v>
      </c>
      <c r="P205" s="33" t="n">
        <f aca="false">T205-U205-V205-W205-X205-Y205</f>
        <v>0</v>
      </c>
      <c r="R205" s="58" t="n">
        <f aca="false">D205+I205*TASA_USADA</f>
        <v>0</v>
      </c>
      <c r="S205" s="58" t="n">
        <f aca="false">E205+I205*(1-TASA_USADA)</f>
        <v>0</v>
      </c>
      <c r="T205" s="59" t="n">
        <f aca="false">IF(H205&gt;0,R205*J205/H205,0)</f>
        <v>0</v>
      </c>
      <c r="U205" s="59" t="n">
        <f aca="false">IF(H205&gt;0,R205*(B205*P1_CPROD+C205*P2_CPROD)/H205,0)</f>
        <v>0</v>
      </c>
      <c r="V205" s="59" t="n">
        <f aca="false">IF(H205&gt;0,R205*(B205*P1_LOG+C205*P2_LOG)/H205,0)</f>
        <v>0</v>
      </c>
      <c r="W205" s="59" t="n">
        <f aca="false">S205*COSTE_DEV</f>
        <v>0</v>
      </c>
      <c r="X205" s="59" t="n">
        <f aca="false">IF(H205&gt;0,R205*(B205*P1_IVAN+C205*P2_IVAN)/H205,0)-S205*IVA_DEV</f>
        <v>0</v>
      </c>
      <c r="Y205" s="59" t="n">
        <f aca="false">F205*(1+RECARGO_ADS)</f>
        <v>0</v>
      </c>
    </row>
    <row r="206" customFormat="false" ht="15" hidden="false" customHeight="false" outlineLevel="0" collapsed="false">
      <c r="A206" s="53" t="n">
        <v>46500</v>
      </c>
      <c r="B206" s="54"/>
      <c r="C206" s="54"/>
      <c r="D206" s="54"/>
      <c r="E206" s="54"/>
      <c r="F206" s="55"/>
      <c r="G206" s="56"/>
      <c r="H206" s="31" t="n">
        <f aca="false">B206+C206</f>
        <v>0</v>
      </c>
      <c r="I206" s="31" t="n">
        <f aca="false">MAX(0,H206-D206-E206)</f>
        <v>0</v>
      </c>
      <c r="J206" s="32" t="n">
        <f aca="false">B206*P1_PVP+C206*P2_PVP</f>
        <v>0</v>
      </c>
      <c r="K206" s="32" t="str">
        <f aca="false">IF(H206&gt;0,J206/H206,"")</f>
        <v/>
      </c>
      <c r="L206" s="32" t="str">
        <f aca="false">IF(H206&gt;0,F206/H206,"")</f>
        <v/>
      </c>
      <c r="M206" s="57" t="str">
        <f aca="false">IF(F206&gt;0,J206/F206,"")</f>
        <v/>
      </c>
      <c r="N206" s="34" t="str">
        <f aca="false">IF(D206+E206&gt;0,D206/(D206+E206),"")</f>
        <v/>
      </c>
      <c r="O206" s="33" t="n">
        <f aca="false">IF(H206&gt;0,D206*(B206*(P1_BEN-P1_IVAN)+C206*(P2_BEN-P2_IVAN))/H206,0)-E206*(COSTE_DEV-IVA_DEV)-Y206</f>
        <v>0</v>
      </c>
      <c r="P206" s="33" t="n">
        <f aca="false">T206-U206-V206-W206-X206-Y206</f>
        <v>0</v>
      </c>
      <c r="R206" s="58" t="n">
        <f aca="false">D206+I206*TASA_USADA</f>
        <v>0</v>
      </c>
      <c r="S206" s="58" t="n">
        <f aca="false">E206+I206*(1-TASA_USADA)</f>
        <v>0</v>
      </c>
      <c r="T206" s="59" t="n">
        <f aca="false">IF(H206&gt;0,R206*J206/H206,0)</f>
        <v>0</v>
      </c>
      <c r="U206" s="59" t="n">
        <f aca="false">IF(H206&gt;0,R206*(B206*P1_CPROD+C206*P2_CPROD)/H206,0)</f>
        <v>0</v>
      </c>
      <c r="V206" s="59" t="n">
        <f aca="false">IF(H206&gt;0,R206*(B206*P1_LOG+C206*P2_LOG)/H206,0)</f>
        <v>0</v>
      </c>
      <c r="W206" s="59" t="n">
        <f aca="false">S206*COSTE_DEV</f>
        <v>0</v>
      </c>
      <c r="X206" s="59" t="n">
        <f aca="false">IF(H206&gt;0,R206*(B206*P1_IVAN+C206*P2_IVAN)/H206,0)-S206*IVA_DEV</f>
        <v>0</v>
      </c>
      <c r="Y206" s="59" t="n">
        <f aca="false">F206*(1+RECARGO_ADS)</f>
        <v>0</v>
      </c>
    </row>
    <row r="207" customFormat="false" ht="15" hidden="false" customHeight="false" outlineLevel="0" collapsed="false">
      <c r="A207" s="53" t="n">
        <v>46501</v>
      </c>
      <c r="B207" s="54"/>
      <c r="C207" s="54"/>
      <c r="D207" s="54"/>
      <c r="E207" s="54"/>
      <c r="F207" s="55"/>
      <c r="G207" s="56"/>
      <c r="H207" s="31" t="n">
        <f aca="false">B207+C207</f>
        <v>0</v>
      </c>
      <c r="I207" s="31" t="n">
        <f aca="false">MAX(0,H207-D207-E207)</f>
        <v>0</v>
      </c>
      <c r="J207" s="32" t="n">
        <f aca="false">B207*P1_PVP+C207*P2_PVP</f>
        <v>0</v>
      </c>
      <c r="K207" s="32" t="str">
        <f aca="false">IF(H207&gt;0,J207/H207,"")</f>
        <v/>
      </c>
      <c r="L207" s="32" t="str">
        <f aca="false">IF(H207&gt;0,F207/H207,"")</f>
        <v/>
      </c>
      <c r="M207" s="57" t="str">
        <f aca="false">IF(F207&gt;0,J207/F207,"")</f>
        <v/>
      </c>
      <c r="N207" s="34" t="str">
        <f aca="false">IF(D207+E207&gt;0,D207/(D207+E207),"")</f>
        <v/>
      </c>
      <c r="O207" s="33" t="n">
        <f aca="false">IF(H207&gt;0,D207*(B207*(P1_BEN-P1_IVAN)+C207*(P2_BEN-P2_IVAN))/H207,0)-E207*(COSTE_DEV-IVA_DEV)-Y207</f>
        <v>0</v>
      </c>
      <c r="P207" s="33" t="n">
        <f aca="false">T207-U207-V207-W207-X207-Y207</f>
        <v>0</v>
      </c>
      <c r="R207" s="58" t="n">
        <f aca="false">D207+I207*TASA_USADA</f>
        <v>0</v>
      </c>
      <c r="S207" s="58" t="n">
        <f aca="false">E207+I207*(1-TASA_USADA)</f>
        <v>0</v>
      </c>
      <c r="T207" s="59" t="n">
        <f aca="false">IF(H207&gt;0,R207*J207/H207,0)</f>
        <v>0</v>
      </c>
      <c r="U207" s="59" t="n">
        <f aca="false">IF(H207&gt;0,R207*(B207*P1_CPROD+C207*P2_CPROD)/H207,0)</f>
        <v>0</v>
      </c>
      <c r="V207" s="59" t="n">
        <f aca="false">IF(H207&gt;0,R207*(B207*P1_LOG+C207*P2_LOG)/H207,0)</f>
        <v>0</v>
      </c>
      <c r="W207" s="59" t="n">
        <f aca="false">S207*COSTE_DEV</f>
        <v>0</v>
      </c>
      <c r="X207" s="59" t="n">
        <f aca="false">IF(H207&gt;0,R207*(B207*P1_IVAN+C207*P2_IVAN)/H207,0)-S207*IVA_DEV</f>
        <v>0</v>
      </c>
      <c r="Y207" s="59" t="n">
        <f aca="false">F207*(1+RECARGO_ADS)</f>
        <v>0</v>
      </c>
    </row>
    <row r="208" customFormat="false" ht="15" hidden="false" customHeight="false" outlineLevel="0" collapsed="false">
      <c r="A208" s="53" t="n">
        <v>46502</v>
      </c>
      <c r="B208" s="54"/>
      <c r="C208" s="54"/>
      <c r="D208" s="54"/>
      <c r="E208" s="54"/>
      <c r="F208" s="55"/>
      <c r="G208" s="56"/>
      <c r="H208" s="31" t="n">
        <f aca="false">B208+C208</f>
        <v>0</v>
      </c>
      <c r="I208" s="31" t="n">
        <f aca="false">MAX(0,H208-D208-E208)</f>
        <v>0</v>
      </c>
      <c r="J208" s="32" t="n">
        <f aca="false">B208*P1_PVP+C208*P2_PVP</f>
        <v>0</v>
      </c>
      <c r="K208" s="32" t="str">
        <f aca="false">IF(H208&gt;0,J208/H208,"")</f>
        <v/>
      </c>
      <c r="L208" s="32" t="str">
        <f aca="false">IF(H208&gt;0,F208/H208,"")</f>
        <v/>
      </c>
      <c r="M208" s="57" t="str">
        <f aca="false">IF(F208&gt;0,J208/F208,"")</f>
        <v/>
      </c>
      <c r="N208" s="34" t="str">
        <f aca="false">IF(D208+E208&gt;0,D208/(D208+E208),"")</f>
        <v/>
      </c>
      <c r="O208" s="33" t="n">
        <f aca="false">IF(H208&gt;0,D208*(B208*(P1_BEN-P1_IVAN)+C208*(P2_BEN-P2_IVAN))/H208,0)-E208*(COSTE_DEV-IVA_DEV)-Y208</f>
        <v>0</v>
      </c>
      <c r="P208" s="33" t="n">
        <f aca="false">T208-U208-V208-W208-X208-Y208</f>
        <v>0</v>
      </c>
      <c r="R208" s="58" t="n">
        <f aca="false">D208+I208*TASA_USADA</f>
        <v>0</v>
      </c>
      <c r="S208" s="58" t="n">
        <f aca="false">E208+I208*(1-TASA_USADA)</f>
        <v>0</v>
      </c>
      <c r="T208" s="59" t="n">
        <f aca="false">IF(H208&gt;0,R208*J208/H208,0)</f>
        <v>0</v>
      </c>
      <c r="U208" s="59" t="n">
        <f aca="false">IF(H208&gt;0,R208*(B208*P1_CPROD+C208*P2_CPROD)/H208,0)</f>
        <v>0</v>
      </c>
      <c r="V208" s="59" t="n">
        <f aca="false">IF(H208&gt;0,R208*(B208*P1_LOG+C208*P2_LOG)/H208,0)</f>
        <v>0</v>
      </c>
      <c r="W208" s="59" t="n">
        <f aca="false">S208*COSTE_DEV</f>
        <v>0</v>
      </c>
      <c r="X208" s="59" t="n">
        <f aca="false">IF(H208&gt;0,R208*(B208*P1_IVAN+C208*P2_IVAN)/H208,0)-S208*IVA_DEV</f>
        <v>0</v>
      </c>
      <c r="Y208" s="59" t="n">
        <f aca="false">F208*(1+RECARGO_ADS)</f>
        <v>0</v>
      </c>
    </row>
    <row r="209" customFormat="false" ht="15" hidden="false" customHeight="false" outlineLevel="0" collapsed="false">
      <c r="A209" s="53" t="n">
        <v>46503</v>
      </c>
      <c r="B209" s="54"/>
      <c r="C209" s="54"/>
      <c r="D209" s="54"/>
      <c r="E209" s="54"/>
      <c r="F209" s="55"/>
      <c r="G209" s="56"/>
      <c r="H209" s="31" t="n">
        <f aca="false">B209+C209</f>
        <v>0</v>
      </c>
      <c r="I209" s="31" t="n">
        <f aca="false">MAX(0,H209-D209-E209)</f>
        <v>0</v>
      </c>
      <c r="J209" s="32" t="n">
        <f aca="false">B209*P1_PVP+C209*P2_PVP</f>
        <v>0</v>
      </c>
      <c r="K209" s="32" t="str">
        <f aca="false">IF(H209&gt;0,J209/H209,"")</f>
        <v/>
      </c>
      <c r="L209" s="32" t="str">
        <f aca="false">IF(H209&gt;0,F209/H209,"")</f>
        <v/>
      </c>
      <c r="M209" s="57" t="str">
        <f aca="false">IF(F209&gt;0,J209/F209,"")</f>
        <v/>
      </c>
      <c r="N209" s="34" t="str">
        <f aca="false">IF(D209+E209&gt;0,D209/(D209+E209),"")</f>
        <v/>
      </c>
      <c r="O209" s="33" t="n">
        <f aca="false">IF(H209&gt;0,D209*(B209*(P1_BEN-P1_IVAN)+C209*(P2_BEN-P2_IVAN))/H209,0)-E209*(COSTE_DEV-IVA_DEV)-Y209</f>
        <v>0</v>
      </c>
      <c r="P209" s="33" t="n">
        <f aca="false">T209-U209-V209-W209-X209-Y209</f>
        <v>0</v>
      </c>
      <c r="R209" s="58" t="n">
        <f aca="false">D209+I209*TASA_USADA</f>
        <v>0</v>
      </c>
      <c r="S209" s="58" t="n">
        <f aca="false">E209+I209*(1-TASA_USADA)</f>
        <v>0</v>
      </c>
      <c r="T209" s="59" t="n">
        <f aca="false">IF(H209&gt;0,R209*J209/H209,0)</f>
        <v>0</v>
      </c>
      <c r="U209" s="59" t="n">
        <f aca="false">IF(H209&gt;0,R209*(B209*P1_CPROD+C209*P2_CPROD)/H209,0)</f>
        <v>0</v>
      </c>
      <c r="V209" s="59" t="n">
        <f aca="false">IF(H209&gt;0,R209*(B209*P1_LOG+C209*P2_LOG)/H209,0)</f>
        <v>0</v>
      </c>
      <c r="W209" s="59" t="n">
        <f aca="false">S209*COSTE_DEV</f>
        <v>0</v>
      </c>
      <c r="X209" s="59" t="n">
        <f aca="false">IF(H209&gt;0,R209*(B209*P1_IVAN+C209*P2_IVAN)/H209,0)-S209*IVA_DEV</f>
        <v>0</v>
      </c>
      <c r="Y209" s="59" t="n">
        <f aca="false">F209*(1+RECARGO_ADS)</f>
        <v>0</v>
      </c>
    </row>
    <row r="210" customFormat="false" ht="15" hidden="false" customHeight="false" outlineLevel="0" collapsed="false">
      <c r="A210" s="53" t="n">
        <v>46504</v>
      </c>
      <c r="B210" s="54"/>
      <c r="C210" s="54"/>
      <c r="D210" s="54"/>
      <c r="E210" s="54"/>
      <c r="F210" s="55"/>
      <c r="G210" s="56"/>
      <c r="H210" s="31" t="n">
        <f aca="false">B210+C210</f>
        <v>0</v>
      </c>
      <c r="I210" s="31" t="n">
        <f aca="false">MAX(0,H210-D210-E210)</f>
        <v>0</v>
      </c>
      <c r="J210" s="32" t="n">
        <f aca="false">B210*P1_PVP+C210*P2_PVP</f>
        <v>0</v>
      </c>
      <c r="K210" s="32" t="str">
        <f aca="false">IF(H210&gt;0,J210/H210,"")</f>
        <v/>
      </c>
      <c r="L210" s="32" t="str">
        <f aca="false">IF(H210&gt;0,F210/H210,"")</f>
        <v/>
      </c>
      <c r="M210" s="57" t="str">
        <f aca="false">IF(F210&gt;0,J210/F210,"")</f>
        <v/>
      </c>
      <c r="N210" s="34" t="str">
        <f aca="false">IF(D210+E210&gt;0,D210/(D210+E210),"")</f>
        <v/>
      </c>
      <c r="O210" s="33" t="n">
        <f aca="false">IF(H210&gt;0,D210*(B210*(P1_BEN-P1_IVAN)+C210*(P2_BEN-P2_IVAN))/H210,0)-E210*(COSTE_DEV-IVA_DEV)-Y210</f>
        <v>0</v>
      </c>
      <c r="P210" s="33" t="n">
        <f aca="false">T210-U210-V210-W210-X210-Y210</f>
        <v>0</v>
      </c>
      <c r="R210" s="58" t="n">
        <f aca="false">D210+I210*TASA_USADA</f>
        <v>0</v>
      </c>
      <c r="S210" s="58" t="n">
        <f aca="false">E210+I210*(1-TASA_USADA)</f>
        <v>0</v>
      </c>
      <c r="T210" s="59" t="n">
        <f aca="false">IF(H210&gt;0,R210*J210/H210,0)</f>
        <v>0</v>
      </c>
      <c r="U210" s="59" t="n">
        <f aca="false">IF(H210&gt;0,R210*(B210*P1_CPROD+C210*P2_CPROD)/H210,0)</f>
        <v>0</v>
      </c>
      <c r="V210" s="59" t="n">
        <f aca="false">IF(H210&gt;0,R210*(B210*P1_LOG+C210*P2_LOG)/H210,0)</f>
        <v>0</v>
      </c>
      <c r="W210" s="59" t="n">
        <f aca="false">S210*COSTE_DEV</f>
        <v>0</v>
      </c>
      <c r="X210" s="59" t="n">
        <f aca="false">IF(H210&gt;0,R210*(B210*P1_IVAN+C210*P2_IVAN)/H210,0)-S210*IVA_DEV</f>
        <v>0</v>
      </c>
      <c r="Y210" s="59" t="n">
        <f aca="false">F210*(1+RECARGO_ADS)</f>
        <v>0</v>
      </c>
    </row>
    <row r="211" customFormat="false" ht="15" hidden="false" customHeight="false" outlineLevel="0" collapsed="false">
      <c r="A211" s="53" t="n">
        <v>46505</v>
      </c>
      <c r="B211" s="54"/>
      <c r="C211" s="54"/>
      <c r="D211" s="54"/>
      <c r="E211" s="54"/>
      <c r="F211" s="55"/>
      <c r="G211" s="56"/>
      <c r="H211" s="31" t="n">
        <f aca="false">B211+C211</f>
        <v>0</v>
      </c>
      <c r="I211" s="31" t="n">
        <f aca="false">MAX(0,H211-D211-E211)</f>
        <v>0</v>
      </c>
      <c r="J211" s="32" t="n">
        <f aca="false">B211*P1_PVP+C211*P2_PVP</f>
        <v>0</v>
      </c>
      <c r="K211" s="32" t="str">
        <f aca="false">IF(H211&gt;0,J211/H211,"")</f>
        <v/>
      </c>
      <c r="L211" s="32" t="str">
        <f aca="false">IF(H211&gt;0,F211/H211,"")</f>
        <v/>
      </c>
      <c r="M211" s="57" t="str">
        <f aca="false">IF(F211&gt;0,J211/F211,"")</f>
        <v/>
      </c>
      <c r="N211" s="34" t="str">
        <f aca="false">IF(D211+E211&gt;0,D211/(D211+E211),"")</f>
        <v/>
      </c>
      <c r="O211" s="33" t="n">
        <f aca="false">IF(H211&gt;0,D211*(B211*(P1_BEN-P1_IVAN)+C211*(P2_BEN-P2_IVAN))/H211,0)-E211*(COSTE_DEV-IVA_DEV)-Y211</f>
        <v>0</v>
      </c>
      <c r="P211" s="33" t="n">
        <f aca="false">T211-U211-V211-W211-X211-Y211</f>
        <v>0</v>
      </c>
      <c r="R211" s="58" t="n">
        <f aca="false">D211+I211*TASA_USADA</f>
        <v>0</v>
      </c>
      <c r="S211" s="58" t="n">
        <f aca="false">E211+I211*(1-TASA_USADA)</f>
        <v>0</v>
      </c>
      <c r="T211" s="59" t="n">
        <f aca="false">IF(H211&gt;0,R211*J211/H211,0)</f>
        <v>0</v>
      </c>
      <c r="U211" s="59" t="n">
        <f aca="false">IF(H211&gt;0,R211*(B211*P1_CPROD+C211*P2_CPROD)/H211,0)</f>
        <v>0</v>
      </c>
      <c r="V211" s="59" t="n">
        <f aca="false">IF(H211&gt;0,R211*(B211*P1_LOG+C211*P2_LOG)/H211,0)</f>
        <v>0</v>
      </c>
      <c r="W211" s="59" t="n">
        <f aca="false">S211*COSTE_DEV</f>
        <v>0</v>
      </c>
      <c r="X211" s="59" t="n">
        <f aca="false">IF(H211&gt;0,R211*(B211*P1_IVAN+C211*P2_IVAN)/H211,0)-S211*IVA_DEV</f>
        <v>0</v>
      </c>
      <c r="Y211" s="59" t="n">
        <f aca="false">F211*(1+RECARGO_ADS)</f>
        <v>0</v>
      </c>
    </row>
    <row r="212" customFormat="false" ht="15" hidden="false" customHeight="false" outlineLevel="0" collapsed="false">
      <c r="A212" s="53" t="n">
        <v>46506</v>
      </c>
      <c r="B212" s="54"/>
      <c r="C212" s="54"/>
      <c r="D212" s="54"/>
      <c r="E212" s="54"/>
      <c r="F212" s="55"/>
      <c r="G212" s="56"/>
      <c r="H212" s="31" t="n">
        <f aca="false">B212+C212</f>
        <v>0</v>
      </c>
      <c r="I212" s="31" t="n">
        <f aca="false">MAX(0,H212-D212-E212)</f>
        <v>0</v>
      </c>
      <c r="J212" s="32" t="n">
        <f aca="false">B212*P1_PVP+C212*P2_PVP</f>
        <v>0</v>
      </c>
      <c r="K212" s="32" t="str">
        <f aca="false">IF(H212&gt;0,J212/H212,"")</f>
        <v/>
      </c>
      <c r="L212" s="32" t="str">
        <f aca="false">IF(H212&gt;0,F212/H212,"")</f>
        <v/>
      </c>
      <c r="M212" s="57" t="str">
        <f aca="false">IF(F212&gt;0,J212/F212,"")</f>
        <v/>
      </c>
      <c r="N212" s="34" t="str">
        <f aca="false">IF(D212+E212&gt;0,D212/(D212+E212),"")</f>
        <v/>
      </c>
      <c r="O212" s="33" t="n">
        <f aca="false">IF(H212&gt;0,D212*(B212*(P1_BEN-P1_IVAN)+C212*(P2_BEN-P2_IVAN))/H212,0)-E212*(COSTE_DEV-IVA_DEV)-Y212</f>
        <v>0</v>
      </c>
      <c r="P212" s="33" t="n">
        <f aca="false">T212-U212-V212-W212-X212-Y212</f>
        <v>0</v>
      </c>
      <c r="R212" s="58" t="n">
        <f aca="false">D212+I212*TASA_USADA</f>
        <v>0</v>
      </c>
      <c r="S212" s="58" t="n">
        <f aca="false">E212+I212*(1-TASA_USADA)</f>
        <v>0</v>
      </c>
      <c r="T212" s="59" t="n">
        <f aca="false">IF(H212&gt;0,R212*J212/H212,0)</f>
        <v>0</v>
      </c>
      <c r="U212" s="59" t="n">
        <f aca="false">IF(H212&gt;0,R212*(B212*P1_CPROD+C212*P2_CPROD)/H212,0)</f>
        <v>0</v>
      </c>
      <c r="V212" s="59" t="n">
        <f aca="false">IF(H212&gt;0,R212*(B212*P1_LOG+C212*P2_LOG)/H212,0)</f>
        <v>0</v>
      </c>
      <c r="W212" s="59" t="n">
        <f aca="false">S212*COSTE_DEV</f>
        <v>0</v>
      </c>
      <c r="X212" s="59" t="n">
        <f aca="false">IF(H212&gt;0,R212*(B212*P1_IVAN+C212*P2_IVAN)/H212,0)-S212*IVA_DEV</f>
        <v>0</v>
      </c>
      <c r="Y212" s="59" t="n">
        <f aca="false">F212*(1+RECARGO_ADS)</f>
        <v>0</v>
      </c>
    </row>
    <row r="213" customFormat="false" ht="15" hidden="false" customHeight="false" outlineLevel="0" collapsed="false">
      <c r="A213" s="53" t="n">
        <v>46507</v>
      </c>
      <c r="B213" s="54"/>
      <c r="C213" s="54"/>
      <c r="D213" s="54"/>
      <c r="E213" s="54"/>
      <c r="F213" s="55"/>
      <c r="G213" s="56"/>
      <c r="H213" s="31" t="n">
        <f aca="false">B213+C213</f>
        <v>0</v>
      </c>
      <c r="I213" s="31" t="n">
        <f aca="false">MAX(0,H213-D213-E213)</f>
        <v>0</v>
      </c>
      <c r="J213" s="32" t="n">
        <f aca="false">B213*P1_PVP+C213*P2_PVP</f>
        <v>0</v>
      </c>
      <c r="K213" s="32" t="str">
        <f aca="false">IF(H213&gt;0,J213/H213,"")</f>
        <v/>
      </c>
      <c r="L213" s="32" t="str">
        <f aca="false">IF(H213&gt;0,F213/H213,"")</f>
        <v/>
      </c>
      <c r="M213" s="57" t="str">
        <f aca="false">IF(F213&gt;0,J213/F213,"")</f>
        <v/>
      </c>
      <c r="N213" s="34" t="str">
        <f aca="false">IF(D213+E213&gt;0,D213/(D213+E213),"")</f>
        <v/>
      </c>
      <c r="O213" s="33" t="n">
        <f aca="false">IF(H213&gt;0,D213*(B213*(P1_BEN-P1_IVAN)+C213*(P2_BEN-P2_IVAN))/H213,0)-E213*(COSTE_DEV-IVA_DEV)-Y213</f>
        <v>0</v>
      </c>
      <c r="P213" s="33" t="n">
        <f aca="false">T213-U213-V213-W213-X213-Y213</f>
        <v>0</v>
      </c>
      <c r="R213" s="58" t="n">
        <f aca="false">D213+I213*TASA_USADA</f>
        <v>0</v>
      </c>
      <c r="S213" s="58" t="n">
        <f aca="false">E213+I213*(1-TASA_USADA)</f>
        <v>0</v>
      </c>
      <c r="T213" s="59" t="n">
        <f aca="false">IF(H213&gt;0,R213*J213/H213,0)</f>
        <v>0</v>
      </c>
      <c r="U213" s="59" t="n">
        <f aca="false">IF(H213&gt;0,R213*(B213*P1_CPROD+C213*P2_CPROD)/H213,0)</f>
        <v>0</v>
      </c>
      <c r="V213" s="59" t="n">
        <f aca="false">IF(H213&gt;0,R213*(B213*P1_LOG+C213*P2_LOG)/H213,0)</f>
        <v>0</v>
      </c>
      <c r="W213" s="59" t="n">
        <f aca="false">S213*COSTE_DEV</f>
        <v>0</v>
      </c>
      <c r="X213" s="59" t="n">
        <f aca="false">IF(H213&gt;0,R213*(B213*P1_IVAN+C213*P2_IVAN)/H213,0)-S213*IVA_DEV</f>
        <v>0</v>
      </c>
      <c r="Y213" s="59" t="n">
        <f aca="false">F213*(1+RECARGO_ADS)</f>
        <v>0</v>
      </c>
    </row>
    <row r="214" customFormat="false" ht="15" hidden="false" customHeight="false" outlineLevel="0" collapsed="false">
      <c r="A214" s="53" t="n">
        <v>46508</v>
      </c>
      <c r="B214" s="54"/>
      <c r="C214" s="54"/>
      <c r="D214" s="54"/>
      <c r="E214" s="54"/>
      <c r="F214" s="55"/>
      <c r="G214" s="56"/>
      <c r="H214" s="31" t="n">
        <f aca="false">B214+C214</f>
        <v>0</v>
      </c>
      <c r="I214" s="31" t="n">
        <f aca="false">MAX(0,H214-D214-E214)</f>
        <v>0</v>
      </c>
      <c r="J214" s="32" t="n">
        <f aca="false">B214*P1_PVP+C214*P2_PVP</f>
        <v>0</v>
      </c>
      <c r="K214" s="32" t="str">
        <f aca="false">IF(H214&gt;0,J214/H214,"")</f>
        <v/>
      </c>
      <c r="L214" s="32" t="str">
        <f aca="false">IF(H214&gt;0,F214/H214,"")</f>
        <v/>
      </c>
      <c r="M214" s="57" t="str">
        <f aca="false">IF(F214&gt;0,J214/F214,"")</f>
        <v/>
      </c>
      <c r="N214" s="34" t="str">
        <f aca="false">IF(D214+E214&gt;0,D214/(D214+E214),"")</f>
        <v/>
      </c>
      <c r="O214" s="33" t="n">
        <f aca="false">IF(H214&gt;0,D214*(B214*(P1_BEN-P1_IVAN)+C214*(P2_BEN-P2_IVAN))/H214,0)-E214*(COSTE_DEV-IVA_DEV)-Y214</f>
        <v>0</v>
      </c>
      <c r="P214" s="33" t="n">
        <f aca="false">T214-U214-V214-W214-X214-Y214</f>
        <v>0</v>
      </c>
      <c r="R214" s="58" t="n">
        <f aca="false">D214+I214*TASA_USADA</f>
        <v>0</v>
      </c>
      <c r="S214" s="58" t="n">
        <f aca="false">E214+I214*(1-TASA_USADA)</f>
        <v>0</v>
      </c>
      <c r="T214" s="59" t="n">
        <f aca="false">IF(H214&gt;0,R214*J214/H214,0)</f>
        <v>0</v>
      </c>
      <c r="U214" s="59" t="n">
        <f aca="false">IF(H214&gt;0,R214*(B214*P1_CPROD+C214*P2_CPROD)/H214,0)</f>
        <v>0</v>
      </c>
      <c r="V214" s="59" t="n">
        <f aca="false">IF(H214&gt;0,R214*(B214*P1_LOG+C214*P2_LOG)/H214,0)</f>
        <v>0</v>
      </c>
      <c r="W214" s="59" t="n">
        <f aca="false">S214*COSTE_DEV</f>
        <v>0</v>
      </c>
      <c r="X214" s="59" t="n">
        <f aca="false">IF(H214&gt;0,R214*(B214*P1_IVAN+C214*P2_IVAN)/H214,0)-S214*IVA_DEV</f>
        <v>0</v>
      </c>
      <c r="Y214" s="59" t="n">
        <f aca="false">F214*(1+RECARGO_ADS)</f>
        <v>0</v>
      </c>
    </row>
    <row r="215" customFormat="false" ht="15" hidden="false" customHeight="false" outlineLevel="0" collapsed="false">
      <c r="A215" s="53" t="n">
        <v>46509</v>
      </c>
      <c r="B215" s="54"/>
      <c r="C215" s="54"/>
      <c r="D215" s="54"/>
      <c r="E215" s="54"/>
      <c r="F215" s="55"/>
      <c r="G215" s="56"/>
      <c r="H215" s="31" t="n">
        <f aca="false">B215+C215</f>
        <v>0</v>
      </c>
      <c r="I215" s="31" t="n">
        <f aca="false">MAX(0,H215-D215-E215)</f>
        <v>0</v>
      </c>
      <c r="J215" s="32" t="n">
        <f aca="false">B215*P1_PVP+C215*P2_PVP</f>
        <v>0</v>
      </c>
      <c r="K215" s="32" t="str">
        <f aca="false">IF(H215&gt;0,J215/H215,"")</f>
        <v/>
      </c>
      <c r="L215" s="32" t="str">
        <f aca="false">IF(H215&gt;0,F215/H215,"")</f>
        <v/>
      </c>
      <c r="M215" s="57" t="str">
        <f aca="false">IF(F215&gt;0,J215/F215,"")</f>
        <v/>
      </c>
      <c r="N215" s="34" t="str">
        <f aca="false">IF(D215+E215&gt;0,D215/(D215+E215),"")</f>
        <v/>
      </c>
      <c r="O215" s="33" t="n">
        <f aca="false">IF(H215&gt;0,D215*(B215*(P1_BEN-P1_IVAN)+C215*(P2_BEN-P2_IVAN))/H215,0)-E215*(COSTE_DEV-IVA_DEV)-Y215</f>
        <v>0</v>
      </c>
      <c r="P215" s="33" t="n">
        <f aca="false">T215-U215-V215-W215-X215-Y215</f>
        <v>0</v>
      </c>
      <c r="R215" s="58" t="n">
        <f aca="false">D215+I215*TASA_USADA</f>
        <v>0</v>
      </c>
      <c r="S215" s="58" t="n">
        <f aca="false">E215+I215*(1-TASA_USADA)</f>
        <v>0</v>
      </c>
      <c r="T215" s="59" t="n">
        <f aca="false">IF(H215&gt;0,R215*J215/H215,0)</f>
        <v>0</v>
      </c>
      <c r="U215" s="59" t="n">
        <f aca="false">IF(H215&gt;0,R215*(B215*P1_CPROD+C215*P2_CPROD)/H215,0)</f>
        <v>0</v>
      </c>
      <c r="V215" s="59" t="n">
        <f aca="false">IF(H215&gt;0,R215*(B215*P1_LOG+C215*P2_LOG)/H215,0)</f>
        <v>0</v>
      </c>
      <c r="W215" s="59" t="n">
        <f aca="false">S215*COSTE_DEV</f>
        <v>0</v>
      </c>
      <c r="X215" s="59" t="n">
        <f aca="false">IF(H215&gt;0,R215*(B215*P1_IVAN+C215*P2_IVAN)/H215,0)-S215*IVA_DEV</f>
        <v>0</v>
      </c>
      <c r="Y215" s="59" t="n">
        <f aca="false">F215*(1+RECARGO_ADS)</f>
        <v>0</v>
      </c>
    </row>
    <row r="216" customFormat="false" ht="15" hidden="false" customHeight="false" outlineLevel="0" collapsed="false">
      <c r="A216" s="53" t="n">
        <v>46510</v>
      </c>
      <c r="B216" s="54"/>
      <c r="C216" s="54"/>
      <c r="D216" s="54"/>
      <c r="E216" s="54"/>
      <c r="F216" s="55"/>
      <c r="G216" s="56"/>
      <c r="H216" s="31" t="n">
        <f aca="false">B216+C216</f>
        <v>0</v>
      </c>
      <c r="I216" s="31" t="n">
        <f aca="false">MAX(0,H216-D216-E216)</f>
        <v>0</v>
      </c>
      <c r="J216" s="32" t="n">
        <f aca="false">B216*P1_PVP+C216*P2_PVP</f>
        <v>0</v>
      </c>
      <c r="K216" s="32" t="str">
        <f aca="false">IF(H216&gt;0,J216/H216,"")</f>
        <v/>
      </c>
      <c r="L216" s="32" t="str">
        <f aca="false">IF(H216&gt;0,F216/H216,"")</f>
        <v/>
      </c>
      <c r="M216" s="57" t="str">
        <f aca="false">IF(F216&gt;0,J216/F216,"")</f>
        <v/>
      </c>
      <c r="N216" s="34" t="str">
        <f aca="false">IF(D216+E216&gt;0,D216/(D216+E216),"")</f>
        <v/>
      </c>
      <c r="O216" s="33" t="n">
        <f aca="false">IF(H216&gt;0,D216*(B216*(P1_BEN-P1_IVAN)+C216*(P2_BEN-P2_IVAN))/H216,0)-E216*(COSTE_DEV-IVA_DEV)-Y216</f>
        <v>0</v>
      </c>
      <c r="P216" s="33" t="n">
        <f aca="false">T216-U216-V216-W216-X216-Y216</f>
        <v>0</v>
      </c>
      <c r="R216" s="58" t="n">
        <f aca="false">D216+I216*TASA_USADA</f>
        <v>0</v>
      </c>
      <c r="S216" s="58" t="n">
        <f aca="false">E216+I216*(1-TASA_USADA)</f>
        <v>0</v>
      </c>
      <c r="T216" s="59" t="n">
        <f aca="false">IF(H216&gt;0,R216*J216/H216,0)</f>
        <v>0</v>
      </c>
      <c r="U216" s="59" t="n">
        <f aca="false">IF(H216&gt;0,R216*(B216*P1_CPROD+C216*P2_CPROD)/H216,0)</f>
        <v>0</v>
      </c>
      <c r="V216" s="59" t="n">
        <f aca="false">IF(H216&gt;0,R216*(B216*P1_LOG+C216*P2_LOG)/H216,0)</f>
        <v>0</v>
      </c>
      <c r="W216" s="59" t="n">
        <f aca="false">S216*COSTE_DEV</f>
        <v>0</v>
      </c>
      <c r="X216" s="59" t="n">
        <f aca="false">IF(H216&gt;0,R216*(B216*P1_IVAN+C216*P2_IVAN)/H216,0)-S216*IVA_DEV</f>
        <v>0</v>
      </c>
      <c r="Y216" s="59" t="n">
        <f aca="false">F216*(1+RECARGO_ADS)</f>
        <v>0</v>
      </c>
    </row>
    <row r="217" customFormat="false" ht="15" hidden="false" customHeight="false" outlineLevel="0" collapsed="false">
      <c r="A217" s="53" t="n">
        <v>46511</v>
      </c>
      <c r="B217" s="54"/>
      <c r="C217" s="54"/>
      <c r="D217" s="54"/>
      <c r="E217" s="54"/>
      <c r="F217" s="55"/>
      <c r="G217" s="56"/>
      <c r="H217" s="31" t="n">
        <f aca="false">B217+C217</f>
        <v>0</v>
      </c>
      <c r="I217" s="31" t="n">
        <f aca="false">MAX(0,H217-D217-E217)</f>
        <v>0</v>
      </c>
      <c r="J217" s="32" t="n">
        <f aca="false">B217*P1_PVP+C217*P2_PVP</f>
        <v>0</v>
      </c>
      <c r="K217" s="32" t="str">
        <f aca="false">IF(H217&gt;0,J217/H217,"")</f>
        <v/>
      </c>
      <c r="L217" s="32" t="str">
        <f aca="false">IF(H217&gt;0,F217/H217,"")</f>
        <v/>
      </c>
      <c r="M217" s="57" t="str">
        <f aca="false">IF(F217&gt;0,J217/F217,"")</f>
        <v/>
      </c>
      <c r="N217" s="34" t="str">
        <f aca="false">IF(D217+E217&gt;0,D217/(D217+E217),"")</f>
        <v/>
      </c>
      <c r="O217" s="33" t="n">
        <f aca="false">IF(H217&gt;0,D217*(B217*(P1_BEN-P1_IVAN)+C217*(P2_BEN-P2_IVAN))/H217,0)-E217*(COSTE_DEV-IVA_DEV)-Y217</f>
        <v>0</v>
      </c>
      <c r="P217" s="33" t="n">
        <f aca="false">T217-U217-V217-W217-X217-Y217</f>
        <v>0</v>
      </c>
      <c r="R217" s="58" t="n">
        <f aca="false">D217+I217*TASA_USADA</f>
        <v>0</v>
      </c>
      <c r="S217" s="58" t="n">
        <f aca="false">E217+I217*(1-TASA_USADA)</f>
        <v>0</v>
      </c>
      <c r="T217" s="59" t="n">
        <f aca="false">IF(H217&gt;0,R217*J217/H217,0)</f>
        <v>0</v>
      </c>
      <c r="U217" s="59" t="n">
        <f aca="false">IF(H217&gt;0,R217*(B217*P1_CPROD+C217*P2_CPROD)/H217,0)</f>
        <v>0</v>
      </c>
      <c r="V217" s="59" t="n">
        <f aca="false">IF(H217&gt;0,R217*(B217*P1_LOG+C217*P2_LOG)/H217,0)</f>
        <v>0</v>
      </c>
      <c r="W217" s="59" t="n">
        <f aca="false">S217*COSTE_DEV</f>
        <v>0</v>
      </c>
      <c r="X217" s="59" t="n">
        <f aca="false">IF(H217&gt;0,R217*(B217*P1_IVAN+C217*P2_IVAN)/H217,0)-S217*IVA_DEV</f>
        <v>0</v>
      </c>
      <c r="Y217" s="59" t="n">
        <f aca="false">F217*(1+RECARGO_ADS)</f>
        <v>0</v>
      </c>
    </row>
    <row r="218" customFormat="false" ht="15" hidden="false" customHeight="false" outlineLevel="0" collapsed="false">
      <c r="A218" s="53" t="n">
        <v>46512</v>
      </c>
      <c r="B218" s="54"/>
      <c r="C218" s="54"/>
      <c r="D218" s="54"/>
      <c r="E218" s="54"/>
      <c r="F218" s="55"/>
      <c r="G218" s="56"/>
      <c r="H218" s="31" t="n">
        <f aca="false">B218+C218</f>
        <v>0</v>
      </c>
      <c r="I218" s="31" t="n">
        <f aca="false">MAX(0,H218-D218-E218)</f>
        <v>0</v>
      </c>
      <c r="J218" s="32" t="n">
        <f aca="false">B218*P1_PVP+C218*P2_PVP</f>
        <v>0</v>
      </c>
      <c r="K218" s="32" t="str">
        <f aca="false">IF(H218&gt;0,J218/H218,"")</f>
        <v/>
      </c>
      <c r="L218" s="32" t="str">
        <f aca="false">IF(H218&gt;0,F218/H218,"")</f>
        <v/>
      </c>
      <c r="M218" s="57" t="str">
        <f aca="false">IF(F218&gt;0,J218/F218,"")</f>
        <v/>
      </c>
      <c r="N218" s="34" t="str">
        <f aca="false">IF(D218+E218&gt;0,D218/(D218+E218),"")</f>
        <v/>
      </c>
      <c r="O218" s="33" t="n">
        <f aca="false">IF(H218&gt;0,D218*(B218*(P1_BEN-P1_IVAN)+C218*(P2_BEN-P2_IVAN))/H218,0)-E218*(COSTE_DEV-IVA_DEV)-Y218</f>
        <v>0</v>
      </c>
      <c r="P218" s="33" t="n">
        <f aca="false">T218-U218-V218-W218-X218-Y218</f>
        <v>0</v>
      </c>
      <c r="R218" s="58" t="n">
        <f aca="false">D218+I218*TASA_USADA</f>
        <v>0</v>
      </c>
      <c r="S218" s="58" t="n">
        <f aca="false">E218+I218*(1-TASA_USADA)</f>
        <v>0</v>
      </c>
      <c r="T218" s="59" t="n">
        <f aca="false">IF(H218&gt;0,R218*J218/H218,0)</f>
        <v>0</v>
      </c>
      <c r="U218" s="59" t="n">
        <f aca="false">IF(H218&gt;0,R218*(B218*P1_CPROD+C218*P2_CPROD)/H218,0)</f>
        <v>0</v>
      </c>
      <c r="V218" s="59" t="n">
        <f aca="false">IF(H218&gt;0,R218*(B218*P1_LOG+C218*P2_LOG)/H218,0)</f>
        <v>0</v>
      </c>
      <c r="W218" s="59" t="n">
        <f aca="false">S218*COSTE_DEV</f>
        <v>0</v>
      </c>
      <c r="X218" s="59" t="n">
        <f aca="false">IF(H218&gt;0,R218*(B218*P1_IVAN+C218*P2_IVAN)/H218,0)-S218*IVA_DEV</f>
        <v>0</v>
      </c>
      <c r="Y218" s="59" t="n">
        <f aca="false">F218*(1+RECARGO_ADS)</f>
        <v>0</v>
      </c>
    </row>
    <row r="219" customFormat="false" ht="15" hidden="false" customHeight="false" outlineLevel="0" collapsed="false">
      <c r="A219" s="53" t="n">
        <v>46513</v>
      </c>
      <c r="B219" s="54"/>
      <c r="C219" s="54"/>
      <c r="D219" s="54"/>
      <c r="E219" s="54"/>
      <c r="F219" s="55"/>
      <c r="G219" s="56"/>
      <c r="H219" s="31" t="n">
        <f aca="false">B219+C219</f>
        <v>0</v>
      </c>
      <c r="I219" s="31" t="n">
        <f aca="false">MAX(0,H219-D219-E219)</f>
        <v>0</v>
      </c>
      <c r="J219" s="32" t="n">
        <f aca="false">B219*P1_PVP+C219*P2_PVP</f>
        <v>0</v>
      </c>
      <c r="K219" s="32" t="str">
        <f aca="false">IF(H219&gt;0,J219/H219,"")</f>
        <v/>
      </c>
      <c r="L219" s="32" t="str">
        <f aca="false">IF(H219&gt;0,F219/H219,"")</f>
        <v/>
      </c>
      <c r="M219" s="57" t="str">
        <f aca="false">IF(F219&gt;0,J219/F219,"")</f>
        <v/>
      </c>
      <c r="N219" s="34" t="str">
        <f aca="false">IF(D219+E219&gt;0,D219/(D219+E219),"")</f>
        <v/>
      </c>
      <c r="O219" s="33" t="n">
        <f aca="false">IF(H219&gt;0,D219*(B219*(P1_BEN-P1_IVAN)+C219*(P2_BEN-P2_IVAN))/H219,0)-E219*(COSTE_DEV-IVA_DEV)-Y219</f>
        <v>0</v>
      </c>
      <c r="P219" s="33" t="n">
        <f aca="false">T219-U219-V219-W219-X219-Y219</f>
        <v>0</v>
      </c>
      <c r="R219" s="58" t="n">
        <f aca="false">D219+I219*TASA_USADA</f>
        <v>0</v>
      </c>
      <c r="S219" s="58" t="n">
        <f aca="false">E219+I219*(1-TASA_USADA)</f>
        <v>0</v>
      </c>
      <c r="T219" s="59" t="n">
        <f aca="false">IF(H219&gt;0,R219*J219/H219,0)</f>
        <v>0</v>
      </c>
      <c r="U219" s="59" t="n">
        <f aca="false">IF(H219&gt;0,R219*(B219*P1_CPROD+C219*P2_CPROD)/H219,0)</f>
        <v>0</v>
      </c>
      <c r="V219" s="59" t="n">
        <f aca="false">IF(H219&gt;0,R219*(B219*P1_LOG+C219*P2_LOG)/H219,0)</f>
        <v>0</v>
      </c>
      <c r="W219" s="59" t="n">
        <f aca="false">S219*COSTE_DEV</f>
        <v>0</v>
      </c>
      <c r="X219" s="59" t="n">
        <f aca="false">IF(H219&gt;0,R219*(B219*P1_IVAN+C219*P2_IVAN)/H219,0)-S219*IVA_DEV</f>
        <v>0</v>
      </c>
      <c r="Y219" s="59" t="n">
        <f aca="false">F219*(1+RECARGO_ADS)</f>
        <v>0</v>
      </c>
    </row>
    <row r="220" customFormat="false" ht="15" hidden="false" customHeight="false" outlineLevel="0" collapsed="false">
      <c r="A220" s="53" t="n">
        <v>46514</v>
      </c>
      <c r="B220" s="54"/>
      <c r="C220" s="54"/>
      <c r="D220" s="54"/>
      <c r="E220" s="54"/>
      <c r="F220" s="55"/>
      <c r="G220" s="56"/>
      <c r="H220" s="31" t="n">
        <f aca="false">B220+C220</f>
        <v>0</v>
      </c>
      <c r="I220" s="31" t="n">
        <f aca="false">MAX(0,H220-D220-E220)</f>
        <v>0</v>
      </c>
      <c r="J220" s="32" t="n">
        <f aca="false">B220*P1_PVP+C220*P2_PVP</f>
        <v>0</v>
      </c>
      <c r="K220" s="32" t="str">
        <f aca="false">IF(H220&gt;0,J220/H220,"")</f>
        <v/>
      </c>
      <c r="L220" s="32" t="str">
        <f aca="false">IF(H220&gt;0,F220/H220,"")</f>
        <v/>
      </c>
      <c r="M220" s="57" t="str">
        <f aca="false">IF(F220&gt;0,J220/F220,"")</f>
        <v/>
      </c>
      <c r="N220" s="34" t="str">
        <f aca="false">IF(D220+E220&gt;0,D220/(D220+E220),"")</f>
        <v/>
      </c>
      <c r="O220" s="33" t="n">
        <f aca="false">IF(H220&gt;0,D220*(B220*(P1_BEN-P1_IVAN)+C220*(P2_BEN-P2_IVAN))/H220,0)-E220*(COSTE_DEV-IVA_DEV)-Y220</f>
        <v>0</v>
      </c>
      <c r="P220" s="33" t="n">
        <f aca="false">T220-U220-V220-W220-X220-Y220</f>
        <v>0</v>
      </c>
      <c r="R220" s="58" t="n">
        <f aca="false">D220+I220*TASA_USADA</f>
        <v>0</v>
      </c>
      <c r="S220" s="58" t="n">
        <f aca="false">E220+I220*(1-TASA_USADA)</f>
        <v>0</v>
      </c>
      <c r="T220" s="59" t="n">
        <f aca="false">IF(H220&gt;0,R220*J220/H220,0)</f>
        <v>0</v>
      </c>
      <c r="U220" s="59" t="n">
        <f aca="false">IF(H220&gt;0,R220*(B220*P1_CPROD+C220*P2_CPROD)/H220,0)</f>
        <v>0</v>
      </c>
      <c r="V220" s="59" t="n">
        <f aca="false">IF(H220&gt;0,R220*(B220*P1_LOG+C220*P2_LOG)/H220,0)</f>
        <v>0</v>
      </c>
      <c r="W220" s="59" t="n">
        <f aca="false">S220*COSTE_DEV</f>
        <v>0</v>
      </c>
      <c r="X220" s="59" t="n">
        <f aca="false">IF(H220&gt;0,R220*(B220*P1_IVAN+C220*P2_IVAN)/H220,0)-S220*IVA_DEV</f>
        <v>0</v>
      </c>
      <c r="Y220" s="59" t="n">
        <f aca="false">F220*(1+RECARGO_ADS)</f>
        <v>0</v>
      </c>
    </row>
    <row r="221" customFormat="false" ht="15" hidden="false" customHeight="false" outlineLevel="0" collapsed="false">
      <c r="A221" s="53" t="n">
        <v>46515</v>
      </c>
      <c r="B221" s="54"/>
      <c r="C221" s="54"/>
      <c r="D221" s="54"/>
      <c r="E221" s="54"/>
      <c r="F221" s="55"/>
      <c r="G221" s="56"/>
      <c r="H221" s="31" t="n">
        <f aca="false">B221+C221</f>
        <v>0</v>
      </c>
      <c r="I221" s="31" t="n">
        <f aca="false">MAX(0,H221-D221-E221)</f>
        <v>0</v>
      </c>
      <c r="J221" s="32" t="n">
        <f aca="false">B221*P1_PVP+C221*P2_PVP</f>
        <v>0</v>
      </c>
      <c r="K221" s="32" t="str">
        <f aca="false">IF(H221&gt;0,J221/H221,"")</f>
        <v/>
      </c>
      <c r="L221" s="32" t="str">
        <f aca="false">IF(H221&gt;0,F221/H221,"")</f>
        <v/>
      </c>
      <c r="M221" s="57" t="str">
        <f aca="false">IF(F221&gt;0,J221/F221,"")</f>
        <v/>
      </c>
      <c r="N221" s="34" t="str">
        <f aca="false">IF(D221+E221&gt;0,D221/(D221+E221),"")</f>
        <v/>
      </c>
      <c r="O221" s="33" t="n">
        <f aca="false">IF(H221&gt;0,D221*(B221*(P1_BEN-P1_IVAN)+C221*(P2_BEN-P2_IVAN))/H221,0)-E221*(COSTE_DEV-IVA_DEV)-Y221</f>
        <v>0</v>
      </c>
      <c r="P221" s="33" t="n">
        <f aca="false">T221-U221-V221-W221-X221-Y221</f>
        <v>0</v>
      </c>
      <c r="R221" s="58" t="n">
        <f aca="false">D221+I221*TASA_USADA</f>
        <v>0</v>
      </c>
      <c r="S221" s="58" t="n">
        <f aca="false">E221+I221*(1-TASA_USADA)</f>
        <v>0</v>
      </c>
      <c r="T221" s="59" t="n">
        <f aca="false">IF(H221&gt;0,R221*J221/H221,0)</f>
        <v>0</v>
      </c>
      <c r="U221" s="59" t="n">
        <f aca="false">IF(H221&gt;0,R221*(B221*P1_CPROD+C221*P2_CPROD)/H221,0)</f>
        <v>0</v>
      </c>
      <c r="V221" s="59" t="n">
        <f aca="false">IF(H221&gt;0,R221*(B221*P1_LOG+C221*P2_LOG)/H221,0)</f>
        <v>0</v>
      </c>
      <c r="W221" s="59" t="n">
        <f aca="false">S221*COSTE_DEV</f>
        <v>0</v>
      </c>
      <c r="X221" s="59" t="n">
        <f aca="false">IF(H221&gt;0,R221*(B221*P1_IVAN+C221*P2_IVAN)/H221,0)-S221*IVA_DEV</f>
        <v>0</v>
      </c>
      <c r="Y221" s="59" t="n">
        <f aca="false">F221*(1+RECARGO_ADS)</f>
        <v>0</v>
      </c>
    </row>
    <row r="222" customFormat="false" ht="15" hidden="false" customHeight="false" outlineLevel="0" collapsed="false">
      <c r="A222" s="53" t="n">
        <v>46516</v>
      </c>
      <c r="B222" s="54"/>
      <c r="C222" s="54"/>
      <c r="D222" s="54"/>
      <c r="E222" s="54"/>
      <c r="F222" s="55"/>
      <c r="G222" s="56"/>
      <c r="H222" s="31" t="n">
        <f aca="false">B222+C222</f>
        <v>0</v>
      </c>
      <c r="I222" s="31" t="n">
        <f aca="false">MAX(0,H222-D222-E222)</f>
        <v>0</v>
      </c>
      <c r="J222" s="32" t="n">
        <f aca="false">B222*P1_PVP+C222*P2_PVP</f>
        <v>0</v>
      </c>
      <c r="K222" s="32" t="str">
        <f aca="false">IF(H222&gt;0,J222/H222,"")</f>
        <v/>
      </c>
      <c r="L222" s="32" t="str">
        <f aca="false">IF(H222&gt;0,F222/H222,"")</f>
        <v/>
      </c>
      <c r="M222" s="57" t="str">
        <f aca="false">IF(F222&gt;0,J222/F222,"")</f>
        <v/>
      </c>
      <c r="N222" s="34" t="str">
        <f aca="false">IF(D222+E222&gt;0,D222/(D222+E222),"")</f>
        <v/>
      </c>
      <c r="O222" s="33" t="n">
        <f aca="false">IF(H222&gt;0,D222*(B222*(P1_BEN-P1_IVAN)+C222*(P2_BEN-P2_IVAN))/H222,0)-E222*(COSTE_DEV-IVA_DEV)-Y222</f>
        <v>0</v>
      </c>
      <c r="P222" s="33" t="n">
        <f aca="false">T222-U222-V222-W222-X222-Y222</f>
        <v>0</v>
      </c>
      <c r="R222" s="58" t="n">
        <f aca="false">D222+I222*TASA_USADA</f>
        <v>0</v>
      </c>
      <c r="S222" s="58" t="n">
        <f aca="false">E222+I222*(1-TASA_USADA)</f>
        <v>0</v>
      </c>
      <c r="T222" s="59" t="n">
        <f aca="false">IF(H222&gt;0,R222*J222/H222,0)</f>
        <v>0</v>
      </c>
      <c r="U222" s="59" t="n">
        <f aca="false">IF(H222&gt;0,R222*(B222*P1_CPROD+C222*P2_CPROD)/H222,0)</f>
        <v>0</v>
      </c>
      <c r="V222" s="59" t="n">
        <f aca="false">IF(H222&gt;0,R222*(B222*P1_LOG+C222*P2_LOG)/H222,0)</f>
        <v>0</v>
      </c>
      <c r="W222" s="59" t="n">
        <f aca="false">S222*COSTE_DEV</f>
        <v>0</v>
      </c>
      <c r="X222" s="59" t="n">
        <f aca="false">IF(H222&gt;0,R222*(B222*P1_IVAN+C222*P2_IVAN)/H222,0)-S222*IVA_DEV</f>
        <v>0</v>
      </c>
      <c r="Y222" s="59" t="n">
        <f aca="false">F222*(1+RECARGO_ADS)</f>
        <v>0</v>
      </c>
    </row>
    <row r="223" customFormat="false" ht="15" hidden="false" customHeight="false" outlineLevel="0" collapsed="false">
      <c r="A223" s="53" t="n">
        <v>46517</v>
      </c>
      <c r="B223" s="54"/>
      <c r="C223" s="54"/>
      <c r="D223" s="54"/>
      <c r="E223" s="54"/>
      <c r="F223" s="55"/>
      <c r="G223" s="56"/>
      <c r="H223" s="31" t="n">
        <f aca="false">B223+C223</f>
        <v>0</v>
      </c>
      <c r="I223" s="31" t="n">
        <f aca="false">MAX(0,H223-D223-E223)</f>
        <v>0</v>
      </c>
      <c r="J223" s="32" t="n">
        <f aca="false">B223*P1_PVP+C223*P2_PVP</f>
        <v>0</v>
      </c>
      <c r="K223" s="32" t="str">
        <f aca="false">IF(H223&gt;0,J223/H223,"")</f>
        <v/>
      </c>
      <c r="L223" s="32" t="str">
        <f aca="false">IF(H223&gt;0,F223/H223,"")</f>
        <v/>
      </c>
      <c r="M223" s="57" t="str">
        <f aca="false">IF(F223&gt;0,J223/F223,"")</f>
        <v/>
      </c>
      <c r="N223" s="34" t="str">
        <f aca="false">IF(D223+E223&gt;0,D223/(D223+E223),"")</f>
        <v/>
      </c>
      <c r="O223" s="33" t="n">
        <f aca="false">IF(H223&gt;0,D223*(B223*(P1_BEN-P1_IVAN)+C223*(P2_BEN-P2_IVAN))/H223,0)-E223*(COSTE_DEV-IVA_DEV)-Y223</f>
        <v>0</v>
      </c>
      <c r="P223" s="33" t="n">
        <f aca="false">T223-U223-V223-W223-X223-Y223</f>
        <v>0</v>
      </c>
      <c r="R223" s="58" t="n">
        <f aca="false">D223+I223*TASA_USADA</f>
        <v>0</v>
      </c>
      <c r="S223" s="58" t="n">
        <f aca="false">E223+I223*(1-TASA_USADA)</f>
        <v>0</v>
      </c>
      <c r="T223" s="59" t="n">
        <f aca="false">IF(H223&gt;0,R223*J223/H223,0)</f>
        <v>0</v>
      </c>
      <c r="U223" s="59" t="n">
        <f aca="false">IF(H223&gt;0,R223*(B223*P1_CPROD+C223*P2_CPROD)/H223,0)</f>
        <v>0</v>
      </c>
      <c r="V223" s="59" t="n">
        <f aca="false">IF(H223&gt;0,R223*(B223*P1_LOG+C223*P2_LOG)/H223,0)</f>
        <v>0</v>
      </c>
      <c r="W223" s="59" t="n">
        <f aca="false">S223*COSTE_DEV</f>
        <v>0</v>
      </c>
      <c r="X223" s="59" t="n">
        <f aca="false">IF(H223&gt;0,R223*(B223*P1_IVAN+C223*P2_IVAN)/H223,0)-S223*IVA_DEV</f>
        <v>0</v>
      </c>
      <c r="Y223" s="59" t="n">
        <f aca="false">F223*(1+RECARGO_ADS)</f>
        <v>0</v>
      </c>
    </row>
    <row r="224" customFormat="false" ht="15" hidden="false" customHeight="false" outlineLevel="0" collapsed="false">
      <c r="A224" s="53" t="n">
        <v>46518</v>
      </c>
      <c r="B224" s="54"/>
      <c r="C224" s="54"/>
      <c r="D224" s="54"/>
      <c r="E224" s="54"/>
      <c r="F224" s="55"/>
      <c r="G224" s="56"/>
      <c r="H224" s="31" t="n">
        <f aca="false">B224+C224</f>
        <v>0</v>
      </c>
      <c r="I224" s="31" t="n">
        <f aca="false">MAX(0,H224-D224-E224)</f>
        <v>0</v>
      </c>
      <c r="J224" s="32" t="n">
        <f aca="false">B224*P1_PVP+C224*P2_PVP</f>
        <v>0</v>
      </c>
      <c r="K224" s="32" t="str">
        <f aca="false">IF(H224&gt;0,J224/H224,"")</f>
        <v/>
      </c>
      <c r="L224" s="32" t="str">
        <f aca="false">IF(H224&gt;0,F224/H224,"")</f>
        <v/>
      </c>
      <c r="M224" s="57" t="str">
        <f aca="false">IF(F224&gt;0,J224/F224,"")</f>
        <v/>
      </c>
      <c r="N224" s="34" t="str">
        <f aca="false">IF(D224+E224&gt;0,D224/(D224+E224),"")</f>
        <v/>
      </c>
      <c r="O224" s="33" t="n">
        <f aca="false">IF(H224&gt;0,D224*(B224*(P1_BEN-P1_IVAN)+C224*(P2_BEN-P2_IVAN))/H224,0)-E224*(COSTE_DEV-IVA_DEV)-Y224</f>
        <v>0</v>
      </c>
      <c r="P224" s="33" t="n">
        <f aca="false">T224-U224-V224-W224-X224-Y224</f>
        <v>0</v>
      </c>
      <c r="R224" s="58" t="n">
        <f aca="false">D224+I224*TASA_USADA</f>
        <v>0</v>
      </c>
      <c r="S224" s="58" t="n">
        <f aca="false">E224+I224*(1-TASA_USADA)</f>
        <v>0</v>
      </c>
      <c r="T224" s="59" t="n">
        <f aca="false">IF(H224&gt;0,R224*J224/H224,0)</f>
        <v>0</v>
      </c>
      <c r="U224" s="59" t="n">
        <f aca="false">IF(H224&gt;0,R224*(B224*P1_CPROD+C224*P2_CPROD)/H224,0)</f>
        <v>0</v>
      </c>
      <c r="V224" s="59" t="n">
        <f aca="false">IF(H224&gt;0,R224*(B224*P1_LOG+C224*P2_LOG)/H224,0)</f>
        <v>0</v>
      </c>
      <c r="W224" s="59" t="n">
        <f aca="false">S224*COSTE_DEV</f>
        <v>0</v>
      </c>
      <c r="X224" s="59" t="n">
        <f aca="false">IF(H224&gt;0,R224*(B224*P1_IVAN+C224*P2_IVAN)/H224,0)-S224*IVA_DEV</f>
        <v>0</v>
      </c>
      <c r="Y224" s="59" t="n">
        <f aca="false">F224*(1+RECARGO_ADS)</f>
        <v>0</v>
      </c>
    </row>
    <row r="225" customFormat="false" ht="15" hidden="false" customHeight="false" outlineLevel="0" collapsed="false">
      <c r="A225" s="53" t="n">
        <v>46519</v>
      </c>
      <c r="B225" s="54"/>
      <c r="C225" s="54"/>
      <c r="D225" s="54"/>
      <c r="E225" s="54"/>
      <c r="F225" s="55"/>
      <c r="G225" s="56"/>
      <c r="H225" s="31" t="n">
        <f aca="false">B225+C225</f>
        <v>0</v>
      </c>
      <c r="I225" s="31" t="n">
        <f aca="false">MAX(0,H225-D225-E225)</f>
        <v>0</v>
      </c>
      <c r="J225" s="32" t="n">
        <f aca="false">B225*P1_PVP+C225*P2_PVP</f>
        <v>0</v>
      </c>
      <c r="K225" s="32" t="str">
        <f aca="false">IF(H225&gt;0,J225/H225,"")</f>
        <v/>
      </c>
      <c r="L225" s="32" t="str">
        <f aca="false">IF(H225&gt;0,F225/H225,"")</f>
        <v/>
      </c>
      <c r="M225" s="57" t="str">
        <f aca="false">IF(F225&gt;0,J225/F225,"")</f>
        <v/>
      </c>
      <c r="N225" s="34" t="str">
        <f aca="false">IF(D225+E225&gt;0,D225/(D225+E225),"")</f>
        <v/>
      </c>
      <c r="O225" s="33" t="n">
        <f aca="false">IF(H225&gt;0,D225*(B225*(P1_BEN-P1_IVAN)+C225*(P2_BEN-P2_IVAN))/H225,0)-E225*(COSTE_DEV-IVA_DEV)-Y225</f>
        <v>0</v>
      </c>
      <c r="P225" s="33" t="n">
        <f aca="false">T225-U225-V225-W225-X225-Y225</f>
        <v>0</v>
      </c>
      <c r="R225" s="58" t="n">
        <f aca="false">D225+I225*TASA_USADA</f>
        <v>0</v>
      </c>
      <c r="S225" s="58" t="n">
        <f aca="false">E225+I225*(1-TASA_USADA)</f>
        <v>0</v>
      </c>
      <c r="T225" s="59" t="n">
        <f aca="false">IF(H225&gt;0,R225*J225/H225,0)</f>
        <v>0</v>
      </c>
      <c r="U225" s="59" t="n">
        <f aca="false">IF(H225&gt;0,R225*(B225*P1_CPROD+C225*P2_CPROD)/H225,0)</f>
        <v>0</v>
      </c>
      <c r="V225" s="59" t="n">
        <f aca="false">IF(H225&gt;0,R225*(B225*P1_LOG+C225*P2_LOG)/H225,0)</f>
        <v>0</v>
      </c>
      <c r="W225" s="59" t="n">
        <f aca="false">S225*COSTE_DEV</f>
        <v>0</v>
      </c>
      <c r="X225" s="59" t="n">
        <f aca="false">IF(H225&gt;0,R225*(B225*P1_IVAN+C225*P2_IVAN)/H225,0)-S225*IVA_DEV</f>
        <v>0</v>
      </c>
      <c r="Y225" s="59" t="n">
        <f aca="false">F225*(1+RECARGO_ADS)</f>
        <v>0</v>
      </c>
    </row>
    <row r="226" customFormat="false" ht="15" hidden="false" customHeight="false" outlineLevel="0" collapsed="false">
      <c r="A226" s="53" t="n">
        <v>46520</v>
      </c>
      <c r="B226" s="54"/>
      <c r="C226" s="54"/>
      <c r="D226" s="54"/>
      <c r="E226" s="54"/>
      <c r="F226" s="55"/>
      <c r="G226" s="56"/>
      <c r="H226" s="31" t="n">
        <f aca="false">B226+C226</f>
        <v>0</v>
      </c>
      <c r="I226" s="31" t="n">
        <f aca="false">MAX(0,H226-D226-E226)</f>
        <v>0</v>
      </c>
      <c r="J226" s="32" t="n">
        <f aca="false">B226*P1_PVP+C226*P2_PVP</f>
        <v>0</v>
      </c>
      <c r="K226" s="32" t="str">
        <f aca="false">IF(H226&gt;0,J226/H226,"")</f>
        <v/>
      </c>
      <c r="L226" s="32" t="str">
        <f aca="false">IF(H226&gt;0,F226/H226,"")</f>
        <v/>
      </c>
      <c r="M226" s="57" t="str">
        <f aca="false">IF(F226&gt;0,J226/F226,"")</f>
        <v/>
      </c>
      <c r="N226" s="34" t="str">
        <f aca="false">IF(D226+E226&gt;0,D226/(D226+E226),"")</f>
        <v/>
      </c>
      <c r="O226" s="33" t="n">
        <f aca="false">IF(H226&gt;0,D226*(B226*(P1_BEN-P1_IVAN)+C226*(P2_BEN-P2_IVAN))/H226,0)-E226*(COSTE_DEV-IVA_DEV)-Y226</f>
        <v>0</v>
      </c>
      <c r="P226" s="33" t="n">
        <f aca="false">T226-U226-V226-W226-X226-Y226</f>
        <v>0</v>
      </c>
      <c r="R226" s="58" t="n">
        <f aca="false">D226+I226*TASA_USADA</f>
        <v>0</v>
      </c>
      <c r="S226" s="58" t="n">
        <f aca="false">E226+I226*(1-TASA_USADA)</f>
        <v>0</v>
      </c>
      <c r="T226" s="59" t="n">
        <f aca="false">IF(H226&gt;0,R226*J226/H226,0)</f>
        <v>0</v>
      </c>
      <c r="U226" s="59" t="n">
        <f aca="false">IF(H226&gt;0,R226*(B226*P1_CPROD+C226*P2_CPROD)/H226,0)</f>
        <v>0</v>
      </c>
      <c r="V226" s="59" t="n">
        <f aca="false">IF(H226&gt;0,R226*(B226*P1_LOG+C226*P2_LOG)/H226,0)</f>
        <v>0</v>
      </c>
      <c r="W226" s="59" t="n">
        <f aca="false">S226*COSTE_DEV</f>
        <v>0</v>
      </c>
      <c r="X226" s="59" t="n">
        <f aca="false">IF(H226&gt;0,R226*(B226*P1_IVAN+C226*P2_IVAN)/H226,0)-S226*IVA_DEV</f>
        <v>0</v>
      </c>
      <c r="Y226" s="59" t="n">
        <f aca="false">F226*(1+RECARGO_ADS)</f>
        <v>0</v>
      </c>
    </row>
    <row r="227" customFormat="false" ht="15" hidden="false" customHeight="false" outlineLevel="0" collapsed="false">
      <c r="A227" s="53" t="n">
        <v>46521</v>
      </c>
      <c r="B227" s="54"/>
      <c r="C227" s="54"/>
      <c r="D227" s="54"/>
      <c r="E227" s="54"/>
      <c r="F227" s="55"/>
      <c r="G227" s="56"/>
      <c r="H227" s="31" t="n">
        <f aca="false">B227+C227</f>
        <v>0</v>
      </c>
      <c r="I227" s="31" t="n">
        <f aca="false">MAX(0,H227-D227-E227)</f>
        <v>0</v>
      </c>
      <c r="J227" s="32" t="n">
        <f aca="false">B227*P1_PVP+C227*P2_PVP</f>
        <v>0</v>
      </c>
      <c r="K227" s="32" t="str">
        <f aca="false">IF(H227&gt;0,J227/H227,"")</f>
        <v/>
      </c>
      <c r="L227" s="32" t="str">
        <f aca="false">IF(H227&gt;0,F227/H227,"")</f>
        <v/>
      </c>
      <c r="M227" s="57" t="str">
        <f aca="false">IF(F227&gt;0,J227/F227,"")</f>
        <v/>
      </c>
      <c r="N227" s="34" t="str">
        <f aca="false">IF(D227+E227&gt;0,D227/(D227+E227),"")</f>
        <v/>
      </c>
      <c r="O227" s="33" t="n">
        <f aca="false">IF(H227&gt;0,D227*(B227*(P1_BEN-P1_IVAN)+C227*(P2_BEN-P2_IVAN))/H227,0)-E227*(COSTE_DEV-IVA_DEV)-Y227</f>
        <v>0</v>
      </c>
      <c r="P227" s="33" t="n">
        <f aca="false">T227-U227-V227-W227-X227-Y227</f>
        <v>0</v>
      </c>
      <c r="R227" s="58" t="n">
        <f aca="false">D227+I227*TASA_USADA</f>
        <v>0</v>
      </c>
      <c r="S227" s="58" t="n">
        <f aca="false">E227+I227*(1-TASA_USADA)</f>
        <v>0</v>
      </c>
      <c r="T227" s="59" t="n">
        <f aca="false">IF(H227&gt;0,R227*J227/H227,0)</f>
        <v>0</v>
      </c>
      <c r="U227" s="59" t="n">
        <f aca="false">IF(H227&gt;0,R227*(B227*P1_CPROD+C227*P2_CPROD)/H227,0)</f>
        <v>0</v>
      </c>
      <c r="V227" s="59" t="n">
        <f aca="false">IF(H227&gt;0,R227*(B227*P1_LOG+C227*P2_LOG)/H227,0)</f>
        <v>0</v>
      </c>
      <c r="W227" s="59" t="n">
        <f aca="false">S227*COSTE_DEV</f>
        <v>0</v>
      </c>
      <c r="X227" s="59" t="n">
        <f aca="false">IF(H227&gt;0,R227*(B227*P1_IVAN+C227*P2_IVAN)/H227,0)-S227*IVA_DEV</f>
        <v>0</v>
      </c>
      <c r="Y227" s="59" t="n">
        <f aca="false">F227*(1+RECARGO_ADS)</f>
        <v>0</v>
      </c>
    </row>
    <row r="228" customFormat="false" ht="15" hidden="false" customHeight="false" outlineLevel="0" collapsed="false">
      <c r="A228" s="53" t="n">
        <v>46522</v>
      </c>
      <c r="B228" s="54"/>
      <c r="C228" s="54"/>
      <c r="D228" s="54"/>
      <c r="E228" s="54"/>
      <c r="F228" s="55"/>
      <c r="G228" s="56"/>
      <c r="H228" s="31" t="n">
        <f aca="false">B228+C228</f>
        <v>0</v>
      </c>
      <c r="I228" s="31" t="n">
        <f aca="false">MAX(0,H228-D228-E228)</f>
        <v>0</v>
      </c>
      <c r="J228" s="32" t="n">
        <f aca="false">B228*P1_PVP+C228*P2_PVP</f>
        <v>0</v>
      </c>
      <c r="K228" s="32" t="str">
        <f aca="false">IF(H228&gt;0,J228/H228,"")</f>
        <v/>
      </c>
      <c r="L228" s="32" t="str">
        <f aca="false">IF(H228&gt;0,F228/H228,"")</f>
        <v/>
      </c>
      <c r="M228" s="57" t="str">
        <f aca="false">IF(F228&gt;0,J228/F228,"")</f>
        <v/>
      </c>
      <c r="N228" s="34" t="str">
        <f aca="false">IF(D228+E228&gt;0,D228/(D228+E228),"")</f>
        <v/>
      </c>
      <c r="O228" s="33" t="n">
        <f aca="false">IF(H228&gt;0,D228*(B228*(P1_BEN-P1_IVAN)+C228*(P2_BEN-P2_IVAN))/H228,0)-E228*(COSTE_DEV-IVA_DEV)-Y228</f>
        <v>0</v>
      </c>
      <c r="P228" s="33" t="n">
        <f aca="false">T228-U228-V228-W228-X228-Y228</f>
        <v>0</v>
      </c>
      <c r="R228" s="58" t="n">
        <f aca="false">D228+I228*TASA_USADA</f>
        <v>0</v>
      </c>
      <c r="S228" s="58" t="n">
        <f aca="false">E228+I228*(1-TASA_USADA)</f>
        <v>0</v>
      </c>
      <c r="T228" s="59" t="n">
        <f aca="false">IF(H228&gt;0,R228*J228/H228,0)</f>
        <v>0</v>
      </c>
      <c r="U228" s="59" t="n">
        <f aca="false">IF(H228&gt;0,R228*(B228*P1_CPROD+C228*P2_CPROD)/H228,0)</f>
        <v>0</v>
      </c>
      <c r="V228" s="59" t="n">
        <f aca="false">IF(H228&gt;0,R228*(B228*P1_LOG+C228*P2_LOG)/H228,0)</f>
        <v>0</v>
      </c>
      <c r="W228" s="59" t="n">
        <f aca="false">S228*COSTE_DEV</f>
        <v>0</v>
      </c>
      <c r="X228" s="59" t="n">
        <f aca="false">IF(H228&gt;0,R228*(B228*P1_IVAN+C228*P2_IVAN)/H228,0)-S228*IVA_DEV</f>
        <v>0</v>
      </c>
      <c r="Y228" s="59" t="n">
        <f aca="false">F228*(1+RECARGO_ADS)</f>
        <v>0</v>
      </c>
    </row>
    <row r="229" customFormat="false" ht="15" hidden="false" customHeight="false" outlineLevel="0" collapsed="false">
      <c r="A229" s="53" t="n">
        <v>46523</v>
      </c>
      <c r="B229" s="54"/>
      <c r="C229" s="54"/>
      <c r="D229" s="54"/>
      <c r="E229" s="54"/>
      <c r="F229" s="55"/>
      <c r="G229" s="56"/>
      <c r="H229" s="31" t="n">
        <f aca="false">B229+C229</f>
        <v>0</v>
      </c>
      <c r="I229" s="31" t="n">
        <f aca="false">MAX(0,H229-D229-E229)</f>
        <v>0</v>
      </c>
      <c r="J229" s="32" t="n">
        <f aca="false">B229*P1_PVP+C229*P2_PVP</f>
        <v>0</v>
      </c>
      <c r="K229" s="32" t="str">
        <f aca="false">IF(H229&gt;0,J229/H229,"")</f>
        <v/>
      </c>
      <c r="L229" s="32" t="str">
        <f aca="false">IF(H229&gt;0,F229/H229,"")</f>
        <v/>
      </c>
      <c r="M229" s="57" t="str">
        <f aca="false">IF(F229&gt;0,J229/F229,"")</f>
        <v/>
      </c>
      <c r="N229" s="34" t="str">
        <f aca="false">IF(D229+E229&gt;0,D229/(D229+E229),"")</f>
        <v/>
      </c>
      <c r="O229" s="33" t="n">
        <f aca="false">IF(H229&gt;0,D229*(B229*(P1_BEN-P1_IVAN)+C229*(P2_BEN-P2_IVAN))/H229,0)-E229*(COSTE_DEV-IVA_DEV)-Y229</f>
        <v>0</v>
      </c>
      <c r="P229" s="33" t="n">
        <f aca="false">T229-U229-V229-W229-X229-Y229</f>
        <v>0</v>
      </c>
      <c r="R229" s="58" t="n">
        <f aca="false">D229+I229*TASA_USADA</f>
        <v>0</v>
      </c>
      <c r="S229" s="58" t="n">
        <f aca="false">E229+I229*(1-TASA_USADA)</f>
        <v>0</v>
      </c>
      <c r="T229" s="59" t="n">
        <f aca="false">IF(H229&gt;0,R229*J229/H229,0)</f>
        <v>0</v>
      </c>
      <c r="U229" s="59" t="n">
        <f aca="false">IF(H229&gt;0,R229*(B229*P1_CPROD+C229*P2_CPROD)/H229,0)</f>
        <v>0</v>
      </c>
      <c r="V229" s="59" t="n">
        <f aca="false">IF(H229&gt;0,R229*(B229*P1_LOG+C229*P2_LOG)/H229,0)</f>
        <v>0</v>
      </c>
      <c r="W229" s="59" t="n">
        <f aca="false">S229*COSTE_DEV</f>
        <v>0</v>
      </c>
      <c r="X229" s="59" t="n">
        <f aca="false">IF(H229&gt;0,R229*(B229*P1_IVAN+C229*P2_IVAN)/H229,0)-S229*IVA_DEV</f>
        <v>0</v>
      </c>
      <c r="Y229" s="59" t="n">
        <f aca="false">F229*(1+RECARGO_ADS)</f>
        <v>0</v>
      </c>
    </row>
    <row r="230" customFormat="false" ht="15" hidden="false" customHeight="false" outlineLevel="0" collapsed="false">
      <c r="A230" s="53" t="n">
        <v>46524</v>
      </c>
      <c r="B230" s="54"/>
      <c r="C230" s="54"/>
      <c r="D230" s="54"/>
      <c r="E230" s="54"/>
      <c r="F230" s="55"/>
      <c r="G230" s="56"/>
      <c r="H230" s="31" t="n">
        <f aca="false">B230+C230</f>
        <v>0</v>
      </c>
      <c r="I230" s="31" t="n">
        <f aca="false">MAX(0,H230-D230-E230)</f>
        <v>0</v>
      </c>
      <c r="J230" s="32" t="n">
        <f aca="false">B230*P1_PVP+C230*P2_PVP</f>
        <v>0</v>
      </c>
      <c r="K230" s="32" t="str">
        <f aca="false">IF(H230&gt;0,J230/H230,"")</f>
        <v/>
      </c>
      <c r="L230" s="32" t="str">
        <f aca="false">IF(H230&gt;0,F230/H230,"")</f>
        <v/>
      </c>
      <c r="M230" s="57" t="str">
        <f aca="false">IF(F230&gt;0,J230/F230,"")</f>
        <v/>
      </c>
      <c r="N230" s="34" t="str">
        <f aca="false">IF(D230+E230&gt;0,D230/(D230+E230),"")</f>
        <v/>
      </c>
      <c r="O230" s="33" t="n">
        <f aca="false">IF(H230&gt;0,D230*(B230*(P1_BEN-P1_IVAN)+C230*(P2_BEN-P2_IVAN))/H230,0)-E230*(COSTE_DEV-IVA_DEV)-Y230</f>
        <v>0</v>
      </c>
      <c r="P230" s="33" t="n">
        <f aca="false">T230-U230-V230-W230-X230-Y230</f>
        <v>0</v>
      </c>
      <c r="R230" s="58" t="n">
        <f aca="false">D230+I230*TASA_USADA</f>
        <v>0</v>
      </c>
      <c r="S230" s="58" t="n">
        <f aca="false">E230+I230*(1-TASA_USADA)</f>
        <v>0</v>
      </c>
      <c r="T230" s="59" t="n">
        <f aca="false">IF(H230&gt;0,R230*J230/H230,0)</f>
        <v>0</v>
      </c>
      <c r="U230" s="59" t="n">
        <f aca="false">IF(H230&gt;0,R230*(B230*P1_CPROD+C230*P2_CPROD)/H230,0)</f>
        <v>0</v>
      </c>
      <c r="V230" s="59" t="n">
        <f aca="false">IF(H230&gt;0,R230*(B230*P1_LOG+C230*P2_LOG)/H230,0)</f>
        <v>0</v>
      </c>
      <c r="W230" s="59" t="n">
        <f aca="false">S230*COSTE_DEV</f>
        <v>0</v>
      </c>
      <c r="X230" s="59" t="n">
        <f aca="false">IF(H230&gt;0,R230*(B230*P1_IVAN+C230*P2_IVAN)/H230,0)-S230*IVA_DEV</f>
        <v>0</v>
      </c>
      <c r="Y230" s="59" t="n">
        <f aca="false">F230*(1+RECARGO_ADS)</f>
        <v>0</v>
      </c>
    </row>
    <row r="231" customFormat="false" ht="15" hidden="false" customHeight="false" outlineLevel="0" collapsed="false">
      <c r="A231" s="53" t="n">
        <v>46525</v>
      </c>
      <c r="B231" s="54"/>
      <c r="C231" s="54"/>
      <c r="D231" s="54"/>
      <c r="E231" s="54"/>
      <c r="F231" s="55"/>
      <c r="G231" s="56"/>
      <c r="H231" s="31" t="n">
        <f aca="false">B231+C231</f>
        <v>0</v>
      </c>
      <c r="I231" s="31" t="n">
        <f aca="false">MAX(0,H231-D231-E231)</f>
        <v>0</v>
      </c>
      <c r="J231" s="32" t="n">
        <f aca="false">B231*P1_PVP+C231*P2_PVP</f>
        <v>0</v>
      </c>
      <c r="K231" s="32" t="str">
        <f aca="false">IF(H231&gt;0,J231/H231,"")</f>
        <v/>
      </c>
      <c r="L231" s="32" t="str">
        <f aca="false">IF(H231&gt;0,F231/H231,"")</f>
        <v/>
      </c>
      <c r="M231" s="57" t="str">
        <f aca="false">IF(F231&gt;0,J231/F231,"")</f>
        <v/>
      </c>
      <c r="N231" s="34" t="str">
        <f aca="false">IF(D231+E231&gt;0,D231/(D231+E231),"")</f>
        <v/>
      </c>
      <c r="O231" s="33" t="n">
        <f aca="false">IF(H231&gt;0,D231*(B231*(P1_BEN-P1_IVAN)+C231*(P2_BEN-P2_IVAN))/H231,0)-E231*(COSTE_DEV-IVA_DEV)-Y231</f>
        <v>0</v>
      </c>
      <c r="P231" s="33" t="n">
        <f aca="false">T231-U231-V231-W231-X231-Y231</f>
        <v>0</v>
      </c>
      <c r="R231" s="58" t="n">
        <f aca="false">D231+I231*TASA_USADA</f>
        <v>0</v>
      </c>
      <c r="S231" s="58" t="n">
        <f aca="false">E231+I231*(1-TASA_USADA)</f>
        <v>0</v>
      </c>
      <c r="T231" s="59" t="n">
        <f aca="false">IF(H231&gt;0,R231*J231/H231,0)</f>
        <v>0</v>
      </c>
      <c r="U231" s="59" t="n">
        <f aca="false">IF(H231&gt;0,R231*(B231*P1_CPROD+C231*P2_CPROD)/H231,0)</f>
        <v>0</v>
      </c>
      <c r="V231" s="59" t="n">
        <f aca="false">IF(H231&gt;0,R231*(B231*P1_LOG+C231*P2_LOG)/H231,0)</f>
        <v>0</v>
      </c>
      <c r="W231" s="59" t="n">
        <f aca="false">S231*COSTE_DEV</f>
        <v>0</v>
      </c>
      <c r="X231" s="59" t="n">
        <f aca="false">IF(H231&gt;0,R231*(B231*P1_IVAN+C231*P2_IVAN)/H231,0)-S231*IVA_DEV</f>
        <v>0</v>
      </c>
      <c r="Y231" s="59" t="n">
        <f aca="false">F231*(1+RECARGO_ADS)</f>
        <v>0</v>
      </c>
    </row>
    <row r="232" customFormat="false" ht="15" hidden="false" customHeight="false" outlineLevel="0" collapsed="false">
      <c r="A232" s="53" t="n">
        <v>46526</v>
      </c>
      <c r="B232" s="54"/>
      <c r="C232" s="54"/>
      <c r="D232" s="54"/>
      <c r="E232" s="54"/>
      <c r="F232" s="55"/>
      <c r="G232" s="56"/>
      <c r="H232" s="31" t="n">
        <f aca="false">B232+C232</f>
        <v>0</v>
      </c>
      <c r="I232" s="31" t="n">
        <f aca="false">MAX(0,H232-D232-E232)</f>
        <v>0</v>
      </c>
      <c r="J232" s="32" t="n">
        <f aca="false">B232*P1_PVP+C232*P2_PVP</f>
        <v>0</v>
      </c>
      <c r="K232" s="32" t="str">
        <f aca="false">IF(H232&gt;0,J232/H232,"")</f>
        <v/>
      </c>
      <c r="L232" s="32" t="str">
        <f aca="false">IF(H232&gt;0,F232/H232,"")</f>
        <v/>
      </c>
      <c r="M232" s="57" t="str">
        <f aca="false">IF(F232&gt;0,J232/F232,"")</f>
        <v/>
      </c>
      <c r="N232" s="34" t="str">
        <f aca="false">IF(D232+E232&gt;0,D232/(D232+E232),"")</f>
        <v/>
      </c>
      <c r="O232" s="33" t="n">
        <f aca="false">IF(H232&gt;0,D232*(B232*(P1_BEN-P1_IVAN)+C232*(P2_BEN-P2_IVAN))/H232,0)-E232*(COSTE_DEV-IVA_DEV)-Y232</f>
        <v>0</v>
      </c>
      <c r="P232" s="33" t="n">
        <f aca="false">T232-U232-V232-W232-X232-Y232</f>
        <v>0</v>
      </c>
      <c r="R232" s="58" t="n">
        <f aca="false">D232+I232*TASA_USADA</f>
        <v>0</v>
      </c>
      <c r="S232" s="58" t="n">
        <f aca="false">E232+I232*(1-TASA_USADA)</f>
        <v>0</v>
      </c>
      <c r="T232" s="59" t="n">
        <f aca="false">IF(H232&gt;0,R232*J232/H232,0)</f>
        <v>0</v>
      </c>
      <c r="U232" s="59" t="n">
        <f aca="false">IF(H232&gt;0,R232*(B232*P1_CPROD+C232*P2_CPROD)/H232,0)</f>
        <v>0</v>
      </c>
      <c r="V232" s="59" t="n">
        <f aca="false">IF(H232&gt;0,R232*(B232*P1_LOG+C232*P2_LOG)/H232,0)</f>
        <v>0</v>
      </c>
      <c r="W232" s="59" t="n">
        <f aca="false">S232*COSTE_DEV</f>
        <v>0</v>
      </c>
      <c r="X232" s="59" t="n">
        <f aca="false">IF(H232&gt;0,R232*(B232*P1_IVAN+C232*P2_IVAN)/H232,0)-S232*IVA_DEV</f>
        <v>0</v>
      </c>
      <c r="Y232" s="59" t="n">
        <f aca="false">F232*(1+RECARGO_ADS)</f>
        <v>0</v>
      </c>
    </row>
    <row r="233" customFormat="false" ht="15" hidden="false" customHeight="false" outlineLevel="0" collapsed="false">
      <c r="A233" s="53" t="n">
        <v>46527</v>
      </c>
      <c r="B233" s="54"/>
      <c r="C233" s="54"/>
      <c r="D233" s="54"/>
      <c r="E233" s="54"/>
      <c r="F233" s="55"/>
      <c r="G233" s="56"/>
      <c r="H233" s="31" t="n">
        <f aca="false">B233+C233</f>
        <v>0</v>
      </c>
      <c r="I233" s="31" t="n">
        <f aca="false">MAX(0,H233-D233-E233)</f>
        <v>0</v>
      </c>
      <c r="J233" s="32" t="n">
        <f aca="false">B233*P1_PVP+C233*P2_PVP</f>
        <v>0</v>
      </c>
      <c r="K233" s="32" t="str">
        <f aca="false">IF(H233&gt;0,J233/H233,"")</f>
        <v/>
      </c>
      <c r="L233" s="32" t="str">
        <f aca="false">IF(H233&gt;0,F233/H233,"")</f>
        <v/>
      </c>
      <c r="M233" s="57" t="str">
        <f aca="false">IF(F233&gt;0,J233/F233,"")</f>
        <v/>
      </c>
      <c r="N233" s="34" t="str">
        <f aca="false">IF(D233+E233&gt;0,D233/(D233+E233),"")</f>
        <v/>
      </c>
      <c r="O233" s="33" t="n">
        <f aca="false">IF(H233&gt;0,D233*(B233*(P1_BEN-P1_IVAN)+C233*(P2_BEN-P2_IVAN))/H233,0)-E233*(COSTE_DEV-IVA_DEV)-Y233</f>
        <v>0</v>
      </c>
      <c r="P233" s="33" t="n">
        <f aca="false">T233-U233-V233-W233-X233-Y233</f>
        <v>0</v>
      </c>
      <c r="R233" s="58" t="n">
        <f aca="false">D233+I233*TASA_USADA</f>
        <v>0</v>
      </c>
      <c r="S233" s="58" t="n">
        <f aca="false">E233+I233*(1-TASA_USADA)</f>
        <v>0</v>
      </c>
      <c r="T233" s="59" t="n">
        <f aca="false">IF(H233&gt;0,R233*J233/H233,0)</f>
        <v>0</v>
      </c>
      <c r="U233" s="59" t="n">
        <f aca="false">IF(H233&gt;0,R233*(B233*P1_CPROD+C233*P2_CPROD)/H233,0)</f>
        <v>0</v>
      </c>
      <c r="V233" s="59" t="n">
        <f aca="false">IF(H233&gt;0,R233*(B233*P1_LOG+C233*P2_LOG)/H233,0)</f>
        <v>0</v>
      </c>
      <c r="W233" s="59" t="n">
        <f aca="false">S233*COSTE_DEV</f>
        <v>0</v>
      </c>
      <c r="X233" s="59" t="n">
        <f aca="false">IF(H233&gt;0,R233*(B233*P1_IVAN+C233*P2_IVAN)/H233,0)-S233*IVA_DEV</f>
        <v>0</v>
      </c>
      <c r="Y233" s="59" t="n">
        <f aca="false">F233*(1+RECARGO_ADS)</f>
        <v>0</v>
      </c>
    </row>
    <row r="234" customFormat="false" ht="15" hidden="false" customHeight="false" outlineLevel="0" collapsed="false">
      <c r="A234" s="53" t="n">
        <v>46528</v>
      </c>
      <c r="B234" s="54"/>
      <c r="C234" s="54"/>
      <c r="D234" s="54"/>
      <c r="E234" s="54"/>
      <c r="F234" s="55"/>
      <c r="G234" s="56"/>
      <c r="H234" s="31" t="n">
        <f aca="false">B234+C234</f>
        <v>0</v>
      </c>
      <c r="I234" s="31" t="n">
        <f aca="false">MAX(0,H234-D234-E234)</f>
        <v>0</v>
      </c>
      <c r="J234" s="32" t="n">
        <f aca="false">B234*P1_PVP+C234*P2_PVP</f>
        <v>0</v>
      </c>
      <c r="K234" s="32" t="str">
        <f aca="false">IF(H234&gt;0,J234/H234,"")</f>
        <v/>
      </c>
      <c r="L234" s="32" t="str">
        <f aca="false">IF(H234&gt;0,F234/H234,"")</f>
        <v/>
      </c>
      <c r="M234" s="57" t="str">
        <f aca="false">IF(F234&gt;0,J234/F234,"")</f>
        <v/>
      </c>
      <c r="N234" s="34" t="str">
        <f aca="false">IF(D234+E234&gt;0,D234/(D234+E234),"")</f>
        <v/>
      </c>
      <c r="O234" s="33" t="n">
        <f aca="false">IF(H234&gt;0,D234*(B234*(P1_BEN-P1_IVAN)+C234*(P2_BEN-P2_IVAN))/H234,0)-E234*(COSTE_DEV-IVA_DEV)-Y234</f>
        <v>0</v>
      </c>
      <c r="P234" s="33" t="n">
        <f aca="false">T234-U234-V234-W234-X234-Y234</f>
        <v>0</v>
      </c>
      <c r="R234" s="58" t="n">
        <f aca="false">D234+I234*TASA_USADA</f>
        <v>0</v>
      </c>
      <c r="S234" s="58" t="n">
        <f aca="false">E234+I234*(1-TASA_USADA)</f>
        <v>0</v>
      </c>
      <c r="T234" s="59" t="n">
        <f aca="false">IF(H234&gt;0,R234*J234/H234,0)</f>
        <v>0</v>
      </c>
      <c r="U234" s="59" t="n">
        <f aca="false">IF(H234&gt;0,R234*(B234*P1_CPROD+C234*P2_CPROD)/H234,0)</f>
        <v>0</v>
      </c>
      <c r="V234" s="59" t="n">
        <f aca="false">IF(H234&gt;0,R234*(B234*P1_LOG+C234*P2_LOG)/H234,0)</f>
        <v>0</v>
      </c>
      <c r="W234" s="59" t="n">
        <f aca="false">S234*COSTE_DEV</f>
        <v>0</v>
      </c>
      <c r="X234" s="59" t="n">
        <f aca="false">IF(H234&gt;0,R234*(B234*P1_IVAN+C234*P2_IVAN)/H234,0)-S234*IVA_DEV</f>
        <v>0</v>
      </c>
      <c r="Y234" s="59" t="n">
        <f aca="false">F234*(1+RECARGO_ADS)</f>
        <v>0</v>
      </c>
    </row>
    <row r="235" customFormat="false" ht="15" hidden="false" customHeight="false" outlineLevel="0" collapsed="false">
      <c r="A235" s="53" t="n">
        <v>46529</v>
      </c>
      <c r="B235" s="54"/>
      <c r="C235" s="54"/>
      <c r="D235" s="54"/>
      <c r="E235" s="54"/>
      <c r="F235" s="55"/>
      <c r="G235" s="56"/>
      <c r="H235" s="31" t="n">
        <f aca="false">B235+C235</f>
        <v>0</v>
      </c>
      <c r="I235" s="31" t="n">
        <f aca="false">MAX(0,H235-D235-E235)</f>
        <v>0</v>
      </c>
      <c r="J235" s="32" t="n">
        <f aca="false">B235*P1_PVP+C235*P2_PVP</f>
        <v>0</v>
      </c>
      <c r="K235" s="32" t="str">
        <f aca="false">IF(H235&gt;0,J235/H235,"")</f>
        <v/>
      </c>
      <c r="L235" s="32" t="str">
        <f aca="false">IF(H235&gt;0,F235/H235,"")</f>
        <v/>
      </c>
      <c r="M235" s="57" t="str">
        <f aca="false">IF(F235&gt;0,J235/F235,"")</f>
        <v/>
      </c>
      <c r="N235" s="34" t="str">
        <f aca="false">IF(D235+E235&gt;0,D235/(D235+E235),"")</f>
        <v/>
      </c>
      <c r="O235" s="33" t="n">
        <f aca="false">IF(H235&gt;0,D235*(B235*(P1_BEN-P1_IVAN)+C235*(P2_BEN-P2_IVAN))/H235,0)-E235*(COSTE_DEV-IVA_DEV)-Y235</f>
        <v>0</v>
      </c>
      <c r="P235" s="33" t="n">
        <f aca="false">T235-U235-V235-W235-X235-Y235</f>
        <v>0</v>
      </c>
      <c r="R235" s="58" t="n">
        <f aca="false">D235+I235*TASA_USADA</f>
        <v>0</v>
      </c>
      <c r="S235" s="58" t="n">
        <f aca="false">E235+I235*(1-TASA_USADA)</f>
        <v>0</v>
      </c>
      <c r="T235" s="59" t="n">
        <f aca="false">IF(H235&gt;0,R235*J235/H235,0)</f>
        <v>0</v>
      </c>
      <c r="U235" s="59" t="n">
        <f aca="false">IF(H235&gt;0,R235*(B235*P1_CPROD+C235*P2_CPROD)/H235,0)</f>
        <v>0</v>
      </c>
      <c r="V235" s="59" t="n">
        <f aca="false">IF(H235&gt;0,R235*(B235*P1_LOG+C235*P2_LOG)/H235,0)</f>
        <v>0</v>
      </c>
      <c r="W235" s="59" t="n">
        <f aca="false">S235*COSTE_DEV</f>
        <v>0</v>
      </c>
      <c r="X235" s="59" t="n">
        <f aca="false">IF(H235&gt;0,R235*(B235*P1_IVAN+C235*P2_IVAN)/H235,0)-S235*IVA_DEV</f>
        <v>0</v>
      </c>
      <c r="Y235" s="59" t="n">
        <f aca="false">F235*(1+RECARGO_ADS)</f>
        <v>0</v>
      </c>
    </row>
    <row r="236" customFormat="false" ht="15" hidden="false" customHeight="false" outlineLevel="0" collapsed="false">
      <c r="A236" s="53" t="n">
        <v>46530</v>
      </c>
      <c r="B236" s="54"/>
      <c r="C236" s="54"/>
      <c r="D236" s="54"/>
      <c r="E236" s="54"/>
      <c r="F236" s="55"/>
      <c r="G236" s="56"/>
      <c r="H236" s="31" t="n">
        <f aca="false">B236+C236</f>
        <v>0</v>
      </c>
      <c r="I236" s="31" t="n">
        <f aca="false">MAX(0,H236-D236-E236)</f>
        <v>0</v>
      </c>
      <c r="J236" s="32" t="n">
        <f aca="false">B236*P1_PVP+C236*P2_PVP</f>
        <v>0</v>
      </c>
      <c r="K236" s="32" t="str">
        <f aca="false">IF(H236&gt;0,J236/H236,"")</f>
        <v/>
      </c>
      <c r="L236" s="32" t="str">
        <f aca="false">IF(H236&gt;0,F236/H236,"")</f>
        <v/>
      </c>
      <c r="M236" s="57" t="str">
        <f aca="false">IF(F236&gt;0,J236/F236,"")</f>
        <v/>
      </c>
      <c r="N236" s="34" t="str">
        <f aca="false">IF(D236+E236&gt;0,D236/(D236+E236),"")</f>
        <v/>
      </c>
      <c r="O236" s="33" t="n">
        <f aca="false">IF(H236&gt;0,D236*(B236*(P1_BEN-P1_IVAN)+C236*(P2_BEN-P2_IVAN))/H236,0)-E236*(COSTE_DEV-IVA_DEV)-Y236</f>
        <v>0</v>
      </c>
      <c r="P236" s="33" t="n">
        <f aca="false">T236-U236-V236-W236-X236-Y236</f>
        <v>0</v>
      </c>
      <c r="R236" s="58" t="n">
        <f aca="false">D236+I236*TASA_USADA</f>
        <v>0</v>
      </c>
      <c r="S236" s="58" t="n">
        <f aca="false">E236+I236*(1-TASA_USADA)</f>
        <v>0</v>
      </c>
      <c r="T236" s="59" t="n">
        <f aca="false">IF(H236&gt;0,R236*J236/H236,0)</f>
        <v>0</v>
      </c>
      <c r="U236" s="59" t="n">
        <f aca="false">IF(H236&gt;0,R236*(B236*P1_CPROD+C236*P2_CPROD)/H236,0)</f>
        <v>0</v>
      </c>
      <c r="V236" s="59" t="n">
        <f aca="false">IF(H236&gt;0,R236*(B236*P1_LOG+C236*P2_LOG)/H236,0)</f>
        <v>0</v>
      </c>
      <c r="W236" s="59" t="n">
        <f aca="false">S236*COSTE_DEV</f>
        <v>0</v>
      </c>
      <c r="X236" s="59" t="n">
        <f aca="false">IF(H236&gt;0,R236*(B236*P1_IVAN+C236*P2_IVAN)/H236,0)-S236*IVA_DEV</f>
        <v>0</v>
      </c>
      <c r="Y236" s="59" t="n">
        <f aca="false">F236*(1+RECARGO_ADS)</f>
        <v>0</v>
      </c>
    </row>
    <row r="237" customFormat="false" ht="15" hidden="false" customHeight="false" outlineLevel="0" collapsed="false">
      <c r="A237" s="53" t="n">
        <v>46531</v>
      </c>
      <c r="B237" s="54"/>
      <c r="C237" s="54"/>
      <c r="D237" s="54"/>
      <c r="E237" s="54"/>
      <c r="F237" s="55"/>
      <c r="G237" s="56"/>
      <c r="H237" s="31" t="n">
        <f aca="false">B237+C237</f>
        <v>0</v>
      </c>
      <c r="I237" s="31" t="n">
        <f aca="false">MAX(0,H237-D237-E237)</f>
        <v>0</v>
      </c>
      <c r="J237" s="32" t="n">
        <f aca="false">B237*P1_PVP+C237*P2_PVP</f>
        <v>0</v>
      </c>
      <c r="K237" s="32" t="str">
        <f aca="false">IF(H237&gt;0,J237/H237,"")</f>
        <v/>
      </c>
      <c r="L237" s="32" t="str">
        <f aca="false">IF(H237&gt;0,F237/H237,"")</f>
        <v/>
      </c>
      <c r="M237" s="57" t="str">
        <f aca="false">IF(F237&gt;0,J237/F237,"")</f>
        <v/>
      </c>
      <c r="N237" s="34" t="str">
        <f aca="false">IF(D237+E237&gt;0,D237/(D237+E237),"")</f>
        <v/>
      </c>
      <c r="O237" s="33" t="n">
        <f aca="false">IF(H237&gt;0,D237*(B237*(P1_BEN-P1_IVAN)+C237*(P2_BEN-P2_IVAN))/H237,0)-E237*(COSTE_DEV-IVA_DEV)-Y237</f>
        <v>0</v>
      </c>
      <c r="P237" s="33" t="n">
        <f aca="false">T237-U237-V237-W237-X237-Y237</f>
        <v>0</v>
      </c>
      <c r="R237" s="58" t="n">
        <f aca="false">D237+I237*TASA_USADA</f>
        <v>0</v>
      </c>
      <c r="S237" s="58" t="n">
        <f aca="false">E237+I237*(1-TASA_USADA)</f>
        <v>0</v>
      </c>
      <c r="T237" s="59" t="n">
        <f aca="false">IF(H237&gt;0,R237*J237/H237,0)</f>
        <v>0</v>
      </c>
      <c r="U237" s="59" t="n">
        <f aca="false">IF(H237&gt;0,R237*(B237*P1_CPROD+C237*P2_CPROD)/H237,0)</f>
        <v>0</v>
      </c>
      <c r="V237" s="59" t="n">
        <f aca="false">IF(H237&gt;0,R237*(B237*P1_LOG+C237*P2_LOG)/H237,0)</f>
        <v>0</v>
      </c>
      <c r="W237" s="59" t="n">
        <f aca="false">S237*COSTE_DEV</f>
        <v>0</v>
      </c>
      <c r="X237" s="59" t="n">
        <f aca="false">IF(H237&gt;0,R237*(B237*P1_IVAN+C237*P2_IVAN)/H237,0)-S237*IVA_DEV</f>
        <v>0</v>
      </c>
      <c r="Y237" s="59" t="n">
        <f aca="false">F237*(1+RECARGO_ADS)</f>
        <v>0</v>
      </c>
    </row>
    <row r="238" customFormat="false" ht="15" hidden="false" customHeight="false" outlineLevel="0" collapsed="false">
      <c r="A238" s="53" t="n">
        <v>46532</v>
      </c>
      <c r="B238" s="54"/>
      <c r="C238" s="54"/>
      <c r="D238" s="54"/>
      <c r="E238" s="54"/>
      <c r="F238" s="55"/>
      <c r="G238" s="56"/>
      <c r="H238" s="31" t="n">
        <f aca="false">B238+C238</f>
        <v>0</v>
      </c>
      <c r="I238" s="31" t="n">
        <f aca="false">MAX(0,H238-D238-E238)</f>
        <v>0</v>
      </c>
      <c r="J238" s="32" t="n">
        <f aca="false">B238*P1_PVP+C238*P2_PVP</f>
        <v>0</v>
      </c>
      <c r="K238" s="32" t="str">
        <f aca="false">IF(H238&gt;0,J238/H238,"")</f>
        <v/>
      </c>
      <c r="L238" s="32" t="str">
        <f aca="false">IF(H238&gt;0,F238/H238,"")</f>
        <v/>
      </c>
      <c r="M238" s="57" t="str">
        <f aca="false">IF(F238&gt;0,J238/F238,"")</f>
        <v/>
      </c>
      <c r="N238" s="34" t="str">
        <f aca="false">IF(D238+E238&gt;0,D238/(D238+E238),"")</f>
        <v/>
      </c>
      <c r="O238" s="33" t="n">
        <f aca="false">IF(H238&gt;0,D238*(B238*(P1_BEN-P1_IVAN)+C238*(P2_BEN-P2_IVAN))/H238,0)-E238*(COSTE_DEV-IVA_DEV)-Y238</f>
        <v>0</v>
      </c>
      <c r="P238" s="33" t="n">
        <f aca="false">T238-U238-V238-W238-X238-Y238</f>
        <v>0</v>
      </c>
      <c r="R238" s="58" t="n">
        <f aca="false">D238+I238*TASA_USADA</f>
        <v>0</v>
      </c>
      <c r="S238" s="58" t="n">
        <f aca="false">E238+I238*(1-TASA_USADA)</f>
        <v>0</v>
      </c>
      <c r="T238" s="59" t="n">
        <f aca="false">IF(H238&gt;0,R238*J238/H238,0)</f>
        <v>0</v>
      </c>
      <c r="U238" s="59" t="n">
        <f aca="false">IF(H238&gt;0,R238*(B238*P1_CPROD+C238*P2_CPROD)/H238,0)</f>
        <v>0</v>
      </c>
      <c r="V238" s="59" t="n">
        <f aca="false">IF(H238&gt;0,R238*(B238*P1_LOG+C238*P2_LOG)/H238,0)</f>
        <v>0</v>
      </c>
      <c r="W238" s="59" t="n">
        <f aca="false">S238*COSTE_DEV</f>
        <v>0</v>
      </c>
      <c r="X238" s="59" t="n">
        <f aca="false">IF(H238&gt;0,R238*(B238*P1_IVAN+C238*P2_IVAN)/H238,0)-S238*IVA_DEV</f>
        <v>0</v>
      </c>
      <c r="Y238" s="59" t="n">
        <f aca="false">F238*(1+RECARGO_ADS)</f>
        <v>0</v>
      </c>
    </row>
    <row r="239" customFormat="false" ht="15" hidden="false" customHeight="false" outlineLevel="0" collapsed="false">
      <c r="A239" s="53" t="n">
        <v>46533</v>
      </c>
      <c r="B239" s="54"/>
      <c r="C239" s="54"/>
      <c r="D239" s="54"/>
      <c r="E239" s="54"/>
      <c r="F239" s="55"/>
      <c r="G239" s="56"/>
      <c r="H239" s="31" t="n">
        <f aca="false">B239+C239</f>
        <v>0</v>
      </c>
      <c r="I239" s="31" t="n">
        <f aca="false">MAX(0,H239-D239-E239)</f>
        <v>0</v>
      </c>
      <c r="J239" s="32" t="n">
        <f aca="false">B239*P1_PVP+C239*P2_PVP</f>
        <v>0</v>
      </c>
      <c r="K239" s="32" t="str">
        <f aca="false">IF(H239&gt;0,J239/H239,"")</f>
        <v/>
      </c>
      <c r="L239" s="32" t="str">
        <f aca="false">IF(H239&gt;0,F239/H239,"")</f>
        <v/>
      </c>
      <c r="M239" s="57" t="str">
        <f aca="false">IF(F239&gt;0,J239/F239,"")</f>
        <v/>
      </c>
      <c r="N239" s="34" t="str">
        <f aca="false">IF(D239+E239&gt;0,D239/(D239+E239),"")</f>
        <v/>
      </c>
      <c r="O239" s="33" t="n">
        <f aca="false">IF(H239&gt;0,D239*(B239*(P1_BEN-P1_IVAN)+C239*(P2_BEN-P2_IVAN))/H239,0)-E239*(COSTE_DEV-IVA_DEV)-Y239</f>
        <v>0</v>
      </c>
      <c r="P239" s="33" t="n">
        <f aca="false">T239-U239-V239-W239-X239-Y239</f>
        <v>0</v>
      </c>
      <c r="R239" s="58" t="n">
        <f aca="false">D239+I239*TASA_USADA</f>
        <v>0</v>
      </c>
      <c r="S239" s="58" t="n">
        <f aca="false">E239+I239*(1-TASA_USADA)</f>
        <v>0</v>
      </c>
      <c r="T239" s="59" t="n">
        <f aca="false">IF(H239&gt;0,R239*J239/H239,0)</f>
        <v>0</v>
      </c>
      <c r="U239" s="59" t="n">
        <f aca="false">IF(H239&gt;0,R239*(B239*P1_CPROD+C239*P2_CPROD)/H239,0)</f>
        <v>0</v>
      </c>
      <c r="V239" s="59" t="n">
        <f aca="false">IF(H239&gt;0,R239*(B239*P1_LOG+C239*P2_LOG)/H239,0)</f>
        <v>0</v>
      </c>
      <c r="W239" s="59" t="n">
        <f aca="false">S239*COSTE_DEV</f>
        <v>0</v>
      </c>
      <c r="X239" s="59" t="n">
        <f aca="false">IF(H239&gt;0,R239*(B239*P1_IVAN+C239*P2_IVAN)/H239,0)-S239*IVA_DEV</f>
        <v>0</v>
      </c>
      <c r="Y239" s="59" t="n">
        <f aca="false">F239*(1+RECARGO_ADS)</f>
        <v>0</v>
      </c>
    </row>
    <row r="240" customFormat="false" ht="15" hidden="false" customHeight="false" outlineLevel="0" collapsed="false">
      <c r="A240" s="53" t="n">
        <v>46534</v>
      </c>
      <c r="B240" s="54"/>
      <c r="C240" s="54"/>
      <c r="D240" s="54"/>
      <c r="E240" s="54"/>
      <c r="F240" s="55"/>
      <c r="G240" s="56"/>
      <c r="H240" s="31" t="n">
        <f aca="false">B240+C240</f>
        <v>0</v>
      </c>
      <c r="I240" s="31" t="n">
        <f aca="false">MAX(0,H240-D240-E240)</f>
        <v>0</v>
      </c>
      <c r="J240" s="32" t="n">
        <f aca="false">B240*P1_PVP+C240*P2_PVP</f>
        <v>0</v>
      </c>
      <c r="K240" s="32" t="str">
        <f aca="false">IF(H240&gt;0,J240/H240,"")</f>
        <v/>
      </c>
      <c r="L240" s="32" t="str">
        <f aca="false">IF(H240&gt;0,F240/H240,"")</f>
        <v/>
      </c>
      <c r="M240" s="57" t="str">
        <f aca="false">IF(F240&gt;0,J240/F240,"")</f>
        <v/>
      </c>
      <c r="N240" s="34" t="str">
        <f aca="false">IF(D240+E240&gt;0,D240/(D240+E240),"")</f>
        <v/>
      </c>
      <c r="O240" s="33" t="n">
        <f aca="false">IF(H240&gt;0,D240*(B240*(P1_BEN-P1_IVAN)+C240*(P2_BEN-P2_IVAN))/H240,0)-E240*(COSTE_DEV-IVA_DEV)-Y240</f>
        <v>0</v>
      </c>
      <c r="P240" s="33" t="n">
        <f aca="false">T240-U240-V240-W240-X240-Y240</f>
        <v>0</v>
      </c>
      <c r="R240" s="58" t="n">
        <f aca="false">D240+I240*TASA_USADA</f>
        <v>0</v>
      </c>
      <c r="S240" s="58" t="n">
        <f aca="false">E240+I240*(1-TASA_USADA)</f>
        <v>0</v>
      </c>
      <c r="T240" s="59" t="n">
        <f aca="false">IF(H240&gt;0,R240*J240/H240,0)</f>
        <v>0</v>
      </c>
      <c r="U240" s="59" t="n">
        <f aca="false">IF(H240&gt;0,R240*(B240*P1_CPROD+C240*P2_CPROD)/H240,0)</f>
        <v>0</v>
      </c>
      <c r="V240" s="59" t="n">
        <f aca="false">IF(H240&gt;0,R240*(B240*P1_LOG+C240*P2_LOG)/H240,0)</f>
        <v>0</v>
      </c>
      <c r="W240" s="59" t="n">
        <f aca="false">S240*COSTE_DEV</f>
        <v>0</v>
      </c>
      <c r="X240" s="59" t="n">
        <f aca="false">IF(H240&gt;0,R240*(B240*P1_IVAN+C240*P2_IVAN)/H240,0)-S240*IVA_DEV</f>
        <v>0</v>
      </c>
      <c r="Y240" s="59" t="n">
        <f aca="false">F240*(1+RECARGO_ADS)</f>
        <v>0</v>
      </c>
    </row>
    <row r="241" customFormat="false" ht="15" hidden="false" customHeight="false" outlineLevel="0" collapsed="false">
      <c r="A241" s="53" t="n">
        <v>46535</v>
      </c>
      <c r="B241" s="54"/>
      <c r="C241" s="54"/>
      <c r="D241" s="54"/>
      <c r="E241" s="54"/>
      <c r="F241" s="55"/>
      <c r="G241" s="56"/>
      <c r="H241" s="31" t="n">
        <f aca="false">B241+C241</f>
        <v>0</v>
      </c>
      <c r="I241" s="31" t="n">
        <f aca="false">MAX(0,H241-D241-E241)</f>
        <v>0</v>
      </c>
      <c r="J241" s="32" t="n">
        <f aca="false">B241*P1_PVP+C241*P2_PVP</f>
        <v>0</v>
      </c>
      <c r="K241" s="32" t="str">
        <f aca="false">IF(H241&gt;0,J241/H241,"")</f>
        <v/>
      </c>
      <c r="L241" s="32" t="str">
        <f aca="false">IF(H241&gt;0,F241/H241,"")</f>
        <v/>
      </c>
      <c r="M241" s="57" t="str">
        <f aca="false">IF(F241&gt;0,J241/F241,"")</f>
        <v/>
      </c>
      <c r="N241" s="34" t="str">
        <f aca="false">IF(D241+E241&gt;0,D241/(D241+E241),"")</f>
        <v/>
      </c>
      <c r="O241" s="33" t="n">
        <f aca="false">IF(H241&gt;0,D241*(B241*(P1_BEN-P1_IVAN)+C241*(P2_BEN-P2_IVAN))/H241,0)-E241*(COSTE_DEV-IVA_DEV)-Y241</f>
        <v>0</v>
      </c>
      <c r="P241" s="33" t="n">
        <f aca="false">T241-U241-V241-W241-X241-Y241</f>
        <v>0</v>
      </c>
      <c r="R241" s="58" t="n">
        <f aca="false">D241+I241*TASA_USADA</f>
        <v>0</v>
      </c>
      <c r="S241" s="58" t="n">
        <f aca="false">E241+I241*(1-TASA_USADA)</f>
        <v>0</v>
      </c>
      <c r="T241" s="59" t="n">
        <f aca="false">IF(H241&gt;0,R241*J241/H241,0)</f>
        <v>0</v>
      </c>
      <c r="U241" s="59" t="n">
        <f aca="false">IF(H241&gt;0,R241*(B241*P1_CPROD+C241*P2_CPROD)/H241,0)</f>
        <v>0</v>
      </c>
      <c r="V241" s="59" t="n">
        <f aca="false">IF(H241&gt;0,R241*(B241*P1_LOG+C241*P2_LOG)/H241,0)</f>
        <v>0</v>
      </c>
      <c r="W241" s="59" t="n">
        <f aca="false">S241*COSTE_DEV</f>
        <v>0</v>
      </c>
      <c r="X241" s="59" t="n">
        <f aca="false">IF(H241&gt;0,R241*(B241*P1_IVAN+C241*P2_IVAN)/H241,0)-S241*IVA_DEV</f>
        <v>0</v>
      </c>
      <c r="Y241" s="59" t="n">
        <f aca="false">F241*(1+RECARGO_ADS)</f>
        <v>0</v>
      </c>
    </row>
    <row r="242" customFormat="false" ht="15" hidden="false" customHeight="false" outlineLevel="0" collapsed="false">
      <c r="A242" s="53" t="n">
        <v>46536</v>
      </c>
      <c r="B242" s="54"/>
      <c r="C242" s="54"/>
      <c r="D242" s="54"/>
      <c r="E242" s="54"/>
      <c r="F242" s="55"/>
      <c r="G242" s="56"/>
      <c r="H242" s="31" t="n">
        <f aca="false">B242+C242</f>
        <v>0</v>
      </c>
      <c r="I242" s="31" t="n">
        <f aca="false">MAX(0,H242-D242-E242)</f>
        <v>0</v>
      </c>
      <c r="J242" s="32" t="n">
        <f aca="false">B242*P1_PVP+C242*P2_PVP</f>
        <v>0</v>
      </c>
      <c r="K242" s="32" t="str">
        <f aca="false">IF(H242&gt;0,J242/H242,"")</f>
        <v/>
      </c>
      <c r="L242" s="32" t="str">
        <f aca="false">IF(H242&gt;0,F242/H242,"")</f>
        <v/>
      </c>
      <c r="M242" s="57" t="str">
        <f aca="false">IF(F242&gt;0,J242/F242,"")</f>
        <v/>
      </c>
      <c r="N242" s="34" t="str">
        <f aca="false">IF(D242+E242&gt;0,D242/(D242+E242),"")</f>
        <v/>
      </c>
      <c r="O242" s="33" t="n">
        <f aca="false">IF(H242&gt;0,D242*(B242*(P1_BEN-P1_IVAN)+C242*(P2_BEN-P2_IVAN))/H242,0)-E242*(COSTE_DEV-IVA_DEV)-Y242</f>
        <v>0</v>
      </c>
      <c r="P242" s="33" t="n">
        <f aca="false">T242-U242-V242-W242-X242-Y242</f>
        <v>0</v>
      </c>
      <c r="R242" s="58" t="n">
        <f aca="false">D242+I242*TASA_USADA</f>
        <v>0</v>
      </c>
      <c r="S242" s="58" t="n">
        <f aca="false">E242+I242*(1-TASA_USADA)</f>
        <v>0</v>
      </c>
      <c r="T242" s="59" t="n">
        <f aca="false">IF(H242&gt;0,R242*J242/H242,0)</f>
        <v>0</v>
      </c>
      <c r="U242" s="59" t="n">
        <f aca="false">IF(H242&gt;0,R242*(B242*P1_CPROD+C242*P2_CPROD)/H242,0)</f>
        <v>0</v>
      </c>
      <c r="V242" s="59" t="n">
        <f aca="false">IF(H242&gt;0,R242*(B242*P1_LOG+C242*P2_LOG)/H242,0)</f>
        <v>0</v>
      </c>
      <c r="W242" s="59" t="n">
        <f aca="false">S242*COSTE_DEV</f>
        <v>0</v>
      </c>
      <c r="X242" s="59" t="n">
        <f aca="false">IF(H242&gt;0,R242*(B242*P1_IVAN+C242*P2_IVAN)/H242,0)-S242*IVA_DEV</f>
        <v>0</v>
      </c>
      <c r="Y242" s="59" t="n">
        <f aca="false">F242*(1+RECARGO_ADS)</f>
        <v>0</v>
      </c>
    </row>
    <row r="243" customFormat="false" ht="15" hidden="false" customHeight="false" outlineLevel="0" collapsed="false">
      <c r="A243" s="53" t="n">
        <v>46537</v>
      </c>
      <c r="B243" s="54"/>
      <c r="C243" s="54"/>
      <c r="D243" s="54"/>
      <c r="E243" s="54"/>
      <c r="F243" s="55"/>
      <c r="G243" s="56"/>
      <c r="H243" s="31" t="n">
        <f aca="false">B243+C243</f>
        <v>0</v>
      </c>
      <c r="I243" s="31" t="n">
        <f aca="false">MAX(0,H243-D243-E243)</f>
        <v>0</v>
      </c>
      <c r="J243" s="32" t="n">
        <f aca="false">B243*P1_PVP+C243*P2_PVP</f>
        <v>0</v>
      </c>
      <c r="K243" s="32" t="str">
        <f aca="false">IF(H243&gt;0,J243/H243,"")</f>
        <v/>
      </c>
      <c r="L243" s="32" t="str">
        <f aca="false">IF(H243&gt;0,F243/H243,"")</f>
        <v/>
      </c>
      <c r="M243" s="57" t="str">
        <f aca="false">IF(F243&gt;0,J243/F243,"")</f>
        <v/>
      </c>
      <c r="N243" s="34" t="str">
        <f aca="false">IF(D243+E243&gt;0,D243/(D243+E243),"")</f>
        <v/>
      </c>
      <c r="O243" s="33" t="n">
        <f aca="false">IF(H243&gt;0,D243*(B243*(P1_BEN-P1_IVAN)+C243*(P2_BEN-P2_IVAN))/H243,0)-E243*(COSTE_DEV-IVA_DEV)-Y243</f>
        <v>0</v>
      </c>
      <c r="P243" s="33" t="n">
        <f aca="false">T243-U243-V243-W243-X243-Y243</f>
        <v>0</v>
      </c>
      <c r="R243" s="58" t="n">
        <f aca="false">D243+I243*TASA_USADA</f>
        <v>0</v>
      </c>
      <c r="S243" s="58" t="n">
        <f aca="false">E243+I243*(1-TASA_USADA)</f>
        <v>0</v>
      </c>
      <c r="T243" s="59" t="n">
        <f aca="false">IF(H243&gt;0,R243*J243/H243,0)</f>
        <v>0</v>
      </c>
      <c r="U243" s="59" t="n">
        <f aca="false">IF(H243&gt;0,R243*(B243*P1_CPROD+C243*P2_CPROD)/H243,0)</f>
        <v>0</v>
      </c>
      <c r="V243" s="59" t="n">
        <f aca="false">IF(H243&gt;0,R243*(B243*P1_LOG+C243*P2_LOG)/H243,0)</f>
        <v>0</v>
      </c>
      <c r="W243" s="59" t="n">
        <f aca="false">S243*COSTE_DEV</f>
        <v>0</v>
      </c>
      <c r="X243" s="59" t="n">
        <f aca="false">IF(H243&gt;0,R243*(B243*P1_IVAN+C243*P2_IVAN)/H243,0)-S243*IVA_DEV</f>
        <v>0</v>
      </c>
      <c r="Y243" s="59" t="n">
        <f aca="false">F243*(1+RECARGO_ADS)</f>
        <v>0</v>
      </c>
    </row>
    <row r="244" customFormat="false" ht="15" hidden="false" customHeight="false" outlineLevel="0" collapsed="false">
      <c r="A244" s="53" t="n">
        <v>46538</v>
      </c>
      <c r="B244" s="54"/>
      <c r="C244" s="54"/>
      <c r="D244" s="54"/>
      <c r="E244" s="54"/>
      <c r="F244" s="55"/>
      <c r="G244" s="56"/>
      <c r="H244" s="31" t="n">
        <f aca="false">B244+C244</f>
        <v>0</v>
      </c>
      <c r="I244" s="31" t="n">
        <f aca="false">MAX(0,H244-D244-E244)</f>
        <v>0</v>
      </c>
      <c r="J244" s="32" t="n">
        <f aca="false">B244*P1_PVP+C244*P2_PVP</f>
        <v>0</v>
      </c>
      <c r="K244" s="32" t="str">
        <f aca="false">IF(H244&gt;0,J244/H244,"")</f>
        <v/>
      </c>
      <c r="L244" s="32" t="str">
        <f aca="false">IF(H244&gt;0,F244/H244,"")</f>
        <v/>
      </c>
      <c r="M244" s="57" t="str">
        <f aca="false">IF(F244&gt;0,J244/F244,"")</f>
        <v/>
      </c>
      <c r="N244" s="34" t="str">
        <f aca="false">IF(D244+E244&gt;0,D244/(D244+E244),"")</f>
        <v/>
      </c>
      <c r="O244" s="33" t="n">
        <f aca="false">IF(H244&gt;0,D244*(B244*(P1_BEN-P1_IVAN)+C244*(P2_BEN-P2_IVAN))/H244,0)-E244*(COSTE_DEV-IVA_DEV)-Y244</f>
        <v>0</v>
      </c>
      <c r="P244" s="33" t="n">
        <f aca="false">T244-U244-V244-W244-X244-Y244</f>
        <v>0</v>
      </c>
      <c r="R244" s="58" t="n">
        <f aca="false">D244+I244*TASA_USADA</f>
        <v>0</v>
      </c>
      <c r="S244" s="58" t="n">
        <f aca="false">E244+I244*(1-TASA_USADA)</f>
        <v>0</v>
      </c>
      <c r="T244" s="59" t="n">
        <f aca="false">IF(H244&gt;0,R244*J244/H244,0)</f>
        <v>0</v>
      </c>
      <c r="U244" s="59" t="n">
        <f aca="false">IF(H244&gt;0,R244*(B244*P1_CPROD+C244*P2_CPROD)/H244,0)</f>
        <v>0</v>
      </c>
      <c r="V244" s="59" t="n">
        <f aca="false">IF(H244&gt;0,R244*(B244*P1_LOG+C244*P2_LOG)/H244,0)</f>
        <v>0</v>
      </c>
      <c r="W244" s="59" t="n">
        <f aca="false">S244*COSTE_DEV</f>
        <v>0</v>
      </c>
      <c r="X244" s="59" t="n">
        <f aca="false">IF(H244&gt;0,R244*(B244*P1_IVAN+C244*P2_IVAN)/H244,0)-S244*IVA_DEV</f>
        <v>0</v>
      </c>
      <c r="Y244" s="59" t="n">
        <f aca="false">F244*(1+RECARGO_ADS)</f>
        <v>0</v>
      </c>
    </row>
    <row r="245" customFormat="false" ht="15" hidden="false" customHeight="false" outlineLevel="0" collapsed="false">
      <c r="A245" s="53" t="n">
        <v>46539</v>
      </c>
      <c r="B245" s="54"/>
      <c r="C245" s="54"/>
      <c r="D245" s="54"/>
      <c r="E245" s="54"/>
      <c r="F245" s="55"/>
      <c r="G245" s="56"/>
      <c r="H245" s="31" t="n">
        <f aca="false">B245+C245</f>
        <v>0</v>
      </c>
      <c r="I245" s="31" t="n">
        <f aca="false">MAX(0,H245-D245-E245)</f>
        <v>0</v>
      </c>
      <c r="J245" s="32" t="n">
        <f aca="false">B245*P1_PVP+C245*P2_PVP</f>
        <v>0</v>
      </c>
      <c r="K245" s="32" t="str">
        <f aca="false">IF(H245&gt;0,J245/H245,"")</f>
        <v/>
      </c>
      <c r="L245" s="32" t="str">
        <f aca="false">IF(H245&gt;0,F245/H245,"")</f>
        <v/>
      </c>
      <c r="M245" s="57" t="str">
        <f aca="false">IF(F245&gt;0,J245/F245,"")</f>
        <v/>
      </c>
      <c r="N245" s="34" t="str">
        <f aca="false">IF(D245+E245&gt;0,D245/(D245+E245),"")</f>
        <v/>
      </c>
      <c r="O245" s="33" t="n">
        <f aca="false">IF(H245&gt;0,D245*(B245*(P1_BEN-P1_IVAN)+C245*(P2_BEN-P2_IVAN))/H245,0)-E245*(COSTE_DEV-IVA_DEV)-Y245</f>
        <v>0</v>
      </c>
      <c r="P245" s="33" t="n">
        <f aca="false">T245-U245-V245-W245-X245-Y245</f>
        <v>0</v>
      </c>
      <c r="R245" s="58" t="n">
        <f aca="false">D245+I245*TASA_USADA</f>
        <v>0</v>
      </c>
      <c r="S245" s="58" t="n">
        <f aca="false">E245+I245*(1-TASA_USADA)</f>
        <v>0</v>
      </c>
      <c r="T245" s="59" t="n">
        <f aca="false">IF(H245&gt;0,R245*J245/H245,0)</f>
        <v>0</v>
      </c>
      <c r="U245" s="59" t="n">
        <f aca="false">IF(H245&gt;0,R245*(B245*P1_CPROD+C245*P2_CPROD)/H245,0)</f>
        <v>0</v>
      </c>
      <c r="V245" s="59" t="n">
        <f aca="false">IF(H245&gt;0,R245*(B245*P1_LOG+C245*P2_LOG)/H245,0)</f>
        <v>0</v>
      </c>
      <c r="W245" s="59" t="n">
        <f aca="false">S245*COSTE_DEV</f>
        <v>0</v>
      </c>
      <c r="X245" s="59" t="n">
        <f aca="false">IF(H245&gt;0,R245*(B245*P1_IVAN+C245*P2_IVAN)/H245,0)-S245*IVA_DEV</f>
        <v>0</v>
      </c>
      <c r="Y245" s="59" t="n">
        <f aca="false">F245*(1+RECARGO_ADS)</f>
        <v>0</v>
      </c>
    </row>
    <row r="246" customFormat="false" ht="15" hidden="false" customHeight="false" outlineLevel="0" collapsed="false">
      <c r="A246" s="53" t="n">
        <v>46540</v>
      </c>
      <c r="B246" s="54"/>
      <c r="C246" s="54"/>
      <c r="D246" s="54"/>
      <c r="E246" s="54"/>
      <c r="F246" s="55"/>
      <c r="G246" s="56"/>
      <c r="H246" s="31" t="n">
        <f aca="false">B246+C246</f>
        <v>0</v>
      </c>
      <c r="I246" s="31" t="n">
        <f aca="false">MAX(0,H246-D246-E246)</f>
        <v>0</v>
      </c>
      <c r="J246" s="32" t="n">
        <f aca="false">B246*P1_PVP+C246*P2_PVP</f>
        <v>0</v>
      </c>
      <c r="K246" s="32" t="str">
        <f aca="false">IF(H246&gt;0,J246/H246,"")</f>
        <v/>
      </c>
      <c r="L246" s="32" t="str">
        <f aca="false">IF(H246&gt;0,F246/H246,"")</f>
        <v/>
      </c>
      <c r="M246" s="57" t="str">
        <f aca="false">IF(F246&gt;0,J246/F246,"")</f>
        <v/>
      </c>
      <c r="N246" s="34" t="str">
        <f aca="false">IF(D246+E246&gt;0,D246/(D246+E246),"")</f>
        <v/>
      </c>
      <c r="O246" s="33" t="n">
        <f aca="false">IF(H246&gt;0,D246*(B246*(P1_BEN-P1_IVAN)+C246*(P2_BEN-P2_IVAN))/H246,0)-E246*(COSTE_DEV-IVA_DEV)-Y246</f>
        <v>0</v>
      </c>
      <c r="P246" s="33" t="n">
        <f aca="false">T246-U246-V246-W246-X246-Y246</f>
        <v>0</v>
      </c>
      <c r="R246" s="58" t="n">
        <f aca="false">D246+I246*TASA_USADA</f>
        <v>0</v>
      </c>
      <c r="S246" s="58" t="n">
        <f aca="false">E246+I246*(1-TASA_USADA)</f>
        <v>0</v>
      </c>
      <c r="T246" s="59" t="n">
        <f aca="false">IF(H246&gt;0,R246*J246/H246,0)</f>
        <v>0</v>
      </c>
      <c r="U246" s="59" t="n">
        <f aca="false">IF(H246&gt;0,R246*(B246*P1_CPROD+C246*P2_CPROD)/H246,0)</f>
        <v>0</v>
      </c>
      <c r="V246" s="59" t="n">
        <f aca="false">IF(H246&gt;0,R246*(B246*P1_LOG+C246*P2_LOG)/H246,0)</f>
        <v>0</v>
      </c>
      <c r="W246" s="59" t="n">
        <f aca="false">S246*COSTE_DEV</f>
        <v>0</v>
      </c>
      <c r="X246" s="59" t="n">
        <f aca="false">IF(H246&gt;0,R246*(B246*P1_IVAN+C246*P2_IVAN)/H246,0)-S246*IVA_DEV</f>
        <v>0</v>
      </c>
      <c r="Y246" s="59" t="n">
        <f aca="false">F246*(1+RECARGO_ADS)</f>
        <v>0</v>
      </c>
    </row>
    <row r="247" customFormat="false" ht="15" hidden="false" customHeight="false" outlineLevel="0" collapsed="false">
      <c r="A247" s="53" t="n">
        <v>46541</v>
      </c>
      <c r="B247" s="54"/>
      <c r="C247" s="54"/>
      <c r="D247" s="54"/>
      <c r="E247" s="54"/>
      <c r="F247" s="55"/>
      <c r="G247" s="56"/>
      <c r="H247" s="31" t="n">
        <f aca="false">B247+C247</f>
        <v>0</v>
      </c>
      <c r="I247" s="31" t="n">
        <f aca="false">MAX(0,H247-D247-E247)</f>
        <v>0</v>
      </c>
      <c r="J247" s="32" t="n">
        <f aca="false">B247*P1_PVP+C247*P2_PVP</f>
        <v>0</v>
      </c>
      <c r="K247" s="32" t="str">
        <f aca="false">IF(H247&gt;0,J247/H247,"")</f>
        <v/>
      </c>
      <c r="L247" s="32" t="str">
        <f aca="false">IF(H247&gt;0,F247/H247,"")</f>
        <v/>
      </c>
      <c r="M247" s="57" t="str">
        <f aca="false">IF(F247&gt;0,J247/F247,"")</f>
        <v/>
      </c>
      <c r="N247" s="34" t="str">
        <f aca="false">IF(D247+E247&gt;0,D247/(D247+E247),"")</f>
        <v/>
      </c>
      <c r="O247" s="33" t="n">
        <f aca="false">IF(H247&gt;0,D247*(B247*(P1_BEN-P1_IVAN)+C247*(P2_BEN-P2_IVAN))/H247,0)-E247*(COSTE_DEV-IVA_DEV)-Y247</f>
        <v>0</v>
      </c>
      <c r="P247" s="33" t="n">
        <f aca="false">T247-U247-V247-W247-X247-Y247</f>
        <v>0</v>
      </c>
      <c r="R247" s="58" t="n">
        <f aca="false">D247+I247*TASA_USADA</f>
        <v>0</v>
      </c>
      <c r="S247" s="58" t="n">
        <f aca="false">E247+I247*(1-TASA_USADA)</f>
        <v>0</v>
      </c>
      <c r="T247" s="59" t="n">
        <f aca="false">IF(H247&gt;0,R247*J247/H247,0)</f>
        <v>0</v>
      </c>
      <c r="U247" s="59" t="n">
        <f aca="false">IF(H247&gt;0,R247*(B247*P1_CPROD+C247*P2_CPROD)/H247,0)</f>
        <v>0</v>
      </c>
      <c r="V247" s="59" t="n">
        <f aca="false">IF(H247&gt;0,R247*(B247*P1_LOG+C247*P2_LOG)/H247,0)</f>
        <v>0</v>
      </c>
      <c r="W247" s="59" t="n">
        <f aca="false">S247*COSTE_DEV</f>
        <v>0</v>
      </c>
      <c r="X247" s="59" t="n">
        <f aca="false">IF(H247&gt;0,R247*(B247*P1_IVAN+C247*P2_IVAN)/H247,0)-S247*IVA_DEV</f>
        <v>0</v>
      </c>
      <c r="Y247" s="59" t="n">
        <f aca="false">F247*(1+RECARGO_ADS)</f>
        <v>0</v>
      </c>
    </row>
    <row r="248" customFormat="false" ht="15" hidden="false" customHeight="false" outlineLevel="0" collapsed="false">
      <c r="A248" s="53" t="n">
        <v>46542</v>
      </c>
      <c r="B248" s="54"/>
      <c r="C248" s="54"/>
      <c r="D248" s="54"/>
      <c r="E248" s="54"/>
      <c r="F248" s="55"/>
      <c r="G248" s="56"/>
      <c r="H248" s="31" t="n">
        <f aca="false">B248+C248</f>
        <v>0</v>
      </c>
      <c r="I248" s="31" t="n">
        <f aca="false">MAX(0,H248-D248-E248)</f>
        <v>0</v>
      </c>
      <c r="J248" s="32" t="n">
        <f aca="false">B248*P1_PVP+C248*P2_PVP</f>
        <v>0</v>
      </c>
      <c r="K248" s="32" t="str">
        <f aca="false">IF(H248&gt;0,J248/H248,"")</f>
        <v/>
      </c>
      <c r="L248" s="32" t="str">
        <f aca="false">IF(H248&gt;0,F248/H248,"")</f>
        <v/>
      </c>
      <c r="M248" s="57" t="str">
        <f aca="false">IF(F248&gt;0,J248/F248,"")</f>
        <v/>
      </c>
      <c r="N248" s="34" t="str">
        <f aca="false">IF(D248+E248&gt;0,D248/(D248+E248),"")</f>
        <v/>
      </c>
      <c r="O248" s="33" t="n">
        <f aca="false">IF(H248&gt;0,D248*(B248*(P1_BEN-P1_IVAN)+C248*(P2_BEN-P2_IVAN))/H248,0)-E248*(COSTE_DEV-IVA_DEV)-Y248</f>
        <v>0</v>
      </c>
      <c r="P248" s="33" t="n">
        <f aca="false">T248-U248-V248-W248-X248-Y248</f>
        <v>0</v>
      </c>
      <c r="R248" s="58" t="n">
        <f aca="false">D248+I248*TASA_USADA</f>
        <v>0</v>
      </c>
      <c r="S248" s="58" t="n">
        <f aca="false">E248+I248*(1-TASA_USADA)</f>
        <v>0</v>
      </c>
      <c r="T248" s="59" t="n">
        <f aca="false">IF(H248&gt;0,R248*J248/H248,0)</f>
        <v>0</v>
      </c>
      <c r="U248" s="59" t="n">
        <f aca="false">IF(H248&gt;0,R248*(B248*P1_CPROD+C248*P2_CPROD)/H248,0)</f>
        <v>0</v>
      </c>
      <c r="V248" s="59" t="n">
        <f aca="false">IF(H248&gt;0,R248*(B248*P1_LOG+C248*P2_LOG)/H248,0)</f>
        <v>0</v>
      </c>
      <c r="W248" s="59" t="n">
        <f aca="false">S248*COSTE_DEV</f>
        <v>0</v>
      </c>
      <c r="X248" s="59" t="n">
        <f aca="false">IF(H248&gt;0,R248*(B248*P1_IVAN+C248*P2_IVAN)/H248,0)-S248*IVA_DEV</f>
        <v>0</v>
      </c>
      <c r="Y248" s="59" t="n">
        <f aca="false">F248*(1+RECARGO_ADS)</f>
        <v>0</v>
      </c>
    </row>
    <row r="249" customFormat="false" ht="15" hidden="false" customHeight="false" outlineLevel="0" collapsed="false">
      <c r="A249" s="53" t="n">
        <v>46543</v>
      </c>
      <c r="B249" s="54"/>
      <c r="C249" s="54"/>
      <c r="D249" s="54"/>
      <c r="E249" s="54"/>
      <c r="F249" s="55"/>
      <c r="G249" s="56"/>
      <c r="H249" s="31" t="n">
        <f aca="false">B249+C249</f>
        <v>0</v>
      </c>
      <c r="I249" s="31" t="n">
        <f aca="false">MAX(0,H249-D249-E249)</f>
        <v>0</v>
      </c>
      <c r="J249" s="32" t="n">
        <f aca="false">B249*P1_PVP+C249*P2_PVP</f>
        <v>0</v>
      </c>
      <c r="K249" s="32" t="str">
        <f aca="false">IF(H249&gt;0,J249/H249,"")</f>
        <v/>
      </c>
      <c r="L249" s="32" t="str">
        <f aca="false">IF(H249&gt;0,F249/H249,"")</f>
        <v/>
      </c>
      <c r="M249" s="57" t="str">
        <f aca="false">IF(F249&gt;0,J249/F249,"")</f>
        <v/>
      </c>
      <c r="N249" s="34" t="str">
        <f aca="false">IF(D249+E249&gt;0,D249/(D249+E249),"")</f>
        <v/>
      </c>
      <c r="O249" s="33" t="n">
        <f aca="false">IF(H249&gt;0,D249*(B249*(P1_BEN-P1_IVAN)+C249*(P2_BEN-P2_IVAN))/H249,0)-E249*(COSTE_DEV-IVA_DEV)-Y249</f>
        <v>0</v>
      </c>
      <c r="P249" s="33" t="n">
        <f aca="false">T249-U249-V249-W249-X249-Y249</f>
        <v>0</v>
      </c>
      <c r="R249" s="58" t="n">
        <f aca="false">D249+I249*TASA_USADA</f>
        <v>0</v>
      </c>
      <c r="S249" s="58" t="n">
        <f aca="false">E249+I249*(1-TASA_USADA)</f>
        <v>0</v>
      </c>
      <c r="T249" s="59" t="n">
        <f aca="false">IF(H249&gt;0,R249*J249/H249,0)</f>
        <v>0</v>
      </c>
      <c r="U249" s="59" t="n">
        <f aca="false">IF(H249&gt;0,R249*(B249*P1_CPROD+C249*P2_CPROD)/H249,0)</f>
        <v>0</v>
      </c>
      <c r="V249" s="59" t="n">
        <f aca="false">IF(H249&gt;0,R249*(B249*P1_LOG+C249*P2_LOG)/H249,0)</f>
        <v>0</v>
      </c>
      <c r="W249" s="59" t="n">
        <f aca="false">S249*COSTE_DEV</f>
        <v>0</v>
      </c>
      <c r="X249" s="59" t="n">
        <f aca="false">IF(H249&gt;0,R249*(B249*P1_IVAN+C249*P2_IVAN)/H249,0)-S249*IVA_DEV</f>
        <v>0</v>
      </c>
      <c r="Y249" s="59" t="n">
        <f aca="false">F249*(1+RECARGO_ADS)</f>
        <v>0</v>
      </c>
    </row>
    <row r="250" customFormat="false" ht="15" hidden="false" customHeight="false" outlineLevel="0" collapsed="false">
      <c r="A250" s="53" t="n">
        <v>46544</v>
      </c>
      <c r="B250" s="54"/>
      <c r="C250" s="54"/>
      <c r="D250" s="54"/>
      <c r="E250" s="54"/>
      <c r="F250" s="55"/>
      <c r="G250" s="56"/>
      <c r="H250" s="31" t="n">
        <f aca="false">B250+C250</f>
        <v>0</v>
      </c>
      <c r="I250" s="31" t="n">
        <f aca="false">MAX(0,H250-D250-E250)</f>
        <v>0</v>
      </c>
      <c r="J250" s="32" t="n">
        <f aca="false">B250*P1_PVP+C250*P2_PVP</f>
        <v>0</v>
      </c>
      <c r="K250" s="32" t="str">
        <f aca="false">IF(H250&gt;0,J250/H250,"")</f>
        <v/>
      </c>
      <c r="L250" s="32" t="str">
        <f aca="false">IF(H250&gt;0,F250/H250,"")</f>
        <v/>
      </c>
      <c r="M250" s="57" t="str">
        <f aca="false">IF(F250&gt;0,J250/F250,"")</f>
        <v/>
      </c>
      <c r="N250" s="34" t="str">
        <f aca="false">IF(D250+E250&gt;0,D250/(D250+E250),"")</f>
        <v/>
      </c>
      <c r="O250" s="33" t="n">
        <f aca="false">IF(H250&gt;0,D250*(B250*(P1_BEN-P1_IVAN)+C250*(P2_BEN-P2_IVAN))/H250,0)-E250*(COSTE_DEV-IVA_DEV)-Y250</f>
        <v>0</v>
      </c>
      <c r="P250" s="33" t="n">
        <f aca="false">T250-U250-V250-W250-X250-Y250</f>
        <v>0</v>
      </c>
      <c r="R250" s="58" t="n">
        <f aca="false">D250+I250*TASA_USADA</f>
        <v>0</v>
      </c>
      <c r="S250" s="58" t="n">
        <f aca="false">E250+I250*(1-TASA_USADA)</f>
        <v>0</v>
      </c>
      <c r="T250" s="59" t="n">
        <f aca="false">IF(H250&gt;0,R250*J250/H250,0)</f>
        <v>0</v>
      </c>
      <c r="U250" s="59" t="n">
        <f aca="false">IF(H250&gt;0,R250*(B250*P1_CPROD+C250*P2_CPROD)/H250,0)</f>
        <v>0</v>
      </c>
      <c r="V250" s="59" t="n">
        <f aca="false">IF(H250&gt;0,R250*(B250*P1_LOG+C250*P2_LOG)/H250,0)</f>
        <v>0</v>
      </c>
      <c r="W250" s="59" t="n">
        <f aca="false">S250*COSTE_DEV</f>
        <v>0</v>
      </c>
      <c r="X250" s="59" t="n">
        <f aca="false">IF(H250&gt;0,R250*(B250*P1_IVAN+C250*P2_IVAN)/H250,0)-S250*IVA_DEV</f>
        <v>0</v>
      </c>
      <c r="Y250" s="59" t="n">
        <f aca="false">F250*(1+RECARGO_ADS)</f>
        <v>0</v>
      </c>
    </row>
    <row r="251" customFormat="false" ht="15" hidden="false" customHeight="false" outlineLevel="0" collapsed="false">
      <c r="A251" s="53" t="n">
        <v>46545</v>
      </c>
      <c r="B251" s="54"/>
      <c r="C251" s="54"/>
      <c r="D251" s="54"/>
      <c r="E251" s="54"/>
      <c r="F251" s="55"/>
      <c r="G251" s="56"/>
      <c r="H251" s="31" t="n">
        <f aca="false">B251+C251</f>
        <v>0</v>
      </c>
      <c r="I251" s="31" t="n">
        <f aca="false">MAX(0,H251-D251-E251)</f>
        <v>0</v>
      </c>
      <c r="J251" s="32" t="n">
        <f aca="false">B251*P1_PVP+C251*P2_PVP</f>
        <v>0</v>
      </c>
      <c r="K251" s="32" t="str">
        <f aca="false">IF(H251&gt;0,J251/H251,"")</f>
        <v/>
      </c>
      <c r="L251" s="32" t="str">
        <f aca="false">IF(H251&gt;0,F251/H251,"")</f>
        <v/>
      </c>
      <c r="M251" s="57" t="str">
        <f aca="false">IF(F251&gt;0,J251/F251,"")</f>
        <v/>
      </c>
      <c r="N251" s="34" t="str">
        <f aca="false">IF(D251+E251&gt;0,D251/(D251+E251),"")</f>
        <v/>
      </c>
      <c r="O251" s="33" t="n">
        <f aca="false">IF(H251&gt;0,D251*(B251*(P1_BEN-P1_IVAN)+C251*(P2_BEN-P2_IVAN))/H251,0)-E251*(COSTE_DEV-IVA_DEV)-Y251</f>
        <v>0</v>
      </c>
      <c r="P251" s="33" t="n">
        <f aca="false">T251-U251-V251-W251-X251-Y251</f>
        <v>0</v>
      </c>
      <c r="R251" s="58" t="n">
        <f aca="false">D251+I251*TASA_USADA</f>
        <v>0</v>
      </c>
      <c r="S251" s="58" t="n">
        <f aca="false">E251+I251*(1-TASA_USADA)</f>
        <v>0</v>
      </c>
      <c r="T251" s="59" t="n">
        <f aca="false">IF(H251&gt;0,R251*J251/H251,0)</f>
        <v>0</v>
      </c>
      <c r="U251" s="59" t="n">
        <f aca="false">IF(H251&gt;0,R251*(B251*P1_CPROD+C251*P2_CPROD)/H251,0)</f>
        <v>0</v>
      </c>
      <c r="V251" s="59" t="n">
        <f aca="false">IF(H251&gt;0,R251*(B251*P1_LOG+C251*P2_LOG)/H251,0)</f>
        <v>0</v>
      </c>
      <c r="W251" s="59" t="n">
        <f aca="false">S251*COSTE_DEV</f>
        <v>0</v>
      </c>
      <c r="X251" s="59" t="n">
        <f aca="false">IF(H251&gt;0,R251*(B251*P1_IVAN+C251*P2_IVAN)/H251,0)-S251*IVA_DEV</f>
        <v>0</v>
      </c>
      <c r="Y251" s="59" t="n">
        <f aca="false">F251*(1+RECARGO_ADS)</f>
        <v>0</v>
      </c>
    </row>
    <row r="252" customFormat="false" ht="15" hidden="false" customHeight="false" outlineLevel="0" collapsed="false">
      <c r="A252" s="53" t="n">
        <v>46546</v>
      </c>
      <c r="B252" s="54"/>
      <c r="C252" s="54"/>
      <c r="D252" s="54"/>
      <c r="E252" s="54"/>
      <c r="F252" s="55"/>
      <c r="G252" s="56"/>
      <c r="H252" s="31" t="n">
        <f aca="false">B252+C252</f>
        <v>0</v>
      </c>
      <c r="I252" s="31" t="n">
        <f aca="false">MAX(0,H252-D252-E252)</f>
        <v>0</v>
      </c>
      <c r="J252" s="32" t="n">
        <f aca="false">B252*P1_PVP+C252*P2_PVP</f>
        <v>0</v>
      </c>
      <c r="K252" s="32" t="str">
        <f aca="false">IF(H252&gt;0,J252/H252,"")</f>
        <v/>
      </c>
      <c r="L252" s="32" t="str">
        <f aca="false">IF(H252&gt;0,F252/H252,"")</f>
        <v/>
      </c>
      <c r="M252" s="57" t="str">
        <f aca="false">IF(F252&gt;0,J252/F252,"")</f>
        <v/>
      </c>
      <c r="N252" s="34" t="str">
        <f aca="false">IF(D252+E252&gt;0,D252/(D252+E252),"")</f>
        <v/>
      </c>
      <c r="O252" s="33" t="n">
        <f aca="false">IF(H252&gt;0,D252*(B252*(P1_BEN-P1_IVAN)+C252*(P2_BEN-P2_IVAN))/H252,0)-E252*(COSTE_DEV-IVA_DEV)-Y252</f>
        <v>0</v>
      </c>
      <c r="P252" s="33" t="n">
        <f aca="false">T252-U252-V252-W252-X252-Y252</f>
        <v>0</v>
      </c>
      <c r="R252" s="58" t="n">
        <f aca="false">D252+I252*TASA_USADA</f>
        <v>0</v>
      </c>
      <c r="S252" s="58" t="n">
        <f aca="false">E252+I252*(1-TASA_USADA)</f>
        <v>0</v>
      </c>
      <c r="T252" s="59" t="n">
        <f aca="false">IF(H252&gt;0,R252*J252/H252,0)</f>
        <v>0</v>
      </c>
      <c r="U252" s="59" t="n">
        <f aca="false">IF(H252&gt;0,R252*(B252*P1_CPROD+C252*P2_CPROD)/H252,0)</f>
        <v>0</v>
      </c>
      <c r="V252" s="59" t="n">
        <f aca="false">IF(H252&gt;0,R252*(B252*P1_LOG+C252*P2_LOG)/H252,0)</f>
        <v>0</v>
      </c>
      <c r="W252" s="59" t="n">
        <f aca="false">S252*COSTE_DEV</f>
        <v>0</v>
      </c>
      <c r="X252" s="59" t="n">
        <f aca="false">IF(H252&gt;0,R252*(B252*P1_IVAN+C252*P2_IVAN)/H252,0)-S252*IVA_DEV</f>
        <v>0</v>
      </c>
      <c r="Y252" s="59" t="n">
        <f aca="false">F252*(1+RECARGO_ADS)</f>
        <v>0</v>
      </c>
    </row>
    <row r="253" customFormat="false" ht="15" hidden="false" customHeight="false" outlineLevel="0" collapsed="false">
      <c r="A253" s="53" t="n">
        <v>46547</v>
      </c>
      <c r="B253" s="54"/>
      <c r="C253" s="54"/>
      <c r="D253" s="54"/>
      <c r="E253" s="54"/>
      <c r="F253" s="55"/>
      <c r="G253" s="56"/>
      <c r="H253" s="31" t="n">
        <f aca="false">B253+C253</f>
        <v>0</v>
      </c>
      <c r="I253" s="31" t="n">
        <f aca="false">MAX(0,H253-D253-E253)</f>
        <v>0</v>
      </c>
      <c r="J253" s="32" t="n">
        <f aca="false">B253*P1_PVP+C253*P2_PVP</f>
        <v>0</v>
      </c>
      <c r="K253" s="32" t="str">
        <f aca="false">IF(H253&gt;0,J253/H253,"")</f>
        <v/>
      </c>
      <c r="L253" s="32" t="str">
        <f aca="false">IF(H253&gt;0,F253/H253,"")</f>
        <v/>
      </c>
      <c r="M253" s="57" t="str">
        <f aca="false">IF(F253&gt;0,J253/F253,"")</f>
        <v/>
      </c>
      <c r="N253" s="34" t="str">
        <f aca="false">IF(D253+E253&gt;0,D253/(D253+E253),"")</f>
        <v/>
      </c>
      <c r="O253" s="33" t="n">
        <f aca="false">IF(H253&gt;0,D253*(B253*(P1_BEN-P1_IVAN)+C253*(P2_BEN-P2_IVAN))/H253,0)-E253*(COSTE_DEV-IVA_DEV)-Y253</f>
        <v>0</v>
      </c>
      <c r="P253" s="33" t="n">
        <f aca="false">T253-U253-V253-W253-X253-Y253</f>
        <v>0</v>
      </c>
      <c r="R253" s="58" t="n">
        <f aca="false">D253+I253*TASA_USADA</f>
        <v>0</v>
      </c>
      <c r="S253" s="58" t="n">
        <f aca="false">E253+I253*(1-TASA_USADA)</f>
        <v>0</v>
      </c>
      <c r="T253" s="59" t="n">
        <f aca="false">IF(H253&gt;0,R253*J253/H253,0)</f>
        <v>0</v>
      </c>
      <c r="U253" s="59" t="n">
        <f aca="false">IF(H253&gt;0,R253*(B253*P1_CPROD+C253*P2_CPROD)/H253,0)</f>
        <v>0</v>
      </c>
      <c r="V253" s="59" t="n">
        <f aca="false">IF(H253&gt;0,R253*(B253*P1_LOG+C253*P2_LOG)/H253,0)</f>
        <v>0</v>
      </c>
      <c r="W253" s="59" t="n">
        <f aca="false">S253*COSTE_DEV</f>
        <v>0</v>
      </c>
      <c r="X253" s="59" t="n">
        <f aca="false">IF(H253&gt;0,R253*(B253*P1_IVAN+C253*P2_IVAN)/H253,0)-S253*IVA_DEV</f>
        <v>0</v>
      </c>
      <c r="Y253" s="59" t="n">
        <f aca="false">F253*(1+RECARGO_ADS)</f>
        <v>0</v>
      </c>
    </row>
    <row r="254" customFormat="false" ht="15" hidden="false" customHeight="false" outlineLevel="0" collapsed="false">
      <c r="A254" s="53" t="n">
        <v>46548</v>
      </c>
      <c r="B254" s="54"/>
      <c r="C254" s="54"/>
      <c r="D254" s="54"/>
      <c r="E254" s="54"/>
      <c r="F254" s="55"/>
      <c r="G254" s="56"/>
      <c r="H254" s="31" t="n">
        <f aca="false">B254+C254</f>
        <v>0</v>
      </c>
      <c r="I254" s="31" t="n">
        <f aca="false">MAX(0,H254-D254-E254)</f>
        <v>0</v>
      </c>
      <c r="J254" s="32" t="n">
        <f aca="false">B254*P1_PVP+C254*P2_PVP</f>
        <v>0</v>
      </c>
      <c r="K254" s="32" t="str">
        <f aca="false">IF(H254&gt;0,J254/H254,"")</f>
        <v/>
      </c>
      <c r="L254" s="32" t="str">
        <f aca="false">IF(H254&gt;0,F254/H254,"")</f>
        <v/>
      </c>
      <c r="M254" s="57" t="str">
        <f aca="false">IF(F254&gt;0,J254/F254,"")</f>
        <v/>
      </c>
      <c r="N254" s="34" t="str">
        <f aca="false">IF(D254+E254&gt;0,D254/(D254+E254),"")</f>
        <v/>
      </c>
      <c r="O254" s="33" t="n">
        <f aca="false">IF(H254&gt;0,D254*(B254*(P1_BEN-P1_IVAN)+C254*(P2_BEN-P2_IVAN))/H254,0)-E254*(COSTE_DEV-IVA_DEV)-Y254</f>
        <v>0</v>
      </c>
      <c r="P254" s="33" t="n">
        <f aca="false">T254-U254-V254-W254-X254-Y254</f>
        <v>0</v>
      </c>
      <c r="R254" s="58" t="n">
        <f aca="false">D254+I254*TASA_USADA</f>
        <v>0</v>
      </c>
      <c r="S254" s="58" t="n">
        <f aca="false">E254+I254*(1-TASA_USADA)</f>
        <v>0</v>
      </c>
      <c r="T254" s="59" t="n">
        <f aca="false">IF(H254&gt;0,R254*J254/H254,0)</f>
        <v>0</v>
      </c>
      <c r="U254" s="59" t="n">
        <f aca="false">IF(H254&gt;0,R254*(B254*P1_CPROD+C254*P2_CPROD)/H254,0)</f>
        <v>0</v>
      </c>
      <c r="V254" s="59" t="n">
        <f aca="false">IF(H254&gt;0,R254*(B254*P1_LOG+C254*P2_LOG)/H254,0)</f>
        <v>0</v>
      </c>
      <c r="W254" s="59" t="n">
        <f aca="false">S254*COSTE_DEV</f>
        <v>0</v>
      </c>
      <c r="X254" s="59" t="n">
        <f aca="false">IF(H254&gt;0,R254*(B254*P1_IVAN+C254*P2_IVAN)/H254,0)-S254*IVA_DEV</f>
        <v>0</v>
      </c>
      <c r="Y254" s="59" t="n">
        <f aca="false">F254*(1+RECARGO_ADS)</f>
        <v>0</v>
      </c>
    </row>
    <row r="255" customFormat="false" ht="15" hidden="false" customHeight="false" outlineLevel="0" collapsed="false">
      <c r="A255" s="53" t="n">
        <v>46549</v>
      </c>
      <c r="B255" s="54"/>
      <c r="C255" s="54"/>
      <c r="D255" s="54"/>
      <c r="E255" s="54"/>
      <c r="F255" s="55"/>
      <c r="G255" s="56"/>
      <c r="H255" s="31" t="n">
        <f aca="false">B255+C255</f>
        <v>0</v>
      </c>
      <c r="I255" s="31" t="n">
        <f aca="false">MAX(0,H255-D255-E255)</f>
        <v>0</v>
      </c>
      <c r="J255" s="32" t="n">
        <f aca="false">B255*P1_PVP+C255*P2_PVP</f>
        <v>0</v>
      </c>
      <c r="K255" s="32" t="str">
        <f aca="false">IF(H255&gt;0,J255/H255,"")</f>
        <v/>
      </c>
      <c r="L255" s="32" t="str">
        <f aca="false">IF(H255&gt;0,F255/H255,"")</f>
        <v/>
      </c>
      <c r="M255" s="57" t="str">
        <f aca="false">IF(F255&gt;0,J255/F255,"")</f>
        <v/>
      </c>
      <c r="N255" s="34" t="str">
        <f aca="false">IF(D255+E255&gt;0,D255/(D255+E255),"")</f>
        <v/>
      </c>
      <c r="O255" s="33" t="n">
        <f aca="false">IF(H255&gt;0,D255*(B255*(P1_BEN-P1_IVAN)+C255*(P2_BEN-P2_IVAN))/H255,0)-E255*(COSTE_DEV-IVA_DEV)-Y255</f>
        <v>0</v>
      </c>
      <c r="P255" s="33" t="n">
        <f aca="false">T255-U255-V255-W255-X255-Y255</f>
        <v>0</v>
      </c>
      <c r="R255" s="58" t="n">
        <f aca="false">D255+I255*TASA_USADA</f>
        <v>0</v>
      </c>
      <c r="S255" s="58" t="n">
        <f aca="false">E255+I255*(1-TASA_USADA)</f>
        <v>0</v>
      </c>
      <c r="T255" s="59" t="n">
        <f aca="false">IF(H255&gt;0,R255*J255/H255,0)</f>
        <v>0</v>
      </c>
      <c r="U255" s="59" t="n">
        <f aca="false">IF(H255&gt;0,R255*(B255*P1_CPROD+C255*P2_CPROD)/H255,0)</f>
        <v>0</v>
      </c>
      <c r="V255" s="59" t="n">
        <f aca="false">IF(H255&gt;0,R255*(B255*P1_LOG+C255*P2_LOG)/H255,0)</f>
        <v>0</v>
      </c>
      <c r="W255" s="59" t="n">
        <f aca="false">S255*COSTE_DEV</f>
        <v>0</v>
      </c>
      <c r="X255" s="59" t="n">
        <f aca="false">IF(H255&gt;0,R255*(B255*P1_IVAN+C255*P2_IVAN)/H255,0)-S255*IVA_DEV</f>
        <v>0</v>
      </c>
      <c r="Y255" s="59" t="n">
        <f aca="false">F255*(1+RECARGO_ADS)</f>
        <v>0</v>
      </c>
    </row>
    <row r="256" customFormat="false" ht="15" hidden="false" customHeight="false" outlineLevel="0" collapsed="false">
      <c r="A256" s="53" t="n">
        <v>46550</v>
      </c>
      <c r="B256" s="54"/>
      <c r="C256" s="54"/>
      <c r="D256" s="54"/>
      <c r="E256" s="54"/>
      <c r="F256" s="55"/>
      <c r="G256" s="56"/>
      <c r="H256" s="31" t="n">
        <f aca="false">B256+C256</f>
        <v>0</v>
      </c>
      <c r="I256" s="31" t="n">
        <f aca="false">MAX(0,H256-D256-E256)</f>
        <v>0</v>
      </c>
      <c r="J256" s="32" t="n">
        <f aca="false">B256*P1_PVP+C256*P2_PVP</f>
        <v>0</v>
      </c>
      <c r="K256" s="32" t="str">
        <f aca="false">IF(H256&gt;0,J256/H256,"")</f>
        <v/>
      </c>
      <c r="L256" s="32" t="str">
        <f aca="false">IF(H256&gt;0,F256/H256,"")</f>
        <v/>
      </c>
      <c r="M256" s="57" t="str">
        <f aca="false">IF(F256&gt;0,J256/F256,"")</f>
        <v/>
      </c>
      <c r="N256" s="34" t="str">
        <f aca="false">IF(D256+E256&gt;0,D256/(D256+E256),"")</f>
        <v/>
      </c>
      <c r="O256" s="33" t="n">
        <f aca="false">IF(H256&gt;0,D256*(B256*(P1_BEN-P1_IVAN)+C256*(P2_BEN-P2_IVAN))/H256,0)-E256*(COSTE_DEV-IVA_DEV)-Y256</f>
        <v>0</v>
      </c>
      <c r="P256" s="33" t="n">
        <f aca="false">T256-U256-V256-W256-X256-Y256</f>
        <v>0</v>
      </c>
      <c r="R256" s="58" t="n">
        <f aca="false">D256+I256*TASA_USADA</f>
        <v>0</v>
      </c>
      <c r="S256" s="58" t="n">
        <f aca="false">E256+I256*(1-TASA_USADA)</f>
        <v>0</v>
      </c>
      <c r="T256" s="59" t="n">
        <f aca="false">IF(H256&gt;0,R256*J256/H256,0)</f>
        <v>0</v>
      </c>
      <c r="U256" s="59" t="n">
        <f aca="false">IF(H256&gt;0,R256*(B256*P1_CPROD+C256*P2_CPROD)/H256,0)</f>
        <v>0</v>
      </c>
      <c r="V256" s="59" t="n">
        <f aca="false">IF(H256&gt;0,R256*(B256*P1_LOG+C256*P2_LOG)/H256,0)</f>
        <v>0</v>
      </c>
      <c r="W256" s="59" t="n">
        <f aca="false">S256*COSTE_DEV</f>
        <v>0</v>
      </c>
      <c r="X256" s="59" t="n">
        <f aca="false">IF(H256&gt;0,R256*(B256*P1_IVAN+C256*P2_IVAN)/H256,0)-S256*IVA_DEV</f>
        <v>0</v>
      </c>
      <c r="Y256" s="59" t="n">
        <f aca="false">F256*(1+RECARGO_ADS)</f>
        <v>0</v>
      </c>
    </row>
    <row r="257" customFormat="false" ht="15" hidden="false" customHeight="false" outlineLevel="0" collapsed="false">
      <c r="A257" s="53" t="n">
        <v>46551</v>
      </c>
      <c r="B257" s="54"/>
      <c r="C257" s="54"/>
      <c r="D257" s="54"/>
      <c r="E257" s="54"/>
      <c r="F257" s="55"/>
      <c r="G257" s="56"/>
      <c r="H257" s="31" t="n">
        <f aca="false">B257+C257</f>
        <v>0</v>
      </c>
      <c r="I257" s="31" t="n">
        <f aca="false">MAX(0,H257-D257-E257)</f>
        <v>0</v>
      </c>
      <c r="J257" s="32" t="n">
        <f aca="false">B257*P1_PVP+C257*P2_PVP</f>
        <v>0</v>
      </c>
      <c r="K257" s="32" t="str">
        <f aca="false">IF(H257&gt;0,J257/H257,"")</f>
        <v/>
      </c>
      <c r="L257" s="32" t="str">
        <f aca="false">IF(H257&gt;0,F257/H257,"")</f>
        <v/>
      </c>
      <c r="M257" s="57" t="str">
        <f aca="false">IF(F257&gt;0,J257/F257,"")</f>
        <v/>
      </c>
      <c r="N257" s="34" t="str">
        <f aca="false">IF(D257+E257&gt;0,D257/(D257+E257),"")</f>
        <v/>
      </c>
      <c r="O257" s="33" t="n">
        <f aca="false">IF(H257&gt;0,D257*(B257*(P1_BEN-P1_IVAN)+C257*(P2_BEN-P2_IVAN))/H257,0)-E257*(COSTE_DEV-IVA_DEV)-Y257</f>
        <v>0</v>
      </c>
      <c r="P257" s="33" t="n">
        <f aca="false">T257-U257-V257-W257-X257-Y257</f>
        <v>0</v>
      </c>
      <c r="R257" s="58" t="n">
        <f aca="false">D257+I257*TASA_USADA</f>
        <v>0</v>
      </c>
      <c r="S257" s="58" t="n">
        <f aca="false">E257+I257*(1-TASA_USADA)</f>
        <v>0</v>
      </c>
      <c r="T257" s="59" t="n">
        <f aca="false">IF(H257&gt;0,R257*J257/H257,0)</f>
        <v>0</v>
      </c>
      <c r="U257" s="59" t="n">
        <f aca="false">IF(H257&gt;0,R257*(B257*P1_CPROD+C257*P2_CPROD)/H257,0)</f>
        <v>0</v>
      </c>
      <c r="V257" s="59" t="n">
        <f aca="false">IF(H257&gt;0,R257*(B257*P1_LOG+C257*P2_LOG)/H257,0)</f>
        <v>0</v>
      </c>
      <c r="W257" s="59" t="n">
        <f aca="false">S257*COSTE_DEV</f>
        <v>0</v>
      </c>
      <c r="X257" s="59" t="n">
        <f aca="false">IF(H257&gt;0,R257*(B257*P1_IVAN+C257*P2_IVAN)/H257,0)-S257*IVA_DEV</f>
        <v>0</v>
      </c>
      <c r="Y257" s="59" t="n">
        <f aca="false">F257*(1+RECARGO_ADS)</f>
        <v>0</v>
      </c>
    </row>
    <row r="258" customFormat="false" ht="15" hidden="false" customHeight="false" outlineLevel="0" collapsed="false">
      <c r="A258" s="53" t="n">
        <v>46552</v>
      </c>
      <c r="B258" s="54"/>
      <c r="C258" s="54"/>
      <c r="D258" s="54"/>
      <c r="E258" s="54"/>
      <c r="F258" s="55"/>
      <c r="G258" s="56"/>
      <c r="H258" s="31" t="n">
        <f aca="false">B258+C258</f>
        <v>0</v>
      </c>
      <c r="I258" s="31" t="n">
        <f aca="false">MAX(0,H258-D258-E258)</f>
        <v>0</v>
      </c>
      <c r="J258" s="32" t="n">
        <f aca="false">B258*P1_PVP+C258*P2_PVP</f>
        <v>0</v>
      </c>
      <c r="K258" s="32" t="str">
        <f aca="false">IF(H258&gt;0,J258/H258,"")</f>
        <v/>
      </c>
      <c r="L258" s="32" t="str">
        <f aca="false">IF(H258&gt;0,F258/H258,"")</f>
        <v/>
      </c>
      <c r="M258" s="57" t="str">
        <f aca="false">IF(F258&gt;0,J258/F258,"")</f>
        <v/>
      </c>
      <c r="N258" s="34" t="str">
        <f aca="false">IF(D258+E258&gt;0,D258/(D258+E258),"")</f>
        <v/>
      </c>
      <c r="O258" s="33" t="n">
        <f aca="false">IF(H258&gt;0,D258*(B258*(P1_BEN-P1_IVAN)+C258*(P2_BEN-P2_IVAN))/H258,0)-E258*(COSTE_DEV-IVA_DEV)-Y258</f>
        <v>0</v>
      </c>
      <c r="P258" s="33" t="n">
        <f aca="false">T258-U258-V258-W258-X258-Y258</f>
        <v>0</v>
      </c>
      <c r="R258" s="58" t="n">
        <f aca="false">D258+I258*TASA_USADA</f>
        <v>0</v>
      </c>
      <c r="S258" s="58" t="n">
        <f aca="false">E258+I258*(1-TASA_USADA)</f>
        <v>0</v>
      </c>
      <c r="T258" s="59" t="n">
        <f aca="false">IF(H258&gt;0,R258*J258/H258,0)</f>
        <v>0</v>
      </c>
      <c r="U258" s="59" t="n">
        <f aca="false">IF(H258&gt;0,R258*(B258*P1_CPROD+C258*P2_CPROD)/H258,0)</f>
        <v>0</v>
      </c>
      <c r="V258" s="59" t="n">
        <f aca="false">IF(H258&gt;0,R258*(B258*P1_LOG+C258*P2_LOG)/H258,0)</f>
        <v>0</v>
      </c>
      <c r="W258" s="59" t="n">
        <f aca="false">S258*COSTE_DEV</f>
        <v>0</v>
      </c>
      <c r="X258" s="59" t="n">
        <f aca="false">IF(H258&gt;0,R258*(B258*P1_IVAN+C258*P2_IVAN)/H258,0)-S258*IVA_DEV</f>
        <v>0</v>
      </c>
      <c r="Y258" s="59" t="n">
        <f aca="false">F258*(1+RECARGO_ADS)</f>
        <v>0</v>
      </c>
    </row>
    <row r="259" customFormat="false" ht="15" hidden="false" customHeight="false" outlineLevel="0" collapsed="false">
      <c r="A259" s="53" t="n">
        <v>46553</v>
      </c>
      <c r="B259" s="54"/>
      <c r="C259" s="54"/>
      <c r="D259" s="54"/>
      <c r="E259" s="54"/>
      <c r="F259" s="55"/>
      <c r="G259" s="56"/>
      <c r="H259" s="31" t="n">
        <f aca="false">B259+C259</f>
        <v>0</v>
      </c>
      <c r="I259" s="31" t="n">
        <f aca="false">MAX(0,H259-D259-E259)</f>
        <v>0</v>
      </c>
      <c r="J259" s="32" t="n">
        <f aca="false">B259*P1_PVP+C259*P2_PVP</f>
        <v>0</v>
      </c>
      <c r="K259" s="32" t="str">
        <f aca="false">IF(H259&gt;0,J259/H259,"")</f>
        <v/>
      </c>
      <c r="L259" s="32" t="str">
        <f aca="false">IF(H259&gt;0,F259/H259,"")</f>
        <v/>
      </c>
      <c r="M259" s="57" t="str">
        <f aca="false">IF(F259&gt;0,J259/F259,"")</f>
        <v/>
      </c>
      <c r="N259" s="34" t="str">
        <f aca="false">IF(D259+E259&gt;0,D259/(D259+E259),"")</f>
        <v/>
      </c>
      <c r="O259" s="33" t="n">
        <f aca="false">IF(H259&gt;0,D259*(B259*(P1_BEN-P1_IVAN)+C259*(P2_BEN-P2_IVAN))/H259,0)-E259*(COSTE_DEV-IVA_DEV)-Y259</f>
        <v>0</v>
      </c>
      <c r="P259" s="33" t="n">
        <f aca="false">T259-U259-V259-W259-X259-Y259</f>
        <v>0</v>
      </c>
      <c r="R259" s="58" t="n">
        <f aca="false">D259+I259*TASA_USADA</f>
        <v>0</v>
      </c>
      <c r="S259" s="58" t="n">
        <f aca="false">E259+I259*(1-TASA_USADA)</f>
        <v>0</v>
      </c>
      <c r="T259" s="59" t="n">
        <f aca="false">IF(H259&gt;0,R259*J259/H259,0)</f>
        <v>0</v>
      </c>
      <c r="U259" s="59" t="n">
        <f aca="false">IF(H259&gt;0,R259*(B259*P1_CPROD+C259*P2_CPROD)/H259,0)</f>
        <v>0</v>
      </c>
      <c r="V259" s="59" t="n">
        <f aca="false">IF(H259&gt;0,R259*(B259*P1_LOG+C259*P2_LOG)/H259,0)</f>
        <v>0</v>
      </c>
      <c r="W259" s="59" t="n">
        <f aca="false">S259*COSTE_DEV</f>
        <v>0</v>
      </c>
      <c r="X259" s="59" t="n">
        <f aca="false">IF(H259&gt;0,R259*(B259*P1_IVAN+C259*P2_IVAN)/H259,0)-S259*IVA_DEV</f>
        <v>0</v>
      </c>
      <c r="Y259" s="59" t="n">
        <f aca="false">F259*(1+RECARGO_ADS)</f>
        <v>0</v>
      </c>
    </row>
    <row r="260" customFormat="false" ht="15" hidden="false" customHeight="false" outlineLevel="0" collapsed="false">
      <c r="A260" s="53" t="n">
        <v>46554</v>
      </c>
      <c r="B260" s="54"/>
      <c r="C260" s="54"/>
      <c r="D260" s="54"/>
      <c r="E260" s="54"/>
      <c r="F260" s="55"/>
      <c r="G260" s="56"/>
      <c r="H260" s="31" t="n">
        <f aca="false">B260+C260</f>
        <v>0</v>
      </c>
      <c r="I260" s="31" t="n">
        <f aca="false">MAX(0,H260-D260-E260)</f>
        <v>0</v>
      </c>
      <c r="J260" s="32" t="n">
        <f aca="false">B260*P1_PVP+C260*P2_PVP</f>
        <v>0</v>
      </c>
      <c r="K260" s="32" t="str">
        <f aca="false">IF(H260&gt;0,J260/H260,"")</f>
        <v/>
      </c>
      <c r="L260" s="32" t="str">
        <f aca="false">IF(H260&gt;0,F260/H260,"")</f>
        <v/>
      </c>
      <c r="M260" s="57" t="str">
        <f aca="false">IF(F260&gt;0,J260/F260,"")</f>
        <v/>
      </c>
      <c r="N260" s="34" t="str">
        <f aca="false">IF(D260+E260&gt;0,D260/(D260+E260),"")</f>
        <v/>
      </c>
      <c r="O260" s="33" t="n">
        <f aca="false">IF(H260&gt;0,D260*(B260*(P1_BEN-P1_IVAN)+C260*(P2_BEN-P2_IVAN))/H260,0)-E260*(COSTE_DEV-IVA_DEV)-Y260</f>
        <v>0</v>
      </c>
      <c r="P260" s="33" t="n">
        <f aca="false">T260-U260-V260-W260-X260-Y260</f>
        <v>0</v>
      </c>
      <c r="R260" s="58" t="n">
        <f aca="false">D260+I260*TASA_USADA</f>
        <v>0</v>
      </c>
      <c r="S260" s="58" t="n">
        <f aca="false">E260+I260*(1-TASA_USADA)</f>
        <v>0</v>
      </c>
      <c r="T260" s="59" t="n">
        <f aca="false">IF(H260&gt;0,R260*J260/H260,0)</f>
        <v>0</v>
      </c>
      <c r="U260" s="59" t="n">
        <f aca="false">IF(H260&gt;0,R260*(B260*P1_CPROD+C260*P2_CPROD)/H260,0)</f>
        <v>0</v>
      </c>
      <c r="V260" s="59" t="n">
        <f aca="false">IF(H260&gt;0,R260*(B260*P1_LOG+C260*P2_LOG)/H260,0)</f>
        <v>0</v>
      </c>
      <c r="W260" s="59" t="n">
        <f aca="false">S260*COSTE_DEV</f>
        <v>0</v>
      </c>
      <c r="X260" s="59" t="n">
        <f aca="false">IF(H260&gt;0,R260*(B260*P1_IVAN+C260*P2_IVAN)/H260,0)-S260*IVA_DEV</f>
        <v>0</v>
      </c>
      <c r="Y260" s="59" t="n">
        <f aca="false">F260*(1+RECARGO_ADS)</f>
        <v>0</v>
      </c>
    </row>
    <row r="261" customFormat="false" ht="15" hidden="false" customHeight="false" outlineLevel="0" collapsed="false">
      <c r="A261" s="53" t="n">
        <v>46555</v>
      </c>
      <c r="B261" s="54"/>
      <c r="C261" s="54"/>
      <c r="D261" s="54"/>
      <c r="E261" s="54"/>
      <c r="F261" s="55"/>
      <c r="G261" s="56"/>
      <c r="H261" s="31" t="n">
        <f aca="false">B261+C261</f>
        <v>0</v>
      </c>
      <c r="I261" s="31" t="n">
        <f aca="false">MAX(0,H261-D261-E261)</f>
        <v>0</v>
      </c>
      <c r="J261" s="32" t="n">
        <f aca="false">B261*P1_PVP+C261*P2_PVP</f>
        <v>0</v>
      </c>
      <c r="K261" s="32" t="str">
        <f aca="false">IF(H261&gt;0,J261/H261,"")</f>
        <v/>
      </c>
      <c r="L261" s="32" t="str">
        <f aca="false">IF(H261&gt;0,F261/H261,"")</f>
        <v/>
      </c>
      <c r="M261" s="57" t="str">
        <f aca="false">IF(F261&gt;0,J261/F261,"")</f>
        <v/>
      </c>
      <c r="N261" s="34" t="str">
        <f aca="false">IF(D261+E261&gt;0,D261/(D261+E261),"")</f>
        <v/>
      </c>
      <c r="O261" s="33" t="n">
        <f aca="false">IF(H261&gt;0,D261*(B261*(P1_BEN-P1_IVAN)+C261*(P2_BEN-P2_IVAN))/H261,0)-E261*(COSTE_DEV-IVA_DEV)-Y261</f>
        <v>0</v>
      </c>
      <c r="P261" s="33" t="n">
        <f aca="false">T261-U261-V261-W261-X261-Y261</f>
        <v>0</v>
      </c>
      <c r="R261" s="58" t="n">
        <f aca="false">D261+I261*TASA_USADA</f>
        <v>0</v>
      </c>
      <c r="S261" s="58" t="n">
        <f aca="false">E261+I261*(1-TASA_USADA)</f>
        <v>0</v>
      </c>
      <c r="T261" s="59" t="n">
        <f aca="false">IF(H261&gt;0,R261*J261/H261,0)</f>
        <v>0</v>
      </c>
      <c r="U261" s="59" t="n">
        <f aca="false">IF(H261&gt;0,R261*(B261*P1_CPROD+C261*P2_CPROD)/H261,0)</f>
        <v>0</v>
      </c>
      <c r="V261" s="59" t="n">
        <f aca="false">IF(H261&gt;0,R261*(B261*P1_LOG+C261*P2_LOG)/H261,0)</f>
        <v>0</v>
      </c>
      <c r="W261" s="59" t="n">
        <f aca="false">S261*COSTE_DEV</f>
        <v>0</v>
      </c>
      <c r="X261" s="59" t="n">
        <f aca="false">IF(H261&gt;0,R261*(B261*P1_IVAN+C261*P2_IVAN)/H261,0)-S261*IVA_DEV</f>
        <v>0</v>
      </c>
      <c r="Y261" s="59" t="n">
        <f aca="false">F261*(1+RECARGO_ADS)</f>
        <v>0</v>
      </c>
    </row>
    <row r="262" customFormat="false" ht="15" hidden="false" customHeight="false" outlineLevel="0" collapsed="false">
      <c r="A262" s="53" t="n">
        <v>46556</v>
      </c>
      <c r="B262" s="54"/>
      <c r="C262" s="54"/>
      <c r="D262" s="54"/>
      <c r="E262" s="54"/>
      <c r="F262" s="55"/>
      <c r="G262" s="56"/>
      <c r="H262" s="31" t="n">
        <f aca="false">B262+C262</f>
        <v>0</v>
      </c>
      <c r="I262" s="31" t="n">
        <f aca="false">MAX(0,H262-D262-E262)</f>
        <v>0</v>
      </c>
      <c r="J262" s="32" t="n">
        <f aca="false">B262*P1_PVP+C262*P2_PVP</f>
        <v>0</v>
      </c>
      <c r="K262" s="32" t="str">
        <f aca="false">IF(H262&gt;0,J262/H262,"")</f>
        <v/>
      </c>
      <c r="L262" s="32" t="str">
        <f aca="false">IF(H262&gt;0,F262/H262,"")</f>
        <v/>
      </c>
      <c r="M262" s="57" t="str">
        <f aca="false">IF(F262&gt;0,J262/F262,"")</f>
        <v/>
      </c>
      <c r="N262" s="34" t="str">
        <f aca="false">IF(D262+E262&gt;0,D262/(D262+E262),"")</f>
        <v/>
      </c>
      <c r="O262" s="33" t="n">
        <f aca="false">IF(H262&gt;0,D262*(B262*(P1_BEN-P1_IVAN)+C262*(P2_BEN-P2_IVAN))/H262,0)-E262*(COSTE_DEV-IVA_DEV)-Y262</f>
        <v>0</v>
      </c>
      <c r="P262" s="33" t="n">
        <f aca="false">T262-U262-V262-W262-X262-Y262</f>
        <v>0</v>
      </c>
      <c r="R262" s="58" t="n">
        <f aca="false">D262+I262*TASA_USADA</f>
        <v>0</v>
      </c>
      <c r="S262" s="58" t="n">
        <f aca="false">E262+I262*(1-TASA_USADA)</f>
        <v>0</v>
      </c>
      <c r="T262" s="59" t="n">
        <f aca="false">IF(H262&gt;0,R262*J262/H262,0)</f>
        <v>0</v>
      </c>
      <c r="U262" s="59" t="n">
        <f aca="false">IF(H262&gt;0,R262*(B262*P1_CPROD+C262*P2_CPROD)/H262,0)</f>
        <v>0</v>
      </c>
      <c r="V262" s="59" t="n">
        <f aca="false">IF(H262&gt;0,R262*(B262*P1_LOG+C262*P2_LOG)/H262,0)</f>
        <v>0</v>
      </c>
      <c r="W262" s="59" t="n">
        <f aca="false">S262*COSTE_DEV</f>
        <v>0</v>
      </c>
      <c r="X262" s="59" t="n">
        <f aca="false">IF(H262&gt;0,R262*(B262*P1_IVAN+C262*P2_IVAN)/H262,0)-S262*IVA_DEV</f>
        <v>0</v>
      </c>
      <c r="Y262" s="59" t="n">
        <f aca="false">F262*(1+RECARGO_ADS)</f>
        <v>0</v>
      </c>
    </row>
    <row r="263" customFormat="false" ht="15" hidden="false" customHeight="false" outlineLevel="0" collapsed="false">
      <c r="A263" s="53" t="n">
        <v>46557</v>
      </c>
      <c r="B263" s="54"/>
      <c r="C263" s="54"/>
      <c r="D263" s="54"/>
      <c r="E263" s="54"/>
      <c r="F263" s="55"/>
      <c r="G263" s="56"/>
      <c r="H263" s="31" t="n">
        <f aca="false">B263+C263</f>
        <v>0</v>
      </c>
      <c r="I263" s="31" t="n">
        <f aca="false">MAX(0,H263-D263-E263)</f>
        <v>0</v>
      </c>
      <c r="J263" s="32" t="n">
        <f aca="false">B263*P1_PVP+C263*P2_PVP</f>
        <v>0</v>
      </c>
      <c r="K263" s="32" t="str">
        <f aca="false">IF(H263&gt;0,J263/H263,"")</f>
        <v/>
      </c>
      <c r="L263" s="32" t="str">
        <f aca="false">IF(H263&gt;0,F263/H263,"")</f>
        <v/>
      </c>
      <c r="M263" s="57" t="str">
        <f aca="false">IF(F263&gt;0,J263/F263,"")</f>
        <v/>
      </c>
      <c r="N263" s="34" t="str">
        <f aca="false">IF(D263+E263&gt;0,D263/(D263+E263),"")</f>
        <v/>
      </c>
      <c r="O263" s="33" t="n">
        <f aca="false">IF(H263&gt;0,D263*(B263*(P1_BEN-P1_IVAN)+C263*(P2_BEN-P2_IVAN))/H263,0)-E263*(COSTE_DEV-IVA_DEV)-Y263</f>
        <v>0</v>
      </c>
      <c r="P263" s="33" t="n">
        <f aca="false">T263-U263-V263-W263-X263-Y263</f>
        <v>0</v>
      </c>
      <c r="R263" s="58" t="n">
        <f aca="false">D263+I263*TASA_USADA</f>
        <v>0</v>
      </c>
      <c r="S263" s="58" t="n">
        <f aca="false">E263+I263*(1-TASA_USADA)</f>
        <v>0</v>
      </c>
      <c r="T263" s="59" t="n">
        <f aca="false">IF(H263&gt;0,R263*J263/H263,0)</f>
        <v>0</v>
      </c>
      <c r="U263" s="59" t="n">
        <f aca="false">IF(H263&gt;0,R263*(B263*P1_CPROD+C263*P2_CPROD)/H263,0)</f>
        <v>0</v>
      </c>
      <c r="V263" s="59" t="n">
        <f aca="false">IF(H263&gt;0,R263*(B263*P1_LOG+C263*P2_LOG)/H263,0)</f>
        <v>0</v>
      </c>
      <c r="W263" s="59" t="n">
        <f aca="false">S263*COSTE_DEV</f>
        <v>0</v>
      </c>
      <c r="X263" s="59" t="n">
        <f aca="false">IF(H263&gt;0,R263*(B263*P1_IVAN+C263*P2_IVAN)/H263,0)-S263*IVA_DEV</f>
        <v>0</v>
      </c>
      <c r="Y263" s="59" t="n">
        <f aca="false">F263*(1+RECARGO_ADS)</f>
        <v>0</v>
      </c>
    </row>
    <row r="264" customFormat="false" ht="15" hidden="false" customHeight="false" outlineLevel="0" collapsed="false">
      <c r="A264" s="53" t="n">
        <v>46558</v>
      </c>
      <c r="B264" s="54"/>
      <c r="C264" s="54"/>
      <c r="D264" s="54"/>
      <c r="E264" s="54"/>
      <c r="F264" s="55"/>
      <c r="G264" s="56"/>
      <c r="H264" s="31" t="n">
        <f aca="false">B264+C264</f>
        <v>0</v>
      </c>
      <c r="I264" s="31" t="n">
        <f aca="false">MAX(0,H264-D264-E264)</f>
        <v>0</v>
      </c>
      <c r="J264" s="32" t="n">
        <f aca="false">B264*P1_PVP+C264*P2_PVP</f>
        <v>0</v>
      </c>
      <c r="K264" s="32" t="str">
        <f aca="false">IF(H264&gt;0,J264/H264,"")</f>
        <v/>
      </c>
      <c r="L264" s="32" t="str">
        <f aca="false">IF(H264&gt;0,F264/H264,"")</f>
        <v/>
      </c>
      <c r="M264" s="57" t="str">
        <f aca="false">IF(F264&gt;0,J264/F264,"")</f>
        <v/>
      </c>
      <c r="N264" s="34" t="str">
        <f aca="false">IF(D264+E264&gt;0,D264/(D264+E264),"")</f>
        <v/>
      </c>
      <c r="O264" s="33" t="n">
        <f aca="false">IF(H264&gt;0,D264*(B264*(P1_BEN-P1_IVAN)+C264*(P2_BEN-P2_IVAN))/H264,0)-E264*(COSTE_DEV-IVA_DEV)-Y264</f>
        <v>0</v>
      </c>
      <c r="P264" s="33" t="n">
        <f aca="false">T264-U264-V264-W264-X264-Y264</f>
        <v>0</v>
      </c>
      <c r="R264" s="58" t="n">
        <f aca="false">D264+I264*TASA_USADA</f>
        <v>0</v>
      </c>
      <c r="S264" s="58" t="n">
        <f aca="false">E264+I264*(1-TASA_USADA)</f>
        <v>0</v>
      </c>
      <c r="T264" s="59" t="n">
        <f aca="false">IF(H264&gt;0,R264*J264/H264,0)</f>
        <v>0</v>
      </c>
      <c r="U264" s="59" t="n">
        <f aca="false">IF(H264&gt;0,R264*(B264*P1_CPROD+C264*P2_CPROD)/H264,0)</f>
        <v>0</v>
      </c>
      <c r="V264" s="59" t="n">
        <f aca="false">IF(H264&gt;0,R264*(B264*P1_LOG+C264*P2_LOG)/H264,0)</f>
        <v>0</v>
      </c>
      <c r="W264" s="59" t="n">
        <f aca="false">S264*COSTE_DEV</f>
        <v>0</v>
      </c>
      <c r="X264" s="59" t="n">
        <f aca="false">IF(H264&gt;0,R264*(B264*P1_IVAN+C264*P2_IVAN)/H264,0)-S264*IVA_DEV</f>
        <v>0</v>
      </c>
      <c r="Y264" s="59" t="n">
        <f aca="false">F264*(1+RECARGO_ADS)</f>
        <v>0</v>
      </c>
    </row>
    <row r="265" customFormat="false" ht="15" hidden="false" customHeight="false" outlineLevel="0" collapsed="false">
      <c r="A265" s="53" t="n">
        <v>46559</v>
      </c>
      <c r="B265" s="54"/>
      <c r="C265" s="54"/>
      <c r="D265" s="54"/>
      <c r="E265" s="54"/>
      <c r="F265" s="55"/>
      <c r="G265" s="56"/>
      <c r="H265" s="31" t="n">
        <f aca="false">B265+C265</f>
        <v>0</v>
      </c>
      <c r="I265" s="31" t="n">
        <f aca="false">MAX(0,H265-D265-E265)</f>
        <v>0</v>
      </c>
      <c r="J265" s="32" t="n">
        <f aca="false">B265*P1_PVP+C265*P2_PVP</f>
        <v>0</v>
      </c>
      <c r="K265" s="32" t="str">
        <f aca="false">IF(H265&gt;0,J265/H265,"")</f>
        <v/>
      </c>
      <c r="L265" s="32" t="str">
        <f aca="false">IF(H265&gt;0,F265/H265,"")</f>
        <v/>
      </c>
      <c r="M265" s="57" t="str">
        <f aca="false">IF(F265&gt;0,J265/F265,"")</f>
        <v/>
      </c>
      <c r="N265" s="34" t="str">
        <f aca="false">IF(D265+E265&gt;0,D265/(D265+E265),"")</f>
        <v/>
      </c>
      <c r="O265" s="33" t="n">
        <f aca="false">IF(H265&gt;0,D265*(B265*(P1_BEN-P1_IVAN)+C265*(P2_BEN-P2_IVAN))/H265,0)-E265*(COSTE_DEV-IVA_DEV)-Y265</f>
        <v>0</v>
      </c>
      <c r="P265" s="33" t="n">
        <f aca="false">T265-U265-V265-W265-X265-Y265</f>
        <v>0</v>
      </c>
      <c r="R265" s="58" t="n">
        <f aca="false">D265+I265*TASA_USADA</f>
        <v>0</v>
      </c>
      <c r="S265" s="58" t="n">
        <f aca="false">E265+I265*(1-TASA_USADA)</f>
        <v>0</v>
      </c>
      <c r="T265" s="59" t="n">
        <f aca="false">IF(H265&gt;0,R265*J265/H265,0)</f>
        <v>0</v>
      </c>
      <c r="U265" s="59" t="n">
        <f aca="false">IF(H265&gt;0,R265*(B265*P1_CPROD+C265*P2_CPROD)/H265,0)</f>
        <v>0</v>
      </c>
      <c r="V265" s="59" t="n">
        <f aca="false">IF(H265&gt;0,R265*(B265*P1_LOG+C265*P2_LOG)/H265,0)</f>
        <v>0</v>
      </c>
      <c r="W265" s="59" t="n">
        <f aca="false">S265*COSTE_DEV</f>
        <v>0</v>
      </c>
      <c r="X265" s="59" t="n">
        <f aca="false">IF(H265&gt;0,R265*(B265*P1_IVAN+C265*P2_IVAN)/H265,0)-S265*IVA_DEV</f>
        <v>0</v>
      </c>
      <c r="Y265" s="59" t="n">
        <f aca="false">F265*(1+RECARGO_ADS)</f>
        <v>0</v>
      </c>
    </row>
    <row r="266" customFormat="false" ht="15" hidden="false" customHeight="false" outlineLevel="0" collapsed="false">
      <c r="A266" s="53" t="n">
        <v>46560</v>
      </c>
      <c r="B266" s="54"/>
      <c r="C266" s="54"/>
      <c r="D266" s="54"/>
      <c r="E266" s="54"/>
      <c r="F266" s="55"/>
      <c r="G266" s="56"/>
      <c r="H266" s="31" t="n">
        <f aca="false">B266+C266</f>
        <v>0</v>
      </c>
      <c r="I266" s="31" t="n">
        <f aca="false">MAX(0,H266-D266-E266)</f>
        <v>0</v>
      </c>
      <c r="J266" s="32" t="n">
        <f aca="false">B266*P1_PVP+C266*P2_PVP</f>
        <v>0</v>
      </c>
      <c r="K266" s="32" t="str">
        <f aca="false">IF(H266&gt;0,J266/H266,"")</f>
        <v/>
      </c>
      <c r="L266" s="32" t="str">
        <f aca="false">IF(H266&gt;0,F266/H266,"")</f>
        <v/>
      </c>
      <c r="M266" s="57" t="str">
        <f aca="false">IF(F266&gt;0,J266/F266,"")</f>
        <v/>
      </c>
      <c r="N266" s="34" t="str">
        <f aca="false">IF(D266+E266&gt;0,D266/(D266+E266),"")</f>
        <v/>
      </c>
      <c r="O266" s="33" t="n">
        <f aca="false">IF(H266&gt;0,D266*(B266*(P1_BEN-P1_IVAN)+C266*(P2_BEN-P2_IVAN))/H266,0)-E266*(COSTE_DEV-IVA_DEV)-Y266</f>
        <v>0</v>
      </c>
      <c r="P266" s="33" t="n">
        <f aca="false">T266-U266-V266-W266-X266-Y266</f>
        <v>0</v>
      </c>
      <c r="R266" s="58" t="n">
        <f aca="false">D266+I266*TASA_USADA</f>
        <v>0</v>
      </c>
      <c r="S266" s="58" t="n">
        <f aca="false">E266+I266*(1-TASA_USADA)</f>
        <v>0</v>
      </c>
      <c r="T266" s="59" t="n">
        <f aca="false">IF(H266&gt;0,R266*J266/H266,0)</f>
        <v>0</v>
      </c>
      <c r="U266" s="59" t="n">
        <f aca="false">IF(H266&gt;0,R266*(B266*P1_CPROD+C266*P2_CPROD)/H266,0)</f>
        <v>0</v>
      </c>
      <c r="V266" s="59" t="n">
        <f aca="false">IF(H266&gt;0,R266*(B266*P1_LOG+C266*P2_LOG)/H266,0)</f>
        <v>0</v>
      </c>
      <c r="W266" s="59" t="n">
        <f aca="false">S266*COSTE_DEV</f>
        <v>0</v>
      </c>
      <c r="X266" s="59" t="n">
        <f aca="false">IF(H266&gt;0,R266*(B266*P1_IVAN+C266*P2_IVAN)/H266,0)-S266*IVA_DEV</f>
        <v>0</v>
      </c>
      <c r="Y266" s="59" t="n">
        <f aca="false">F266*(1+RECARGO_ADS)</f>
        <v>0</v>
      </c>
    </row>
    <row r="267" customFormat="false" ht="15" hidden="false" customHeight="false" outlineLevel="0" collapsed="false">
      <c r="A267" s="53" t="n">
        <v>46561</v>
      </c>
      <c r="B267" s="54"/>
      <c r="C267" s="54"/>
      <c r="D267" s="54"/>
      <c r="E267" s="54"/>
      <c r="F267" s="55"/>
      <c r="G267" s="56"/>
      <c r="H267" s="31" t="n">
        <f aca="false">B267+C267</f>
        <v>0</v>
      </c>
      <c r="I267" s="31" t="n">
        <f aca="false">MAX(0,H267-D267-E267)</f>
        <v>0</v>
      </c>
      <c r="J267" s="32" t="n">
        <f aca="false">B267*P1_PVP+C267*P2_PVP</f>
        <v>0</v>
      </c>
      <c r="K267" s="32" t="str">
        <f aca="false">IF(H267&gt;0,J267/H267,"")</f>
        <v/>
      </c>
      <c r="L267" s="32" t="str">
        <f aca="false">IF(H267&gt;0,F267/H267,"")</f>
        <v/>
      </c>
      <c r="M267" s="57" t="str">
        <f aca="false">IF(F267&gt;0,J267/F267,"")</f>
        <v/>
      </c>
      <c r="N267" s="34" t="str">
        <f aca="false">IF(D267+E267&gt;0,D267/(D267+E267),"")</f>
        <v/>
      </c>
      <c r="O267" s="33" t="n">
        <f aca="false">IF(H267&gt;0,D267*(B267*(P1_BEN-P1_IVAN)+C267*(P2_BEN-P2_IVAN))/H267,0)-E267*(COSTE_DEV-IVA_DEV)-Y267</f>
        <v>0</v>
      </c>
      <c r="P267" s="33" t="n">
        <f aca="false">T267-U267-V267-W267-X267-Y267</f>
        <v>0</v>
      </c>
      <c r="R267" s="58" t="n">
        <f aca="false">D267+I267*TASA_USADA</f>
        <v>0</v>
      </c>
      <c r="S267" s="58" t="n">
        <f aca="false">E267+I267*(1-TASA_USADA)</f>
        <v>0</v>
      </c>
      <c r="T267" s="59" t="n">
        <f aca="false">IF(H267&gt;0,R267*J267/H267,0)</f>
        <v>0</v>
      </c>
      <c r="U267" s="59" t="n">
        <f aca="false">IF(H267&gt;0,R267*(B267*P1_CPROD+C267*P2_CPROD)/H267,0)</f>
        <v>0</v>
      </c>
      <c r="V267" s="59" t="n">
        <f aca="false">IF(H267&gt;0,R267*(B267*P1_LOG+C267*P2_LOG)/H267,0)</f>
        <v>0</v>
      </c>
      <c r="W267" s="59" t="n">
        <f aca="false">S267*COSTE_DEV</f>
        <v>0</v>
      </c>
      <c r="X267" s="59" t="n">
        <f aca="false">IF(H267&gt;0,R267*(B267*P1_IVAN+C267*P2_IVAN)/H267,0)-S267*IVA_DEV</f>
        <v>0</v>
      </c>
      <c r="Y267" s="59" t="n">
        <f aca="false">F267*(1+RECARGO_ADS)</f>
        <v>0</v>
      </c>
    </row>
    <row r="268" customFormat="false" ht="15" hidden="false" customHeight="false" outlineLevel="0" collapsed="false">
      <c r="A268" s="53" t="n">
        <v>46562</v>
      </c>
      <c r="B268" s="54"/>
      <c r="C268" s="54"/>
      <c r="D268" s="54"/>
      <c r="E268" s="54"/>
      <c r="F268" s="55"/>
      <c r="G268" s="56"/>
      <c r="H268" s="31" t="n">
        <f aca="false">B268+C268</f>
        <v>0</v>
      </c>
      <c r="I268" s="31" t="n">
        <f aca="false">MAX(0,H268-D268-E268)</f>
        <v>0</v>
      </c>
      <c r="J268" s="32" t="n">
        <f aca="false">B268*P1_PVP+C268*P2_PVP</f>
        <v>0</v>
      </c>
      <c r="K268" s="32" t="str">
        <f aca="false">IF(H268&gt;0,J268/H268,"")</f>
        <v/>
      </c>
      <c r="L268" s="32" t="str">
        <f aca="false">IF(H268&gt;0,F268/H268,"")</f>
        <v/>
      </c>
      <c r="M268" s="57" t="str">
        <f aca="false">IF(F268&gt;0,J268/F268,"")</f>
        <v/>
      </c>
      <c r="N268" s="34" t="str">
        <f aca="false">IF(D268+E268&gt;0,D268/(D268+E268),"")</f>
        <v/>
      </c>
      <c r="O268" s="33" t="n">
        <f aca="false">IF(H268&gt;0,D268*(B268*(P1_BEN-P1_IVAN)+C268*(P2_BEN-P2_IVAN))/H268,0)-E268*(COSTE_DEV-IVA_DEV)-Y268</f>
        <v>0</v>
      </c>
      <c r="P268" s="33" t="n">
        <f aca="false">T268-U268-V268-W268-X268-Y268</f>
        <v>0</v>
      </c>
      <c r="R268" s="58" t="n">
        <f aca="false">D268+I268*TASA_USADA</f>
        <v>0</v>
      </c>
      <c r="S268" s="58" t="n">
        <f aca="false">E268+I268*(1-TASA_USADA)</f>
        <v>0</v>
      </c>
      <c r="T268" s="59" t="n">
        <f aca="false">IF(H268&gt;0,R268*J268/H268,0)</f>
        <v>0</v>
      </c>
      <c r="U268" s="59" t="n">
        <f aca="false">IF(H268&gt;0,R268*(B268*P1_CPROD+C268*P2_CPROD)/H268,0)</f>
        <v>0</v>
      </c>
      <c r="V268" s="59" t="n">
        <f aca="false">IF(H268&gt;0,R268*(B268*P1_LOG+C268*P2_LOG)/H268,0)</f>
        <v>0</v>
      </c>
      <c r="W268" s="59" t="n">
        <f aca="false">S268*COSTE_DEV</f>
        <v>0</v>
      </c>
      <c r="X268" s="59" t="n">
        <f aca="false">IF(H268&gt;0,R268*(B268*P1_IVAN+C268*P2_IVAN)/H268,0)-S268*IVA_DEV</f>
        <v>0</v>
      </c>
      <c r="Y268" s="59" t="n">
        <f aca="false">F268*(1+RECARGO_ADS)</f>
        <v>0</v>
      </c>
    </row>
    <row r="269" customFormat="false" ht="15" hidden="false" customHeight="false" outlineLevel="0" collapsed="false">
      <c r="A269" s="53" t="n">
        <v>46563</v>
      </c>
      <c r="B269" s="54"/>
      <c r="C269" s="54"/>
      <c r="D269" s="54"/>
      <c r="E269" s="54"/>
      <c r="F269" s="55"/>
      <c r="G269" s="56"/>
      <c r="H269" s="31" t="n">
        <f aca="false">B269+C269</f>
        <v>0</v>
      </c>
      <c r="I269" s="31" t="n">
        <f aca="false">MAX(0,H269-D269-E269)</f>
        <v>0</v>
      </c>
      <c r="J269" s="32" t="n">
        <f aca="false">B269*P1_PVP+C269*P2_PVP</f>
        <v>0</v>
      </c>
      <c r="K269" s="32" t="str">
        <f aca="false">IF(H269&gt;0,J269/H269,"")</f>
        <v/>
      </c>
      <c r="L269" s="32" t="str">
        <f aca="false">IF(H269&gt;0,F269/H269,"")</f>
        <v/>
      </c>
      <c r="M269" s="57" t="str">
        <f aca="false">IF(F269&gt;0,J269/F269,"")</f>
        <v/>
      </c>
      <c r="N269" s="34" t="str">
        <f aca="false">IF(D269+E269&gt;0,D269/(D269+E269),"")</f>
        <v/>
      </c>
      <c r="O269" s="33" t="n">
        <f aca="false">IF(H269&gt;0,D269*(B269*(P1_BEN-P1_IVAN)+C269*(P2_BEN-P2_IVAN))/H269,0)-E269*(COSTE_DEV-IVA_DEV)-Y269</f>
        <v>0</v>
      </c>
      <c r="P269" s="33" t="n">
        <f aca="false">T269-U269-V269-W269-X269-Y269</f>
        <v>0</v>
      </c>
      <c r="R269" s="58" t="n">
        <f aca="false">D269+I269*TASA_USADA</f>
        <v>0</v>
      </c>
      <c r="S269" s="58" t="n">
        <f aca="false">E269+I269*(1-TASA_USADA)</f>
        <v>0</v>
      </c>
      <c r="T269" s="59" t="n">
        <f aca="false">IF(H269&gt;0,R269*J269/H269,0)</f>
        <v>0</v>
      </c>
      <c r="U269" s="59" t="n">
        <f aca="false">IF(H269&gt;0,R269*(B269*P1_CPROD+C269*P2_CPROD)/H269,0)</f>
        <v>0</v>
      </c>
      <c r="V269" s="59" t="n">
        <f aca="false">IF(H269&gt;0,R269*(B269*P1_LOG+C269*P2_LOG)/H269,0)</f>
        <v>0</v>
      </c>
      <c r="W269" s="59" t="n">
        <f aca="false">S269*COSTE_DEV</f>
        <v>0</v>
      </c>
      <c r="X269" s="59" t="n">
        <f aca="false">IF(H269&gt;0,R269*(B269*P1_IVAN+C269*P2_IVAN)/H269,0)-S269*IVA_DEV</f>
        <v>0</v>
      </c>
      <c r="Y269" s="59" t="n">
        <f aca="false">F269*(1+RECARGO_ADS)</f>
        <v>0</v>
      </c>
    </row>
    <row r="270" customFormat="false" ht="15" hidden="false" customHeight="false" outlineLevel="0" collapsed="false">
      <c r="A270" s="53" t="n">
        <v>46564</v>
      </c>
      <c r="B270" s="54"/>
      <c r="C270" s="54"/>
      <c r="D270" s="54"/>
      <c r="E270" s="54"/>
      <c r="F270" s="55"/>
      <c r="G270" s="56"/>
      <c r="H270" s="31" t="n">
        <f aca="false">B270+C270</f>
        <v>0</v>
      </c>
      <c r="I270" s="31" t="n">
        <f aca="false">MAX(0,H270-D270-E270)</f>
        <v>0</v>
      </c>
      <c r="J270" s="32" t="n">
        <f aca="false">B270*P1_PVP+C270*P2_PVP</f>
        <v>0</v>
      </c>
      <c r="K270" s="32" t="str">
        <f aca="false">IF(H270&gt;0,J270/H270,"")</f>
        <v/>
      </c>
      <c r="L270" s="32" t="str">
        <f aca="false">IF(H270&gt;0,F270/H270,"")</f>
        <v/>
      </c>
      <c r="M270" s="57" t="str">
        <f aca="false">IF(F270&gt;0,J270/F270,"")</f>
        <v/>
      </c>
      <c r="N270" s="34" t="str">
        <f aca="false">IF(D270+E270&gt;0,D270/(D270+E270),"")</f>
        <v/>
      </c>
      <c r="O270" s="33" t="n">
        <f aca="false">IF(H270&gt;0,D270*(B270*(P1_BEN-P1_IVAN)+C270*(P2_BEN-P2_IVAN))/H270,0)-E270*(COSTE_DEV-IVA_DEV)-Y270</f>
        <v>0</v>
      </c>
      <c r="P270" s="33" t="n">
        <f aca="false">T270-U270-V270-W270-X270-Y270</f>
        <v>0</v>
      </c>
      <c r="R270" s="58" t="n">
        <f aca="false">D270+I270*TASA_USADA</f>
        <v>0</v>
      </c>
      <c r="S270" s="58" t="n">
        <f aca="false">E270+I270*(1-TASA_USADA)</f>
        <v>0</v>
      </c>
      <c r="T270" s="59" t="n">
        <f aca="false">IF(H270&gt;0,R270*J270/H270,0)</f>
        <v>0</v>
      </c>
      <c r="U270" s="59" t="n">
        <f aca="false">IF(H270&gt;0,R270*(B270*P1_CPROD+C270*P2_CPROD)/H270,0)</f>
        <v>0</v>
      </c>
      <c r="V270" s="59" t="n">
        <f aca="false">IF(H270&gt;0,R270*(B270*P1_LOG+C270*P2_LOG)/H270,0)</f>
        <v>0</v>
      </c>
      <c r="W270" s="59" t="n">
        <f aca="false">S270*COSTE_DEV</f>
        <v>0</v>
      </c>
      <c r="X270" s="59" t="n">
        <f aca="false">IF(H270&gt;0,R270*(B270*P1_IVAN+C270*P2_IVAN)/H270,0)-S270*IVA_DEV</f>
        <v>0</v>
      </c>
      <c r="Y270" s="59" t="n">
        <f aca="false">F270*(1+RECARGO_ADS)</f>
        <v>0</v>
      </c>
    </row>
    <row r="271" customFormat="false" ht="15" hidden="false" customHeight="false" outlineLevel="0" collapsed="false">
      <c r="A271" s="53" t="n">
        <v>46565</v>
      </c>
      <c r="B271" s="54"/>
      <c r="C271" s="54"/>
      <c r="D271" s="54"/>
      <c r="E271" s="54"/>
      <c r="F271" s="55"/>
      <c r="G271" s="56"/>
      <c r="H271" s="31" t="n">
        <f aca="false">B271+C271</f>
        <v>0</v>
      </c>
      <c r="I271" s="31" t="n">
        <f aca="false">MAX(0,H271-D271-E271)</f>
        <v>0</v>
      </c>
      <c r="J271" s="32" t="n">
        <f aca="false">B271*P1_PVP+C271*P2_PVP</f>
        <v>0</v>
      </c>
      <c r="K271" s="32" t="str">
        <f aca="false">IF(H271&gt;0,J271/H271,"")</f>
        <v/>
      </c>
      <c r="L271" s="32" t="str">
        <f aca="false">IF(H271&gt;0,F271/H271,"")</f>
        <v/>
      </c>
      <c r="M271" s="57" t="str">
        <f aca="false">IF(F271&gt;0,J271/F271,"")</f>
        <v/>
      </c>
      <c r="N271" s="34" t="str">
        <f aca="false">IF(D271+E271&gt;0,D271/(D271+E271),"")</f>
        <v/>
      </c>
      <c r="O271" s="33" t="n">
        <f aca="false">IF(H271&gt;0,D271*(B271*(P1_BEN-P1_IVAN)+C271*(P2_BEN-P2_IVAN))/H271,0)-E271*(COSTE_DEV-IVA_DEV)-Y271</f>
        <v>0</v>
      </c>
      <c r="P271" s="33" t="n">
        <f aca="false">T271-U271-V271-W271-X271-Y271</f>
        <v>0</v>
      </c>
      <c r="R271" s="58" t="n">
        <f aca="false">D271+I271*TASA_USADA</f>
        <v>0</v>
      </c>
      <c r="S271" s="58" t="n">
        <f aca="false">E271+I271*(1-TASA_USADA)</f>
        <v>0</v>
      </c>
      <c r="T271" s="59" t="n">
        <f aca="false">IF(H271&gt;0,R271*J271/H271,0)</f>
        <v>0</v>
      </c>
      <c r="U271" s="59" t="n">
        <f aca="false">IF(H271&gt;0,R271*(B271*P1_CPROD+C271*P2_CPROD)/H271,0)</f>
        <v>0</v>
      </c>
      <c r="V271" s="59" t="n">
        <f aca="false">IF(H271&gt;0,R271*(B271*P1_LOG+C271*P2_LOG)/H271,0)</f>
        <v>0</v>
      </c>
      <c r="W271" s="59" t="n">
        <f aca="false">S271*COSTE_DEV</f>
        <v>0</v>
      </c>
      <c r="X271" s="59" t="n">
        <f aca="false">IF(H271&gt;0,R271*(B271*P1_IVAN+C271*P2_IVAN)/H271,0)-S271*IVA_DEV</f>
        <v>0</v>
      </c>
      <c r="Y271" s="59" t="n">
        <f aca="false">F271*(1+RECARGO_ADS)</f>
        <v>0</v>
      </c>
    </row>
    <row r="272" customFormat="false" ht="15" hidden="false" customHeight="false" outlineLevel="0" collapsed="false">
      <c r="A272" s="53" t="n">
        <v>46566</v>
      </c>
      <c r="B272" s="54"/>
      <c r="C272" s="54"/>
      <c r="D272" s="54"/>
      <c r="E272" s="54"/>
      <c r="F272" s="55"/>
      <c r="G272" s="56"/>
      <c r="H272" s="31" t="n">
        <f aca="false">B272+C272</f>
        <v>0</v>
      </c>
      <c r="I272" s="31" t="n">
        <f aca="false">MAX(0,H272-D272-E272)</f>
        <v>0</v>
      </c>
      <c r="J272" s="32" t="n">
        <f aca="false">B272*P1_PVP+C272*P2_PVP</f>
        <v>0</v>
      </c>
      <c r="K272" s="32" t="str">
        <f aca="false">IF(H272&gt;0,J272/H272,"")</f>
        <v/>
      </c>
      <c r="L272" s="32" t="str">
        <f aca="false">IF(H272&gt;0,F272/H272,"")</f>
        <v/>
      </c>
      <c r="M272" s="57" t="str">
        <f aca="false">IF(F272&gt;0,J272/F272,"")</f>
        <v/>
      </c>
      <c r="N272" s="34" t="str">
        <f aca="false">IF(D272+E272&gt;0,D272/(D272+E272),"")</f>
        <v/>
      </c>
      <c r="O272" s="33" t="n">
        <f aca="false">IF(H272&gt;0,D272*(B272*(P1_BEN-P1_IVAN)+C272*(P2_BEN-P2_IVAN))/H272,0)-E272*(COSTE_DEV-IVA_DEV)-Y272</f>
        <v>0</v>
      </c>
      <c r="P272" s="33" t="n">
        <f aca="false">T272-U272-V272-W272-X272-Y272</f>
        <v>0</v>
      </c>
      <c r="R272" s="58" t="n">
        <f aca="false">D272+I272*TASA_USADA</f>
        <v>0</v>
      </c>
      <c r="S272" s="58" t="n">
        <f aca="false">E272+I272*(1-TASA_USADA)</f>
        <v>0</v>
      </c>
      <c r="T272" s="59" t="n">
        <f aca="false">IF(H272&gt;0,R272*J272/H272,0)</f>
        <v>0</v>
      </c>
      <c r="U272" s="59" t="n">
        <f aca="false">IF(H272&gt;0,R272*(B272*P1_CPROD+C272*P2_CPROD)/H272,0)</f>
        <v>0</v>
      </c>
      <c r="V272" s="59" t="n">
        <f aca="false">IF(H272&gt;0,R272*(B272*P1_LOG+C272*P2_LOG)/H272,0)</f>
        <v>0</v>
      </c>
      <c r="W272" s="59" t="n">
        <f aca="false">S272*COSTE_DEV</f>
        <v>0</v>
      </c>
      <c r="X272" s="59" t="n">
        <f aca="false">IF(H272&gt;0,R272*(B272*P1_IVAN+C272*P2_IVAN)/H272,0)-S272*IVA_DEV</f>
        <v>0</v>
      </c>
      <c r="Y272" s="59" t="n">
        <f aca="false">F272*(1+RECARGO_ADS)</f>
        <v>0</v>
      </c>
    </row>
    <row r="273" customFormat="false" ht="15" hidden="false" customHeight="false" outlineLevel="0" collapsed="false">
      <c r="A273" s="53" t="n">
        <v>46567</v>
      </c>
      <c r="B273" s="54"/>
      <c r="C273" s="54"/>
      <c r="D273" s="54"/>
      <c r="E273" s="54"/>
      <c r="F273" s="55"/>
      <c r="G273" s="56"/>
      <c r="H273" s="31" t="n">
        <f aca="false">B273+C273</f>
        <v>0</v>
      </c>
      <c r="I273" s="31" t="n">
        <f aca="false">MAX(0,H273-D273-E273)</f>
        <v>0</v>
      </c>
      <c r="J273" s="32" t="n">
        <f aca="false">B273*P1_PVP+C273*P2_PVP</f>
        <v>0</v>
      </c>
      <c r="K273" s="32" t="str">
        <f aca="false">IF(H273&gt;0,J273/H273,"")</f>
        <v/>
      </c>
      <c r="L273" s="32" t="str">
        <f aca="false">IF(H273&gt;0,F273/H273,"")</f>
        <v/>
      </c>
      <c r="M273" s="57" t="str">
        <f aca="false">IF(F273&gt;0,J273/F273,"")</f>
        <v/>
      </c>
      <c r="N273" s="34" t="str">
        <f aca="false">IF(D273+E273&gt;0,D273/(D273+E273),"")</f>
        <v/>
      </c>
      <c r="O273" s="33" t="n">
        <f aca="false">IF(H273&gt;0,D273*(B273*(P1_BEN-P1_IVAN)+C273*(P2_BEN-P2_IVAN))/H273,0)-E273*(COSTE_DEV-IVA_DEV)-Y273</f>
        <v>0</v>
      </c>
      <c r="P273" s="33" t="n">
        <f aca="false">T273-U273-V273-W273-X273-Y273</f>
        <v>0</v>
      </c>
      <c r="R273" s="58" t="n">
        <f aca="false">D273+I273*TASA_USADA</f>
        <v>0</v>
      </c>
      <c r="S273" s="58" t="n">
        <f aca="false">E273+I273*(1-TASA_USADA)</f>
        <v>0</v>
      </c>
      <c r="T273" s="59" t="n">
        <f aca="false">IF(H273&gt;0,R273*J273/H273,0)</f>
        <v>0</v>
      </c>
      <c r="U273" s="59" t="n">
        <f aca="false">IF(H273&gt;0,R273*(B273*P1_CPROD+C273*P2_CPROD)/H273,0)</f>
        <v>0</v>
      </c>
      <c r="V273" s="59" t="n">
        <f aca="false">IF(H273&gt;0,R273*(B273*P1_LOG+C273*P2_LOG)/H273,0)</f>
        <v>0</v>
      </c>
      <c r="W273" s="59" t="n">
        <f aca="false">S273*COSTE_DEV</f>
        <v>0</v>
      </c>
      <c r="X273" s="59" t="n">
        <f aca="false">IF(H273&gt;0,R273*(B273*P1_IVAN+C273*P2_IVAN)/H273,0)-S273*IVA_DEV</f>
        <v>0</v>
      </c>
      <c r="Y273" s="59" t="n">
        <f aca="false">F273*(1+RECARGO_ADS)</f>
        <v>0</v>
      </c>
    </row>
    <row r="274" customFormat="false" ht="15" hidden="false" customHeight="false" outlineLevel="0" collapsed="false">
      <c r="A274" s="53" t="n">
        <v>46568</v>
      </c>
      <c r="B274" s="54"/>
      <c r="C274" s="54"/>
      <c r="D274" s="54"/>
      <c r="E274" s="54"/>
      <c r="F274" s="55"/>
      <c r="G274" s="56"/>
      <c r="H274" s="31" t="n">
        <f aca="false">B274+C274</f>
        <v>0</v>
      </c>
      <c r="I274" s="31" t="n">
        <f aca="false">MAX(0,H274-D274-E274)</f>
        <v>0</v>
      </c>
      <c r="J274" s="32" t="n">
        <f aca="false">B274*P1_PVP+C274*P2_PVP</f>
        <v>0</v>
      </c>
      <c r="K274" s="32" t="str">
        <f aca="false">IF(H274&gt;0,J274/H274,"")</f>
        <v/>
      </c>
      <c r="L274" s="32" t="str">
        <f aca="false">IF(H274&gt;0,F274/H274,"")</f>
        <v/>
      </c>
      <c r="M274" s="57" t="str">
        <f aca="false">IF(F274&gt;0,J274/F274,"")</f>
        <v/>
      </c>
      <c r="N274" s="34" t="str">
        <f aca="false">IF(D274+E274&gt;0,D274/(D274+E274),"")</f>
        <v/>
      </c>
      <c r="O274" s="33" t="n">
        <f aca="false">IF(H274&gt;0,D274*(B274*(P1_BEN-P1_IVAN)+C274*(P2_BEN-P2_IVAN))/H274,0)-E274*(COSTE_DEV-IVA_DEV)-Y274</f>
        <v>0</v>
      </c>
      <c r="P274" s="33" t="n">
        <f aca="false">T274-U274-V274-W274-X274-Y274</f>
        <v>0</v>
      </c>
      <c r="R274" s="58" t="n">
        <f aca="false">D274+I274*TASA_USADA</f>
        <v>0</v>
      </c>
      <c r="S274" s="58" t="n">
        <f aca="false">E274+I274*(1-TASA_USADA)</f>
        <v>0</v>
      </c>
      <c r="T274" s="59" t="n">
        <f aca="false">IF(H274&gt;0,R274*J274/H274,0)</f>
        <v>0</v>
      </c>
      <c r="U274" s="59" t="n">
        <f aca="false">IF(H274&gt;0,R274*(B274*P1_CPROD+C274*P2_CPROD)/H274,0)</f>
        <v>0</v>
      </c>
      <c r="V274" s="59" t="n">
        <f aca="false">IF(H274&gt;0,R274*(B274*P1_LOG+C274*P2_LOG)/H274,0)</f>
        <v>0</v>
      </c>
      <c r="W274" s="59" t="n">
        <f aca="false">S274*COSTE_DEV</f>
        <v>0</v>
      </c>
      <c r="X274" s="59" t="n">
        <f aca="false">IF(H274&gt;0,R274*(B274*P1_IVAN+C274*P2_IVAN)/H274,0)-S274*IVA_DEV</f>
        <v>0</v>
      </c>
      <c r="Y274" s="59" t="n">
        <f aca="false">F274*(1+RECARGO_ADS)</f>
        <v>0</v>
      </c>
    </row>
    <row r="275" customFormat="false" ht="15" hidden="false" customHeight="false" outlineLevel="0" collapsed="false">
      <c r="A275" s="53" t="n">
        <v>46569</v>
      </c>
      <c r="B275" s="54"/>
      <c r="C275" s="54"/>
      <c r="D275" s="54"/>
      <c r="E275" s="54"/>
      <c r="F275" s="55"/>
      <c r="G275" s="56"/>
      <c r="H275" s="31" t="n">
        <f aca="false">B275+C275</f>
        <v>0</v>
      </c>
      <c r="I275" s="31" t="n">
        <f aca="false">MAX(0,H275-D275-E275)</f>
        <v>0</v>
      </c>
      <c r="J275" s="32" t="n">
        <f aca="false">B275*P1_PVP+C275*P2_PVP</f>
        <v>0</v>
      </c>
      <c r="K275" s="32" t="str">
        <f aca="false">IF(H275&gt;0,J275/H275,"")</f>
        <v/>
      </c>
      <c r="L275" s="32" t="str">
        <f aca="false">IF(H275&gt;0,F275/H275,"")</f>
        <v/>
      </c>
      <c r="M275" s="57" t="str">
        <f aca="false">IF(F275&gt;0,J275/F275,"")</f>
        <v/>
      </c>
      <c r="N275" s="34" t="str">
        <f aca="false">IF(D275+E275&gt;0,D275/(D275+E275),"")</f>
        <v/>
      </c>
      <c r="O275" s="33" t="n">
        <f aca="false">IF(H275&gt;0,D275*(B275*(P1_BEN-P1_IVAN)+C275*(P2_BEN-P2_IVAN))/H275,0)-E275*(COSTE_DEV-IVA_DEV)-Y275</f>
        <v>0</v>
      </c>
      <c r="P275" s="33" t="n">
        <f aca="false">T275-U275-V275-W275-X275-Y275</f>
        <v>0</v>
      </c>
      <c r="R275" s="58" t="n">
        <f aca="false">D275+I275*TASA_USADA</f>
        <v>0</v>
      </c>
      <c r="S275" s="58" t="n">
        <f aca="false">E275+I275*(1-TASA_USADA)</f>
        <v>0</v>
      </c>
      <c r="T275" s="59" t="n">
        <f aca="false">IF(H275&gt;0,R275*J275/H275,0)</f>
        <v>0</v>
      </c>
      <c r="U275" s="59" t="n">
        <f aca="false">IF(H275&gt;0,R275*(B275*P1_CPROD+C275*P2_CPROD)/H275,0)</f>
        <v>0</v>
      </c>
      <c r="V275" s="59" t="n">
        <f aca="false">IF(H275&gt;0,R275*(B275*P1_LOG+C275*P2_LOG)/H275,0)</f>
        <v>0</v>
      </c>
      <c r="W275" s="59" t="n">
        <f aca="false">S275*COSTE_DEV</f>
        <v>0</v>
      </c>
      <c r="X275" s="59" t="n">
        <f aca="false">IF(H275&gt;0,R275*(B275*P1_IVAN+C275*P2_IVAN)/H275,0)-S275*IVA_DEV</f>
        <v>0</v>
      </c>
      <c r="Y275" s="59" t="n">
        <f aca="false">F275*(1+RECARGO_ADS)</f>
        <v>0</v>
      </c>
    </row>
    <row r="276" customFormat="false" ht="15" hidden="false" customHeight="false" outlineLevel="0" collapsed="false">
      <c r="A276" s="53" t="n">
        <v>46570</v>
      </c>
      <c r="B276" s="54"/>
      <c r="C276" s="54"/>
      <c r="D276" s="54"/>
      <c r="E276" s="54"/>
      <c r="F276" s="55"/>
      <c r="G276" s="56"/>
      <c r="H276" s="31" t="n">
        <f aca="false">B276+C276</f>
        <v>0</v>
      </c>
      <c r="I276" s="31" t="n">
        <f aca="false">MAX(0,H276-D276-E276)</f>
        <v>0</v>
      </c>
      <c r="J276" s="32" t="n">
        <f aca="false">B276*P1_PVP+C276*P2_PVP</f>
        <v>0</v>
      </c>
      <c r="K276" s="32" t="str">
        <f aca="false">IF(H276&gt;0,J276/H276,"")</f>
        <v/>
      </c>
      <c r="L276" s="32" t="str">
        <f aca="false">IF(H276&gt;0,F276/H276,"")</f>
        <v/>
      </c>
      <c r="M276" s="57" t="str">
        <f aca="false">IF(F276&gt;0,J276/F276,"")</f>
        <v/>
      </c>
      <c r="N276" s="34" t="str">
        <f aca="false">IF(D276+E276&gt;0,D276/(D276+E276),"")</f>
        <v/>
      </c>
      <c r="O276" s="33" t="n">
        <f aca="false">IF(H276&gt;0,D276*(B276*(P1_BEN-P1_IVAN)+C276*(P2_BEN-P2_IVAN))/H276,0)-E276*(COSTE_DEV-IVA_DEV)-Y276</f>
        <v>0</v>
      </c>
      <c r="P276" s="33" t="n">
        <f aca="false">T276-U276-V276-W276-X276-Y276</f>
        <v>0</v>
      </c>
      <c r="R276" s="58" t="n">
        <f aca="false">D276+I276*TASA_USADA</f>
        <v>0</v>
      </c>
      <c r="S276" s="58" t="n">
        <f aca="false">E276+I276*(1-TASA_USADA)</f>
        <v>0</v>
      </c>
      <c r="T276" s="59" t="n">
        <f aca="false">IF(H276&gt;0,R276*J276/H276,0)</f>
        <v>0</v>
      </c>
      <c r="U276" s="59" t="n">
        <f aca="false">IF(H276&gt;0,R276*(B276*P1_CPROD+C276*P2_CPROD)/H276,0)</f>
        <v>0</v>
      </c>
      <c r="V276" s="59" t="n">
        <f aca="false">IF(H276&gt;0,R276*(B276*P1_LOG+C276*P2_LOG)/H276,0)</f>
        <v>0</v>
      </c>
      <c r="W276" s="59" t="n">
        <f aca="false">S276*COSTE_DEV</f>
        <v>0</v>
      </c>
      <c r="X276" s="59" t="n">
        <f aca="false">IF(H276&gt;0,R276*(B276*P1_IVAN+C276*P2_IVAN)/H276,0)-S276*IVA_DEV</f>
        <v>0</v>
      </c>
      <c r="Y276" s="59" t="n">
        <f aca="false">F276*(1+RECARGO_ADS)</f>
        <v>0</v>
      </c>
    </row>
    <row r="277" customFormat="false" ht="15" hidden="false" customHeight="false" outlineLevel="0" collapsed="false">
      <c r="A277" s="53" t="n">
        <v>46571</v>
      </c>
      <c r="B277" s="54"/>
      <c r="C277" s="54"/>
      <c r="D277" s="54"/>
      <c r="E277" s="54"/>
      <c r="F277" s="55"/>
      <c r="G277" s="56"/>
      <c r="H277" s="31" t="n">
        <f aca="false">B277+C277</f>
        <v>0</v>
      </c>
      <c r="I277" s="31" t="n">
        <f aca="false">MAX(0,H277-D277-E277)</f>
        <v>0</v>
      </c>
      <c r="J277" s="32" t="n">
        <f aca="false">B277*P1_PVP+C277*P2_PVP</f>
        <v>0</v>
      </c>
      <c r="K277" s="32" t="str">
        <f aca="false">IF(H277&gt;0,J277/H277,"")</f>
        <v/>
      </c>
      <c r="L277" s="32" t="str">
        <f aca="false">IF(H277&gt;0,F277/H277,"")</f>
        <v/>
      </c>
      <c r="M277" s="57" t="str">
        <f aca="false">IF(F277&gt;0,J277/F277,"")</f>
        <v/>
      </c>
      <c r="N277" s="34" t="str">
        <f aca="false">IF(D277+E277&gt;0,D277/(D277+E277),"")</f>
        <v/>
      </c>
      <c r="O277" s="33" t="n">
        <f aca="false">IF(H277&gt;0,D277*(B277*(P1_BEN-P1_IVAN)+C277*(P2_BEN-P2_IVAN))/H277,0)-E277*(COSTE_DEV-IVA_DEV)-Y277</f>
        <v>0</v>
      </c>
      <c r="P277" s="33" t="n">
        <f aca="false">T277-U277-V277-W277-X277-Y277</f>
        <v>0</v>
      </c>
      <c r="R277" s="58" t="n">
        <f aca="false">D277+I277*TASA_USADA</f>
        <v>0</v>
      </c>
      <c r="S277" s="58" t="n">
        <f aca="false">E277+I277*(1-TASA_USADA)</f>
        <v>0</v>
      </c>
      <c r="T277" s="59" t="n">
        <f aca="false">IF(H277&gt;0,R277*J277/H277,0)</f>
        <v>0</v>
      </c>
      <c r="U277" s="59" t="n">
        <f aca="false">IF(H277&gt;0,R277*(B277*P1_CPROD+C277*P2_CPROD)/H277,0)</f>
        <v>0</v>
      </c>
      <c r="V277" s="59" t="n">
        <f aca="false">IF(H277&gt;0,R277*(B277*P1_LOG+C277*P2_LOG)/H277,0)</f>
        <v>0</v>
      </c>
      <c r="W277" s="59" t="n">
        <f aca="false">S277*COSTE_DEV</f>
        <v>0</v>
      </c>
      <c r="X277" s="59" t="n">
        <f aca="false">IF(H277&gt;0,R277*(B277*P1_IVAN+C277*P2_IVAN)/H277,0)-S277*IVA_DEV</f>
        <v>0</v>
      </c>
      <c r="Y277" s="59" t="n">
        <f aca="false">F277*(1+RECARGO_ADS)</f>
        <v>0</v>
      </c>
    </row>
    <row r="278" customFormat="false" ht="15" hidden="false" customHeight="false" outlineLevel="0" collapsed="false">
      <c r="A278" s="53" t="n">
        <v>46572</v>
      </c>
      <c r="B278" s="54"/>
      <c r="C278" s="54"/>
      <c r="D278" s="54"/>
      <c r="E278" s="54"/>
      <c r="F278" s="55"/>
      <c r="G278" s="56"/>
      <c r="H278" s="31" t="n">
        <f aca="false">B278+C278</f>
        <v>0</v>
      </c>
      <c r="I278" s="31" t="n">
        <f aca="false">MAX(0,H278-D278-E278)</f>
        <v>0</v>
      </c>
      <c r="J278" s="32" t="n">
        <f aca="false">B278*P1_PVP+C278*P2_PVP</f>
        <v>0</v>
      </c>
      <c r="K278" s="32" t="str">
        <f aca="false">IF(H278&gt;0,J278/H278,"")</f>
        <v/>
      </c>
      <c r="L278" s="32" t="str">
        <f aca="false">IF(H278&gt;0,F278/H278,"")</f>
        <v/>
      </c>
      <c r="M278" s="57" t="str">
        <f aca="false">IF(F278&gt;0,J278/F278,"")</f>
        <v/>
      </c>
      <c r="N278" s="34" t="str">
        <f aca="false">IF(D278+E278&gt;0,D278/(D278+E278),"")</f>
        <v/>
      </c>
      <c r="O278" s="33" t="n">
        <f aca="false">IF(H278&gt;0,D278*(B278*(P1_BEN-P1_IVAN)+C278*(P2_BEN-P2_IVAN))/H278,0)-E278*(COSTE_DEV-IVA_DEV)-Y278</f>
        <v>0</v>
      </c>
      <c r="P278" s="33" t="n">
        <f aca="false">T278-U278-V278-W278-X278-Y278</f>
        <v>0</v>
      </c>
      <c r="R278" s="58" t="n">
        <f aca="false">D278+I278*TASA_USADA</f>
        <v>0</v>
      </c>
      <c r="S278" s="58" t="n">
        <f aca="false">E278+I278*(1-TASA_USADA)</f>
        <v>0</v>
      </c>
      <c r="T278" s="59" t="n">
        <f aca="false">IF(H278&gt;0,R278*J278/H278,0)</f>
        <v>0</v>
      </c>
      <c r="U278" s="59" t="n">
        <f aca="false">IF(H278&gt;0,R278*(B278*P1_CPROD+C278*P2_CPROD)/H278,0)</f>
        <v>0</v>
      </c>
      <c r="V278" s="59" t="n">
        <f aca="false">IF(H278&gt;0,R278*(B278*P1_LOG+C278*P2_LOG)/H278,0)</f>
        <v>0</v>
      </c>
      <c r="W278" s="59" t="n">
        <f aca="false">S278*COSTE_DEV</f>
        <v>0</v>
      </c>
      <c r="X278" s="59" t="n">
        <f aca="false">IF(H278&gt;0,R278*(B278*P1_IVAN+C278*P2_IVAN)/H278,0)-S278*IVA_DEV</f>
        <v>0</v>
      </c>
      <c r="Y278" s="59" t="n">
        <f aca="false">F278*(1+RECARGO_ADS)</f>
        <v>0</v>
      </c>
    </row>
    <row r="279" customFormat="false" ht="15" hidden="false" customHeight="false" outlineLevel="0" collapsed="false">
      <c r="A279" s="53" t="n">
        <v>46573</v>
      </c>
      <c r="B279" s="54"/>
      <c r="C279" s="54"/>
      <c r="D279" s="54"/>
      <c r="E279" s="54"/>
      <c r="F279" s="55"/>
      <c r="G279" s="56"/>
      <c r="H279" s="31" t="n">
        <f aca="false">B279+C279</f>
        <v>0</v>
      </c>
      <c r="I279" s="31" t="n">
        <f aca="false">MAX(0,H279-D279-E279)</f>
        <v>0</v>
      </c>
      <c r="J279" s="32" t="n">
        <f aca="false">B279*P1_PVP+C279*P2_PVP</f>
        <v>0</v>
      </c>
      <c r="K279" s="32" t="str">
        <f aca="false">IF(H279&gt;0,J279/H279,"")</f>
        <v/>
      </c>
      <c r="L279" s="32" t="str">
        <f aca="false">IF(H279&gt;0,F279/H279,"")</f>
        <v/>
      </c>
      <c r="M279" s="57" t="str">
        <f aca="false">IF(F279&gt;0,J279/F279,"")</f>
        <v/>
      </c>
      <c r="N279" s="34" t="str">
        <f aca="false">IF(D279+E279&gt;0,D279/(D279+E279),"")</f>
        <v/>
      </c>
      <c r="O279" s="33" t="n">
        <f aca="false">IF(H279&gt;0,D279*(B279*(P1_BEN-P1_IVAN)+C279*(P2_BEN-P2_IVAN))/H279,0)-E279*(COSTE_DEV-IVA_DEV)-Y279</f>
        <v>0</v>
      </c>
      <c r="P279" s="33" t="n">
        <f aca="false">T279-U279-V279-W279-X279-Y279</f>
        <v>0</v>
      </c>
      <c r="R279" s="58" t="n">
        <f aca="false">D279+I279*TASA_USADA</f>
        <v>0</v>
      </c>
      <c r="S279" s="58" t="n">
        <f aca="false">E279+I279*(1-TASA_USADA)</f>
        <v>0</v>
      </c>
      <c r="T279" s="59" t="n">
        <f aca="false">IF(H279&gt;0,R279*J279/H279,0)</f>
        <v>0</v>
      </c>
      <c r="U279" s="59" t="n">
        <f aca="false">IF(H279&gt;0,R279*(B279*P1_CPROD+C279*P2_CPROD)/H279,0)</f>
        <v>0</v>
      </c>
      <c r="V279" s="59" t="n">
        <f aca="false">IF(H279&gt;0,R279*(B279*P1_LOG+C279*P2_LOG)/H279,0)</f>
        <v>0</v>
      </c>
      <c r="W279" s="59" t="n">
        <f aca="false">S279*COSTE_DEV</f>
        <v>0</v>
      </c>
      <c r="X279" s="59" t="n">
        <f aca="false">IF(H279&gt;0,R279*(B279*P1_IVAN+C279*P2_IVAN)/H279,0)-S279*IVA_DEV</f>
        <v>0</v>
      </c>
      <c r="Y279" s="59" t="n">
        <f aca="false">F279*(1+RECARGO_ADS)</f>
        <v>0</v>
      </c>
    </row>
    <row r="280" customFormat="false" ht="15" hidden="false" customHeight="false" outlineLevel="0" collapsed="false">
      <c r="A280" s="53" t="n">
        <v>46574</v>
      </c>
      <c r="B280" s="54"/>
      <c r="C280" s="54"/>
      <c r="D280" s="54"/>
      <c r="E280" s="54"/>
      <c r="F280" s="55"/>
      <c r="G280" s="56"/>
      <c r="H280" s="31" t="n">
        <f aca="false">B280+C280</f>
        <v>0</v>
      </c>
      <c r="I280" s="31" t="n">
        <f aca="false">MAX(0,H280-D280-E280)</f>
        <v>0</v>
      </c>
      <c r="J280" s="32" t="n">
        <f aca="false">B280*P1_PVP+C280*P2_PVP</f>
        <v>0</v>
      </c>
      <c r="K280" s="32" t="str">
        <f aca="false">IF(H280&gt;0,J280/H280,"")</f>
        <v/>
      </c>
      <c r="L280" s="32" t="str">
        <f aca="false">IF(H280&gt;0,F280/H280,"")</f>
        <v/>
      </c>
      <c r="M280" s="57" t="str">
        <f aca="false">IF(F280&gt;0,J280/F280,"")</f>
        <v/>
      </c>
      <c r="N280" s="34" t="str">
        <f aca="false">IF(D280+E280&gt;0,D280/(D280+E280),"")</f>
        <v/>
      </c>
      <c r="O280" s="33" t="n">
        <f aca="false">IF(H280&gt;0,D280*(B280*(P1_BEN-P1_IVAN)+C280*(P2_BEN-P2_IVAN))/H280,0)-E280*(COSTE_DEV-IVA_DEV)-Y280</f>
        <v>0</v>
      </c>
      <c r="P280" s="33" t="n">
        <f aca="false">T280-U280-V280-W280-X280-Y280</f>
        <v>0</v>
      </c>
      <c r="R280" s="58" t="n">
        <f aca="false">D280+I280*TASA_USADA</f>
        <v>0</v>
      </c>
      <c r="S280" s="58" t="n">
        <f aca="false">E280+I280*(1-TASA_USADA)</f>
        <v>0</v>
      </c>
      <c r="T280" s="59" t="n">
        <f aca="false">IF(H280&gt;0,R280*J280/H280,0)</f>
        <v>0</v>
      </c>
      <c r="U280" s="59" t="n">
        <f aca="false">IF(H280&gt;0,R280*(B280*P1_CPROD+C280*P2_CPROD)/H280,0)</f>
        <v>0</v>
      </c>
      <c r="V280" s="59" t="n">
        <f aca="false">IF(H280&gt;0,R280*(B280*P1_LOG+C280*P2_LOG)/H280,0)</f>
        <v>0</v>
      </c>
      <c r="W280" s="59" t="n">
        <f aca="false">S280*COSTE_DEV</f>
        <v>0</v>
      </c>
      <c r="X280" s="59" t="n">
        <f aca="false">IF(H280&gt;0,R280*(B280*P1_IVAN+C280*P2_IVAN)/H280,0)-S280*IVA_DEV</f>
        <v>0</v>
      </c>
      <c r="Y280" s="59" t="n">
        <f aca="false">F280*(1+RECARGO_ADS)</f>
        <v>0</v>
      </c>
    </row>
    <row r="281" customFormat="false" ht="15" hidden="false" customHeight="false" outlineLevel="0" collapsed="false">
      <c r="A281" s="53" t="n">
        <v>46575</v>
      </c>
      <c r="B281" s="54"/>
      <c r="C281" s="54"/>
      <c r="D281" s="54"/>
      <c r="E281" s="54"/>
      <c r="F281" s="55"/>
      <c r="G281" s="56"/>
      <c r="H281" s="31" t="n">
        <f aca="false">B281+C281</f>
        <v>0</v>
      </c>
      <c r="I281" s="31" t="n">
        <f aca="false">MAX(0,H281-D281-E281)</f>
        <v>0</v>
      </c>
      <c r="J281" s="32" t="n">
        <f aca="false">B281*P1_PVP+C281*P2_PVP</f>
        <v>0</v>
      </c>
      <c r="K281" s="32" t="str">
        <f aca="false">IF(H281&gt;0,J281/H281,"")</f>
        <v/>
      </c>
      <c r="L281" s="32" t="str">
        <f aca="false">IF(H281&gt;0,F281/H281,"")</f>
        <v/>
      </c>
      <c r="M281" s="57" t="str">
        <f aca="false">IF(F281&gt;0,J281/F281,"")</f>
        <v/>
      </c>
      <c r="N281" s="34" t="str">
        <f aca="false">IF(D281+E281&gt;0,D281/(D281+E281),"")</f>
        <v/>
      </c>
      <c r="O281" s="33" t="n">
        <f aca="false">IF(H281&gt;0,D281*(B281*(P1_BEN-P1_IVAN)+C281*(P2_BEN-P2_IVAN))/H281,0)-E281*(COSTE_DEV-IVA_DEV)-Y281</f>
        <v>0</v>
      </c>
      <c r="P281" s="33" t="n">
        <f aca="false">T281-U281-V281-W281-X281-Y281</f>
        <v>0</v>
      </c>
      <c r="R281" s="58" t="n">
        <f aca="false">D281+I281*TASA_USADA</f>
        <v>0</v>
      </c>
      <c r="S281" s="58" t="n">
        <f aca="false">E281+I281*(1-TASA_USADA)</f>
        <v>0</v>
      </c>
      <c r="T281" s="59" t="n">
        <f aca="false">IF(H281&gt;0,R281*J281/H281,0)</f>
        <v>0</v>
      </c>
      <c r="U281" s="59" t="n">
        <f aca="false">IF(H281&gt;0,R281*(B281*P1_CPROD+C281*P2_CPROD)/H281,0)</f>
        <v>0</v>
      </c>
      <c r="V281" s="59" t="n">
        <f aca="false">IF(H281&gt;0,R281*(B281*P1_LOG+C281*P2_LOG)/H281,0)</f>
        <v>0</v>
      </c>
      <c r="W281" s="59" t="n">
        <f aca="false">S281*COSTE_DEV</f>
        <v>0</v>
      </c>
      <c r="X281" s="59" t="n">
        <f aca="false">IF(H281&gt;0,R281*(B281*P1_IVAN+C281*P2_IVAN)/H281,0)-S281*IVA_DEV</f>
        <v>0</v>
      </c>
      <c r="Y281" s="59" t="n">
        <f aca="false">F281*(1+RECARGO_ADS)</f>
        <v>0</v>
      </c>
    </row>
    <row r="282" customFormat="false" ht="15" hidden="false" customHeight="false" outlineLevel="0" collapsed="false">
      <c r="A282" s="53" t="n">
        <v>46576</v>
      </c>
      <c r="B282" s="54"/>
      <c r="C282" s="54"/>
      <c r="D282" s="54"/>
      <c r="E282" s="54"/>
      <c r="F282" s="55"/>
      <c r="G282" s="56"/>
      <c r="H282" s="31" t="n">
        <f aca="false">B282+C282</f>
        <v>0</v>
      </c>
      <c r="I282" s="31" t="n">
        <f aca="false">MAX(0,H282-D282-E282)</f>
        <v>0</v>
      </c>
      <c r="J282" s="32" t="n">
        <f aca="false">B282*P1_PVP+C282*P2_PVP</f>
        <v>0</v>
      </c>
      <c r="K282" s="32" t="str">
        <f aca="false">IF(H282&gt;0,J282/H282,"")</f>
        <v/>
      </c>
      <c r="L282" s="32" t="str">
        <f aca="false">IF(H282&gt;0,F282/H282,"")</f>
        <v/>
      </c>
      <c r="M282" s="57" t="str">
        <f aca="false">IF(F282&gt;0,J282/F282,"")</f>
        <v/>
      </c>
      <c r="N282" s="34" t="str">
        <f aca="false">IF(D282+E282&gt;0,D282/(D282+E282),"")</f>
        <v/>
      </c>
      <c r="O282" s="33" t="n">
        <f aca="false">IF(H282&gt;0,D282*(B282*(P1_BEN-P1_IVAN)+C282*(P2_BEN-P2_IVAN))/H282,0)-E282*(COSTE_DEV-IVA_DEV)-Y282</f>
        <v>0</v>
      </c>
      <c r="P282" s="33" t="n">
        <f aca="false">T282-U282-V282-W282-X282-Y282</f>
        <v>0</v>
      </c>
      <c r="R282" s="58" t="n">
        <f aca="false">D282+I282*TASA_USADA</f>
        <v>0</v>
      </c>
      <c r="S282" s="58" t="n">
        <f aca="false">E282+I282*(1-TASA_USADA)</f>
        <v>0</v>
      </c>
      <c r="T282" s="59" t="n">
        <f aca="false">IF(H282&gt;0,R282*J282/H282,0)</f>
        <v>0</v>
      </c>
      <c r="U282" s="59" t="n">
        <f aca="false">IF(H282&gt;0,R282*(B282*P1_CPROD+C282*P2_CPROD)/H282,0)</f>
        <v>0</v>
      </c>
      <c r="V282" s="59" t="n">
        <f aca="false">IF(H282&gt;0,R282*(B282*P1_LOG+C282*P2_LOG)/H282,0)</f>
        <v>0</v>
      </c>
      <c r="W282" s="59" t="n">
        <f aca="false">S282*COSTE_DEV</f>
        <v>0</v>
      </c>
      <c r="X282" s="59" t="n">
        <f aca="false">IF(H282&gt;0,R282*(B282*P1_IVAN+C282*P2_IVAN)/H282,0)-S282*IVA_DEV</f>
        <v>0</v>
      </c>
      <c r="Y282" s="59" t="n">
        <f aca="false">F282*(1+RECARGO_ADS)</f>
        <v>0</v>
      </c>
    </row>
    <row r="283" customFormat="false" ht="15" hidden="false" customHeight="false" outlineLevel="0" collapsed="false">
      <c r="A283" s="53" t="n">
        <v>46577</v>
      </c>
      <c r="B283" s="54"/>
      <c r="C283" s="54"/>
      <c r="D283" s="54"/>
      <c r="E283" s="54"/>
      <c r="F283" s="55"/>
      <c r="G283" s="56"/>
      <c r="H283" s="31" t="n">
        <f aca="false">B283+C283</f>
        <v>0</v>
      </c>
      <c r="I283" s="31" t="n">
        <f aca="false">MAX(0,H283-D283-E283)</f>
        <v>0</v>
      </c>
      <c r="J283" s="32" t="n">
        <f aca="false">B283*P1_PVP+C283*P2_PVP</f>
        <v>0</v>
      </c>
      <c r="K283" s="32" t="str">
        <f aca="false">IF(H283&gt;0,J283/H283,"")</f>
        <v/>
      </c>
      <c r="L283" s="32" t="str">
        <f aca="false">IF(H283&gt;0,F283/H283,"")</f>
        <v/>
      </c>
      <c r="M283" s="57" t="str">
        <f aca="false">IF(F283&gt;0,J283/F283,"")</f>
        <v/>
      </c>
      <c r="N283" s="34" t="str">
        <f aca="false">IF(D283+E283&gt;0,D283/(D283+E283),"")</f>
        <v/>
      </c>
      <c r="O283" s="33" t="n">
        <f aca="false">IF(H283&gt;0,D283*(B283*(P1_BEN-P1_IVAN)+C283*(P2_BEN-P2_IVAN))/H283,0)-E283*(COSTE_DEV-IVA_DEV)-Y283</f>
        <v>0</v>
      </c>
      <c r="P283" s="33" t="n">
        <f aca="false">T283-U283-V283-W283-X283-Y283</f>
        <v>0</v>
      </c>
      <c r="R283" s="58" t="n">
        <f aca="false">D283+I283*TASA_USADA</f>
        <v>0</v>
      </c>
      <c r="S283" s="58" t="n">
        <f aca="false">E283+I283*(1-TASA_USADA)</f>
        <v>0</v>
      </c>
      <c r="T283" s="59" t="n">
        <f aca="false">IF(H283&gt;0,R283*J283/H283,0)</f>
        <v>0</v>
      </c>
      <c r="U283" s="59" t="n">
        <f aca="false">IF(H283&gt;0,R283*(B283*P1_CPROD+C283*P2_CPROD)/H283,0)</f>
        <v>0</v>
      </c>
      <c r="V283" s="59" t="n">
        <f aca="false">IF(H283&gt;0,R283*(B283*P1_LOG+C283*P2_LOG)/H283,0)</f>
        <v>0</v>
      </c>
      <c r="W283" s="59" t="n">
        <f aca="false">S283*COSTE_DEV</f>
        <v>0</v>
      </c>
      <c r="X283" s="59" t="n">
        <f aca="false">IF(H283&gt;0,R283*(B283*P1_IVAN+C283*P2_IVAN)/H283,0)-S283*IVA_DEV</f>
        <v>0</v>
      </c>
      <c r="Y283" s="59" t="n">
        <f aca="false">F283*(1+RECARGO_ADS)</f>
        <v>0</v>
      </c>
    </row>
    <row r="284" customFormat="false" ht="15" hidden="false" customHeight="false" outlineLevel="0" collapsed="false">
      <c r="A284" s="53" t="n">
        <v>46578</v>
      </c>
      <c r="B284" s="54"/>
      <c r="C284" s="54"/>
      <c r="D284" s="54"/>
      <c r="E284" s="54"/>
      <c r="F284" s="55"/>
      <c r="G284" s="56"/>
      <c r="H284" s="31" t="n">
        <f aca="false">B284+C284</f>
        <v>0</v>
      </c>
      <c r="I284" s="31" t="n">
        <f aca="false">MAX(0,H284-D284-E284)</f>
        <v>0</v>
      </c>
      <c r="J284" s="32" t="n">
        <f aca="false">B284*P1_PVP+C284*P2_PVP</f>
        <v>0</v>
      </c>
      <c r="K284" s="32" t="str">
        <f aca="false">IF(H284&gt;0,J284/H284,"")</f>
        <v/>
      </c>
      <c r="L284" s="32" t="str">
        <f aca="false">IF(H284&gt;0,F284/H284,"")</f>
        <v/>
      </c>
      <c r="M284" s="57" t="str">
        <f aca="false">IF(F284&gt;0,J284/F284,"")</f>
        <v/>
      </c>
      <c r="N284" s="34" t="str">
        <f aca="false">IF(D284+E284&gt;0,D284/(D284+E284),"")</f>
        <v/>
      </c>
      <c r="O284" s="33" t="n">
        <f aca="false">IF(H284&gt;0,D284*(B284*(P1_BEN-P1_IVAN)+C284*(P2_BEN-P2_IVAN))/H284,0)-E284*(COSTE_DEV-IVA_DEV)-Y284</f>
        <v>0</v>
      </c>
      <c r="P284" s="33" t="n">
        <f aca="false">T284-U284-V284-W284-X284-Y284</f>
        <v>0</v>
      </c>
      <c r="R284" s="58" t="n">
        <f aca="false">D284+I284*TASA_USADA</f>
        <v>0</v>
      </c>
      <c r="S284" s="58" t="n">
        <f aca="false">E284+I284*(1-TASA_USADA)</f>
        <v>0</v>
      </c>
      <c r="T284" s="59" t="n">
        <f aca="false">IF(H284&gt;0,R284*J284/H284,0)</f>
        <v>0</v>
      </c>
      <c r="U284" s="59" t="n">
        <f aca="false">IF(H284&gt;0,R284*(B284*P1_CPROD+C284*P2_CPROD)/H284,0)</f>
        <v>0</v>
      </c>
      <c r="V284" s="59" t="n">
        <f aca="false">IF(H284&gt;0,R284*(B284*P1_LOG+C284*P2_LOG)/H284,0)</f>
        <v>0</v>
      </c>
      <c r="W284" s="59" t="n">
        <f aca="false">S284*COSTE_DEV</f>
        <v>0</v>
      </c>
      <c r="X284" s="59" t="n">
        <f aca="false">IF(H284&gt;0,R284*(B284*P1_IVAN+C284*P2_IVAN)/H284,0)-S284*IVA_DEV</f>
        <v>0</v>
      </c>
      <c r="Y284" s="59" t="n">
        <f aca="false">F284*(1+RECARGO_ADS)</f>
        <v>0</v>
      </c>
    </row>
    <row r="285" customFormat="false" ht="15" hidden="false" customHeight="false" outlineLevel="0" collapsed="false">
      <c r="A285" s="53" t="n">
        <v>46579</v>
      </c>
      <c r="B285" s="54"/>
      <c r="C285" s="54"/>
      <c r="D285" s="54"/>
      <c r="E285" s="54"/>
      <c r="F285" s="55"/>
      <c r="G285" s="56"/>
      <c r="H285" s="31" t="n">
        <f aca="false">B285+C285</f>
        <v>0</v>
      </c>
      <c r="I285" s="31" t="n">
        <f aca="false">MAX(0,H285-D285-E285)</f>
        <v>0</v>
      </c>
      <c r="J285" s="32" t="n">
        <f aca="false">B285*P1_PVP+C285*P2_PVP</f>
        <v>0</v>
      </c>
      <c r="K285" s="32" t="str">
        <f aca="false">IF(H285&gt;0,J285/H285,"")</f>
        <v/>
      </c>
      <c r="L285" s="32" t="str">
        <f aca="false">IF(H285&gt;0,F285/H285,"")</f>
        <v/>
      </c>
      <c r="M285" s="57" t="str">
        <f aca="false">IF(F285&gt;0,J285/F285,"")</f>
        <v/>
      </c>
      <c r="N285" s="34" t="str">
        <f aca="false">IF(D285+E285&gt;0,D285/(D285+E285),"")</f>
        <v/>
      </c>
      <c r="O285" s="33" t="n">
        <f aca="false">IF(H285&gt;0,D285*(B285*(P1_BEN-P1_IVAN)+C285*(P2_BEN-P2_IVAN))/H285,0)-E285*(COSTE_DEV-IVA_DEV)-Y285</f>
        <v>0</v>
      </c>
      <c r="P285" s="33" t="n">
        <f aca="false">T285-U285-V285-W285-X285-Y285</f>
        <v>0</v>
      </c>
      <c r="R285" s="58" t="n">
        <f aca="false">D285+I285*TASA_USADA</f>
        <v>0</v>
      </c>
      <c r="S285" s="58" t="n">
        <f aca="false">E285+I285*(1-TASA_USADA)</f>
        <v>0</v>
      </c>
      <c r="T285" s="59" t="n">
        <f aca="false">IF(H285&gt;0,R285*J285/H285,0)</f>
        <v>0</v>
      </c>
      <c r="U285" s="59" t="n">
        <f aca="false">IF(H285&gt;0,R285*(B285*P1_CPROD+C285*P2_CPROD)/H285,0)</f>
        <v>0</v>
      </c>
      <c r="V285" s="59" t="n">
        <f aca="false">IF(H285&gt;0,R285*(B285*P1_LOG+C285*P2_LOG)/H285,0)</f>
        <v>0</v>
      </c>
      <c r="W285" s="59" t="n">
        <f aca="false">S285*COSTE_DEV</f>
        <v>0</v>
      </c>
      <c r="X285" s="59" t="n">
        <f aca="false">IF(H285&gt;0,R285*(B285*P1_IVAN+C285*P2_IVAN)/H285,0)-S285*IVA_DEV</f>
        <v>0</v>
      </c>
      <c r="Y285" s="59" t="n">
        <f aca="false">F285*(1+RECARGO_ADS)</f>
        <v>0</v>
      </c>
    </row>
    <row r="286" customFormat="false" ht="15" hidden="false" customHeight="false" outlineLevel="0" collapsed="false">
      <c r="A286" s="53" t="n">
        <v>46580</v>
      </c>
      <c r="B286" s="54"/>
      <c r="C286" s="54"/>
      <c r="D286" s="54"/>
      <c r="E286" s="54"/>
      <c r="F286" s="55"/>
      <c r="G286" s="56"/>
      <c r="H286" s="31" t="n">
        <f aca="false">B286+C286</f>
        <v>0</v>
      </c>
      <c r="I286" s="31" t="n">
        <f aca="false">MAX(0,H286-D286-E286)</f>
        <v>0</v>
      </c>
      <c r="J286" s="32" t="n">
        <f aca="false">B286*P1_PVP+C286*P2_PVP</f>
        <v>0</v>
      </c>
      <c r="K286" s="32" t="str">
        <f aca="false">IF(H286&gt;0,J286/H286,"")</f>
        <v/>
      </c>
      <c r="L286" s="32" t="str">
        <f aca="false">IF(H286&gt;0,F286/H286,"")</f>
        <v/>
      </c>
      <c r="M286" s="57" t="str">
        <f aca="false">IF(F286&gt;0,J286/F286,"")</f>
        <v/>
      </c>
      <c r="N286" s="34" t="str">
        <f aca="false">IF(D286+E286&gt;0,D286/(D286+E286),"")</f>
        <v/>
      </c>
      <c r="O286" s="33" t="n">
        <f aca="false">IF(H286&gt;0,D286*(B286*(P1_BEN-P1_IVAN)+C286*(P2_BEN-P2_IVAN))/H286,0)-E286*(COSTE_DEV-IVA_DEV)-Y286</f>
        <v>0</v>
      </c>
      <c r="P286" s="33" t="n">
        <f aca="false">T286-U286-V286-W286-X286-Y286</f>
        <v>0</v>
      </c>
      <c r="R286" s="58" t="n">
        <f aca="false">D286+I286*TASA_USADA</f>
        <v>0</v>
      </c>
      <c r="S286" s="58" t="n">
        <f aca="false">E286+I286*(1-TASA_USADA)</f>
        <v>0</v>
      </c>
      <c r="T286" s="59" t="n">
        <f aca="false">IF(H286&gt;0,R286*J286/H286,0)</f>
        <v>0</v>
      </c>
      <c r="U286" s="59" t="n">
        <f aca="false">IF(H286&gt;0,R286*(B286*P1_CPROD+C286*P2_CPROD)/H286,0)</f>
        <v>0</v>
      </c>
      <c r="V286" s="59" t="n">
        <f aca="false">IF(H286&gt;0,R286*(B286*P1_LOG+C286*P2_LOG)/H286,0)</f>
        <v>0</v>
      </c>
      <c r="W286" s="59" t="n">
        <f aca="false">S286*COSTE_DEV</f>
        <v>0</v>
      </c>
      <c r="X286" s="59" t="n">
        <f aca="false">IF(H286&gt;0,R286*(B286*P1_IVAN+C286*P2_IVAN)/H286,0)-S286*IVA_DEV</f>
        <v>0</v>
      </c>
      <c r="Y286" s="59" t="n">
        <f aca="false">F286*(1+RECARGO_ADS)</f>
        <v>0</v>
      </c>
    </row>
    <row r="287" customFormat="false" ht="15" hidden="false" customHeight="false" outlineLevel="0" collapsed="false">
      <c r="A287" s="53" t="n">
        <v>46581</v>
      </c>
      <c r="B287" s="54"/>
      <c r="C287" s="54"/>
      <c r="D287" s="54"/>
      <c r="E287" s="54"/>
      <c r="F287" s="55"/>
      <c r="G287" s="56"/>
      <c r="H287" s="31" t="n">
        <f aca="false">B287+C287</f>
        <v>0</v>
      </c>
      <c r="I287" s="31" t="n">
        <f aca="false">MAX(0,H287-D287-E287)</f>
        <v>0</v>
      </c>
      <c r="J287" s="32" t="n">
        <f aca="false">B287*P1_PVP+C287*P2_PVP</f>
        <v>0</v>
      </c>
      <c r="K287" s="32" t="str">
        <f aca="false">IF(H287&gt;0,J287/H287,"")</f>
        <v/>
      </c>
      <c r="L287" s="32" t="str">
        <f aca="false">IF(H287&gt;0,F287/H287,"")</f>
        <v/>
      </c>
      <c r="M287" s="57" t="str">
        <f aca="false">IF(F287&gt;0,J287/F287,"")</f>
        <v/>
      </c>
      <c r="N287" s="34" t="str">
        <f aca="false">IF(D287+E287&gt;0,D287/(D287+E287),"")</f>
        <v/>
      </c>
      <c r="O287" s="33" t="n">
        <f aca="false">IF(H287&gt;0,D287*(B287*(P1_BEN-P1_IVAN)+C287*(P2_BEN-P2_IVAN))/H287,0)-E287*(COSTE_DEV-IVA_DEV)-Y287</f>
        <v>0</v>
      </c>
      <c r="P287" s="33" t="n">
        <f aca="false">T287-U287-V287-W287-X287-Y287</f>
        <v>0</v>
      </c>
      <c r="R287" s="58" t="n">
        <f aca="false">D287+I287*TASA_USADA</f>
        <v>0</v>
      </c>
      <c r="S287" s="58" t="n">
        <f aca="false">E287+I287*(1-TASA_USADA)</f>
        <v>0</v>
      </c>
      <c r="T287" s="59" t="n">
        <f aca="false">IF(H287&gt;0,R287*J287/H287,0)</f>
        <v>0</v>
      </c>
      <c r="U287" s="59" t="n">
        <f aca="false">IF(H287&gt;0,R287*(B287*P1_CPROD+C287*P2_CPROD)/H287,0)</f>
        <v>0</v>
      </c>
      <c r="V287" s="59" t="n">
        <f aca="false">IF(H287&gt;0,R287*(B287*P1_LOG+C287*P2_LOG)/H287,0)</f>
        <v>0</v>
      </c>
      <c r="W287" s="59" t="n">
        <f aca="false">S287*COSTE_DEV</f>
        <v>0</v>
      </c>
      <c r="X287" s="59" t="n">
        <f aca="false">IF(H287&gt;0,R287*(B287*P1_IVAN+C287*P2_IVAN)/H287,0)-S287*IVA_DEV</f>
        <v>0</v>
      </c>
      <c r="Y287" s="59" t="n">
        <f aca="false">F287*(1+RECARGO_ADS)</f>
        <v>0</v>
      </c>
    </row>
    <row r="288" customFormat="false" ht="15" hidden="false" customHeight="false" outlineLevel="0" collapsed="false">
      <c r="A288" s="53" t="n">
        <v>46582</v>
      </c>
      <c r="B288" s="54"/>
      <c r="C288" s="54"/>
      <c r="D288" s="54"/>
      <c r="E288" s="54"/>
      <c r="F288" s="55"/>
      <c r="G288" s="56"/>
      <c r="H288" s="31" t="n">
        <f aca="false">B288+C288</f>
        <v>0</v>
      </c>
      <c r="I288" s="31" t="n">
        <f aca="false">MAX(0,H288-D288-E288)</f>
        <v>0</v>
      </c>
      <c r="J288" s="32" t="n">
        <f aca="false">B288*P1_PVP+C288*P2_PVP</f>
        <v>0</v>
      </c>
      <c r="K288" s="32" t="str">
        <f aca="false">IF(H288&gt;0,J288/H288,"")</f>
        <v/>
      </c>
      <c r="L288" s="32" t="str">
        <f aca="false">IF(H288&gt;0,F288/H288,"")</f>
        <v/>
      </c>
      <c r="M288" s="57" t="str">
        <f aca="false">IF(F288&gt;0,J288/F288,"")</f>
        <v/>
      </c>
      <c r="N288" s="34" t="str">
        <f aca="false">IF(D288+E288&gt;0,D288/(D288+E288),"")</f>
        <v/>
      </c>
      <c r="O288" s="33" t="n">
        <f aca="false">IF(H288&gt;0,D288*(B288*(P1_BEN-P1_IVAN)+C288*(P2_BEN-P2_IVAN))/H288,0)-E288*(COSTE_DEV-IVA_DEV)-Y288</f>
        <v>0</v>
      </c>
      <c r="P288" s="33" t="n">
        <f aca="false">T288-U288-V288-W288-X288-Y288</f>
        <v>0</v>
      </c>
      <c r="R288" s="58" t="n">
        <f aca="false">D288+I288*TASA_USADA</f>
        <v>0</v>
      </c>
      <c r="S288" s="58" t="n">
        <f aca="false">E288+I288*(1-TASA_USADA)</f>
        <v>0</v>
      </c>
      <c r="T288" s="59" t="n">
        <f aca="false">IF(H288&gt;0,R288*J288/H288,0)</f>
        <v>0</v>
      </c>
      <c r="U288" s="59" t="n">
        <f aca="false">IF(H288&gt;0,R288*(B288*P1_CPROD+C288*P2_CPROD)/H288,0)</f>
        <v>0</v>
      </c>
      <c r="V288" s="59" t="n">
        <f aca="false">IF(H288&gt;0,R288*(B288*P1_LOG+C288*P2_LOG)/H288,0)</f>
        <v>0</v>
      </c>
      <c r="W288" s="59" t="n">
        <f aca="false">S288*COSTE_DEV</f>
        <v>0</v>
      </c>
      <c r="X288" s="59" t="n">
        <f aca="false">IF(H288&gt;0,R288*(B288*P1_IVAN+C288*P2_IVAN)/H288,0)-S288*IVA_DEV</f>
        <v>0</v>
      </c>
      <c r="Y288" s="59" t="n">
        <f aca="false">F288*(1+RECARGO_ADS)</f>
        <v>0</v>
      </c>
    </row>
    <row r="289" customFormat="false" ht="15" hidden="false" customHeight="false" outlineLevel="0" collapsed="false">
      <c r="A289" s="53" t="n">
        <v>46583</v>
      </c>
      <c r="B289" s="54"/>
      <c r="C289" s="54"/>
      <c r="D289" s="54"/>
      <c r="E289" s="54"/>
      <c r="F289" s="55"/>
      <c r="G289" s="56"/>
      <c r="H289" s="31" t="n">
        <f aca="false">B289+C289</f>
        <v>0</v>
      </c>
      <c r="I289" s="31" t="n">
        <f aca="false">MAX(0,H289-D289-E289)</f>
        <v>0</v>
      </c>
      <c r="J289" s="32" t="n">
        <f aca="false">B289*P1_PVP+C289*P2_PVP</f>
        <v>0</v>
      </c>
      <c r="K289" s="32" t="str">
        <f aca="false">IF(H289&gt;0,J289/H289,"")</f>
        <v/>
      </c>
      <c r="L289" s="32" t="str">
        <f aca="false">IF(H289&gt;0,F289/H289,"")</f>
        <v/>
      </c>
      <c r="M289" s="57" t="str">
        <f aca="false">IF(F289&gt;0,J289/F289,"")</f>
        <v/>
      </c>
      <c r="N289" s="34" t="str">
        <f aca="false">IF(D289+E289&gt;0,D289/(D289+E289),"")</f>
        <v/>
      </c>
      <c r="O289" s="33" t="n">
        <f aca="false">IF(H289&gt;0,D289*(B289*(P1_BEN-P1_IVAN)+C289*(P2_BEN-P2_IVAN))/H289,0)-E289*(COSTE_DEV-IVA_DEV)-Y289</f>
        <v>0</v>
      </c>
      <c r="P289" s="33" t="n">
        <f aca="false">T289-U289-V289-W289-X289-Y289</f>
        <v>0</v>
      </c>
      <c r="R289" s="58" t="n">
        <f aca="false">D289+I289*TASA_USADA</f>
        <v>0</v>
      </c>
      <c r="S289" s="58" t="n">
        <f aca="false">E289+I289*(1-TASA_USADA)</f>
        <v>0</v>
      </c>
      <c r="T289" s="59" t="n">
        <f aca="false">IF(H289&gt;0,R289*J289/H289,0)</f>
        <v>0</v>
      </c>
      <c r="U289" s="59" t="n">
        <f aca="false">IF(H289&gt;0,R289*(B289*P1_CPROD+C289*P2_CPROD)/H289,0)</f>
        <v>0</v>
      </c>
      <c r="V289" s="59" t="n">
        <f aca="false">IF(H289&gt;0,R289*(B289*P1_LOG+C289*P2_LOG)/H289,0)</f>
        <v>0</v>
      </c>
      <c r="W289" s="59" t="n">
        <f aca="false">S289*COSTE_DEV</f>
        <v>0</v>
      </c>
      <c r="X289" s="59" t="n">
        <f aca="false">IF(H289&gt;0,R289*(B289*P1_IVAN+C289*P2_IVAN)/H289,0)-S289*IVA_DEV</f>
        <v>0</v>
      </c>
      <c r="Y289" s="59" t="n">
        <f aca="false">F289*(1+RECARGO_ADS)</f>
        <v>0</v>
      </c>
    </row>
    <row r="290" customFormat="false" ht="15" hidden="false" customHeight="false" outlineLevel="0" collapsed="false">
      <c r="A290" s="53" t="n">
        <v>46584</v>
      </c>
      <c r="B290" s="54"/>
      <c r="C290" s="54"/>
      <c r="D290" s="54"/>
      <c r="E290" s="54"/>
      <c r="F290" s="55"/>
      <c r="G290" s="56"/>
      <c r="H290" s="31" t="n">
        <f aca="false">B290+C290</f>
        <v>0</v>
      </c>
      <c r="I290" s="31" t="n">
        <f aca="false">MAX(0,H290-D290-E290)</f>
        <v>0</v>
      </c>
      <c r="J290" s="32" t="n">
        <f aca="false">B290*P1_PVP+C290*P2_PVP</f>
        <v>0</v>
      </c>
      <c r="K290" s="32" t="str">
        <f aca="false">IF(H290&gt;0,J290/H290,"")</f>
        <v/>
      </c>
      <c r="L290" s="32" t="str">
        <f aca="false">IF(H290&gt;0,F290/H290,"")</f>
        <v/>
      </c>
      <c r="M290" s="57" t="str">
        <f aca="false">IF(F290&gt;0,J290/F290,"")</f>
        <v/>
      </c>
      <c r="N290" s="34" t="str">
        <f aca="false">IF(D290+E290&gt;0,D290/(D290+E290),"")</f>
        <v/>
      </c>
      <c r="O290" s="33" t="n">
        <f aca="false">IF(H290&gt;0,D290*(B290*(P1_BEN-P1_IVAN)+C290*(P2_BEN-P2_IVAN))/H290,0)-E290*(COSTE_DEV-IVA_DEV)-Y290</f>
        <v>0</v>
      </c>
      <c r="P290" s="33" t="n">
        <f aca="false">T290-U290-V290-W290-X290-Y290</f>
        <v>0</v>
      </c>
      <c r="R290" s="58" t="n">
        <f aca="false">D290+I290*TASA_USADA</f>
        <v>0</v>
      </c>
      <c r="S290" s="58" t="n">
        <f aca="false">E290+I290*(1-TASA_USADA)</f>
        <v>0</v>
      </c>
      <c r="T290" s="59" t="n">
        <f aca="false">IF(H290&gt;0,R290*J290/H290,0)</f>
        <v>0</v>
      </c>
      <c r="U290" s="59" t="n">
        <f aca="false">IF(H290&gt;0,R290*(B290*P1_CPROD+C290*P2_CPROD)/H290,0)</f>
        <v>0</v>
      </c>
      <c r="V290" s="59" t="n">
        <f aca="false">IF(H290&gt;0,R290*(B290*P1_LOG+C290*P2_LOG)/H290,0)</f>
        <v>0</v>
      </c>
      <c r="W290" s="59" t="n">
        <f aca="false">S290*COSTE_DEV</f>
        <v>0</v>
      </c>
      <c r="X290" s="59" t="n">
        <f aca="false">IF(H290&gt;0,R290*(B290*P1_IVAN+C290*P2_IVAN)/H290,0)-S290*IVA_DEV</f>
        <v>0</v>
      </c>
      <c r="Y290" s="59" t="n">
        <f aca="false">F290*(1+RECARGO_ADS)</f>
        <v>0</v>
      </c>
    </row>
    <row r="291" customFormat="false" ht="15" hidden="false" customHeight="false" outlineLevel="0" collapsed="false">
      <c r="A291" s="53" t="n">
        <v>46585</v>
      </c>
      <c r="B291" s="54"/>
      <c r="C291" s="54"/>
      <c r="D291" s="54"/>
      <c r="E291" s="54"/>
      <c r="F291" s="55"/>
      <c r="G291" s="56"/>
      <c r="H291" s="31" t="n">
        <f aca="false">B291+C291</f>
        <v>0</v>
      </c>
      <c r="I291" s="31" t="n">
        <f aca="false">MAX(0,H291-D291-E291)</f>
        <v>0</v>
      </c>
      <c r="J291" s="32" t="n">
        <f aca="false">B291*P1_PVP+C291*P2_PVP</f>
        <v>0</v>
      </c>
      <c r="K291" s="32" t="str">
        <f aca="false">IF(H291&gt;0,J291/H291,"")</f>
        <v/>
      </c>
      <c r="L291" s="32" t="str">
        <f aca="false">IF(H291&gt;0,F291/H291,"")</f>
        <v/>
      </c>
      <c r="M291" s="57" t="str">
        <f aca="false">IF(F291&gt;0,J291/F291,"")</f>
        <v/>
      </c>
      <c r="N291" s="34" t="str">
        <f aca="false">IF(D291+E291&gt;0,D291/(D291+E291),"")</f>
        <v/>
      </c>
      <c r="O291" s="33" t="n">
        <f aca="false">IF(H291&gt;0,D291*(B291*(P1_BEN-P1_IVAN)+C291*(P2_BEN-P2_IVAN))/H291,0)-E291*(COSTE_DEV-IVA_DEV)-Y291</f>
        <v>0</v>
      </c>
      <c r="P291" s="33" t="n">
        <f aca="false">T291-U291-V291-W291-X291-Y291</f>
        <v>0</v>
      </c>
      <c r="R291" s="58" t="n">
        <f aca="false">D291+I291*TASA_USADA</f>
        <v>0</v>
      </c>
      <c r="S291" s="58" t="n">
        <f aca="false">E291+I291*(1-TASA_USADA)</f>
        <v>0</v>
      </c>
      <c r="T291" s="59" t="n">
        <f aca="false">IF(H291&gt;0,R291*J291/H291,0)</f>
        <v>0</v>
      </c>
      <c r="U291" s="59" t="n">
        <f aca="false">IF(H291&gt;0,R291*(B291*P1_CPROD+C291*P2_CPROD)/H291,0)</f>
        <v>0</v>
      </c>
      <c r="V291" s="59" t="n">
        <f aca="false">IF(H291&gt;0,R291*(B291*P1_LOG+C291*P2_LOG)/H291,0)</f>
        <v>0</v>
      </c>
      <c r="W291" s="59" t="n">
        <f aca="false">S291*COSTE_DEV</f>
        <v>0</v>
      </c>
      <c r="X291" s="59" t="n">
        <f aca="false">IF(H291&gt;0,R291*(B291*P1_IVAN+C291*P2_IVAN)/H291,0)-S291*IVA_DEV</f>
        <v>0</v>
      </c>
      <c r="Y291" s="59" t="n">
        <f aca="false">F291*(1+RECARGO_ADS)</f>
        <v>0</v>
      </c>
    </row>
    <row r="292" customFormat="false" ht="15" hidden="false" customHeight="false" outlineLevel="0" collapsed="false">
      <c r="A292" s="53" t="n">
        <v>46586</v>
      </c>
      <c r="B292" s="54"/>
      <c r="C292" s="54"/>
      <c r="D292" s="54"/>
      <c r="E292" s="54"/>
      <c r="F292" s="55"/>
      <c r="G292" s="56"/>
      <c r="H292" s="31" t="n">
        <f aca="false">B292+C292</f>
        <v>0</v>
      </c>
      <c r="I292" s="31" t="n">
        <f aca="false">MAX(0,H292-D292-E292)</f>
        <v>0</v>
      </c>
      <c r="J292" s="32" t="n">
        <f aca="false">B292*P1_PVP+C292*P2_PVP</f>
        <v>0</v>
      </c>
      <c r="K292" s="32" t="str">
        <f aca="false">IF(H292&gt;0,J292/H292,"")</f>
        <v/>
      </c>
      <c r="L292" s="32" t="str">
        <f aca="false">IF(H292&gt;0,F292/H292,"")</f>
        <v/>
      </c>
      <c r="M292" s="57" t="str">
        <f aca="false">IF(F292&gt;0,J292/F292,"")</f>
        <v/>
      </c>
      <c r="N292" s="34" t="str">
        <f aca="false">IF(D292+E292&gt;0,D292/(D292+E292),"")</f>
        <v/>
      </c>
      <c r="O292" s="33" t="n">
        <f aca="false">IF(H292&gt;0,D292*(B292*(P1_BEN-P1_IVAN)+C292*(P2_BEN-P2_IVAN))/H292,0)-E292*(COSTE_DEV-IVA_DEV)-Y292</f>
        <v>0</v>
      </c>
      <c r="P292" s="33" t="n">
        <f aca="false">T292-U292-V292-W292-X292-Y292</f>
        <v>0</v>
      </c>
      <c r="R292" s="58" t="n">
        <f aca="false">D292+I292*TASA_USADA</f>
        <v>0</v>
      </c>
      <c r="S292" s="58" t="n">
        <f aca="false">E292+I292*(1-TASA_USADA)</f>
        <v>0</v>
      </c>
      <c r="T292" s="59" t="n">
        <f aca="false">IF(H292&gt;0,R292*J292/H292,0)</f>
        <v>0</v>
      </c>
      <c r="U292" s="59" t="n">
        <f aca="false">IF(H292&gt;0,R292*(B292*P1_CPROD+C292*P2_CPROD)/H292,0)</f>
        <v>0</v>
      </c>
      <c r="V292" s="59" t="n">
        <f aca="false">IF(H292&gt;0,R292*(B292*P1_LOG+C292*P2_LOG)/H292,0)</f>
        <v>0</v>
      </c>
      <c r="W292" s="59" t="n">
        <f aca="false">S292*COSTE_DEV</f>
        <v>0</v>
      </c>
      <c r="X292" s="59" t="n">
        <f aca="false">IF(H292&gt;0,R292*(B292*P1_IVAN+C292*P2_IVAN)/H292,0)-S292*IVA_DEV</f>
        <v>0</v>
      </c>
      <c r="Y292" s="59" t="n">
        <f aca="false">F292*(1+RECARGO_ADS)</f>
        <v>0</v>
      </c>
    </row>
    <row r="293" customFormat="false" ht="15" hidden="false" customHeight="false" outlineLevel="0" collapsed="false">
      <c r="A293" s="53" t="n">
        <v>46587</v>
      </c>
      <c r="B293" s="54"/>
      <c r="C293" s="54"/>
      <c r="D293" s="54"/>
      <c r="E293" s="54"/>
      <c r="F293" s="55"/>
      <c r="G293" s="56"/>
      <c r="H293" s="31" t="n">
        <f aca="false">B293+C293</f>
        <v>0</v>
      </c>
      <c r="I293" s="31" t="n">
        <f aca="false">MAX(0,H293-D293-E293)</f>
        <v>0</v>
      </c>
      <c r="J293" s="32" t="n">
        <f aca="false">B293*P1_PVP+C293*P2_PVP</f>
        <v>0</v>
      </c>
      <c r="K293" s="32" t="str">
        <f aca="false">IF(H293&gt;0,J293/H293,"")</f>
        <v/>
      </c>
      <c r="L293" s="32" t="str">
        <f aca="false">IF(H293&gt;0,F293/H293,"")</f>
        <v/>
      </c>
      <c r="M293" s="57" t="str">
        <f aca="false">IF(F293&gt;0,J293/F293,"")</f>
        <v/>
      </c>
      <c r="N293" s="34" t="str">
        <f aca="false">IF(D293+E293&gt;0,D293/(D293+E293),"")</f>
        <v/>
      </c>
      <c r="O293" s="33" t="n">
        <f aca="false">IF(H293&gt;0,D293*(B293*(P1_BEN-P1_IVAN)+C293*(P2_BEN-P2_IVAN))/H293,0)-E293*(COSTE_DEV-IVA_DEV)-Y293</f>
        <v>0</v>
      </c>
      <c r="P293" s="33" t="n">
        <f aca="false">T293-U293-V293-W293-X293-Y293</f>
        <v>0</v>
      </c>
      <c r="R293" s="58" t="n">
        <f aca="false">D293+I293*TASA_USADA</f>
        <v>0</v>
      </c>
      <c r="S293" s="58" t="n">
        <f aca="false">E293+I293*(1-TASA_USADA)</f>
        <v>0</v>
      </c>
      <c r="T293" s="59" t="n">
        <f aca="false">IF(H293&gt;0,R293*J293/H293,0)</f>
        <v>0</v>
      </c>
      <c r="U293" s="59" t="n">
        <f aca="false">IF(H293&gt;0,R293*(B293*P1_CPROD+C293*P2_CPROD)/H293,0)</f>
        <v>0</v>
      </c>
      <c r="V293" s="59" t="n">
        <f aca="false">IF(H293&gt;0,R293*(B293*P1_LOG+C293*P2_LOG)/H293,0)</f>
        <v>0</v>
      </c>
      <c r="W293" s="59" t="n">
        <f aca="false">S293*COSTE_DEV</f>
        <v>0</v>
      </c>
      <c r="X293" s="59" t="n">
        <f aca="false">IF(H293&gt;0,R293*(B293*P1_IVAN+C293*P2_IVAN)/H293,0)-S293*IVA_DEV</f>
        <v>0</v>
      </c>
      <c r="Y293" s="59" t="n">
        <f aca="false">F293*(1+RECARGO_ADS)</f>
        <v>0</v>
      </c>
    </row>
    <row r="294" customFormat="false" ht="15" hidden="false" customHeight="false" outlineLevel="0" collapsed="false">
      <c r="A294" s="53" t="n">
        <v>46588</v>
      </c>
      <c r="B294" s="54"/>
      <c r="C294" s="54"/>
      <c r="D294" s="54"/>
      <c r="E294" s="54"/>
      <c r="F294" s="55"/>
      <c r="G294" s="56"/>
      <c r="H294" s="31" t="n">
        <f aca="false">B294+C294</f>
        <v>0</v>
      </c>
      <c r="I294" s="31" t="n">
        <f aca="false">MAX(0,H294-D294-E294)</f>
        <v>0</v>
      </c>
      <c r="J294" s="32" t="n">
        <f aca="false">B294*P1_PVP+C294*P2_PVP</f>
        <v>0</v>
      </c>
      <c r="K294" s="32" t="str">
        <f aca="false">IF(H294&gt;0,J294/H294,"")</f>
        <v/>
      </c>
      <c r="L294" s="32" t="str">
        <f aca="false">IF(H294&gt;0,F294/H294,"")</f>
        <v/>
      </c>
      <c r="M294" s="57" t="str">
        <f aca="false">IF(F294&gt;0,J294/F294,"")</f>
        <v/>
      </c>
      <c r="N294" s="34" t="str">
        <f aca="false">IF(D294+E294&gt;0,D294/(D294+E294),"")</f>
        <v/>
      </c>
      <c r="O294" s="33" t="n">
        <f aca="false">IF(H294&gt;0,D294*(B294*(P1_BEN-P1_IVAN)+C294*(P2_BEN-P2_IVAN))/H294,0)-E294*(COSTE_DEV-IVA_DEV)-Y294</f>
        <v>0</v>
      </c>
      <c r="P294" s="33" t="n">
        <f aca="false">T294-U294-V294-W294-X294-Y294</f>
        <v>0</v>
      </c>
      <c r="R294" s="58" t="n">
        <f aca="false">D294+I294*TASA_USADA</f>
        <v>0</v>
      </c>
      <c r="S294" s="58" t="n">
        <f aca="false">E294+I294*(1-TASA_USADA)</f>
        <v>0</v>
      </c>
      <c r="T294" s="59" t="n">
        <f aca="false">IF(H294&gt;0,R294*J294/H294,0)</f>
        <v>0</v>
      </c>
      <c r="U294" s="59" t="n">
        <f aca="false">IF(H294&gt;0,R294*(B294*P1_CPROD+C294*P2_CPROD)/H294,0)</f>
        <v>0</v>
      </c>
      <c r="V294" s="59" t="n">
        <f aca="false">IF(H294&gt;0,R294*(B294*P1_LOG+C294*P2_LOG)/H294,0)</f>
        <v>0</v>
      </c>
      <c r="W294" s="59" t="n">
        <f aca="false">S294*COSTE_DEV</f>
        <v>0</v>
      </c>
      <c r="X294" s="59" t="n">
        <f aca="false">IF(H294&gt;0,R294*(B294*P1_IVAN+C294*P2_IVAN)/H294,0)-S294*IVA_DEV</f>
        <v>0</v>
      </c>
      <c r="Y294" s="59" t="n">
        <f aca="false">F294*(1+RECARGO_ADS)</f>
        <v>0</v>
      </c>
    </row>
    <row r="295" customFormat="false" ht="15" hidden="false" customHeight="false" outlineLevel="0" collapsed="false">
      <c r="A295" s="53" t="n">
        <v>46589</v>
      </c>
      <c r="B295" s="54"/>
      <c r="C295" s="54"/>
      <c r="D295" s="54"/>
      <c r="E295" s="54"/>
      <c r="F295" s="55"/>
      <c r="G295" s="56"/>
      <c r="H295" s="31" t="n">
        <f aca="false">B295+C295</f>
        <v>0</v>
      </c>
      <c r="I295" s="31" t="n">
        <f aca="false">MAX(0,H295-D295-E295)</f>
        <v>0</v>
      </c>
      <c r="J295" s="32" t="n">
        <f aca="false">B295*P1_PVP+C295*P2_PVP</f>
        <v>0</v>
      </c>
      <c r="K295" s="32" t="str">
        <f aca="false">IF(H295&gt;0,J295/H295,"")</f>
        <v/>
      </c>
      <c r="L295" s="32" t="str">
        <f aca="false">IF(H295&gt;0,F295/H295,"")</f>
        <v/>
      </c>
      <c r="M295" s="57" t="str">
        <f aca="false">IF(F295&gt;0,J295/F295,"")</f>
        <v/>
      </c>
      <c r="N295" s="34" t="str">
        <f aca="false">IF(D295+E295&gt;0,D295/(D295+E295),"")</f>
        <v/>
      </c>
      <c r="O295" s="33" t="n">
        <f aca="false">IF(H295&gt;0,D295*(B295*(P1_BEN-P1_IVAN)+C295*(P2_BEN-P2_IVAN))/H295,0)-E295*(COSTE_DEV-IVA_DEV)-Y295</f>
        <v>0</v>
      </c>
      <c r="P295" s="33" t="n">
        <f aca="false">T295-U295-V295-W295-X295-Y295</f>
        <v>0</v>
      </c>
      <c r="R295" s="58" t="n">
        <f aca="false">D295+I295*TASA_USADA</f>
        <v>0</v>
      </c>
      <c r="S295" s="58" t="n">
        <f aca="false">E295+I295*(1-TASA_USADA)</f>
        <v>0</v>
      </c>
      <c r="T295" s="59" t="n">
        <f aca="false">IF(H295&gt;0,R295*J295/H295,0)</f>
        <v>0</v>
      </c>
      <c r="U295" s="59" t="n">
        <f aca="false">IF(H295&gt;0,R295*(B295*P1_CPROD+C295*P2_CPROD)/H295,0)</f>
        <v>0</v>
      </c>
      <c r="V295" s="59" t="n">
        <f aca="false">IF(H295&gt;0,R295*(B295*P1_LOG+C295*P2_LOG)/H295,0)</f>
        <v>0</v>
      </c>
      <c r="W295" s="59" t="n">
        <f aca="false">S295*COSTE_DEV</f>
        <v>0</v>
      </c>
      <c r="X295" s="59" t="n">
        <f aca="false">IF(H295&gt;0,R295*(B295*P1_IVAN+C295*P2_IVAN)/H295,0)-S295*IVA_DEV</f>
        <v>0</v>
      </c>
      <c r="Y295" s="59" t="n">
        <f aca="false">F295*(1+RECARGO_ADS)</f>
        <v>0</v>
      </c>
    </row>
    <row r="296" customFormat="false" ht="15" hidden="false" customHeight="false" outlineLevel="0" collapsed="false">
      <c r="A296" s="53" t="n">
        <v>46590</v>
      </c>
      <c r="B296" s="54"/>
      <c r="C296" s="54"/>
      <c r="D296" s="54"/>
      <c r="E296" s="54"/>
      <c r="F296" s="55"/>
      <c r="G296" s="56"/>
      <c r="H296" s="31" t="n">
        <f aca="false">B296+C296</f>
        <v>0</v>
      </c>
      <c r="I296" s="31" t="n">
        <f aca="false">MAX(0,H296-D296-E296)</f>
        <v>0</v>
      </c>
      <c r="J296" s="32" t="n">
        <f aca="false">B296*P1_PVP+C296*P2_PVP</f>
        <v>0</v>
      </c>
      <c r="K296" s="32" t="str">
        <f aca="false">IF(H296&gt;0,J296/H296,"")</f>
        <v/>
      </c>
      <c r="L296" s="32" t="str">
        <f aca="false">IF(H296&gt;0,F296/H296,"")</f>
        <v/>
      </c>
      <c r="M296" s="57" t="str">
        <f aca="false">IF(F296&gt;0,J296/F296,"")</f>
        <v/>
      </c>
      <c r="N296" s="34" t="str">
        <f aca="false">IF(D296+E296&gt;0,D296/(D296+E296),"")</f>
        <v/>
      </c>
      <c r="O296" s="33" t="n">
        <f aca="false">IF(H296&gt;0,D296*(B296*(P1_BEN-P1_IVAN)+C296*(P2_BEN-P2_IVAN))/H296,0)-E296*(COSTE_DEV-IVA_DEV)-Y296</f>
        <v>0</v>
      </c>
      <c r="P296" s="33" t="n">
        <f aca="false">T296-U296-V296-W296-X296-Y296</f>
        <v>0</v>
      </c>
      <c r="R296" s="58" t="n">
        <f aca="false">D296+I296*TASA_USADA</f>
        <v>0</v>
      </c>
      <c r="S296" s="58" t="n">
        <f aca="false">E296+I296*(1-TASA_USADA)</f>
        <v>0</v>
      </c>
      <c r="T296" s="59" t="n">
        <f aca="false">IF(H296&gt;0,R296*J296/H296,0)</f>
        <v>0</v>
      </c>
      <c r="U296" s="59" t="n">
        <f aca="false">IF(H296&gt;0,R296*(B296*P1_CPROD+C296*P2_CPROD)/H296,0)</f>
        <v>0</v>
      </c>
      <c r="V296" s="59" t="n">
        <f aca="false">IF(H296&gt;0,R296*(B296*P1_LOG+C296*P2_LOG)/H296,0)</f>
        <v>0</v>
      </c>
      <c r="W296" s="59" t="n">
        <f aca="false">S296*COSTE_DEV</f>
        <v>0</v>
      </c>
      <c r="X296" s="59" t="n">
        <f aca="false">IF(H296&gt;0,R296*(B296*P1_IVAN+C296*P2_IVAN)/H296,0)-S296*IVA_DEV</f>
        <v>0</v>
      </c>
      <c r="Y296" s="59" t="n">
        <f aca="false">F296*(1+RECARGO_ADS)</f>
        <v>0</v>
      </c>
    </row>
    <row r="297" customFormat="false" ht="15" hidden="false" customHeight="false" outlineLevel="0" collapsed="false">
      <c r="A297" s="53" t="n">
        <v>46591</v>
      </c>
      <c r="B297" s="54"/>
      <c r="C297" s="54"/>
      <c r="D297" s="54"/>
      <c r="E297" s="54"/>
      <c r="F297" s="55"/>
      <c r="G297" s="56"/>
      <c r="H297" s="31" t="n">
        <f aca="false">B297+C297</f>
        <v>0</v>
      </c>
      <c r="I297" s="31" t="n">
        <f aca="false">MAX(0,H297-D297-E297)</f>
        <v>0</v>
      </c>
      <c r="J297" s="32" t="n">
        <f aca="false">B297*P1_PVP+C297*P2_PVP</f>
        <v>0</v>
      </c>
      <c r="K297" s="32" t="str">
        <f aca="false">IF(H297&gt;0,J297/H297,"")</f>
        <v/>
      </c>
      <c r="L297" s="32" t="str">
        <f aca="false">IF(H297&gt;0,F297/H297,"")</f>
        <v/>
      </c>
      <c r="M297" s="57" t="str">
        <f aca="false">IF(F297&gt;0,J297/F297,"")</f>
        <v/>
      </c>
      <c r="N297" s="34" t="str">
        <f aca="false">IF(D297+E297&gt;0,D297/(D297+E297),"")</f>
        <v/>
      </c>
      <c r="O297" s="33" t="n">
        <f aca="false">IF(H297&gt;0,D297*(B297*(P1_BEN-P1_IVAN)+C297*(P2_BEN-P2_IVAN))/H297,0)-E297*(COSTE_DEV-IVA_DEV)-Y297</f>
        <v>0</v>
      </c>
      <c r="P297" s="33" t="n">
        <f aca="false">T297-U297-V297-W297-X297-Y297</f>
        <v>0</v>
      </c>
      <c r="R297" s="58" t="n">
        <f aca="false">D297+I297*TASA_USADA</f>
        <v>0</v>
      </c>
      <c r="S297" s="58" t="n">
        <f aca="false">E297+I297*(1-TASA_USADA)</f>
        <v>0</v>
      </c>
      <c r="T297" s="59" t="n">
        <f aca="false">IF(H297&gt;0,R297*J297/H297,0)</f>
        <v>0</v>
      </c>
      <c r="U297" s="59" t="n">
        <f aca="false">IF(H297&gt;0,R297*(B297*P1_CPROD+C297*P2_CPROD)/H297,0)</f>
        <v>0</v>
      </c>
      <c r="V297" s="59" t="n">
        <f aca="false">IF(H297&gt;0,R297*(B297*P1_LOG+C297*P2_LOG)/H297,0)</f>
        <v>0</v>
      </c>
      <c r="W297" s="59" t="n">
        <f aca="false">S297*COSTE_DEV</f>
        <v>0</v>
      </c>
      <c r="X297" s="59" t="n">
        <f aca="false">IF(H297&gt;0,R297*(B297*P1_IVAN+C297*P2_IVAN)/H297,0)-S297*IVA_DEV</f>
        <v>0</v>
      </c>
      <c r="Y297" s="59" t="n">
        <f aca="false">F297*(1+RECARGO_ADS)</f>
        <v>0</v>
      </c>
    </row>
    <row r="298" customFormat="false" ht="15" hidden="false" customHeight="false" outlineLevel="0" collapsed="false">
      <c r="A298" s="53" t="n">
        <v>46592</v>
      </c>
      <c r="B298" s="54"/>
      <c r="C298" s="54"/>
      <c r="D298" s="54"/>
      <c r="E298" s="54"/>
      <c r="F298" s="55"/>
      <c r="G298" s="56"/>
      <c r="H298" s="31" t="n">
        <f aca="false">B298+C298</f>
        <v>0</v>
      </c>
      <c r="I298" s="31" t="n">
        <f aca="false">MAX(0,H298-D298-E298)</f>
        <v>0</v>
      </c>
      <c r="J298" s="32" t="n">
        <f aca="false">B298*P1_PVP+C298*P2_PVP</f>
        <v>0</v>
      </c>
      <c r="K298" s="32" t="str">
        <f aca="false">IF(H298&gt;0,J298/H298,"")</f>
        <v/>
      </c>
      <c r="L298" s="32" t="str">
        <f aca="false">IF(H298&gt;0,F298/H298,"")</f>
        <v/>
      </c>
      <c r="M298" s="57" t="str">
        <f aca="false">IF(F298&gt;0,J298/F298,"")</f>
        <v/>
      </c>
      <c r="N298" s="34" t="str">
        <f aca="false">IF(D298+E298&gt;0,D298/(D298+E298),"")</f>
        <v/>
      </c>
      <c r="O298" s="33" t="n">
        <f aca="false">IF(H298&gt;0,D298*(B298*(P1_BEN-P1_IVAN)+C298*(P2_BEN-P2_IVAN))/H298,0)-E298*(COSTE_DEV-IVA_DEV)-Y298</f>
        <v>0</v>
      </c>
      <c r="P298" s="33" t="n">
        <f aca="false">T298-U298-V298-W298-X298-Y298</f>
        <v>0</v>
      </c>
      <c r="R298" s="58" t="n">
        <f aca="false">D298+I298*TASA_USADA</f>
        <v>0</v>
      </c>
      <c r="S298" s="58" t="n">
        <f aca="false">E298+I298*(1-TASA_USADA)</f>
        <v>0</v>
      </c>
      <c r="T298" s="59" t="n">
        <f aca="false">IF(H298&gt;0,R298*J298/H298,0)</f>
        <v>0</v>
      </c>
      <c r="U298" s="59" t="n">
        <f aca="false">IF(H298&gt;0,R298*(B298*P1_CPROD+C298*P2_CPROD)/H298,0)</f>
        <v>0</v>
      </c>
      <c r="V298" s="59" t="n">
        <f aca="false">IF(H298&gt;0,R298*(B298*P1_LOG+C298*P2_LOG)/H298,0)</f>
        <v>0</v>
      </c>
      <c r="W298" s="59" t="n">
        <f aca="false">S298*COSTE_DEV</f>
        <v>0</v>
      </c>
      <c r="X298" s="59" t="n">
        <f aca="false">IF(H298&gt;0,R298*(B298*P1_IVAN+C298*P2_IVAN)/H298,0)-S298*IVA_DEV</f>
        <v>0</v>
      </c>
      <c r="Y298" s="59" t="n">
        <f aca="false">F298*(1+RECARGO_ADS)</f>
        <v>0</v>
      </c>
    </row>
    <row r="299" customFormat="false" ht="15" hidden="false" customHeight="false" outlineLevel="0" collapsed="false">
      <c r="A299" s="53" t="n">
        <v>46593</v>
      </c>
      <c r="B299" s="54"/>
      <c r="C299" s="54"/>
      <c r="D299" s="54"/>
      <c r="E299" s="54"/>
      <c r="F299" s="55"/>
      <c r="G299" s="56"/>
      <c r="H299" s="31" t="n">
        <f aca="false">B299+C299</f>
        <v>0</v>
      </c>
      <c r="I299" s="31" t="n">
        <f aca="false">MAX(0,H299-D299-E299)</f>
        <v>0</v>
      </c>
      <c r="J299" s="32" t="n">
        <f aca="false">B299*P1_PVP+C299*P2_PVP</f>
        <v>0</v>
      </c>
      <c r="K299" s="32" t="str">
        <f aca="false">IF(H299&gt;0,J299/H299,"")</f>
        <v/>
      </c>
      <c r="L299" s="32" t="str">
        <f aca="false">IF(H299&gt;0,F299/H299,"")</f>
        <v/>
      </c>
      <c r="M299" s="57" t="str">
        <f aca="false">IF(F299&gt;0,J299/F299,"")</f>
        <v/>
      </c>
      <c r="N299" s="34" t="str">
        <f aca="false">IF(D299+E299&gt;0,D299/(D299+E299),"")</f>
        <v/>
      </c>
      <c r="O299" s="33" t="n">
        <f aca="false">IF(H299&gt;0,D299*(B299*(P1_BEN-P1_IVAN)+C299*(P2_BEN-P2_IVAN))/H299,0)-E299*(COSTE_DEV-IVA_DEV)-Y299</f>
        <v>0</v>
      </c>
      <c r="P299" s="33" t="n">
        <f aca="false">T299-U299-V299-W299-X299-Y299</f>
        <v>0</v>
      </c>
      <c r="R299" s="58" t="n">
        <f aca="false">D299+I299*TASA_USADA</f>
        <v>0</v>
      </c>
      <c r="S299" s="58" t="n">
        <f aca="false">E299+I299*(1-TASA_USADA)</f>
        <v>0</v>
      </c>
      <c r="T299" s="59" t="n">
        <f aca="false">IF(H299&gt;0,R299*J299/H299,0)</f>
        <v>0</v>
      </c>
      <c r="U299" s="59" t="n">
        <f aca="false">IF(H299&gt;0,R299*(B299*P1_CPROD+C299*P2_CPROD)/H299,0)</f>
        <v>0</v>
      </c>
      <c r="V299" s="59" t="n">
        <f aca="false">IF(H299&gt;0,R299*(B299*P1_LOG+C299*P2_LOG)/H299,0)</f>
        <v>0</v>
      </c>
      <c r="W299" s="59" t="n">
        <f aca="false">S299*COSTE_DEV</f>
        <v>0</v>
      </c>
      <c r="X299" s="59" t="n">
        <f aca="false">IF(H299&gt;0,R299*(B299*P1_IVAN+C299*P2_IVAN)/H299,0)-S299*IVA_DEV</f>
        <v>0</v>
      </c>
      <c r="Y299" s="59" t="n">
        <f aca="false">F299*(1+RECARGO_ADS)</f>
        <v>0</v>
      </c>
    </row>
    <row r="300" customFormat="false" ht="15" hidden="false" customHeight="false" outlineLevel="0" collapsed="false">
      <c r="A300" s="53" t="n">
        <v>46594</v>
      </c>
      <c r="B300" s="54"/>
      <c r="C300" s="54"/>
      <c r="D300" s="54"/>
      <c r="E300" s="54"/>
      <c r="F300" s="55"/>
      <c r="G300" s="56"/>
      <c r="H300" s="31" t="n">
        <f aca="false">B300+C300</f>
        <v>0</v>
      </c>
      <c r="I300" s="31" t="n">
        <f aca="false">MAX(0,H300-D300-E300)</f>
        <v>0</v>
      </c>
      <c r="J300" s="32" t="n">
        <f aca="false">B300*P1_PVP+C300*P2_PVP</f>
        <v>0</v>
      </c>
      <c r="K300" s="32" t="str">
        <f aca="false">IF(H300&gt;0,J300/H300,"")</f>
        <v/>
      </c>
      <c r="L300" s="32" t="str">
        <f aca="false">IF(H300&gt;0,F300/H300,"")</f>
        <v/>
      </c>
      <c r="M300" s="57" t="str">
        <f aca="false">IF(F300&gt;0,J300/F300,"")</f>
        <v/>
      </c>
      <c r="N300" s="34" t="str">
        <f aca="false">IF(D300+E300&gt;0,D300/(D300+E300),"")</f>
        <v/>
      </c>
      <c r="O300" s="33" t="n">
        <f aca="false">IF(H300&gt;0,D300*(B300*(P1_BEN-P1_IVAN)+C300*(P2_BEN-P2_IVAN))/H300,0)-E300*(COSTE_DEV-IVA_DEV)-Y300</f>
        <v>0</v>
      </c>
      <c r="P300" s="33" t="n">
        <f aca="false">T300-U300-V300-W300-X300-Y300</f>
        <v>0</v>
      </c>
      <c r="R300" s="58" t="n">
        <f aca="false">D300+I300*TASA_USADA</f>
        <v>0</v>
      </c>
      <c r="S300" s="58" t="n">
        <f aca="false">E300+I300*(1-TASA_USADA)</f>
        <v>0</v>
      </c>
      <c r="T300" s="59" t="n">
        <f aca="false">IF(H300&gt;0,R300*J300/H300,0)</f>
        <v>0</v>
      </c>
      <c r="U300" s="59" t="n">
        <f aca="false">IF(H300&gt;0,R300*(B300*P1_CPROD+C300*P2_CPROD)/H300,0)</f>
        <v>0</v>
      </c>
      <c r="V300" s="59" t="n">
        <f aca="false">IF(H300&gt;0,R300*(B300*P1_LOG+C300*P2_LOG)/H300,0)</f>
        <v>0</v>
      </c>
      <c r="W300" s="59" t="n">
        <f aca="false">S300*COSTE_DEV</f>
        <v>0</v>
      </c>
      <c r="X300" s="59" t="n">
        <f aca="false">IF(H300&gt;0,R300*(B300*P1_IVAN+C300*P2_IVAN)/H300,0)-S300*IVA_DEV</f>
        <v>0</v>
      </c>
      <c r="Y300" s="59" t="n">
        <f aca="false">F300*(1+RECARGO_ADS)</f>
        <v>0</v>
      </c>
    </row>
    <row r="301" customFormat="false" ht="15" hidden="false" customHeight="false" outlineLevel="0" collapsed="false">
      <c r="A301" s="53" t="n">
        <v>46595</v>
      </c>
      <c r="B301" s="54"/>
      <c r="C301" s="54"/>
      <c r="D301" s="54"/>
      <c r="E301" s="54"/>
      <c r="F301" s="55"/>
      <c r="G301" s="56"/>
      <c r="H301" s="31" t="n">
        <f aca="false">B301+C301</f>
        <v>0</v>
      </c>
      <c r="I301" s="31" t="n">
        <f aca="false">MAX(0,H301-D301-E301)</f>
        <v>0</v>
      </c>
      <c r="J301" s="32" t="n">
        <f aca="false">B301*P1_PVP+C301*P2_PVP</f>
        <v>0</v>
      </c>
      <c r="K301" s="32" t="str">
        <f aca="false">IF(H301&gt;0,J301/H301,"")</f>
        <v/>
      </c>
      <c r="L301" s="32" t="str">
        <f aca="false">IF(H301&gt;0,F301/H301,"")</f>
        <v/>
      </c>
      <c r="M301" s="57" t="str">
        <f aca="false">IF(F301&gt;0,J301/F301,"")</f>
        <v/>
      </c>
      <c r="N301" s="34" t="str">
        <f aca="false">IF(D301+E301&gt;0,D301/(D301+E301),"")</f>
        <v/>
      </c>
      <c r="O301" s="33" t="n">
        <f aca="false">IF(H301&gt;0,D301*(B301*(P1_BEN-P1_IVAN)+C301*(P2_BEN-P2_IVAN))/H301,0)-E301*(COSTE_DEV-IVA_DEV)-Y301</f>
        <v>0</v>
      </c>
      <c r="P301" s="33" t="n">
        <f aca="false">T301-U301-V301-W301-X301-Y301</f>
        <v>0</v>
      </c>
      <c r="R301" s="58" t="n">
        <f aca="false">D301+I301*TASA_USADA</f>
        <v>0</v>
      </c>
      <c r="S301" s="58" t="n">
        <f aca="false">E301+I301*(1-TASA_USADA)</f>
        <v>0</v>
      </c>
      <c r="T301" s="59" t="n">
        <f aca="false">IF(H301&gt;0,R301*J301/H301,0)</f>
        <v>0</v>
      </c>
      <c r="U301" s="59" t="n">
        <f aca="false">IF(H301&gt;0,R301*(B301*P1_CPROD+C301*P2_CPROD)/H301,0)</f>
        <v>0</v>
      </c>
      <c r="V301" s="59" t="n">
        <f aca="false">IF(H301&gt;0,R301*(B301*P1_LOG+C301*P2_LOG)/H301,0)</f>
        <v>0</v>
      </c>
      <c r="W301" s="59" t="n">
        <f aca="false">S301*COSTE_DEV</f>
        <v>0</v>
      </c>
      <c r="X301" s="59" t="n">
        <f aca="false">IF(H301&gt;0,R301*(B301*P1_IVAN+C301*P2_IVAN)/H301,0)-S301*IVA_DEV</f>
        <v>0</v>
      </c>
      <c r="Y301" s="59" t="n">
        <f aca="false">F301*(1+RECARGO_ADS)</f>
        <v>0</v>
      </c>
    </row>
    <row r="302" customFormat="false" ht="15" hidden="false" customHeight="false" outlineLevel="0" collapsed="false">
      <c r="A302" s="53" t="n">
        <v>46596</v>
      </c>
      <c r="B302" s="54"/>
      <c r="C302" s="54"/>
      <c r="D302" s="54"/>
      <c r="E302" s="54"/>
      <c r="F302" s="55"/>
      <c r="G302" s="56"/>
      <c r="H302" s="31" t="n">
        <f aca="false">B302+C302</f>
        <v>0</v>
      </c>
      <c r="I302" s="31" t="n">
        <f aca="false">MAX(0,H302-D302-E302)</f>
        <v>0</v>
      </c>
      <c r="J302" s="32" t="n">
        <f aca="false">B302*P1_PVP+C302*P2_PVP</f>
        <v>0</v>
      </c>
      <c r="K302" s="32" t="str">
        <f aca="false">IF(H302&gt;0,J302/H302,"")</f>
        <v/>
      </c>
      <c r="L302" s="32" t="str">
        <f aca="false">IF(H302&gt;0,F302/H302,"")</f>
        <v/>
      </c>
      <c r="M302" s="57" t="str">
        <f aca="false">IF(F302&gt;0,J302/F302,"")</f>
        <v/>
      </c>
      <c r="N302" s="34" t="str">
        <f aca="false">IF(D302+E302&gt;0,D302/(D302+E302),"")</f>
        <v/>
      </c>
      <c r="O302" s="33" t="n">
        <f aca="false">IF(H302&gt;0,D302*(B302*(P1_BEN-P1_IVAN)+C302*(P2_BEN-P2_IVAN))/H302,0)-E302*(COSTE_DEV-IVA_DEV)-Y302</f>
        <v>0</v>
      </c>
      <c r="P302" s="33" t="n">
        <f aca="false">T302-U302-V302-W302-X302-Y302</f>
        <v>0</v>
      </c>
      <c r="R302" s="58" t="n">
        <f aca="false">D302+I302*TASA_USADA</f>
        <v>0</v>
      </c>
      <c r="S302" s="58" t="n">
        <f aca="false">E302+I302*(1-TASA_USADA)</f>
        <v>0</v>
      </c>
      <c r="T302" s="59" t="n">
        <f aca="false">IF(H302&gt;0,R302*J302/H302,0)</f>
        <v>0</v>
      </c>
      <c r="U302" s="59" t="n">
        <f aca="false">IF(H302&gt;0,R302*(B302*P1_CPROD+C302*P2_CPROD)/H302,0)</f>
        <v>0</v>
      </c>
      <c r="V302" s="59" t="n">
        <f aca="false">IF(H302&gt;0,R302*(B302*P1_LOG+C302*P2_LOG)/H302,0)</f>
        <v>0</v>
      </c>
      <c r="W302" s="59" t="n">
        <f aca="false">S302*COSTE_DEV</f>
        <v>0</v>
      </c>
      <c r="X302" s="59" t="n">
        <f aca="false">IF(H302&gt;0,R302*(B302*P1_IVAN+C302*P2_IVAN)/H302,0)-S302*IVA_DEV</f>
        <v>0</v>
      </c>
      <c r="Y302" s="59" t="n">
        <f aca="false">F302*(1+RECARGO_ADS)</f>
        <v>0</v>
      </c>
    </row>
    <row r="303" customFormat="false" ht="15" hidden="false" customHeight="false" outlineLevel="0" collapsed="false">
      <c r="A303" s="53" t="n">
        <v>46597</v>
      </c>
      <c r="B303" s="54"/>
      <c r="C303" s="54"/>
      <c r="D303" s="54"/>
      <c r="E303" s="54"/>
      <c r="F303" s="55"/>
      <c r="G303" s="56"/>
      <c r="H303" s="31" t="n">
        <f aca="false">B303+C303</f>
        <v>0</v>
      </c>
      <c r="I303" s="31" t="n">
        <f aca="false">MAX(0,H303-D303-E303)</f>
        <v>0</v>
      </c>
      <c r="J303" s="32" t="n">
        <f aca="false">B303*P1_PVP+C303*P2_PVP</f>
        <v>0</v>
      </c>
      <c r="K303" s="32" t="str">
        <f aca="false">IF(H303&gt;0,J303/H303,"")</f>
        <v/>
      </c>
      <c r="L303" s="32" t="str">
        <f aca="false">IF(H303&gt;0,F303/H303,"")</f>
        <v/>
      </c>
      <c r="M303" s="57" t="str">
        <f aca="false">IF(F303&gt;0,J303/F303,"")</f>
        <v/>
      </c>
      <c r="N303" s="34" t="str">
        <f aca="false">IF(D303+E303&gt;0,D303/(D303+E303),"")</f>
        <v/>
      </c>
      <c r="O303" s="33" t="n">
        <f aca="false">IF(H303&gt;0,D303*(B303*(P1_BEN-P1_IVAN)+C303*(P2_BEN-P2_IVAN))/H303,0)-E303*(COSTE_DEV-IVA_DEV)-Y303</f>
        <v>0</v>
      </c>
      <c r="P303" s="33" t="n">
        <f aca="false">T303-U303-V303-W303-X303-Y303</f>
        <v>0</v>
      </c>
      <c r="R303" s="58" t="n">
        <f aca="false">D303+I303*TASA_USADA</f>
        <v>0</v>
      </c>
      <c r="S303" s="58" t="n">
        <f aca="false">E303+I303*(1-TASA_USADA)</f>
        <v>0</v>
      </c>
      <c r="T303" s="59" t="n">
        <f aca="false">IF(H303&gt;0,R303*J303/H303,0)</f>
        <v>0</v>
      </c>
      <c r="U303" s="59" t="n">
        <f aca="false">IF(H303&gt;0,R303*(B303*P1_CPROD+C303*P2_CPROD)/H303,0)</f>
        <v>0</v>
      </c>
      <c r="V303" s="59" t="n">
        <f aca="false">IF(H303&gt;0,R303*(B303*P1_LOG+C303*P2_LOG)/H303,0)</f>
        <v>0</v>
      </c>
      <c r="W303" s="59" t="n">
        <f aca="false">S303*COSTE_DEV</f>
        <v>0</v>
      </c>
      <c r="X303" s="59" t="n">
        <f aca="false">IF(H303&gt;0,R303*(B303*P1_IVAN+C303*P2_IVAN)/H303,0)-S303*IVA_DEV</f>
        <v>0</v>
      </c>
      <c r="Y303" s="59" t="n">
        <f aca="false">F303*(1+RECARGO_ADS)</f>
        <v>0</v>
      </c>
    </row>
    <row r="304" customFormat="false" ht="15" hidden="false" customHeight="false" outlineLevel="0" collapsed="false">
      <c r="A304" s="53" t="n">
        <v>46598</v>
      </c>
      <c r="B304" s="54"/>
      <c r="C304" s="54"/>
      <c r="D304" s="54"/>
      <c r="E304" s="54"/>
      <c r="F304" s="55"/>
      <c r="G304" s="56"/>
      <c r="H304" s="31" t="n">
        <f aca="false">B304+C304</f>
        <v>0</v>
      </c>
      <c r="I304" s="31" t="n">
        <f aca="false">MAX(0,H304-D304-E304)</f>
        <v>0</v>
      </c>
      <c r="J304" s="32" t="n">
        <f aca="false">B304*P1_PVP+C304*P2_PVP</f>
        <v>0</v>
      </c>
      <c r="K304" s="32" t="str">
        <f aca="false">IF(H304&gt;0,J304/H304,"")</f>
        <v/>
      </c>
      <c r="L304" s="32" t="str">
        <f aca="false">IF(H304&gt;0,F304/H304,"")</f>
        <v/>
      </c>
      <c r="M304" s="57" t="str">
        <f aca="false">IF(F304&gt;0,J304/F304,"")</f>
        <v/>
      </c>
      <c r="N304" s="34" t="str">
        <f aca="false">IF(D304+E304&gt;0,D304/(D304+E304),"")</f>
        <v/>
      </c>
      <c r="O304" s="33" t="n">
        <f aca="false">IF(H304&gt;0,D304*(B304*(P1_BEN-P1_IVAN)+C304*(P2_BEN-P2_IVAN))/H304,0)-E304*(COSTE_DEV-IVA_DEV)-Y304</f>
        <v>0</v>
      </c>
      <c r="P304" s="33" t="n">
        <f aca="false">T304-U304-V304-W304-X304-Y304</f>
        <v>0</v>
      </c>
      <c r="R304" s="58" t="n">
        <f aca="false">D304+I304*TASA_USADA</f>
        <v>0</v>
      </c>
      <c r="S304" s="58" t="n">
        <f aca="false">E304+I304*(1-TASA_USADA)</f>
        <v>0</v>
      </c>
      <c r="T304" s="59" t="n">
        <f aca="false">IF(H304&gt;0,R304*J304/H304,0)</f>
        <v>0</v>
      </c>
      <c r="U304" s="59" t="n">
        <f aca="false">IF(H304&gt;0,R304*(B304*P1_CPROD+C304*P2_CPROD)/H304,0)</f>
        <v>0</v>
      </c>
      <c r="V304" s="59" t="n">
        <f aca="false">IF(H304&gt;0,R304*(B304*P1_LOG+C304*P2_LOG)/H304,0)</f>
        <v>0</v>
      </c>
      <c r="W304" s="59" t="n">
        <f aca="false">S304*COSTE_DEV</f>
        <v>0</v>
      </c>
      <c r="X304" s="59" t="n">
        <f aca="false">IF(H304&gt;0,R304*(B304*P1_IVAN+C304*P2_IVAN)/H304,0)-S304*IVA_DEV</f>
        <v>0</v>
      </c>
      <c r="Y304" s="59" t="n">
        <f aca="false">F304*(1+RECARGO_ADS)</f>
        <v>0</v>
      </c>
    </row>
    <row r="305" customFormat="false" ht="15" hidden="false" customHeight="false" outlineLevel="0" collapsed="false">
      <c r="A305" s="53" t="n">
        <v>46599</v>
      </c>
      <c r="B305" s="54"/>
      <c r="C305" s="54"/>
      <c r="D305" s="54"/>
      <c r="E305" s="54"/>
      <c r="F305" s="55"/>
      <c r="G305" s="56"/>
      <c r="H305" s="31" t="n">
        <f aca="false">B305+C305</f>
        <v>0</v>
      </c>
      <c r="I305" s="31" t="n">
        <f aca="false">MAX(0,H305-D305-E305)</f>
        <v>0</v>
      </c>
      <c r="J305" s="32" t="n">
        <f aca="false">B305*P1_PVP+C305*P2_PVP</f>
        <v>0</v>
      </c>
      <c r="K305" s="32" t="str">
        <f aca="false">IF(H305&gt;0,J305/H305,"")</f>
        <v/>
      </c>
      <c r="L305" s="32" t="str">
        <f aca="false">IF(H305&gt;0,F305/H305,"")</f>
        <v/>
      </c>
      <c r="M305" s="57" t="str">
        <f aca="false">IF(F305&gt;0,J305/F305,"")</f>
        <v/>
      </c>
      <c r="N305" s="34" t="str">
        <f aca="false">IF(D305+E305&gt;0,D305/(D305+E305),"")</f>
        <v/>
      </c>
      <c r="O305" s="33" t="n">
        <f aca="false">IF(H305&gt;0,D305*(B305*(P1_BEN-P1_IVAN)+C305*(P2_BEN-P2_IVAN))/H305,0)-E305*(COSTE_DEV-IVA_DEV)-Y305</f>
        <v>0</v>
      </c>
      <c r="P305" s="33" t="n">
        <f aca="false">T305-U305-V305-W305-X305-Y305</f>
        <v>0</v>
      </c>
      <c r="R305" s="58" t="n">
        <f aca="false">D305+I305*TASA_USADA</f>
        <v>0</v>
      </c>
      <c r="S305" s="58" t="n">
        <f aca="false">E305+I305*(1-TASA_USADA)</f>
        <v>0</v>
      </c>
      <c r="T305" s="59" t="n">
        <f aca="false">IF(H305&gt;0,R305*J305/H305,0)</f>
        <v>0</v>
      </c>
      <c r="U305" s="59" t="n">
        <f aca="false">IF(H305&gt;0,R305*(B305*P1_CPROD+C305*P2_CPROD)/H305,0)</f>
        <v>0</v>
      </c>
      <c r="V305" s="59" t="n">
        <f aca="false">IF(H305&gt;0,R305*(B305*P1_LOG+C305*P2_LOG)/H305,0)</f>
        <v>0</v>
      </c>
      <c r="W305" s="59" t="n">
        <f aca="false">S305*COSTE_DEV</f>
        <v>0</v>
      </c>
      <c r="X305" s="59" t="n">
        <f aca="false">IF(H305&gt;0,R305*(B305*P1_IVAN+C305*P2_IVAN)/H305,0)-S305*IVA_DEV</f>
        <v>0</v>
      </c>
      <c r="Y305" s="59" t="n">
        <f aca="false">F305*(1+RECARGO_ADS)</f>
        <v>0</v>
      </c>
    </row>
    <row r="306" customFormat="false" ht="15" hidden="false" customHeight="false" outlineLevel="0" collapsed="false">
      <c r="A306" s="53" t="n">
        <v>46600</v>
      </c>
      <c r="B306" s="54"/>
      <c r="C306" s="54"/>
      <c r="D306" s="54"/>
      <c r="E306" s="54"/>
      <c r="F306" s="55"/>
      <c r="G306" s="56"/>
      <c r="H306" s="31" t="n">
        <f aca="false">B306+C306</f>
        <v>0</v>
      </c>
      <c r="I306" s="31" t="n">
        <f aca="false">MAX(0,H306-D306-E306)</f>
        <v>0</v>
      </c>
      <c r="J306" s="32" t="n">
        <f aca="false">B306*P1_PVP+C306*P2_PVP</f>
        <v>0</v>
      </c>
      <c r="K306" s="32" t="str">
        <f aca="false">IF(H306&gt;0,J306/H306,"")</f>
        <v/>
      </c>
      <c r="L306" s="32" t="str">
        <f aca="false">IF(H306&gt;0,F306/H306,"")</f>
        <v/>
      </c>
      <c r="M306" s="57" t="str">
        <f aca="false">IF(F306&gt;0,J306/F306,"")</f>
        <v/>
      </c>
      <c r="N306" s="34" t="str">
        <f aca="false">IF(D306+E306&gt;0,D306/(D306+E306),"")</f>
        <v/>
      </c>
      <c r="O306" s="33" t="n">
        <f aca="false">IF(H306&gt;0,D306*(B306*(P1_BEN-P1_IVAN)+C306*(P2_BEN-P2_IVAN))/H306,0)-E306*(COSTE_DEV-IVA_DEV)-Y306</f>
        <v>0</v>
      </c>
      <c r="P306" s="33" t="n">
        <f aca="false">T306-U306-V306-W306-X306-Y306</f>
        <v>0</v>
      </c>
      <c r="R306" s="58" t="n">
        <f aca="false">D306+I306*TASA_USADA</f>
        <v>0</v>
      </c>
      <c r="S306" s="58" t="n">
        <f aca="false">E306+I306*(1-TASA_USADA)</f>
        <v>0</v>
      </c>
      <c r="T306" s="59" t="n">
        <f aca="false">IF(H306&gt;0,R306*J306/H306,0)</f>
        <v>0</v>
      </c>
      <c r="U306" s="59" t="n">
        <f aca="false">IF(H306&gt;0,R306*(B306*P1_CPROD+C306*P2_CPROD)/H306,0)</f>
        <v>0</v>
      </c>
      <c r="V306" s="59" t="n">
        <f aca="false">IF(H306&gt;0,R306*(B306*P1_LOG+C306*P2_LOG)/H306,0)</f>
        <v>0</v>
      </c>
      <c r="W306" s="59" t="n">
        <f aca="false">S306*COSTE_DEV</f>
        <v>0</v>
      </c>
      <c r="X306" s="59" t="n">
        <f aca="false">IF(H306&gt;0,R306*(B306*P1_IVAN+C306*P2_IVAN)/H306,0)-S306*IVA_DEV</f>
        <v>0</v>
      </c>
      <c r="Y306" s="59" t="n">
        <f aca="false">F306*(1+RECARGO_ADS)</f>
        <v>0</v>
      </c>
    </row>
    <row r="307" customFormat="false" ht="15" hidden="false" customHeight="false" outlineLevel="0" collapsed="false">
      <c r="A307" s="53" t="n">
        <v>46601</v>
      </c>
      <c r="B307" s="54"/>
      <c r="C307" s="54"/>
      <c r="D307" s="54"/>
      <c r="E307" s="54"/>
      <c r="F307" s="55"/>
      <c r="G307" s="56"/>
      <c r="H307" s="31" t="n">
        <f aca="false">B307+C307</f>
        <v>0</v>
      </c>
      <c r="I307" s="31" t="n">
        <f aca="false">MAX(0,H307-D307-E307)</f>
        <v>0</v>
      </c>
      <c r="J307" s="32" t="n">
        <f aca="false">B307*P1_PVP+C307*P2_PVP</f>
        <v>0</v>
      </c>
      <c r="K307" s="32" t="str">
        <f aca="false">IF(H307&gt;0,J307/H307,"")</f>
        <v/>
      </c>
      <c r="L307" s="32" t="str">
        <f aca="false">IF(H307&gt;0,F307/H307,"")</f>
        <v/>
      </c>
      <c r="M307" s="57" t="str">
        <f aca="false">IF(F307&gt;0,J307/F307,"")</f>
        <v/>
      </c>
      <c r="N307" s="34" t="str">
        <f aca="false">IF(D307+E307&gt;0,D307/(D307+E307),"")</f>
        <v/>
      </c>
      <c r="O307" s="33" t="n">
        <f aca="false">IF(H307&gt;0,D307*(B307*(P1_BEN-P1_IVAN)+C307*(P2_BEN-P2_IVAN))/H307,0)-E307*(COSTE_DEV-IVA_DEV)-Y307</f>
        <v>0</v>
      </c>
      <c r="P307" s="33" t="n">
        <f aca="false">T307-U307-V307-W307-X307-Y307</f>
        <v>0</v>
      </c>
      <c r="R307" s="58" t="n">
        <f aca="false">D307+I307*TASA_USADA</f>
        <v>0</v>
      </c>
      <c r="S307" s="58" t="n">
        <f aca="false">E307+I307*(1-TASA_USADA)</f>
        <v>0</v>
      </c>
      <c r="T307" s="59" t="n">
        <f aca="false">IF(H307&gt;0,R307*J307/H307,0)</f>
        <v>0</v>
      </c>
      <c r="U307" s="59" t="n">
        <f aca="false">IF(H307&gt;0,R307*(B307*P1_CPROD+C307*P2_CPROD)/H307,0)</f>
        <v>0</v>
      </c>
      <c r="V307" s="59" t="n">
        <f aca="false">IF(H307&gt;0,R307*(B307*P1_LOG+C307*P2_LOG)/H307,0)</f>
        <v>0</v>
      </c>
      <c r="W307" s="59" t="n">
        <f aca="false">S307*COSTE_DEV</f>
        <v>0</v>
      </c>
      <c r="X307" s="59" t="n">
        <f aca="false">IF(H307&gt;0,R307*(B307*P1_IVAN+C307*P2_IVAN)/H307,0)-S307*IVA_DEV</f>
        <v>0</v>
      </c>
      <c r="Y307" s="59" t="n">
        <f aca="false">F307*(1+RECARGO_ADS)</f>
        <v>0</v>
      </c>
    </row>
    <row r="308" customFormat="false" ht="15" hidden="false" customHeight="false" outlineLevel="0" collapsed="false">
      <c r="A308" s="53" t="n">
        <v>46602</v>
      </c>
      <c r="B308" s="54"/>
      <c r="C308" s="54"/>
      <c r="D308" s="54"/>
      <c r="E308" s="54"/>
      <c r="F308" s="55"/>
      <c r="G308" s="56"/>
      <c r="H308" s="31" t="n">
        <f aca="false">B308+C308</f>
        <v>0</v>
      </c>
      <c r="I308" s="31" t="n">
        <f aca="false">MAX(0,H308-D308-E308)</f>
        <v>0</v>
      </c>
      <c r="J308" s="32" t="n">
        <f aca="false">B308*P1_PVP+C308*P2_PVP</f>
        <v>0</v>
      </c>
      <c r="K308" s="32" t="str">
        <f aca="false">IF(H308&gt;0,J308/H308,"")</f>
        <v/>
      </c>
      <c r="L308" s="32" t="str">
        <f aca="false">IF(H308&gt;0,F308/H308,"")</f>
        <v/>
      </c>
      <c r="M308" s="57" t="str">
        <f aca="false">IF(F308&gt;0,J308/F308,"")</f>
        <v/>
      </c>
      <c r="N308" s="34" t="str">
        <f aca="false">IF(D308+E308&gt;0,D308/(D308+E308),"")</f>
        <v/>
      </c>
      <c r="O308" s="33" t="n">
        <f aca="false">IF(H308&gt;0,D308*(B308*(P1_BEN-P1_IVAN)+C308*(P2_BEN-P2_IVAN))/H308,0)-E308*(COSTE_DEV-IVA_DEV)-Y308</f>
        <v>0</v>
      </c>
      <c r="P308" s="33" t="n">
        <f aca="false">T308-U308-V308-W308-X308-Y308</f>
        <v>0</v>
      </c>
      <c r="R308" s="58" t="n">
        <f aca="false">D308+I308*TASA_USADA</f>
        <v>0</v>
      </c>
      <c r="S308" s="58" t="n">
        <f aca="false">E308+I308*(1-TASA_USADA)</f>
        <v>0</v>
      </c>
      <c r="T308" s="59" t="n">
        <f aca="false">IF(H308&gt;0,R308*J308/H308,0)</f>
        <v>0</v>
      </c>
      <c r="U308" s="59" t="n">
        <f aca="false">IF(H308&gt;0,R308*(B308*P1_CPROD+C308*P2_CPROD)/H308,0)</f>
        <v>0</v>
      </c>
      <c r="V308" s="59" t="n">
        <f aca="false">IF(H308&gt;0,R308*(B308*P1_LOG+C308*P2_LOG)/H308,0)</f>
        <v>0</v>
      </c>
      <c r="W308" s="59" t="n">
        <f aca="false">S308*COSTE_DEV</f>
        <v>0</v>
      </c>
      <c r="X308" s="59" t="n">
        <f aca="false">IF(H308&gt;0,R308*(B308*P1_IVAN+C308*P2_IVAN)/H308,0)-S308*IVA_DEV</f>
        <v>0</v>
      </c>
      <c r="Y308" s="59" t="n">
        <f aca="false">F308*(1+RECARGO_ADS)</f>
        <v>0</v>
      </c>
    </row>
    <row r="309" customFormat="false" ht="15" hidden="false" customHeight="false" outlineLevel="0" collapsed="false">
      <c r="A309" s="53" t="n">
        <v>46603</v>
      </c>
      <c r="B309" s="54"/>
      <c r="C309" s="54"/>
      <c r="D309" s="54"/>
      <c r="E309" s="54"/>
      <c r="F309" s="55"/>
      <c r="G309" s="56"/>
      <c r="H309" s="31" t="n">
        <f aca="false">B309+C309</f>
        <v>0</v>
      </c>
      <c r="I309" s="31" t="n">
        <f aca="false">MAX(0,H309-D309-E309)</f>
        <v>0</v>
      </c>
      <c r="J309" s="32" t="n">
        <f aca="false">B309*P1_PVP+C309*P2_PVP</f>
        <v>0</v>
      </c>
      <c r="K309" s="32" t="str">
        <f aca="false">IF(H309&gt;0,J309/H309,"")</f>
        <v/>
      </c>
      <c r="L309" s="32" t="str">
        <f aca="false">IF(H309&gt;0,F309/H309,"")</f>
        <v/>
      </c>
      <c r="M309" s="57" t="str">
        <f aca="false">IF(F309&gt;0,J309/F309,"")</f>
        <v/>
      </c>
      <c r="N309" s="34" t="str">
        <f aca="false">IF(D309+E309&gt;0,D309/(D309+E309),"")</f>
        <v/>
      </c>
      <c r="O309" s="33" t="n">
        <f aca="false">IF(H309&gt;0,D309*(B309*(P1_BEN-P1_IVAN)+C309*(P2_BEN-P2_IVAN))/H309,0)-E309*(COSTE_DEV-IVA_DEV)-Y309</f>
        <v>0</v>
      </c>
      <c r="P309" s="33" t="n">
        <f aca="false">T309-U309-V309-W309-X309-Y309</f>
        <v>0</v>
      </c>
      <c r="R309" s="58" t="n">
        <f aca="false">D309+I309*TASA_USADA</f>
        <v>0</v>
      </c>
      <c r="S309" s="58" t="n">
        <f aca="false">E309+I309*(1-TASA_USADA)</f>
        <v>0</v>
      </c>
      <c r="T309" s="59" t="n">
        <f aca="false">IF(H309&gt;0,R309*J309/H309,0)</f>
        <v>0</v>
      </c>
      <c r="U309" s="59" t="n">
        <f aca="false">IF(H309&gt;0,R309*(B309*P1_CPROD+C309*P2_CPROD)/H309,0)</f>
        <v>0</v>
      </c>
      <c r="V309" s="59" t="n">
        <f aca="false">IF(H309&gt;0,R309*(B309*P1_LOG+C309*P2_LOG)/H309,0)</f>
        <v>0</v>
      </c>
      <c r="W309" s="59" t="n">
        <f aca="false">S309*COSTE_DEV</f>
        <v>0</v>
      </c>
      <c r="X309" s="59" t="n">
        <f aca="false">IF(H309&gt;0,R309*(B309*P1_IVAN+C309*P2_IVAN)/H309,0)-S309*IVA_DEV</f>
        <v>0</v>
      </c>
      <c r="Y309" s="59" t="n">
        <f aca="false">F309*(1+RECARGO_ADS)</f>
        <v>0</v>
      </c>
    </row>
    <row r="310" customFormat="false" ht="15" hidden="false" customHeight="false" outlineLevel="0" collapsed="false">
      <c r="A310" s="53" t="n">
        <v>46604</v>
      </c>
      <c r="B310" s="54"/>
      <c r="C310" s="54"/>
      <c r="D310" s="54"/>
      <c r="E310" s="54"/>
      <c r="F310" s="55"/>
      <c r="G310" s="56"/>
      <c r="H310" s="31" t="n">
        <f aca="false">B310+C310</f>
        <v>0</v>
      </c>
      <c r="I310" s="31" t="n">
        <f aca="false">MAX(0,H310-D310-E310)</f>
        <v>0</v>
      </c>
      <c r="J310" s="32" t="n">
        <f aca="false">B310*P1_PVP+C310*P2_PVP</f>
        <v>0</v>
      </c>
      <c r="K310" s="32" t="str">
        <f aca="false">IF(H310&gt;0,J310/H310,"")</f>
        <v/>
      </c>
      <c r="L310" s="32" t="str">
        <f aca="false">IF(H310&gt;0,F310/H310,"")</f>
        <v/>
      </c>
      <c r="M310" s="57" t="str">
        <f aca="false">IF(F310&gt;0,J310/F310,"")</f>
        <v/>
      </c>
      <c r="N310" s="34" t="str">
        <f aca="false">IF(D310+E310&gt;0,D310/(D310+E310),"")</f>
        <v/>
      </c>
      <c r="O310" s="33" t="n">
        <f aca="false">IF(H310&gt;0,D310*(B310*(P1_BEN-P1_IVAN)+C310*(P2_BEN-P2_IVAN))/H310,0)-E310*(COSTE_DEV-IVA_DEV)-Y310</f>
        <v>0</v>
      </c>
      <c r="P310" s="33" t="n">
        <f aca="false">T310-U310-V310-W310-X310-Y310</f>
        <v>0</v>
      </c>
      <c r="R310" s="58" t="n">
        <f aca="false">D310+I310*TASA_USADA</f>
        <v>0</v>
      </c>
      <c r="S310" s="58" t="n">
        <f aca="false">E310+I310*(1-TASA_USADA)</f>
        <v>0</v>
      </c>
      <c r="T310" s="59" t="n">
        <f aca="false">IF(H310&gt;0,R310*J310/H310,0)</f>
        <v>0</v>
      </c>
      <c r="U310" s="59" t="n">
        <f aca="false">IF(H310&gt;0,R310*(B310*P1_CPROD+C310*P2_CPROD)/H310,0)</f>
        <v>0</v>
      </c>
      <c r="V310" s="59" t="n">
        <f aca="false">IF(H310&gt;0,R310*(B310*P1_LOG+C310*P2_LOG)/H310,0)</f>
        <v>0</v>
      </c>
      <c r="W310" s="59" t="n">
        <f aca="false">S310*COSTE_DEV</f>
        <v>0</v>
      </c>
      <c r="X310" s="59" t="n">
        <f aca="false">IF(H310&gt;0,R310*(B310*P1_IVAN+C310*P2_IVAN)/H310,0)-S310*IVA_DEV</f>
        <v>0</v>
      </c>
      <c r="Y310" s="59" t="n">
        <f aca="false">F310*(1+RECARGO_ADS)</f>
        <v>0</v>
      </c>
    </row>
    <row r="311" customFormat="false" ht="15" hidden="false" customHeight="false" outlineLevel="0" collapsed="false">
      <c r="A311" s="53" t="n">
        <v>46605</v>
      </c>
      <c r="B311" s="54"/>
      <c r="C311" s="54"/>
      <c r="D311" s="54"/>
      <c r="E311" s="54"/>
      <c r="F311" s="55"/>
      <c r="G311" s="56"/>
      <c r="H311" s="31" t="n">
        <f aca="false">B311+C311</f>
        <v>0</v>
      </c>
      <c r="I311" s="31" t="n">
        <f aca="false">MAX(0,H311-D311-E311)</f>
        <v>0</v>
      </c>
      <c r="J311" s="32" t="n">
        <f aca="false">B311*P1_PVP+C311*P2_PVP</f>
        <v>0</v>
      </c>
      <c r="K311" s="32" t="str">
        <f aca="false">IF(H311&gt;0,J311/H311,"")</f>
        <v/>
      </c>
      <c r="L311" s="32" t="str">
        <f aca="false">IF(H311&gt;0,F311/H311,"")</f>
        <v/>
      </c>
      <c r="M311" s="57" t="str">
        <f aca="false">IF(F311&gt;0,J311/F311,"")</f>
        <v/>
      </c>
      <c r="N311" s="34" t="str">
        <f aca="false">IF(D311+E311&gt;0,D311/(D311+E311),"")</f>
        <v/>
      </c>
      <c r="O311" s="33" t="n">
        <f aca="false">IF(H311&gt;0,D311*(B311*(P1_BEN-P1_IVAN)+C311*(P2_BEN-P2_IVAN))/H311,0)-E311*(COSTE_DEV-IVA_DEV)-Y311</f>
        <v>0</v>
      </c>
      <c r="P311" s="33" t="n">
        <f aca="false">T311-U311-V311-W311-X311-Y311</f>
        <v>0</v>
      </c>
      <c r="R311" s="58" t="n">
        <f aca="false">D311+I311*TASA_USADA</f>
        <v>0</v>
      </c>
      <c r="S311" s="58" t="n">
        <f aca="false">E311+I311*(1-TASA_USADA)</f>
        <v>0</v>
      </c>
      <c r="T311" s="59" t="n">
        <f aca="false">IF(H311&gt;0,R311*J311/H311,0)</f>
        <v>0</v>
      </c>
      <c r="U311" s="59" t="n">
        <f aca="false">IF(H311&gt;0,R311*(B311*P1_CPROD+C311*P2_CPROD)/H311,0)</f>
        <v>0</v>
      </c>
      <c r="V311" s="59" t="n">
        <f aca="false">IF(H311&gt;0,R311*(B311*P1_LOG+C311*P2_LOG)/H311,0)</f>
        <v>0</v>
      </c>
      <c r="W311" s="59" t="n">
        <f aca="false">S311*COSTE_DEV</f>
        <v>0</v>
      </c>
      <c r="X311" s="59" t="n">
        <f aca="false">IF(H311&gt;0,R311*(B311*P1_IVAN+C311*P2_IVAN)/H311,0)-S311*IVA_DEV</f>
        <v>0</v>
      </c>
      <c r="Y311" s="59" t="n">
        <f aca="false">F311*(1+RECARGO_ADS)</f>
        <v>0</v>
      </c>
    </row>
    <row r="312" customFormat="false" ht="15" hidden="false" customHeight="false" outlineLevel="0" collapsed="false">
      <c r="A312" s="53" t="n">
        <v>46606</v>
      </c>
      <c r="B312" s="54"/>
      <c r="C312" s="54"/>
      <c r="D312" s="54"/>
      <c r="E312" s="54"/>
      <c r="F312" s="55"/>
      <c r="G312" s="56"/>
      <c r="H312" s="31" t="n">
        <f aca="false">B312+C312</f>
        <v>0</v>
      </c>
      <c r="I312" s="31" t="n">
        <f aca="false">MAX(0,H312-D312-E312)</f>
        <v>0</v>
      </c>
      <c r="J312" s="32" t="n">
        <f aca="false">B312*P1_PVP+C312*P2_PVP</f>
        <v>0</v>
      </c>
      <c r="K312" s="32" t="str">
        <f aca="false">IF(H312&gt;0,J312/H312,"")</f>
        <v/>
      </c>
      <c r="L312" s="32" t="str">
        <f aca="false">IF(H312&gt;0,F312/H312,"")</f>
        <v/>
      </c>
      <c r="M312" s="57" t="str">
        <f aca="false">IF(F312&gt;0,J312/F312,"")</f>
        <v/>
      </c>
      <c r="N312" s="34" t="str">
        <f aca="false">IF(D312+E312&gt;0,D312/(D312+E312),"")</f>
        <v/>
      </c>
      <c r="O312" s="33" t="n">
        <f aca="false">IF(H312&gt;0,D312*(B312*(P1_BEN-P1_IVAN)+C312*(P2_BEN-P2_IVAN))/H312,0)-E312*(COSTE_DEV-IVA_DEV)-Y312</f>
        <v>0</v>
      </c>
      <c r="P312" s="33" t="n">
        <f aca="false">T312-U312-V312-W312-X312-Y312</f>
        <v>0</v>
      </c>
      <c r="R312" s="58" t="n">
        <f aca="false">D312+I312*TASA_USADA</f>
        <v>0</v>
      </c>
      <c r="S312" s="58" t="n">
        <f aca="false">E312+I312*(1-TASA_USADA)</f>
        <v>0</v>
      </c>
      <c r="T312" s="59" t="n">
        <f aca="false">IF(H312&gt;0,R312*J312/H312,0)</f>
        <v>0</v>
      </c>
      <c r="U312" s="59" t="n">
        <f aca="false">IF(H312&gt;0,R312*(B312*P1_CPROD+C312*P2_CPROD)/H312,0)</f>
        <v>0</v>
      </c>
      <c r="V312" s="59" t="n">
        <f aca="false">IF(H312&gt;0,R312*(B312*P1_LOG+C312*P2_LOG)/H312,0)</f>
        <v>0</v>
      </c>
      <c r="W312" s="59" t="n">
        <f aca="false">S312*COSTE_DEV</f>
        <v>0</v>
      </c>
      <c r="X312" s="59" t="n">
        <f aca="false">IF(H312&gt;0,R312*(B312*P1_IVAN+C312*P2_IVAN)/H312,0)-S312*IVA_DEV</f>
        <v>0</v>
      </c>
      <c r="Y312" s="59" t="n">
        <f aca="false">F312*(1+RECARGO_ADS)</f>
        <v>0</v>
      </c>
    </row>
    <row r="313" customFormat="false" ht="15" hidden="false" customHeight="false" outlineLevel="0" collapsed="false">
      <c r="A313" s="53" t="n">
        <v>46607</v>
      </c>
      <c r="B313" s="54"/>
      <c r="C313" s="54"/>
      <c r="D313" s="54"/>
      <c r="E313" s="54"/>
      <c r="F313" s="55"/>
      <c r="G313" s="56"/>
      <c r="H313" s="31" t="n">
        <f aca="false">B313+C313</f>
        <v>0</v>
      </c>
      <c r="I313" s="31" t="n">
        <f aca="false">MAX(0,H313-D313-E313)</f>
        <v>0</v>
      </c>
      <c r="J313" s="32" t="n">
        <f aca="false">B313*P1_PVP+C313*P2_PVP</f>
        <v>0</v>
      </c>
      <c r="K313" s="32" t="str">
        <f aca="false">IF(H313&gt;0,J313/H313,"")</f>
        <v/>
      </c>
      <c r="L313" s="32" t="str">
        <f aca="false">IF(H313&gt;0,F313/H313,"")</f>
        <v/>
      </c>
      <c r="M313" s="57" t="str">
        <f aca="false">IF(F313&gt;0,J313/F313,"")</f>
        <v/>
      </c>
      <c r="N313" s="34" t="str">
        <f aca="false">IF(D313+E313&gt;0,D313/(D313+E313),"")</f>
        <v/>
      </c>
      <c r="O313" s="33" t="n">
        <f aca="false">IF(H313&gt;0,D313*(B313*(P1_BEN-P1_IVAN)+C313*(P2_BEN-P2_IVAN))/H313,0)-E313*(COSTE_DEV-IVA_DEV)-Y313</f>
        <v>0</v>
      </c>
      <c r="P313" s="33" t="n">
        <f aca="false">T313-U313-V313-W313-X313-Y313</f>
        <v>0</v>
      </c>
      <c r="R313" s="58" t="n">
        <f aca="false">D313+I313*TASA_USADA</f>
        <v>0</v>
      </c>
      <c r="S313" s="58" t="n">
        <f aca="false">E313+I313*(1-TASA_USADA)</f>
        <v>0</v>
      </c>
      <c r="T313" s="59" t="n">
        <f aca="false">IF(H313&gt;0,R313*J313/H313,0)</f>
        <v>0</v>
      </c>
      <c r="U313" s="59" t="n">
        <f aca="false">IF(H313&gt;0,R313*(B313*P1_CPROD+C313*P2_CPROD)/H313,0)</f>
        <v>0</v>
      </c>
      <c r="V313" s="59" t="n">
        <f aca="false">IF(H313&gt;0,R313*(B313*P1_LOG+C313*P2_LOG)/H313,0)</f>
        <v>0</v>
      </c>
      <c r="W313" s="59" t="n">
        <f aca="false">S313*COSTE_DEV</f>
        <v>0</v>
      </c>
      <c r="X313" s="59" t="n">
        <f aca="false">IF(H313&gt;0,R313*(B313*P1_IVAN+C313*P2_IVAN)/H313,0)-S313*IVA_DEV</f>
        <v>0</v>
      </c>
      <c r="Y313" s="59" t="n">
        <f aca="false">F313*(1+RECARGO_ADS)</f>
        <v>0</v>
      </c>
    </row>
    <row r="314" customFormat="false" ht="15" hidden="false" customHeight="false" outlineLevel="0" collapsed="false">
      <c r="A314" s="53" t="n">
        <v>46608</v>
      </c>
      <c r="B314" s="54"/>
      <c r="C314" s="54"/>
      <c r="D314" s="54"/>
      <c r="E314" s="54"/>
      <c r="F314" s="55"/>
      <c r="G314" s="56"/>
      <c r="H314" s="31" t="n">
        <f aca="false">B314+C314</f>
        <v>0</v>
      </c>
      <c r="I314" s="31" t="n">
        <f aca="false">MAX(0,H314-D314-E314)</f>
        <v>0</v>
      </c>
      <c r="J314" s="32" t="n">
        <f aca="false">B314*P1_PVP+C314*P2_PVP</f>
        <v>0</v>
      </c>
      <c r="K314" s="32" t="str">
        <f aca="false">IF(H314&gt;0,J314/H314,"")</f>
        <v/>
      </c>
      <c r="L314" s="32" t="str">
        <f aca="false">IF(H314&gt;0,F314/H314,"")</f>
        <v/>
      </c>
      <c r="M314" s="57" t="str">
        <f aca="false">IF(F314&gt;0,J314/F314,"")</f>
        <v/>
      </c>
      <c r="N314" s="34" t="str">
        <f aca="false">IF(D314+E314&gt;0,D314/(D314+E314),"")</f>
        <v/>
      </c>
      <c r="O314" s="33" t="n">
        <f aca="false">IF(H314&gt;0,D314*(B314*(P1_BEN-P1_IVAN)+C314*(P2_BEN-P2_IVAN))/H314,0)-E314*(COSTE_DEV-IVA_DEV)-Y314</f>
        <v>0</v>
      </c>
      <c r="P314" s="33" t="n">
        <f aca="false">T314-U314-V314-W314-X314-Y314</f>
        <v>0</v>
      </c>
      <c r="R314" s="58" t="n">
        <f aca="false">D314+I314*TASA_USADA</f>
        <v>0</v>
      </c>
      <c r="S314" s="58" t="n">
        <f aca="false">E314+I314*(1-TASA_USADA)</f>
        <v>0</v>
      </c>
      <c r="T314" s="59" t="n">
        <f aca="false">IF(H314&gt;0,R314*J314/H314,0)</f>
        <v>0</v>
      </c>
      <c r="U314" s="59" t="n">
        <f aca="false">IF(H314&gt;0,R314*(B314*P1_CPROD+C314*P2_CPROD)/H314,0)</f>
        <v>0</v>
      </c>
      <c r="V314" s="59" t="n">
        <f aca="false">IF(H314&gt;0,R314*(B314*P1_LOG+C314*P2_LOG)/H314,0)</f>
        <v>0</v>
      </c>
      <c r="W314" s="59" t="n">
        <f aca="false">S314*COSTE_DEV</f>
        <v>0</v>
      </c>
      <c r="X314" s="59" t="n">
        <f aca="false">IF(H314&gt;0,R314*(B314*P1_IVAN+C314*P2_IVAN)/H314,0)-S314*IVA_DEV</f>
        <v>0</v>
      </c>
      <c r="Y314" s="59" t="n">
        <f aca="false">F314*(1+RECARGO_ADS)</f>
        <v>0</v>
      </c>
    </row>
    <row r="315" customFormat="false" ht="15" hidden="false" customHeight="false" outlineLevel="0" collapsed="false">
      <c r="A315" s="53" t="n">
        <v>46609</v>
      </c>
      <c r="B315" s="54"/>
      <c r="C315" s="54"/>
      <c r="D315" s="54"/>
      <c r="E315" s="54"/>
      <c r="F315" s="55"/>
      <c r="G315" s="56"/>
      <c r="H315" s="31" t="n">
        <f aca="false">B315+C315</f>
        <v>0</v>
      </c>
      <c r="I315" s="31" t="n">
        <f aca="false">MAX(0,H315-D315-E315)</f>
        <v>0</v>
      </c>
      <c r="J315" s="32" t="n">
        <f aca="false">B315*P1_PVP+C315*P2_PVP</f>
        <v>0</v>
      </c>
      <c r="K315" s="32" t="str">
        <f aca="false">IF(H315&gt;0,J315/H315,"")</f>
        <v/>
      </c>
      <c r="L315" s="32" t="str">
        <f aca="false">IF(H315&gt;0,F315/H315,"")</f>
        <v/>
      </c>
      <c r="M315" s="57" t="str">
        <f aca="false">IF(F315&gt;0,J315/F315,"")</f>
        <v/>
      </c>
      <c r="N315" s="34" t="str">
        <f aca="false">IF(D315+E315&gt;0,D315/(D315+E315),"")</f>
        <v/>
      </c>
      <c r="O315" s="33" t="n">
        <f aca="false">IF(H315&gt;0,D315*(B315*(P1_BEN-P1_IVAN)+C315*(P2_BEN-P2_IVAN))/H315,0)-E315*(COSTE_DEV-IVA_DEV)-Y315</f>
        <v>0</v>
      </c>
      <c r="P315" s="33" t="n">
        <f aca="false">T315-U315-V315-W315-X315-Y315</f>
        <v>0</v>
      </c>
      <c r="R315" s="58" t="n">
        <f aca="false">D315+I315*TASA_USADA</f>
        <v>0</v>
      </c>
      <c r="S315" s="58" t="n">
        <f aca="false">E315+I315*(1-TASA_USADA)</f>
        <v>0</v>
      </c>
      <c r="T315" s="59" t="n">
        <f aca="false">IF(H315&gt;0,R315*J315/H315,0)</f>
        <v>0</v>
      </c>
      <c r="U315" s="59" t="n">
        <f aca="false">IF(H315&gt;0,R315*(B315*P1_CPROD+C315*P2_CPROD)/H315,0)</f>
        <v>0</v>
      </c>
      <c r="V315" s="59" t="n">
        <f aca="false">IF(H315&gt;0,R315*(B315*P1_LOG+C315*P2_LOG)/H315,0)</f>
        <v>0</v>
      </c>
      <c r="W315" s="59" t="n">
        <f aca="false">S315*COSTE_DEV</f>
        <v>0</v>
      </c>
      <c r="X315" s="59" t="n">
        <f aca="false">IF(H315&gt;0,R315*(B315*P1_IVAN+C315*P2_IVAN)/H315,0)-S315*IVA_DEV</f>
        <v>0</v>
      </c>
      <c r="Y315" s="59" t="n">
        <f aca="false">F315*(1+RECARGO_ADS)</f>
        <v>0</v>
      </c>
    </row>
    <row r="316" customFormat="false" ht="15" hidden="false" customHeight="false" outlineLevel="0" collapsed="false">
      <c r="A316" s="53" t="n">
        <v>46610</v>
      </c>
      <c r="B316" s="54"/>
      <c r="C316" s="54"/>
      <c r="D316" s="54"/>
      <c r="E316" s="54"/>
      <c r="F316" s="55"/>
      <c r="G316" s="56"/>
      <c r="H316" s="31" t="n">
        <f aca="false">B316+C316</f>
        <v>0</v>
      </c>
      <c r="I316" s="31" t="n">
        <f aca="false">MAX(0,H316-D316-E316)</f>
        <v>0</v>
      </c>
      <c r="J316" s="32" t="n">
        <f aca="false">B316*P1_PVP+C316*P2_PVP</f>
        <v>0</v>
      </c>
      <c r="K316" s="32" t="str">
        <f aca="false">IF(H316&gt;0,J316/H316,"")</f>
        <v/>
      </c>
      <c r="L316" s="32" t="str">
        <f aca="false">IF(H316&gt;0,F316/H316,"")</f>
        <v/>
      </c>
      <c r="M316" s="57" t="str">
        <f aca="false">IF(F316&gt;0,J316/F316,"")</f>
        <v/>
      </c>
      <c r="N316" s="34" t="str">
        <f aca="false">IF(D316+E316&gt;0,D316/(D316+E316),"")</f>
        <v/>
      </c>
      <c r="O316" s="33" t="n">
        <f aca="false">IF(H316&gt;0,D316*(B316*(P1_BEN-P1_IVAN)+C316*(P2_BEN-P2_IVAN))/H316,0)-E316*(COSTE_DEV-IVA_DEV)-Y316</f>
        <v>0</v>
      </c>
      <c r="P316" s="33" t="n">
        <f aca="false">T316-U316-V316-W316-X316-Y316</f>
        <v>0</v>
      </c>
      <c r="R316" s="58" t="n">
        <f aca="false">D316+I316*TASA_USADA</f>
        <v>0</v>
      </c>
      <c r="S316" s="58" t="n">
        <f aca="false">E316+I316*(1-TASA_USADA)</f>
        <v>0</v>
      </c>
      <c r="T316" s="59" t="n">
        <f aca="false">IF(H316&gt;0,R316*J316/H316,0)</f>
        <v>0</v>
      </c>
      <c r="U316" s="59" t="n">
        <f aca="false">IF(H316&gt;0,R316*(B316*P1_CPROD+C316*P2_CPROD)/H316,0)</f>
        <v>0</v>
      </c>
      <c r="V316" s="59" t="n">
        <f aca="false">IF(H316&gt;0,R316*(B316*P1_LOG+C316*P2_LOG)/H316,0)</f>
        <v>0</v>
      </c>
      <c r="W316" s="59" t="n">
        <f aca="false">S316*COSTE_DEV</f>
        <v>0</v>
      </c>
      <c r="X316" s="59" t="n">
        <f aca="false">IF(H316&gt;0,R316*(B316*P1_IVAN+C316*P2_IVAN)/H316,0)-S316*IVA_DEV</f>
        <v>0</v>
      </c>
      <c r="Y316" s="59" t="n">
        <f aca="false">F316*(1+RECARGO_ADS)</f>
        <v>0</v>
      </c>
    </row>
    <row r="317" customFormat="false" ht="15" hidden="false" customHeight="false" outlineLevel="0" collapsed="false">
      <c r="A317" s="53" t="n">
        <v>46611</v>
      </c>
      <c r="B317" s="54"/>
      <c r="C317" s="54"/>
      <c r="D317" s="54"/>
      <c r="E317" s="54"/>
      <c r="F317" s="55"/>
      <c r="G317" s="56"/>
      <c r="H317" s="31" t="n">
        <f aca="false">B317+C317</f>
        <v>0</v>
      </c>
      <c r="I317" s="31" t="n">
        <f aca="false">MAX(0,H317-D317-E317)</f>
        <v>0</v>
      </c>
      <c r="J317" s="32" t="n">
        <f aca="false">B317*P1_PVP+C317*P2_PVP</f>
        <v>0</v>
      </c>
      <c r="K317" s="32" t="str">
        <f aca="false">IF(H317&gt;0,J317/H317,"")</f>
        <v/>
      </c>
      <c r="L317" s="32" t="str">
        <f aca="false">IF(H317&gt;0,F317/H317,"")</f>
        <v/>
      </c>
      <c r="M317" s="57" t="str">
        <f aca="false">IF(F317&gt;0,J317/F317,"")</f>
        <v/>
      </c>
      <c r="N317" s="34" t="str">
        <f aca="false">IF(D317+E317&gt;0,D317/(D317+E317),"")</f>
        <v/>
      </c>
      <c r="O317" s="33" t="n">
        <f aca="false">IF(H317&gt;0,D317*(B317*(P1_BEN-P1_IVAN)+C317*(P2_BEN-P2_IVAN))/H317,0)-E317*(COSTE_DEV-IVA_DEV)-Y317</f>
        <v>0</v>
      </c>
      <c r="P317" s="33" t="n">
        <f aca="false">T317-U317-V317-W317-X317-Y317</f>
        <v>0</v>
      </c>
      <c r="R317" s="58" t="n">
        <f aca="false">D317+I317*TASA_USADA</f>
        <v>0</v>
      </c>
      <c r="S317" s="58" t="n">
        <f aca="false">E317+I317*(1-TASA_USADA)</f>
        <v>0</v>
      </c>
      <c r="T317" s="59" t="n">
        <f aca="false">IF(H317&gt;0,R317*J317/H317,0)</f>
        <v>0</v>
      </c>
      <c r="U317" s="59" t="n">
        <f aca="false">IF(H317&gt;0,R317*(B317*P1_CPROD+C317*P2_CPROD)/H317,0)</f>
        <v>0</v>
      </c>
      <c r="V317" s="59" t="n">
        <f aca="false">IF(H317&gt;0,R317*(B317*P1_LOG+C317*P2_LOG)/H317,0)</f>
        <v>0</v>
      </c>
      <c r="W317" s="59" t="n">
        <f aca="false">S317*COSTE_DEV</f>
        <v>0</v>
      </c>
      <c r="X317" s="59" t="n">
        <f aca="false">IF(H317&gt;0,R317*(B317*P1_IVAN+C317*P2_IVAN)/H317,0)-S317*IVA_DEV</f>
        <v>0</v>
      </c>
      <c r="Y317" s="59" t="n">
        <f aca="false">F317*(1+RECARGO_ADS)</f>
        <v>0</v>
      </c>
    </row>
    <row r="318" customFormat="false" ht="15" hidden="false" customHeight="false" outlineLevel="0" collapsed="false">
      <c r="A318" s="53" t="n">
        <v>46612</v>
      </c>
      <c r="B318" s="54"/>
      <c r="C318" s="54"/>
      <c r="D318" s="54"/>
      <c r="E318" s="54"/>
      <c r="F318" s="55"/>
      <c r="G318" s="56"/>
      <c r="H318" s="31" t="n">
        <f aca="false">B318+C318</f>
        <v>0</v>
      </c>
      <c r="I318" s="31" t="n">
        <f aca="false">MAX(0,H318-D318-E318)</f>
        <v>0</v>
      </c>
      <c r="J318" s="32" t="n">
        <f aca="false">B318*P1_PVP+C318*P2_PVP</f>
        <v>0</v>
      </c>
      <c r="K318" s="32" t="str">
        <f aca="false">IF(H318&gt;0,J318/H318,"")</f>
        <v/>
      </c>
      <c r="L318" s="32" t="str">
        <f aca="false">IF(H318&gt;0,F318/H318,"")</f>
        <v/>
      </c>
      <c r="M318" s="57" t="str">
        <f aca="false">IF(F318&gt;0,J318/F318,"")</f>
        <v/>
      </c>
      <c r="N318" s="34" t="str">
        <f aca="false">IF(D318+E318&gt;0,D318/(D318+E318),"")</f>
        <v/>
      </c>
      <c r="O318" s="33" t="n">
        <f aca="false">IF(H318&gt;0,D318*(B318*(P1_BEN-P1_IVAN)+C318*(P2_BEN-P2_IVAN))/H318,0)-E318*(COSTE_DEV-IVA_DEV)-Y318</f>
        <v>0</v>
      </c>
      <c r="P318" s="33" t="n">
        <f aca="false">T318-U318-V318-W318-X318-Y318</f>
        <v>0</v>
      </c>
      <c r="R318" s="58" t="n">
        <f aca="false">D318+I318*TASA_USADA</f>
        <v>0</v>
      </c>
      <c r="S318" s="58" t="n">
        <f aca="false">E318+I318*(1-TASA_USADA)</f>
        <v>0</v>
      </c>
      <c r="T318" s="59" t="n">
        <f aca="false">IF(H318&gt;0,R318*J318/H318,0)</f>
        <v>0</v>
      </c>
      <c r="U318" s="59" t="n">
        <f aca="false">IF(H318&gt;0,R318*(B318*P1_CPROD+C318*P2_CPROD)/H318,0)</f>
        <v>0</v>
      </c>
      <c r="V318" s="59" t="n">
        <f aca="false">IF(H318&gt;0,R318*(B318*P1_LOG+C318*P2_LOG)/H318,0)</f>
        <v>0</v>
      </c>
      <c r="W318" s="59" t="n">
        <f aca="false">S318*COSTE_DEV</f>
        <v>0</v>
      </c>
      <c r="X318" s="59" t="n">
        <f aca="false">IF(H318&gt;0,R318*(B318*P1_IVAN+C318*P2_IVAN)/H318,0)-S318*IVA_DEV</f>
        <v>0</v>
      </c>
      <c r="Y318" s="59" t="n">
        <f aca="false">F318*(1+RECARGO_ADS)</f>
        <v>0</v>
      </c>
    </row>
    <row r="319" customFormat="false" ht="15" hidden="false" customHeight="false" outlineLevel="0" collapsed="false">
      <c r="A319" s="53" t="n">
        <v>46613</v>
      </c>
      <c r="B319" s="54"/>
      <c r="C319" s="54"/>
      <c r="D319" s="54"/>
      <c r="E319" s="54"/>
      <c r="F319" s="55"/>
      <c r="G319" s="56"/>
      <c r="H319" s="31" t="n">
        <f aca="false">B319+C319</f>
        <v>0</v>
      </c>
      <c r="I319" s="31" t="n">
        <f aca="false">MAX(0,H319-D319-E319)</f>
        <v>0</v>
      </c>
      <c r="J319" s="32" t="n">
        <f aca="false">B319*P1_PVP+C319*P2_PVP</f>
        <v>0</v>
      </c>
      <c r="K319" s="32" t="str">
        <f aca="false">IF(H319&gt;0,J319/H319,"")</f>
        <v/>
      </c>
      <c r="L319" s="32" t="str">
        <f aca="false">IF(H319&gt;0,F319/H319,"")</f>
        <v/>
      </c>
      <c r="M319" s="57" t="str">
        <f aca="false">IF(F319&gt;0,J319/F319,"")</f>
        <v/>
      </c>
      <c r="N319" s="34" t="str">
        <f aca="false">IF(D319+E319&gt;0,D319/(D319+E319),"")</f>
        <v/>
      </c>
      <c r="O319" s="33" t="n">
        <f aca="false">IF(H319&gt;0,D319*(B319*(P1_BEN-P1_IVAN)+C319*(P2_BEN-P2_IVAN))/H319,0)-E319*(COSTE_DEV-IVA_DEV)-Y319</f>
        <v>0</v>
      </c>
      <c r="P319" s="33" t="n">
        <f aca="false">T319-U319-V319-W319-X319-Y319</f>
        <v>0</v>
      </c>
      <c r="R319" s="58" t="n">
        <f aca="false">D319+I319*TASA_USADA</f>
        <v>0</v>
      </c>
      <c r="S319" s="58" t="n">
        <f aca="false">E319+I319*(1-TASA_USADA)</f>
        <v>0</v>
      </c>
      <c r="T319" s="59" t="n">
        <f aca="false">IF(H319&gt;0,R319*J319/H319,0)</f>
        <v>0</v>
      </c>
      <c r="U319" s="59" t="n">
        <f aca="false">IF(H319&gt;0,R319*(B319*P1_CPROD+C319*P2_CPROD)/H319,0)</f>
        <v>0</v>
      </c>
      <c r="V319" s="59" t="n">
        <f aca="false">IF(H319&gt;0,R319*(B319*P1_LOG+C319*P2_LOG)/H319,0)</f>
        <v>0</v>
      </c>
      <c r="W319" s="59" t="n">
        <f aca="false">S319*COSTE_DEV</f>
        <v>0</v>
      </c>
      <c r="X319" s="59" t="n">
        <f aca="false">IF(H319&gt;0,R319*(B319*P1_IVAN+C319*P2_IVAN)/H319,0)-S319*IVA_DEV</f>
        <v>0</v>
      </c>
      <c r="Y319" s="59" t="n">
        <f aca="false">F319*(1+RECARGO_ADS)</f>
        <v>0</v>
      </c>
    </row>
    <row r="320" customFormat="false" ht="15" hidden="false" customHeight="false" outlineLevel="0" collapsed="false">
      <c r="A320" s="53" t="n">
        <v>46614</v>
      </c>
      <c r="B320" s="54"/>
      <c r="C320" s="54"/>
      <c r="D320" s="54"/>
      <c r="E320" s="54"/>
      <c r="F320" s="55"/>
      <c r="G320" s="56"/>
      <c r="H320" s="31" t="n">
        <f aca="false">B320+C320</f>
        <v>0</v>
      </c>
      <c r="I320" s="31" t="n">
        <f aca="false">MAX(0,H320-D320-E320)</f>
        <v>0</v>
      </c>
      <c r="J320" s="32" t="n">
        <f aca="false">B320*P1_PVP+C320*P2_PVP</f>
        <v>0</v>
      </c>
      <c r="K320" s="32" t="str">
        <f aca="false">IF(H320&gt;0,J320/H320,"")</f>
        <v/>
      </c>
      <c r="L320" s="32" t="str">
        <f aca="false">IF(H320&gt;0,F320/H320,"")</f>
        <v/>
      </c>
      <c r="M320" s="57" t="str">
        <f aca="false">IF(F320&gt;0,J320/F320,"")</f>
        <v/>
      </c>
      <c r="N320" s="34" t="str">
        <f aca="false">IF(D320+E320&gt;0,D320/(D320+E320),"")</f>
        <v/>
      </c>
      <c r="O320" s="33" t="n">
        <f aca="false">IF(H320&gt;0,D320*(B320*(P1_BEN-P1_IVAN)+C320*(P2_BEN-P2_IVAN))/H320,0)-E320*(COSTE_DEV-IVA_DEV)-Y320</f>
        <v>0</v>
      </c>
      <c r="P320" s="33" t="n">
        <f aca="false">T320-U320-V320-W320-X320-Y320</f>
        <v>0</v>
      </c>
      <c r="R320" s="58" t="n">
        <f aca="false">D320+I320*TASA_USADA</f>
        <v>0</v>
      </c>
      <c r="S320" s="58" t="n">
        <f aca="false">E320+I320*(1-TASA_USADA)</f>
        <v>0</v>
      </c>
      <c r="T320" s="59" t="n">
        <f aca="false">IF(H320&gt;0,R320*J320/H320,0)</f>
        <v>0</v>
      </c>
      <c r="U320" s="59" t="n">
        <f aca="false">IF(H320&gt;0,R320*(B320*P1_CPROD+C320*P2_CPROD)/H320,0)</f>
        <v>0</v>
      </c>
      <c r="V320" s="59" t="n">
        <f aca="false">IF(H320&gt;0,R320*(B320*P1_LOG+C320*P2_LOG)/H320,0)</f>
        <v>0</v>
      </c>
      <c r="W320" s="59" t="n">
        <f aca="false">S320*COSTE_DEV</f>
        <v>0</v>
      </c>
      <c r="X320" s="59" t="n">
        <f aca="false">IF(H320&gt;0,R320*(B320*P1_IVAN+C320*P2_IVAN)/H320,0)-S320*IVA_DEV</f>
        <v>0</v>
      </c>
      <c r="Y320" s="59" t="n">
        <f aca="false">F320*(1+RECARGO_ADS)</f>
        <v>0</v>
      </c>
    </row>
    <row r="321" customFormat="false" ht="15" hidden="false" customHeight="false" outlineLevel="0" collapsed="false">
      <c r="A321" s="53" t="n">
        <v>46615</v>
      </c>
      <c r="B321" s="54"/>
      <c r="C321" s="54"/>
      <c r="D321" s="54"/>
      <c r="E321" s="54"/>
      <c r="F321" s="55"/>
      <c r="G321" s="56"/>
      <c r="H321" s="31" t="n">
        <f aca="false">B321+C321</f>
        <v>0</v>
      </c>
      <c r="I321" s="31" t="n">
        <f aca="false">MAX(0,H321-D321-E321)</f>
        <v>0</v>
      </c>
      <c r="J321" s="32" t="n">
        <f aca="false">B321*P1_PVP+C321*P2_PVP</f>
        <v>0</v>
      </c>
      <c r="K321" s="32" t="str">
        <f aca="false">IF(H321&gt;0,J321/H321,"")</f>
        <v/>
      </c>
      <c r="L321" s="32" t="str">
        <f aca="false">IF(H321&gt;0,F321/H321,"")</f>
        <v/>
      </c>
      <c r="M321" s="57" t="str">
        <f aca="false">IF(F321&gt;0,J321/F321,"")</f>
        <v/>
      </c>
      <c r="N321" s="34" t="str">
        <f aca="false">IF(D321+E321&gt;0,D321/(D321+E321),"")</f>
        <v/>
      </c>
      <c r="O321" s="33" t="n">
        <f aca="false">IF(H321&gt;0,D321*(B321*(P1_BEN-P1_IVAN)+C321*(P2_BEN-P2_IVAN))/H321,0)-E321*(COSTE_DEV-IVA_DEV)-Y321</f>
        <v>0</v>
      </c>
      <c r="P321" s="33" t="n">
        <f aca="false">T321-U321-V321-W321-X321-Y321</f>
        <v>0</v>
      </c>
      <c r="R321" s="58" t="n">
        <f aca="false">D321+I321*TASA_USADA</f>
        <v>0</v>
      </c>
      <c r="S321" s="58" t="n">
        <f aca="false">E321+I321*(1-TASA_USADA)</f>
        <v>0</v>
      </c>
      <c r="T321" s="59" t="n">
        <f aca="false">IF(H321&gt;0,R321*J321/H321,0)</f>
        <v>0</v>
      </c>
      <c r="U321" s="59" t="n">
        <f aca="false">IF(H321&gt;0,R321*(B321*P1_CPROD+C321*P2_CPROD)/H321,0)</f>
        <v>0</v>
      </c>
      <c r="V321" s="59" t="n">
        <f aca="false">IF(H321&gt;0,R321*(B321*P1_LOG+C321*P2_LOG)/H321,0)</f>
        <v>0</v>
      </c>
      <c r="W321" s="59" t="n">
        <f aca="false">S321*COSTE_DEV</f>
        <v>0</v>
      </c>
      <c r="X321" s="59" t="n">
        <f aca="false">IF(H321&gt;0,R321*(B321*P1_IVAN+C321*P2_IVAN)/H321,0)-S321*IVA_DEV</f>
        <v>0</v>
      </c>
      <c r="Y321" s="59" t="n">
        <f aca="false">F321*(1+RECARGO_ADS)</f>
        <v>0</v>
      </c>
    </row>
    <row r="322" customFormat="false" ht="15" hidden="false" customHeight="false" outlineLevel="0" collapsed="false">
      <c r="A322" s="53" t="n">
        <v>46616</v>
      </c>
      <c r="B322" s="54"/>
      <c r="C322" s="54"/>
      <c r="D322" s="54"/>
      <c r="E322" s="54"/>
      <c r="F322" s="55"/>
      <c r="G322" s="56"/>
      <c r="H322" s="31" t="n">
        <f aca="false">B322+C322</f>
        <v>0</v>
      </c>
      <c r="I322" s="31" t="n">
        <f aca="false">MAX(0,H322-D322-E322)</f>
        <v>0</v>
      </c>
      <c r="J322" s="32" t="n">
        <f aca="false">B322*P1_PVP+C322*P2_PVP</f>
        <v>0</v>
      </c>
      <c r="K322" s="32" t="str">
        <f aca="false">IF(H322&gt;0,J322/H322,"")</f>
        <v/>
      </c>
      <c r="L322" s="32" t="str">
        <f aca="false">IF(H322&gt;0,F322/H322,"")</f>
        <v/>
      </c>
      <c r="M322" s="57" t="str">
        <f aca="false">IF(F322&gt;0,J322/F322,"")</f>
        <v/>
      </c>
      <c r="N322" s="34" t="str">
        <f aca="false">IF(D322+E322&gt;0,D322/(D322+E322),"")</f>
        <v/>
      </c>
      <c r="O322" s="33" t="n">
        <f aca="false">IF(H322&gt;0,D322*(B322*(P1_BEN-P1_IVAN)+C322*(P2_BEN-P2_IVAN))/H322,0)-E322*(COSTE_DEV-IVA_DEV)-Y322</f>
        <v>0</v>
      </c>
      <c r="P322" s="33" t="n">
        <f aca="false">T322-U322-V322-W322-X322-Y322</f>
        <v>0</v>
      </c>
      <c r="R322" s="58" t="n">
        <f aca="false">D322+I322*TASA_USADA</f>
        <v>0</v>
      </c>
      <c r="S322" s="58" t="n">
        <f aca="false">E322+I322*(1-TASA_USADA)</f>
        <v>0</v>
      </c>
      <c r="T322" s="59" t="n">
        <f aca="false">IF(H322&gt;0,R322*J322/H322,0)</f>
        <v>0</v>
      </c>
      <c r="U322" s="59" t="n">
        <f aca="false">IF(H322&gt;0,R322*(B322*P1_CPROD+C322*P2_CPROD)/H322,0)</f>
        <v>0</v>
      </c>
      <c r="V322" s="59" t="n">
        <f aca="false">IF(H322&gt;0,R322*(B322*P1_LOG+C322*P2_LOG)/H322,0)</f>
        <v>0</v>
      </c>
      <c r="W322" s="59" t="n">
        <f aca="false">S322*COSTE_DEV</f>
        <v>0</v>
      </c>
      <c r="X322" s="59" t="n">
        <f aca="false">IF(H322&gt;0,R322*(B322*P1_IVAN+C322*P2_IVAN)/H322,0)-S322*IVA_DEV</f>
        <v>0</v>
      </c>
      <c r="Y322" s="59" t="n">
        <f aca="false">F322*(1+RECARGO_ADS)</f>
        <v>0</v>
      </c>
    </row>
    <row r="323" customFormat="false" ht="15" hidden="false" customHeight="false" outlineLevel="0" collapsed="false">
      <c r="A323" s="53" t="n">
        <v>46617</v>
      </c>
      <c r="B323" s="54"/>
      <c r="C323" s="54"/>
      <c r="D323" s="54"/>
      <c r="E323" s="54"/>
      <c r="F323" s="55"/>
      <c r="G323" s="56"/>
      <c r="H323" s="31" t="n">
        <f aca="false">B323+C323</f>
        <v>0</v>
      </c>
      <c r="I323" s="31" t="n">
        <f aca="false">MAX(0,H323-D323-E323)</f>
        <v>0</v>
      </c>
      <c r="J323" s="32" t="n">
        <f aca="false">B323*P1_PVP+C323*P2_PVP</f>
        <v>0</v>
      </c>
      <c r="K323" s="32" t="str">
        <f aca="false">IF(H323&gt;0,J323/H323,"")</f>
        <v/>
      </c>
      <c r="L323" s="32" t="str">
        <f aca="false">IF(H323&gt;0,F323/H323,"")</f>
        <v/>
      </c>
      <c r="M323" s="57" t="str">
        <f aca="false">IF(F323&gt;0,J323/F323,"")</f>
        <v/>
      </c>
      <c r="N323" s="34" t="str">
        <f aca="false">IF(D323+E323&gt;0,D323/(D323+E323),"")</f>
        <v/>
      </c>
      <c r="O323" s="33" t="n">
        <f aca="false">IF(H323&gt;0,D323*(B323*(P1_BEN-P1_IVAN)+C323*(P2_BEN-P2_IVAN))/H323,0)-E323*(COSTE_DEV-IVA_DEV)-Y323</f>
        <v>0</v>
      </c>
      <c r="P323" s="33" t="n">
        <f aca="false">T323-U323-V323-W323-X323-Y323</f>
        <v>0</v>
      </c>
      <c r="R323" s="58" t="n">
        <f aca="false">D323+I323*TASA_USADA</f>
        <v>0</v>
      </c>
      <c r="S323" s="58" t="n">
        <f aca="false">E323+I323*(1-TASA_USADA)</f>
        <v>0</v>
      </c>
      <c r="T323" s="59" t="n">
        <f aca="false">IF(H323&gt;0,R323*J323/H323,0)</f>
        <v>0</v>
      </c>
      <c r="U323" s="59" t="n">
        <f aca="false">IF(H323&gt;0,R323*(B323*P1_CPROD+C323*P2_CPROD)/H323,0)</f>
        <v>0</v>
      </c>
      <c r="V323" s="59" t="n">
        <f aca="false">IF(H323&gt;0,R323*(B323*P1_LOG+C323*P2_LOG)/H323,0)</f>
        <v>0</v>
      </c>
      <c r="W323" s="59" t="n">
        <f aca="false">S323*COSTE_DEV</f>
        <v>0</v>
      </c>
      <c r="X323" s="59" t="n">
        <f aca="false">IF(H323&gt;0,R323*(B323*P1_IVAN+C323*P2_IVAN)/H323,0)-S323*IVA_DEV</f>
        <v>0</v>
      </c>
      <c r="Y323" s="59" t="n">
        <f aca="false">F323*(1+RECARGO_ADS)</f>
        <v>0</v>
      </c>
    </row>
    <row r="324" customFormat="false" ht="15" hidden="false" customHeight="false" outlineLevel="0" collapsed="false">
      <c r="A324" s="53" t="n">
        <v>46618</v>
      </c>
      <c r="B324" s="54"/>
      <c r="C324" s="54"/>
      <c r="D324" s="54"/>
      <c r="E324" s="54"/>
      <c r="F324" s="55"/>
      <c r="G324" s="56"/>
      <c r="H324" s="31" t="n">
        <f aca="false">B324+C324</f>
        <v>0</v>
      </c>
      <c r="I324" s="31" t="n">
        <f aca="false">MAX(0,H324-D324-E324)</f>
        <v>0</v>
      </c>
      <c r="J324" s="32" t="n">
        <f aca="false">B324*P1_PVP+C324*P2_PVP</f>
        <v>0</v>
      </c>
      <c r="K324" s="32" t="str">
        <f aca="false">IF(H324&gt;0,J324/H324,"")</f>
        <v/>
      </c>
      <c r="L324" s="32" t="str">
        <f aca="false">IF(H324&gt;0,F324/H324,"")</f>
        <v/>
      </c>
      <c r="M324" s="57" t="str">
        <f aca="false">IF(F324&gt;0,J324/F324,"")</f>
        <v/>
      </c>
      <c r="N324" s="34" t="str">
        <f aca="false">IF(D324+E324&gt;0,D324/(D324+E324),"")</f>
        <v/>
      </c>
      <c r="O324" s="33" t="n">
        <f aca="false">IF(H324&gt;0,D324*(B324*(P1_BEN-P1_IVAN)+C324*(P2_BEN-P2_IVAN))/H324,0)-E324*(COSTE_DEV-IVA_DEV)-Y324</f>
        <v>0</v>
      </c>
      <c r="P324" s="33" t="n">
        <f aca="false">T324-U324-V324-W324-X324-Y324</f>
        <v>0</v>
      </c>
      <c r="R324" s="58" t="n">
        <f aca="false">D324+I324*TASA_USADA</f>
        <v>0</v>
      </c>
      <c r="S324" s="58" t="n">
        <f aca="false">E324+I324*(1-TASA_USADA)</f>
        <v>0</v>
      </c>
      <c r="T324" s="59" t="n">
        <f aca="false">IF(H324&gt;0,R324*J324/H324,0)</f>
        <v>0</v>
      </c>
      <c r="U324" s="59" t="n">
        <f aca="false">IF(H324&gt;0,R324*(B324*P1_CPROD+C324*P2_CPROD)/H324,0)</f>
        <v>0</v>
      </c>
      <c r="V324" s="59" t="n">
        <f aca="false">IF(H324&gt;0,R324*(B324*P1_LOG+C324*P2_LOG)/H324,0)</f>
        <v>0</v>
      </c>
      <c r="W324" s="59" t="n">
        <f aca="false">S324*COSTE_DEV</f>
        <v>0</v>
      </c>
      <c r="X324" s="59" t="n">
        <f aca="false">IF(H324&gt;0,R324*(B324*P1_IVAN+C324*P2_IVAN)/H324,0)-S324*IVA_DEV</f>
        <v>0</v>
      </c>
      <c r="Y324" s="59" t="n">
        <f aca="false">F324*(1+RECARGO_ADS)</f>
        <v>0</v>
      </c>
    </row>
    <row r="325" customFormat="false" ht="15" hidden="false" customHeight="false" outlineLevel="0" collapsed="false">
      <c r="A325" s="53" t="n">
        <v>46619</v>
      </c>
      <c r="B325" s="54"/>
      <c r="C325" s="54"/>
      <c r="D325" s="54"/>
      <c r="E325" s="54"/>
      <c r="F325" s="55"/>
      <c r="G325" s="56"/>
      <c r="H325" s="31" t="n">
        <f aca="false">B325+C325</f>
        <v>0</v>
      </c>
      <c r="I325" s="31" t="n">
        <f aca="false">MAX(0,H325-D325-E325)</f>
        <v>0</v>
      </c>
      <c r="J325" s="32" t="n">
        <f aca="false">B325*P1_PVP+C325*P2_PVP</f>
        <v>0</v>
      </c>
      <c r="K325" s="32" t="str">
        <f aca="false">IF(H325&gt;0,J325/H325,"")</f>
        <v/>
      </c>
      <c r="L325" s="32" t="str">
        <f aca="false">IF(H325&gt;0,F325/H325,"")</f>
        <v/>
      </c>
      <c r="M325" s="57" t="str">
        <f aca="false">IF(F325&gt;0,J325/F325,"")</f>
        <v/>
      </c>
      <c r="N325" s="34" t="str">
        <f aca="false">IF(D325+E325&gt;0,D325/(D325+E325),"")</f>
        <v/>
      </c>
      <c r="O325" s="33" t="n">
        <f aca="false">IF(H325&gt;0,D325*(B325*(P1_BEN-P1_IVAN)+C325*(P2_BEN-P2_IVAN))/H325,0)-E325*(COSTE_DEV-IVA_DEV)-Y325</f>
        <v>0</v>
      </c>
      <c r="P325" s="33" t="n">
        <f aca="false">T325-U325-V325-W325-X325-Y325</f>
        <v>0</v>
      </c>
      <c r="R325" s="58" t="n">
        <f aca="false">D325+I325*TASA_USADA</f>
        <v>0</v>
      </c>
      <c r="S325" s="58" t="n">
        <f aca="false">E325+I325*(1-TASA_USADA)</f>
        <v>0</v>
      </c>
      <c r="T325" s="59" t="n">
        <f aca="false">IF(H325&gt;0,R325*J325/H325,0)</f>
        <v>0</v>
      </c>
      <c r="U325" s="59" t="n">
        <f aca="false">IF(H325&gt;0,R325*(B325*P1_CPROD+C325*P2_CPROD)/H325,0)</f>
        <v>0</v>
      </c>
      <c r="V325" s="59" t="n">
        <f aca="false">IF(H325&gt;0,R325*(B325*P1_LOG+C325*P2_LOG)/H325,0)</f>
        <v>0</v>
      </c>
      <c r="W325" s="59" t="n">
        <f aca="false">S325*COSTE_DEV</f>
        <v>0</v>
      </c>
      <c r="X325" s="59" t="n">
        <f aca="false">IF(H325&gt;0,R325*(B325*P1_IVAN+C325*P2_IVAN)/H325,0)-S325*IVA_DEV</f>
        <v>0</v>
      </c>
      <c r="Y325" s="59" t="n">
        <f aca="false">F325*(1+RECARGO_ADS)</f>
        <v>0</v>
      </c>
    </row>
    <row r="326" customFormat="false" ht="15" hidden="false" customHeight="false" outlineLevel="0" collapsed="false">
      <c r="A326" s="53" t="n">
        <v>46620</v>
      </c>
      <c r="B326" s="54"/>
      <c r="C326" s="54"/>
      <c r="D326" s="54"/>
      <c r="E326" s="54"/>
      <c r="F326" s="55"/>
      <c r="G326" s="56"/>
      <c r="H326" s="31" t="n">
        <f aca="false">B326+C326</f>
        <v>0</v>
      </c>
      <c r="I326" s="31" t="n">
        <f aca="false">MAX(0,H326-D326-E326)</f>
        <v>0</v>
      </c>
      <c r="J326" s="32" t="n">
        <f aca="false">B326*P1_PVP+C326*P2_PVP</f>
        <v>0</v>
      </c>
      <c r="K326" s="32" t="str">
        <f aca="false">IF(H326&gt;0,J326/H326,"")</f>
        <v/>
      </c>
      <c r="L326" s="32" t="str">
        <f aca="false">IF(H326&gt;0,F326/H326,"")</f>
        <v/>
      </c>
      <c r="M326" s="57" t="str">
        <f aca="false">IF(F326&gt;0,J326/F326,"")</f>
        <v/>
      </c>
      <c r="N326" s="34" t="str">
        <f aca="false">IF(D326+E326&gt;0,D326/(D326+E326),"")</f>
        <v/>
      </c>
      <c r="O326" s="33" t="n">
        <f aca="false">IF(H326&gt;0,D326*(B326*(P1_BEN-P1_IVAN)+C326*(P2_BEN-P2_IVAN))/H326,0)-E326*(COSTE_DEV-IVA_DEV)-Y326</f>
        <v>0</v>
      </c>
      <c r="P326" s="33" t="n">
        <f aca="false">T326-U326-V326-W326-X326-Y326</f>
        <v>0</v>
      </c>
      <c r="R326" s="58" t="n">
        <f aca="false">D326+I326*TASA_USADA</f>
        <v>0</v>
      </c>
      <c r="S326" s="58" t="n">
        <f aca="false">E326+I326*(1-TASA_USADA)</f>
        <v>0</v>
      </c>
      <c r="T326" s="59" t="n">
        <f aca="false">IF(H326&gt;0,R326*J326/H326,0)</f>
        <v>0</v>
      </c>
      <c r="U326" s="59" t="n">
        <f aca="false">IF(H326&gt;0,R326*(B326*P1_CPROD+C326*P2_CPROD)/H326,0)</f>
        <v>0</v>
      </c>
      <c r="V326" s="59" t="n">
        <f aca="false">IF(H326&gt;0,R326*(B326*P1_LOG+C326*P2_LOG)/H326,0)</f>
        <v>0</v>
      </c>
      <c r="W326" s="59" t="n">
        <f aca="false">S326*COSTE_DEV</f>
        <v>0</v>
      </c>
      <c r="X326" s="59" t="n">
        <f aca="false">IF(H326&gt;0,R326*(B326*P1_IVAN+C326*P2_IVAN)/H326,0)-S326*IVA_DEV</f>
        <v>0</v>
      </c>
      <c r="Y326" s="59" t="n">
        <f aca="false">F326*(1+RECARGO_ADS)</f>
        <v>0</v>
      </c>
    </row>
    <row r="327" customFormat="false" ht="15" hidden="false" customHeight="false" outlineLevel="0" collapsed="false">
      <c r="A327" s="53" t="n">
        <v>46621</v>
      </c>
      <c r="B327" s="54"/>
      <c r="C327" s="54"/>
      <c r="D327" s="54"/>
      <c r="E327" s="54"/>
      <c r="F327" s="55"/>
      <c r="G327" s="56"/>
      <c r="H327" s="31" t="n">
        <f aca="false">B327+C327</f>
        <v>0</v>
      </c>
      <c r="I327" s="31" t="n">
        <f aca="false">MAX(0,H327-D327-E327)</f>
        <v>0</v>
      </c>
      <c r="J327" s="32" t="n">
        <f aca="false">B327*P1_PVP+C327*P2_PVP</f>
        <v>0</v>
      </c>
      <c r="K327" s="32" t="str">
        <f aca="false">IF(H327&gt;0,J327/H327,"")</f>
        <v/>
      </c>
      <c r="L327" s="32" t="str">
        <f aca="false">IF(H327&gt;0,F327/H327,"")</f>
        <v/>
      </c>
      <c r="M327" s="57" t="str">
        <f aca="false">IF(F327&gt;0,J327/F327,"")</f>
        <v/>
      </c>
      <c r="N327" s="34" t="str">
        <f aca="false">IF(D327+E327&gt;0,D327/(D327+E327),"")</f>
        <v/>
      </c>
      <c r="O327" s="33" t="n">
        <f aca="false">IF(H327&gt;0,D327*(B327*(P1_BEN-P1_IVAN)+C327*(P2_BEN-P2_IVAN))/H327,0)-E327*(COSTE_DEV-IVA_DEV)-Y327</f>
        <v>0</v>
      </c>
      <c r="P327" s="33" t="n">
        <f aca="false">T327-U327-V327-W327-X327-Y327</f>
        <v>0</v>
      </c>
      <c r="R327" s="58" t="n">
        <f aca="false">D327+I327*TASA_USADA</f>
        <v>0</v>
      </c>
      <c r="S327" s="58" t="n">
        <f aca="false">E327+I327*(1-TASA_USADA)</f>
        <v>0</v>
      </c>
      <c r="T327" s="59" t="n">
        <f aca="false">IF(H327&gt;0,R327*J327/H327,0)</f>
        <v>0</v>
      </c>
      <c r="U327" s="59" t="n">
        <f aca="false">IF(H327&gt;0,R327*(B327*P1_CPROD+C327*P2_CPROD)/H327,0)</f>
        <v>0</v>
      </c>
      <c r="V327" s="59" t="n">
        <f aca="false">IF(H327&gt;0,R327*(B327*P1_LOG+C327*P2_LOG)/H327,0)</f>
        <v>0</v>
      </c>
      <c r="W327" s="59" t="n">
        <f aca="false">S327*COSTE_DEV</f>
        <v>0</v>
      </c>
      <c r="X327" s="59" t="n">
        <f aca="false">IF(H327&gt;0,R327*(B327*P1_IVAN+C327*P2_IVAN)/H327,0)-S327*IVA_DEV</f>
        <v>0</v>
      </c>
      <c r="Y327" s="59" t="n">
        <f aca="false">F327*(1+RECARGO_ADS)</f>
        <v>0</v>
      </c>
    </row>
    <row r="328" customFormat="false" ht="15" hidden="false" customHeight="false" outlineLevel="0" collapsed="false">
      <c r="A328" s="53" t="n">
        <v>46622</v>
      </c>
      <c r="B328" s="54"/>
      <c r="C328" s="54"/>
      <c r="D328" s="54"/>
      <c r="E328" s="54"/>
      <c r="F328" s="55"/>
      <c r="G328" s="56"/>
      <c r="H328" s="31" t="n">
        <f aca="false">B328+C328</f>
        <v>0</v>
      </c>
      <c r="I328" s="31" t="n">
        <f aca="false">MAX(0,H328-D328-E328)</f>
        <v>0</v>
      </c>
      <c r="J328" s="32" t="n">
        <f aca="false">B328*P1_PVP+C328*P2_PVP</f>
        <v>0</v>
      </c>
      <c r="K328" s="32" t="str">
        <f aca="false">IF(H328&gt;0,J328/H328,"")</f>
        <v/>
      </c>
      <c r="L328" s="32" t="str">
        <f aca="false">IF(H328&gt;0,F328/H328,"")</f>
        <v/>
      </c>
      <c r="M328" s="57" t="str">
        <f aca="false">IF(F328&gt;0,J328/F328,"")</f>
        <v/>
      </c>
      <c r="N328" s="34" t="str">
        <f aca="false">IF(D328+E328&gt;0,D328/(D328+E328),"")</f>
        <v/>
      </c>
      <c r="O328" s="33" t="n">
        <f aca="false">IF(H328&gt;0,D328*(B328*(P1_BEN-P1_IVAN)+C328*(P2_BEN-P2_IVAN))/H328,0)-E328*(COSTE_DEV-IVA_DEV)-Y328</f>
        <v>0</v>
      </c>
      <c r="P328" s="33" t="n">
        <f aca="false">T328-U328-V328-W328-X328-Y328</f>
        <v>0</v>
      </c>
      <c r="R328" s="58" t="n">
        <f aca="false">D328+I328*TASA_USADA</f>
        <v>0</v>
      </c>
      <c r="S328" s="58" t="n">
        <f aca="false">E328+I328*(1-TASA_USADA)</f>
        <v>0</v>
      </c>
      <c r="T328" s="59" t="n">
        <f aca="false">IF(H328&gt;0,R328*J328/H328,0)</f>
        <v>0</v>
      </c>
      <c r="U328" s="59" t="n">
        <f aca="false">IF(H328&gt;0,R328*(B328*P1_CPROD+C328*P2_CPROD)/H328,0)</f>
        <v>0</v>
      </c>
      <c r="V328" s="59" t="n">
        <f aca="false">IF(H328&gt;0,R328*(B328*P1_LOG+C328*P2_LOG)/H328,0)</f>
        <v>0</v>
      </c>
      <c r="W328" s="59" t="n">
        <f aca="false">S328*COSTE_DEV</f>
        <v>0</v>
      </c>
      <c r="X328" s="59" t="n">
        <f aca="false">IF(H328&gt;0,R328*(B328*P1_IVAN+C328*P2_IVAN)/H328,0)-S328*IVA_DEV</f>
        <v>0</v>
      </c>
      <c r="Y328" s="59" t="n">
        <f aca="false">F328*(1+RECARGO_ADS)</f>
        <v>0</v>
      </c>
    </row>
    <row r="329" customFormat="false" ht="15" hidden="false" customHeight="false" outlineLevel="0" collapsed="false">
      <c r="A329" s="53" t="n">
        <v>46623</v>
      </c>
      <c r="B329" s="54"/>
      <c r="C329" s="54"/>
      <c r="D329" s="54"/>
      <c r="E329" s="54"/>
      <c r="F329" s="55"/>
      <c r="G329" s="56"/>
      <c r="H329" s="31" t="n">
        <f aca="false">B329+C329</f>
        <v>0</v>
      </c>
      <c r="I329" s="31" t="n">
        <f aca="false">MAX(0,H329-D329-E329)</f>
        <v>0</v>
      </c>
      <c r="J329" s="32" t="n">
        <f aca="false">B329*P1_PVP+C329*P2_PVP</f>
        <v>0</v>
      </c>
      <c r="K329" s="32" t="str">
        <f aca="false">IF(H329&gt;0,J329/H329,"")</f>
        <v/>
      </c>
      <c r="L329" s="32" t="str">
        <f aca="false">IF(H329&gt;0,F329/H329,"")</f>
        <v/>
      </c>
      <c r="M329" s="57" t="str">
        <f aca="false">IF(F329&gt;0,J329/F329,"")</f>
        <v/>
      </c>
      <c r="N329" s="34" t="str">
        <f aca="false">IF(D329+E329&gt;0,D329/(D329+E329),"")</f>
        <v/>
      </c>
      <c r="O329" s="33" t="n">
        <f aca="false">IF(H329&gt;0,D329*(B329*(P1_BEN-P1_IVAN)+C329*(P2_BEN-P2_IVAN))/H329,0)-E329*(COSTE_DEV-IVA_DEV)-Y329</f>
        <v>0</v>
      </c>
      <c r="P329" s="33" t="n">
        <f aca="false">T329-U329-V329-W329-X329-Y329</f>
        <v>0</v>
      </c>
      <c r="R329" s="58" t="n">
        <f aca="false">D329+I329*TASA_USADA</f>
        <v>0</v>
      </c>
      <c r="S329" s="58" t="n">
        <f aca="false">E329+I329*(1-TASA_USADA)</f>
        <v>0</v>
      </c>
      <c r="T329" s="59" t="n">
        <f aca="false">IF(H329&gt;0,R329*J329/H329,0)</f>
        <v>0</v>
      </c>
      <c r="U329" s="59" t="n">
        <f aca="false">IF(H329&gt;0,R329*(B329*P1_CPROD+C329*P2_CPROD)/H329,0)</f>
        <v>0</v>
      </c>
      <c r="V329" s="59" t="n">
        <f aca="false">IF(H329&gt;0,R329*(B329*P1_LOG+C329*P2_LOG)/H329,0)</f>
        <v>0</v>
      </c>
      <c r="W329" s="59" t="n">
        <f aca="false">S329*COSTE_DEV</f>
        <v>0</v>
      </c>
      <c r="X329" s="59" t="n">
        <f aca="false">IF(H329&gt;0,R329*(B329*P1_IVAN+C329*P2_IVAN)/H329,0)-S329*IVA_DEV</f>
        <v>0</v>
      </c>
      <c r="Y329" s="59" t="n">
        <f aca="false">F329*(1+RECARGO_ADS)</f>
        <v>0</v>
      </c>
    </row>
    <row r="330" customFormat="false" ht="15" hidden="false" customHeight="false" outlineLevel="0" collapsed="false">
      <c r="A330" s="53" t="n">
        <v>46624</v>
      </c>
      <c r="B330" s="54"/>
      <c r="C330" s="54"/>
      <c r="D330" s="54"/>
      <c r="E330" s="54"/>
      <c r="F330" s="55"/>
      <c r="G330" s="56"/>
      <c r="H330" s="31" t="n">
        <f aca="false">B330+C330</f>
        <v>0</v>
      </c>
      <c r="I330" s="31" t="n">
        <f aca="false">MAX(0,H330-D330-E330)</f>
        <v>0</v>
      </c>
      <c r="J330" s="32" t="n">
        <f aca="false">B330*P1_PVP+C330*P2_PVP</f>
        <v>0</v>
      </c>
      <c r="K330" s="32" t="str">
        <f aca="false">IF(H330&gt;0,J330/H330,"")</f>
        <v/>
      </c>
      <c r="L330" s="32" t="str">
        <f aca="false">IF(H330&gt;0,F330/H330,"")</f>
        <v/>
      </c>
      <c r="M330" s="57" t="str">
        <f aca="false">IF(F330&gt;0,J330/F330,"")</f>
        <v/>
      </c>
      <c r="N330" s="34" t="str">
        <f aca="false">IF(D330+E330&gt;0,D330/(D330+E330),"")</f>
        <v/>
      </c>
      <c r="O330" s="33" t="n">
        <f aca="false">IF(H330&gt;0,D330*(B330*(P1_BEN-P1_IVAN)+C330*(P2_BEN-P2_IVAN))/H330,0)-E330*(COSTE_DEV-IVA_DEV)-Y330</f>
        <v>0</v>
      </c>
      <c r="P330" s="33" t="n">
        <f aca="false">T330-U330-V330-W330-X330-Y330</f>
        <v>0</v>
      </c>
      <c r="R330" s="58" t="n">
        <f aca="false">D330+I330*TASA_USADA</f>
        <v>0</v>
      </c>
      <c r="S330" s="58" t="n">
        <f aca="false">E330+I330*(1-TASA_USADA)</f>
        <v>0</v>
      </c>
      <c r="T330" s="59" t="n">
        <f aca="false">IF(H330&gt;0,R330*J330/H330,0)</f>
        <v>0</v>
      </c>
      <c r="U330" s="59" t="n">
        <f aca="false">IF(H330&gt;0,R330*(B330*P1_CPROD+C330*P2_CPROD)/H330,0)</f>
        <v>0</v>
      </c>
      <c r="V330" s="59" t="n">
        <f aca="false">IF(H330&gt;0,R330*(B330*P1_LOG+C330*P2_LOG)/H330,0)</f>
        <v>0</v>
      </c>
      <c r="W330" s="59" t="n">
        <f aca="false">S330*COSTE_DEV</f>
        <v>0</v>
      </c>
      <c r="X330" s="59" t="n">
        <f aca="false">IF(H330&gt;0,R330*(B330*P1_IVAN+C330*P2_IVAN)/H330,0)-S330*IVA_DEV</f>
        <v>0</v>
      </c>
      <c r="Y330" s="59" t="n">
        <f aca="false">F330*(1+RECARGO_ADS)</f>
        <v>0</v>
      </c>
    </row>
    <row r="331" customFormat="false" ht="15" hidden="false" customHeight="false" outlineLevel="0" collapsed="false">
      <c r="A331" s="53" t="n">
        <v>46625</v>
      </c>
      <c r="B331" s="54"/>
      <c r="C331" s="54"/>
      <c r="D331" s="54"/>
      <c r="E331" s="54"/>
      <c r="F331" s="55"/>
      <c r="G331" s="56"/>
      <c r="H331" s="31" t="n">
        <f aca="false">B331+C331</f>
        <v>0</v>
      </c>
      <c r="I331" s="31" t="n">
        <f aca="false">MAX(0,H331-D331-E331)</f>
        <v>0</v>
      </c>
      <c r="J331" s="32" t="n">
        <f aca="false">B331*P1_PVP+C331*P2_PVP</f>
        <v>0</v>
      </c>
      <c r="K331" s="32" t="str">
        <f aca="false">IF(H331&gt;0,J331/H331,"")</f>
        <v/>
      </c>
      <c r="L331" s="32" t="str">
        <f aca="false">IF(H331&gt;0,F331/H331,"")</f>
        <v/>
      </c>
      <c r="M331" s="57" t="str">
        <f aca="false">IF(F331&gt;0,J331/F331,"")</f>
        <v/>
      </c>
      <c r="N331" s="34" t="str">
        <f aca="false">IF(D331+E331&gt;0,D331/(D331+E331),"")</f>
        <v/>
      </c>
      <c r="O331" s="33" t="n">
        <f aca="false">IF(H331&gt;0,D331*(B331*(P1_BEN-P1_IVAN)+C331*(P2_BEN-P2_IVAN))/H331,0)-E331*(COSTE_DEV-IVA_DEV)-Y331</f>
        <v>0</v>
      </c>
      <c r="P331" s="33" t="n">
        <f aca="false">T331-U331-V331-W331-X331-Y331</f>
        <v>0</v>
      </c>
      <c r="R331" s="58" t="n">
        <f aca="false">D331+I331*TASA_USADA</f>
        <v>0</v>
      </c>
      <c r="S331" s="58" t="n">
        <f aca="false">E331+I331*(1-TASA_USADA)</f>
        <v>0</v>
      </c>
      <c r="T331" s="59" t="n">
        <f aca="false">IF(H331&gt;0,R331*J331/H331,0)</f>
        <v>0</v>
      </c>
      <c r="U331" s="59" t="n">
        <f aca="false">IF(H331&gt;0,R331*(B331*P1_CPROD+C331*P2_CPROD)/H331,0)</f>
        <v>0</v>
      </c>
      <c r="V331" s="59" t="n">
        <f aca="false">IF(H331&gt;0,R331*(B331*P1_LOG+C331*P2_LOG)/H331,0)</f>
        <v>0</v>
      </c>
      <c r="W331" s="59" t="n">
        <f aca="false">S331*COSTE_DEV</f>
        <v>0</v>
      </c>
      <c r="X331" s="59" t="n">
        <f aca="false">IF(H331&gt;0,R331*(B331*P1_IVAN+C331*P2_IVAN)/H331,0)-S331*IVA_DEV</f>
        <v>0</v>
      </c>
      <c r="Y331" s="59" t="n">
        <f aca="false">F331*(1+RECARGO_ADS)</f>
        <v>0</v>
      </c>
    </row>
    <row r="332" customFormat="false" ht="15" hidden="false" customHeight="false" outlineLevel="0" collapsed="false">
      <c r="A332" s="53" t="n">
        <v>46626</v>
      </c>
      <c r="B332" s="54"/>
      <c r="C332" s="54"/>
      <c r="D332" s="54"/>
      <c r="E332" s="54"/>
      <c r="F332" s="55"/>
      <c r="G332" s="56"/>
      <c r="H332" s="31" t="n">
        <f aca="false">B332+C332</f>
        <v>0</v>
      </c>
      <c r="I332" s="31" t="n">
        <f aca="false">MAX(0,H332-D332-E332)</f>
        <v>0</v>
      </c>
      <c r="J332" s="32" t="n">
        <f aca="false">B332*P1_PVP+C332*P2_PVP</f>
        <v>0</v>
      </c>
      <c r="K332" s="32" t="str">
        <f aca="false">IF(H332&gt;0,J332/H332,"")</f>
        <v/>
      </c>
      <c r="L332" s="32" t="str">
        <f aca="false">IF(H332&gt;0,F332/H332,"")</f>
        <v/>
      </c>
      <c r="M332" s="57" t="str">
        <f aca="false">IF(F332&gt;0,J332/F332,"")</f>
        <v/>
      </c>
      <c r="N332" s="34" t="str">
        <f aca="false">IF(D332+E332&gt;0,D332/(D332+E332),"")</f>
        <v/>
      </c>
      <c r="O332" s="33" t="n">
        <f aca="false">IF(H332&gt;0,D332*(B332*(P1_BEN-P1_IVAN)+C332*(P2_BEN-P2_IVAN))/H332,0)-E332*(COSTE_DEV-IVA_DEV)-Y332</f>
        <v>0</v>
      </c>
      <c r="P332" s="33" t="n">
        <f aca="false">T332-U332-V332-W332-X332-Y332</f>
        <v>0</v>
      </c>
      <c r="R332" s="58" t="n">
        <f aca="false">D332+I332*TASA_USADA</f>
        <v>0</v>
      </c>
      <c r="S332" s="58" t="n">
        <f aca="false">E332+I332*(1-TASA_USADA)</f>
        <v>0</v>
      </c>
      <c r="T332" s="59" t="n">
        <f aca="false">IF(H332&gt;0,R332*J332/H332,0)</f>
        <v>0</v>
      </c>
      <c r="U332" s="59" t="n">
        <f aca="false">IF(H332&gt;0,R332*(B332*P1_CPROD+C332*P2_CPROD)/H332,0)</f>
        <v>0</v>
      </c>
      <c r="V332" s="59" t="n">
        <f aca="false">IF(H332&gt;0,R332*(B332*P1_LOG+C332*P2_LOG)/H332,0)</f>
        <v>0</v>
      </c>
      <c r="W332" s="59" t="n">
        <f aca="false">S332*COSTE_DEV</f>
        <v>0</v>
      </c>
      <c r="X332" s="59" t="n">
        <f aca="false">IF(H332&gt;0,R332*(B332*P1_IVAN+C332*P2_IVAN)/H332,0)-S332*IVA_DEV</f>
        <v>0</v>
      </c>
      <c r="Y332" s="59" t="n">
        <f aca="false">F332*(1+RECARGO_ADS)</f>
        <v>0</v>
      </c>
    </row>
    <row r="333" customFormat="false" ht="15" hidden="false" customHeight="false" outlineLevel="0" collapsed="false">
      <c r="A333" s="53" t="n">
        <v>46627</v>
      </c>
      <c r="B333" s="54"/>
      <c r="C333" s="54"/>
      <c r="D333" s="54"/>
      <c r="E333" s="54"/>
      <c r="F333" s="55"/>
      <c r="G333" s="56"/>
      <c r="H333" s="31" t="n">
        <f aca="false">B333+C333</f>
        <v>0</v>
      </c>
      <c r="I333" s="31" t="n">
        <f aca="false">MAX(0,H333-D333-E333)</f>
        <v>0</v>
      </c>
      <c r="J333" s="32" t="n">
        <f aca="false">B333*P1_PVP+C333*P2_PVP</f>
        <v>0</v>
      </c>
      <c r="K333" s="32" t="str">
        <f aca="false">IF(H333&gt;0,J333/H333,"")</f>
        <v/>
      </c>
      <c r="L333" s="32" t="str">
        <f aca="false">IF(H333&gt;0,F333/H333,"")</f>
        <v/>
      </c>
      <c r="M333" s="57" t="str">
        <f aca="false">IF(F333&gt;0,J333/F333,"")</f>
        <v/>
      </c>
      <c r="N333" s="34" t="str">
        <f aca="false">IF(D333+E333&gt;0,D333/(D333+E333),"")</f>
        <v/>
      </c>
      <c r="O333" s="33" t="n">
        <f aca="false">IF(H333&gt;0,D333*(B333*(P1_BEN-P1_IVAN)+C333*(P2_BEN-P2_IVAN))/H333,0)-E333*(COSTE_DEV-IVA_DEV)-Y333</f>
        <v>0</v>
      </c>
      <c r="P333" s="33" t="n">
        <f aca="false">T333-U333-V333-W333-X333-Y333</f>
        <v>0</v>
      </c>
      <c r="R333" s="58" t="n">
        <f aca="false">D333+I333*TASA_USADA</f>
        <v>0</v>
      </c>
      <c r="S333" s="58" t="n">
        <f aca="false">E333+I333*(1-TASA_USADA)</f>
        <v>0</v>
      </c>
      <c r="T333" s="59" t="n">
        <f aca="false">IF(H333&gt;0,R333*J333/H333,0)</f>
        <v>0</v>
      </c>
      <c r="U333" s="59" t="n">
        <f aca="false">IF(H333&gt;0,R333*(B333*P1_CPROD+C333*P2_CPROD)/H333,0)</f>
        <v>0</v>
      </c>
      <c r="V333" s="59" t="n">
        <f aca="false">IF(H333&gt;0,R333*(B333*P1_LOG+C333*P2_LOG)/H333,0)</f>
        <v>0</v>
      </c>
      <c r="W333" s="59" t="n">
        <f aca="false">S333*COSTE_DEV</f>
        <v>0</v>
      </c>
      <c r="X333" s="59" t="n">
        <f aca="false">IF(H333&gt;0,R333*(B333*P1_IVAN+C333*P2_IVAN)/H333,0)-S333*IVA_DEV</f>
        <v>0</v>
      </c>
      <c r="Y333" s="59" t="n">
        <f aca="false">F333*(1+RECARGO_ADS)</f>
        <v>0</v>
      </c>
    </row>
    <row r="334" customFormat="false" ht="15" hidden="false" customHeight="false" outlineLevel="0" collapsed="false">
      <c r="A334" s="53" t="n">
        <v>46628</v>
      </c>
      <c r="B334" s="54"/>
      <c r="C334" s="54"/>
      <c r="D334" s="54"/>
      <c r="E334" s="54"/>
      <c r="F334" s="55"/>
      <c r="G334" s="56"/>
      <c r="H334" s="31" t="n">
        <f aca="false">B334+C334</f>
        <v>0</v>
      </c>
      <c r="I334" s="31" t="n">
        <f aca="false">MAX(0,H334-D334-E334)</f>
        <v>0</v>
      </c>
      <c r="J334" s="32" t="n">
        <f aca="false">B334*P1_PVP+C334*P2_PVP</f>
        <v>0</v>
      </c>
      <c r="K334" s="32" t="str">
        <f aca="false">IF(H334&gt;0,J334/H334,"")</f>
        <v/>
      </c>
      <c r="L334" s="32" t="str">
        <f aca="false">IF(H334&gt;0,F334/H334,"")</f>
        <v/>
      </c>
      <c r="M334" s="57" t="str">
        <f aca="false">IF(F334&gt;0,J334/F334,"")</f>
        <v/>
      </c>
      <c r="N334" s="34" t="str">
        <f aca="false">IF(D334+E334&gt;0,D334/(D334+E334),"")</f>
        <v/>
      </c>
      <c r="O334" s="33" t="n">
        <f aca="false">IF(H334&gt;0,D334*(B334*(P1_BEN-P1_IVAN)+C334*(P2_BEN-P2_IVAN))/H334,0)-E334*(COSTE_DEV-IVA_DEV)-Y334</f>
        <v>0</v>
      </c>
      <c r="P334" s="33" t="n">
        <f aca="false">T334-U334-V334-W334-X334-Y334</f>
        <v>0</v>
      </c>
      <c r="R334" s="58" t="n">
        <f aca="false">D334+I334*TASA_USADA</f>
        <v>0</v>
      </c>
      <c r="S334" s="58" t="n">
        <f aca="false">E334+I334*(1-TASA_USADA)</f>
        <v>0</v>
      </c>
      <c r="T334" s="59" t="n">
        <f aca="false">IF(H334&gt;0,R334*J334/H334,0)</f>
        <v>0</v>
      </c>
      <c r="U334" s="59" t="n">
        <f aca="false">IF(H334&gt;0,R334*(B334*P1_CPROD+C334*P2_CPROD)/H334,0)</f>
        <v>0</v>
      </c>
      <c r="V334" s="59" t="n">
        <f aca="false">IF(H334&gt;0,R334*(B334*P1_LOG+C334*P2_LOG)/H334,0)</f>
        <v>0</v>
      </c>
      <c r="W334" s="59" t="n">
        <f aca="false">S334*COSTE_DEV</f>
        <v>0</v>
      </c>
      <c r="X334" s="59" t="n">
        <f aca="false">IF(H334&gt;0,R334*(B334*P1_IVAN+C334*P2_IVAN)/H334,0)-S334*IVA_DEV</f>
        <v>0</v>
      </c>
      <c r="Y334" s="59" t="n">
        <f aca="false">F334*(1+RECARGO_ADS)</f>
        <v>0</v>
      </c>
    </row>
    <row r="335" customFormat="false" ht="15" hidden="false" customHeight="false" outlineLevel="0" collapsed="false">
      <c r="A335" s="53" t="n">
        <v>46629</v>
      </c>
      <c r="B335" s="54"/>
      <c r="C335" s="54"/>
      <c r="D335" s="54"/>
      <c r="E335" s="54"/>
      <c r="F335" s="55"/>
      <c r="G335" s="56"/>
      <c r="H335" s="31" t="n">
        <f aca="false">B335+C335</f>
        <v>0</v>
      </c>
      <c r="I335" s="31" t="n">
        <f aca="false">MAX(0,H335-D335-E335)</f>
        <v>0</v>
      </c>
      <c r="J335" s="32" t="n">
        <f aca="false">B335*P1_PVP+C335*P2_PVP</f>
        <v>0</v>
      </c>
      <c r="K335" s="32" t="str">
        <f aca="false">IF(H335&gt;0,J335/H335,"")</f>
        <v/>
      </c>
      <c r="L335" s="32" t="str">
        <f aca="false">IF(H335&gt;0,F335/H335,"")</f>
        <v/>
      </c>
      <c r="M335" s="57" t="str">
        <f aca="false">IF(F335&gt;0,J335/F335,"")</f>
        <v/>
      </c>
      <c r="N335" s="34" t="str">
        <f aca="false">IF(D335+E335&gt;0,D335/(D335+E335),"")</f>
        <v/>
      </c>
      <c r="O335" s="33" t="n">
        <f aca="false">IF(H335&gt;0,D335*(B335*(P1_BEN-P1_IVAN)+C335*(P2_BEN-P2_IVAN))/H335,0)-E335*(COSTE_DEV-IVA_DEV)-Y335</f>
        <v>0</v>
      </c>
      <c r="P335" s="33" t="n">
        <f aca="false">T335-U335-V335-W335-X335-Y335</f>
        <v>0</v>
      </c>
      <c r="R335" s="58" t="n">
        <f aca="false">D335+I335*TASA_USADA</f>
        <v>0</v>
      </c>
      <c r="S335" s="58" t="n">
        <f aca="false">E335+I335*(1-TASA_USADA)</f>
        <v>0</v>
      </c>
      <c r="T335" s="59" t="n">
        <f aca="false">IF(H335&gt;0,R335*J335/H335,0)</f>
        <v>0</v>
      </c>
      <c r="U335" s="59" t="n">
        <f aca="false">IF(H335&gt;0,R335*(B335*P1_CPROD+C335*P2_CPROD)/H335,0)</f>
        <v>0</v>
      </c>
      <c r="V335" s="59" t="n">
        <f aca="false">IF(H335&gt;0,R335*(B335*P1_LOG+C335*P2_LOG)/H335,0)</f>
        <v>0</v>
      </c>
      <c r="W335" s="59" t="n">
        <f aca="false">S335*COSTE_DEV</f>
        <v>0</v>
      </c>
      <c r="X335" s="59" t="n">
        <f aca="false">IF(H335&gt;0,R335*(B335*P1_IVAN+C335*P2_IVAN)/H335,0)-S335*IVA_DEV</f>
        <v>0</v>
      </c>
      <c r="Y335" s="59" t="n">
        <f aca="false">F335*(1+RECARGO_ADS)</f>
        <v>0</v>
      </c>
    </row>
    <row r="336" customFormat="false" ht="15" hidden="false" customHeight="false" outlineLevel="0" collapsed="false">
      <c r="A336" s="53" t="n">
        <v>46630</v>
      </c>
      <c r="B336" s="54"/>
      <c r="C336" s="54"/>
      <c r="D336" s="54"/>
      <c r="E336" s="54"/>
      <c r="F336" s="55"/>
      <c r="G336" s="56"/>
      <c r="H336" s="31" t="n">
        <f aca="false">B336+C336</f>
        <v>0</v>
      </c>
      <c r="I336" s="31" t="n">
        <f aca="false">MAX(0,H336-D336-E336)</f>
        <v>0</v>
      </c>
      <c r="J336" s="32" t="n">
        <f aca="false">B336*P1_PVP+C336*P2_PVP</f>
        <v>0</v>
      </c>
      <c r="K336" s="32" t="str">
        <f aca="false">IF(H336&gt;0,J336/H336,"")</f>
        <v/>
      </c>
      <c r="L336" s="32" t="str">
        <f aca="false">IF(H336&gt;0,F336/H336,"")</f>
        <v/>
      </c>
      <c r="M336" s="57" t="str">
        <f aca="false">IF(F336&gt;0,J336/F336,"")</f>
        <v/>
      </c>
      <c r="N336" s="34" t="str">
        <f aca="false">IF(D336+E336&gt;0,D336/(D336+E336),"")</f>
        <v/>
      </c>
      <c r="O336" s="33" t="n">
        <f aca="false">IF(H336&gt;0,D336*(B336*(P1_BEN-P1_IVAN)+C336*(P2_BEN-P2_IVAN))/H336,0)-E336*(COSTE_DEV-IVA_DEV)-Y336</f>
        <v>0</v>
      </c>
      <c r="P336" s="33" t="n">
        <f aca="false">T336-U336-V336-W336-X336-Y336</f>
        <v>0</v>
      </c>
      <c r="R336" s="58" t="n">
        <f aca="false">D336+I336*TASA_USADA</f>
        <v>0</v>
      </c>
      <c r="S336" s="58" t="n">
        <f aca="false">E336+I336*(1-TASA_USADA)</f>
        <v>0</v>
      </c>
      <c r="T336" s="59" t="n">
        <f aca="false">IF(H336&gt;0,R336*J336/H336,0)</f>
        <v>0</v>
      </c>
      <c r="U336" s="59" t="n">
        <f aca="false">IF(H336&gt;0,R336*(B336*P1_CPROD+C336*P2_CPROD)/H336,0)</f>
        <v>0</v>
      </c>
      <c r="V336" s="59" t="n">
        <f aca="false">IF(H336&gt;0,R336*(B336*P1_LOG+C336*P2_LOG)/H336,0)</f>
        <v>0</v>
      </c>
      <c r="W336" s="59" t="n">
        <f aca="false">S336*COSTE_DEV</f>
        <v>0</v>
      </c>
      <c r="X336" s="59" t="n">
        <f aca="false">IF(H336&gt;0,R336*(B336*P1_IVAN+C336*P2_IVAN)/H336,0)-S336*IVA_DEV</f>
        <v>0</v>
      </c>
      <c r="Y336" s="59" t="n">
        <f aca="false">F336*(1+RECARGO_ADS)</f>
        <v>0</v>
      </c>
    </row>
    <row r="337" customFormat="false" ht="15" hidden="false" customHeight="false" outlineLevel="0" collapsed="false">
      <c r="A337" s="53" t="n">
        <v>46631</v>
      </c>
      <c r="B337" s="54"/>
      <c r="C337" s="54"/>
      <c r="D337" s="54"/>
      <c r="E337" s="54"/>
      <c r="F337" s="55"/>
      <c r="G337" s="56"/>
      <c r="H337" s="31" t="n">
        <f aca="false">B337+C337</f>
        <v>0</v>
      </c>
      <c r="I337" s="31" t="n">
        <f aca="false">MAX(0,H337-D337-E337)</f>
        <v>0</v>
      </c>
      <c r="J337" s="32" t="n">
        <f aca="false">B337*P1_PVP+C337*P2_PVP</f>
        <v>0</v>
      </c>
      <c r="K337" s="32" t="str">
        <f aca="false">IF(H337&gt;0,J337/H337,"")</f>
        <v/>
      </c>
      <c r="L337" s="32" t="str">
        <f aca="false">IF(H337&gt;0,F337/H337,"")</f>
        <v/>
      </c>
      <c r="M337" s="57" t="str">
        <f aca="false">IF(F337&gt;0,J337/F337,"")</f>
        <v/>
      </c>
      <c r="N337" s="34" t="str">
        <f aca="false">IF(D337+E337&gt;0,D337/(D337+E337),"")</f>
        <v/>
      </c>
      <c r="O337" s="33" t="n">
        <f aca="false">IF(H337&gt;0,D337*(B337*(P1_BEN-P1_IVAN)+C337*(P2_BEN-P2_IVAN))/H337,0)-E337*(COSTE_DEV-IVA_DEV)-Y337</f>
        <v>0</v>
      </c>
      <c r="P337" s="33" t="n">
        <f aca="false">T337-U337-V337-W337-X337-Y337</f>
        <v>0</v>
      </c>
      <c r="R337" s="58" t="n">
        <f aca="false">D337+I337*TASA_USADA</f>
        <v>0</v>
      </c>
      <c r="S337" s="58" t="n">
        <f aca="false">E337+I337*(1-TASA_USADA)</f>
        <v>0</v>
      </c>
      <c r="T337" s="59" t="n">
        <f aca="false">IF(H337&gt;0,R337*J337/H337,0)</f>
        <v>0</v>
      </c>
      <c r="U337" s="59" t="n">
        <f aca="false">IF(H337&gt;0,R337*(B337*P1_CPROD+C337*P2_CPROD)/H337,0)</f>
        <v>0</v>
      </c>
      <c r="V337" s="59" t="n">
        <f aca="false">IF(H337&gt;0,R337*(B337*P1_LOG+C337*P2_LOG)/H337,0)</f>
        <v>0</v>
      </c>
      <c r="W337" s="59" t="n">
        <f aca="false">S337*COSTE_DEV</f>
        <v>0</v>
      </c>
      <c r="X337" s="59" t="n">
        <f aca="false">IF(H337&gt;0,R337*(B337*P1_IVAN+C337*P2_IVAN)/H337,0)-S337*IVA_DEV</f>
        <v>0</v>
      </c>
      <c r="Y337" s="59" t="n">
        <f aca="false">F337*(1+RECARGO_ADS)</f>
        <v>0</v>
      </c>
    </row>
    <row r="338" customFormat="false" ht="15" hidden="false" customHeight="false" outlineLevel="0" collapsed="false">
      <c r="A338" s="53" t="n">
        <v>46632</v>
      </c>
      <c r="B338" s="54"/>
      <c r="C338" s="54"/>
      <c r="D338" s="54"/>
      <c r="E338" s="54"/>
      <c r="F338" s="55"/>
      <c r="G338" s="56"/>
      <c r="H338" s="31" t="n">
        <f aca="false">B338+C338</f>
        <v>0</v>
      </c>
      <c r="I338" s="31" t="n">
        <f aca="false">MAX(0,H338-D338-E338)</f>
        <v>0</v>
      </c>
      <c r="J338" s="32" t="n">
        <f aca="false">B338*P1_PVP+C338*P2_PVP</f>
        <v>0</v>
      </c>
      <c r="K338" s="32" t="str">
        <f aca="false">IF(H338&gt;0,J338/H338,"")</f>
        <v/>
      </c>
      <c r="L338" s="32" t="str">
        <f aca="false">IF(H338&gt;0,F338/H338,"")</f>
        <v/>
      </c>
      <c r="M338" s="57" t="str">
        <f aca="false">IF(F338&gt;0,J338/F338,"")</f>
        <v/>
      </c>
      <c r="N338" s="34" t="str">
        <f aca="false">IF(D338+E338&gt;0,D338/(D338+E338),"")</f>
        <v/>
      </c>
      <c r="O338" s="33" t="n">
        <f aca="false">IF(H338&gt;0,D338*(B338*(P1_BEN-P1_IVAN)+C338*(P2_BEN-P2_IVAN))/H338,0)-E338*(COSTE_DEV-IVA_DEV)-Y338</f>
        <v>0</v>
      </c>
      <c r="P338" s="33" t="n">
        <f aca="false">T338-U338-V338-W338-X338-Y338</f>
        <v>0</v>
      </c>
      <c r="R338" s="58" t="n">
        <f aca="false">D338+I338*TASA_USADA</f>
        <v>0</v>
      </c>
      <c r="S338" s="58" t="n">
        <f aca="false">E338+I338*(1-TASA_USADA)</f>
        <v>0</v>
      </c>
      <c r="T338" s="59" t="n">
        <f aca="false">IF(H338&gt;0,R338*J338/H338,0)</f>
        <v>0</v>
      </c>
      <c r="U338" s="59" t="n">
        <f aca="false">IF(H338&gt;0,R338*(B338*P1_CPROD+C338*P2_CPROD)/H338,0)</f>
        <v>0</v>
      </c>
      <c r="V338" s="59" t="n">
        <f aca="false">IF(H338&gt;0,R338*(B338*P1_LOG+C338*P2_LOG)/H338,0)</f>
        <v>0</v>
      </c>
      <c r="W338" s="59" t="n">
        <f aca="false">S338*COSTE_DEV</f>
        <v>0</v>
      </c>
      <c r="X338" s="59" t="n">
        <f aca="false">IF(H338&gt;0,R338*(B338*P1_IVAN+C338*P2_IVAN)/H338,0)-S338*IVA_DEV</f>
        <v>0</v>
      </c>
      <c r="Y338" s="59" t="n">
        <f aca="false">F338*(1+RECARGO_ADS)</f>
        <v>0</v>
      </c>
    </row>
    <row r="339" customFormat="false" ht="15" hidden="false" customHeight="false" outlineLevel="0" collapsed="false">
      <c r="A339" s="53" t="n">
        <v>46633</v>
      </c>
      <c r="B339" s="54"/>
      <c r="C339" s="54"/>
      <c r="D339" s="54"/>
      <c r="E339" s="54"/>
      <c r="F339" s="55"/>
      <c r="G339" s="56"/>
      <c r="H339" s="31" t="n">
        <f aca="false">B339+C339</f>
        <v>0</v>
      </c>
      <c r="I339" s="31" t="n">
        <f aca="false">MAX(0,H339-D339-E339)</f>
        <v>0</v>
      </c>
      <c r="J339" s="32" t="n">
        <f aca="false">B339*P1_PVP+C339*P2_PVP</f>
        <v>0</v>
      </c>
      <c r="K339" s="32" t="str">
        <f aca="false">IF(H339&gt;0,J339/H339,"")</f>
        <v/>
      </c>
      <c r="L339" s="32" t="str">
        <f aca="false">IF(H339&gt;0,F339/H339,"")</f>
        <v/>
      </c>
      <c r="M339" s="57" t="str">
        <f aca="false">IF(F339&gt;0,J339/F339,"")</f>
        <v/>
      </c>
      <c r="N339" s="34" t="str">
        <f aca="false">IF(D339+E339&gt;0,D339/(D339+E339),"")</f>
        <v/>
      </c>
      <c r="O339" s="33" t="n">
        <f aca="false">IF(H339&gt;0,D339*(B339*(P1_BEN-P1_IVAN)+C339*(P2_BEN-P2_IVAN))/H339,0)-E339*(COSTE_DEV-IVA_DEV)-Y339</f>
        <v>0</v>
      </c>
      <c r="P339" s="33" t="n">
        <f aca="false">T339-U339-V339-W339-X339-Y339</f>
        <v>0</v>
      </c>
      <c r="R339" s="58" t="n">
        <f aca="false">D339+I339*TASA_USADA</f>
        <v>0</v>
      </c>
      <c r="S339" s="58" t="n">
        <f aca="false">E339+I339*(1-TASA_USADA)</f>
        <v>0</v>
      </c>
      <c r="T339" s="59" t="n">
        <f aca="false">IF(H339&gt;0,R339*J339/H339,0)</f>
        <v>0</v>
      </c>
      <c r="U339" s="59" t="n">
        <f aca="false">IF(H339&gt;0,R339*(B339*P1_CPROD+C339*P2_CPROD)/H339,0)</f>
        <v>0</v>
      </c>
      <c r="V339" s="59" t="n">
        <f aca="false">IF(H339&gt;0,R339*(B339*P1_LOG+C339*P2_LOG)/H339,0)</f>
        <v>0</v>
      </c>
      <c r="W339" s="59" t="n">
        <f aca="false">S339*COSTE_DEV</f>
        <v>0</v>
      </c>
      <c r="X339" s="59" t="n">
        <f aca="false">IF(H339&gt;0,R339*(B339*P1_IVAN+C339*P2_IVAN)/H339,0)-S339*IVA_DEV</f>
        <v>0</v>
      </c>
      <c r="Y339" s="59" t="n">
        <f aca="false">F339*(1+RECARGO_ADS)</f>
        <v>0</v>
      </c>
    </row>
    <row r="340" customFormat="false" ht="15" hidden="false" customHeight="false" outlineLevel="0" collapsed="false">
      <c r="A340" s="53" t="n">
        <v>46634</v>
      </c>
      <c r="B340" s="54"/>
      <c r="C340" s="54"/>
      <c r="D340" s="54"/>
      <c r="E340" s="54"/>
      <c r="F340" s="55"/>
      <c r="G340" s="56"/>
      <c r="H340" s="31" t="n">
        <f aca="false">B340+C340</f>
        <v>0</v>
      </c>
      <c r="I340" s="31" t="n">
        <f aca="false">MAX(0,H340-D340-E340)</f>
        <v>0</v>
      </c>
      <c r="J340" s="32" t="n">
        <f aca="false">B340*P1_PVP+C340*P2_PVP</f>
        <v>0</v>
      </c>
      <c r="K340" s="32" t="str">
        <f aca="false">IF(H340&gt;0,J340/H340,"")</f>
        <v/>
      </c>
      <c r="L340" s="32" t="str">
        <f aca="false">IF(H340&gt;0,F340/H340,"")</f>
        <v/>
      </c>
      <c r="M340" s="57" t="str">
        <f aca="false">IF(F340&gt;0,J340/F340,"")</f>
        <v/>
      </c>
      <c r="N340" s="34" t="str">
        <f aca="false">IF(D340+E340&gt;0,D340/(D340+E340),"")</f>
        <v/>
      </c>
      <c r="O340" s="33" t="n">
        <f aca="false">IF(H340&gt;0,D340*(B340*(P1_BEN-P1_IVAN)+C340*(P2_BEN-P2_IVAN))/H340,0)-E340*(COSTE_DEV-IVA_DEV)-Y340</f>
        <v>0</v>
      </c>
      <c r="P340" s="33" t="n">
        <f aca="false">T340-U340-V340-W340-X340-Y340</f>
        <v>0</v>
      </c>
      <c r="R340" s="58" t="n">
        <f aca="false">D340+I340*TASA_USADA</f>
        <v>0</v>
      </c>
      <c r="S340" s="58" t="n">
        <f aca="false">E340+I340*(1-TASA_USADA)</f>
        <v>0</v>
      </c>
      <c r="T340" s="59" t="n">
        <f aca="false">IF(H340&gt;0,R340*J340/H340,0)</f>
        <v>0</v>
      </c>
      <c r="U340" s="59" t="n">
        <f aca="false">IF(H340&gt;0,R340*(B340*P1_CPROD+C340*P2_CPROD)/H340,0)</f>
        <v>0</v>
      </c>
      <c r="V340" s="59" t="n">
        <f aca="false">IF(H340&gt;0,R340*(B340*P1_LOG+C340*P2_LOG)/H340,0)</f>
        <v>0</v>
      </c>
      <c r="W340" s="59" t="n">
        <f aca="false">S340*COSTE_DEV</f>
        <v>0</v>
      </c>
      <c r="X340" s="59" t="n">
        <f aca="false">IF(H340&gt;0,R340*(B340*P1_IVAN+C340*P2_IVAN)/H340,0)-S340*IVA_DEV</f>
        <v>0</v>
      </c>
      <c r="Y340" s="59" t="n">
        <f aca="false">F340*(1+RECARGO_ADS)</f>
        <v>0</v>
      </c>
    </row>
    <row r="341" customFormat="false" ht="15" hidden="false" customHeight="false" outlineLevel="0" collapsed="false">
      <c r="A341" s="53" t="n">
        <v>46635</v>
      </c>
      <c r="B341" s="54"/>
      <c r="C341" s="54"/>
      <c r="D341" s="54"/>
      <c r="E341" s="54"/>
      <c r="F341" s="55"/>
      <c r="G341" s="56"/>
      <c r="H341" s="31" t="n">
        <f aca="false">B341+C341</f>
        <v>0</v>
      </c>
      <c r="I341" s="31" t="n">
        <f aca="false">MAX(0,H341-D341-E341)</f>
        <v>0</v>
      </c>
      <c r="J341" s="32" t="n">
        <f aca="false">B341*P1_PVP+C341*P2_PVP</f>
        <v>0</v>
      </c>
      <c r="K341" s="32" t="str">
        <f aca="false">IF(H341&gt;0,J341/H341,"")</f>
        <v/>
      </c>
      <c r="L341" s="32" t="str">
        <f aca="false">IF(H341&gt;0,F341/H341,"")</f>
        <v/>
      </c>
      <c r="M341" s="57" t="str">
        <f aca="false">IF(F341&gt;0,J341/F341,"")</f>
        <v/>
      </c>
      <c r="N341" s="34" t="str">
        <f aca="false">IF(D341+E341&gt;0,D341/(D341+E341),"")</f>
        <v/>
      </c>
      <c r="O341" s="33" t="n">
        <f aca="false">IF(H341&gt;0,D341*(B341*(P1_BEN-P1_IVAN)+C341*(P2_BEN-P2_IVAN))/H341,0)-E341*(COSTE_DEV-IVA_DEV)-Y341</f>
        <v>0</v>
      </c>
      <c r="P341" s="33" t="n">
        <f aca="false">T341-U341-V341-W341-X341-Y341</f>
        <v>0</v>
      </c>
      <c r="R341" s="58" t="n">
        <f aca="false">D341+I341*TASA_USADA</f>
        <v>0</v>
      </c>
      <c r="S341" s="58" t="n">
        <f aca="false">E341+I341*(1-TASA_USADA)</f>
        <v>0</v>
      </c>
      <c r="T341" s="59" t="n">
        <f aca="false">IF(H341&gt;0,R341*J341/H341,0)</f>
        <v>0</v>
      </c>
      <c r="U341" s="59" t="n">
        <f aca="false">IF(H341&gt;0,R341*(B341*P1_CPROD+C341*P2_CPROD)/H341,0)</f>
        <v>0</v>
      </c>
      <c r="V341" s="59" t="n">
        <f aca="false">IF(H341&gt;0,R341*(B341*P1_LOG+C341*P2_LOG)/H341,0)</f>
        <v>0</v>
      </c>
      <c r="W341" s="59" t="n">
        <f aca="false">S341*COSTE_DEV</f>
        <v>0</v>
      </c>
      <c r="X341" s="59" t="n">
        <f aca="false">IF(H341&gt;0,R341*(B341*P1_IVAN+C341*P2_IVAN)/H341,0)-S341*IVA_DEV</f>
        <v>0</v>
      </c>
      <c r="Y341" s="59" t="n">
        <f aca="false">F341*(1+RECARGO_ADS)</f>
        <v>0</v>
      </c>
    </row>
    <row r="342" customFormat="false" ht="15" hidden="false" customHeight="false" outlineLevel="0" collapsed="false">
      <c r="A342" s="53" t="n">
        <v>46636</v>
      </c>
      <c r="B342" s="54"/>
      <c r="C342" s="54"/>
      <c r="D342" s="54"/>
      <c r="E342" s="54"/>
      <c r="F342" s="55"/>
      <c r="G342" s="56"/>
      <c r="H342" s="31" t="n">
        <f aca="false">B342+C342</f>
        <v>0</v>
      </c>
      <c r="I342" s="31" t="n">
        <f aca="false">MAX(0,H342-D342-E342)</f>
        <v>0</v>
      </c>
      <c r="J342" s="32" t="n">
        <f aca="false">B342*P1_PVP+C342*P2_PVP</f>
        <v>0</v>
      </c>
      <c r="K342" s="32" t="str">
        <f aca="false">IF(H342&gt;0,J342/H342,"")</f>
        <v/>
      </c>
      <c r="L342" s="32" t="str">
        <f aca="false">IF(H342&gt;0,F342/H342,"")</f>
        <v/>
      </c>
      <c r="M342" s="57" t="str">
        <f aca="false">IF(F342&gt;0,J342/F342,"")</f>
        <v/>
      </c>
      <c r="N342" s="34" t="str">
        <f aca="false">IF(D342+E342&gt;0,D342/(D342+E342),"")</f>
        <v/>
      </c>
      <c r="O342" s="33" t="n">
        <f aca="false">IF(H342&gt;0,D342*(B342*(P1_BEN-P1_IVAN)+C342*(P2_BEN-P2_IVAN))/H342,0)-E342*(COSTE_DEV-IVA_DEV)-Y342</f>
        <v>0</v>
      </c>
      <c r="P342" s="33" t="n">
        <f aca="false">T342-U342-V342-W342-X342-Y342</f>
        <v>0</v>
      </c>
      <c r="R342" s="58" t="n">
        <f aca="false">D342+I342*TASA_USADA</f>
        <v>0</v>
      </c>
      <c r="S342" s="58" t="n">
        <f aca="false">E342+I342*(1-TASA_USADA)</f>
        <v>0</v>
      </c>
      <c r="T342" s="59" t="n">
        <f aca="false">IF(H342&gt;0,R342*J342/H342,0)</f>
        <v>0</v>
      </c>
      <c r="U342" s="59" t="n">
        <f aca="false">IF(H342&gt;0,R342*(B342*P1_CPROD+C342*P2_CPROD)/H342,0)</f>
        <v>0</v>
      </c>
      <c r="V342" s="59" t="n">
        <f aca="false">IF(H342&gt;0,R342*(B342*P1_LOG+C342*P2_LOG)/H342,0)</f>
        <v>0</v>
      </c>
      <c r="W342" s="59" t="n">
        <f aca="false">S342*COSTE_DEV</f>
        <v>0</v>
      </c>
      <c r="X342" s="59" t="n">
        <f aca="false">IF(H342&gt;0,R342*(B342*P1_IVAN+C342*P2_IVAN)/H342,0)-S342*IVA_DEV</f>
        <v>0</v>
      </c>
      <c r="Y342" s="59" t="n">
        <f aca="false">F342*(1+RECARGO_ADS)</f>
        <v>0</v>
      </c>
    </row>
    <row r="343" customFormat="false" ht="15" hidden="false" customHeight="false" outlineLevel="0" collapsed="false">
      <c r="A343" s="53" t="n">
        <v>46637</v>
      </c>
      <c r="B343" s="54"/>
      <c r="C343" s="54"/>
      <c r="D343" s="54"/>
      <c r="E343" s="54"/>
      <c r="F343" s="55"/>
      <c r="G343" s="56"/>
      <c r="H343" s="31" t="n">
        <f aca="false">B343+C343</f>
        <v>0</v>
      </c>
      <c r="I343" s="31" t="n">
        <f aca="false">MAX(0,H343-D343-E343)</f>
        <v>0</v>
      </c>
      <c r="J343" s="32" t="n">
        <f aca="false">B343*P1_PVP+C343*P2_PVP</f>
        <v>0</v>
      </c>
      <c r="K343" s="32" t="str">
        <f aca="false">IF(H343&gt;0,J343/H343,"")</f>
        <v/>
      </c>
      <c r="L343" s="32" t="str">
        <f aca="false">IF(H343&gt;0,F343/H343,"")</f>
        <v/>
      </c>
      <c r="M343" s="57" t="str">
        <f aca="false">IF(F343&gt;0,J343/F343,"")</f>
        <v/>
      </c>
      <c r="N343" s="34" t="str">
        <f aca="false">IF(D343+E343&gt;0,D343/(D343+E343),"")</f>
        <v/>
      </c>
      <c r="O343" s="33" t="n">
        <f aca="false">IF(H343&gt;0,D343*(B343*(P1_BEN-P1_IVAN)+C343*(P2_BEN-P2_IVAN))/H343,0)-E343*(COSTE_DEV-IVA_DEV)-Y343</f>
        <v>0</v>
      </c>
      <c r="P343" s="33" t="n">
        <f aca="false">T343-U343-V343-W343-X343-Y343</f>
        <v>0</v>
      </c>
      <c r="R343" s="58" t="n">
        <f aca="false">D343+I343*TASA_USADA</f>
        <v>0</v>
      </c>
      <c r="S343" s="58" t="n">
        <f aca="false">E343+I343*(1-TASA_USADA)</f>
        <v>0</v>
      </c>
      <c r="T343" s="59" t="n">
        <f aca="false">IF(H343&gt;0,R343*J343/H343,0)</f>
        <v>0</v>
      </c>
      <c r="U343" s="59" t="n">
        <f aca="false">IF(H343&gt;0,R343*(B343*P1_CPROD+C343*P2_CPROD)/H343,0)</f>
        <v>0</v>
      </c>
      <c r="V343" s="59" t="n">
        <f aca="false">IF(H343&gt;0,R343*(B343*P1_LOG+C343*P2_LOG)/H343,0)</f>
        <v>0</v>
      </c>
      <c r="W343" s="59" t="n">
        <f aca="false">S343*COSTE_DEV</f>
        <v>0</v>
      </c>
      <c r="X343" s="59" t="n">
        <f aca="false">IF(H343&gt;0,R343*(B343*P1_IVAN+C343*P2_IVAN)/H343,0)-S343*IVA_DEV</f>
        <v>0</v>
      </c>
      <c r="Y343" s="59" t="n">
        <f aca="false">F343*(1+RECARGO_ADS)</f>
        <v>0</v>
      </c>
    </row>
    <row r="344" customFormat="false" ht="15" hidden="false" customHeight="false" outlineLevel="0" collapsed="false">
      <c r="A344" s="53" t="n">
        <v>46638</v>
      </c>
      <c r="B344" s="54"/>
      <c r="C344" s="54"/>
      <c r="D344" s="54"/>
      <c r="E344" s="54"/>
      <c r="F344" s="55"/>
      <c r="G344" s="56"/>
      <c r="H344" s="31" t="n">
        <f aca="false">B344+C344</f>
        <v>0</v>
      </c>
      <c r="I344" s="31" t="n">
        <f aca="false">MAX(0,H344-D344-E344)</f>
        <v>0</v>
      </c>
      <c r="J344" s="32" t="n">
        <f aca="false">B344*P1_PVP+C344*P2_PVP</f>
        <v>0</v>
      </c>
      <c r="K344" s="32" t="str">
        <f aca="false">IF(H344&gt;0,J344/H344,"")</f>
        <v/>
      </c>
      <c r="L344" s="32" t="str">
        <f aca="false">IF(H344&gt;0,F344/H344,"")</f>
        <v/>
      </c>
      <c r="M344" s="57" t="str">
        <f aca="false">IF(F344&gt;0,J344/F344,"")</f>
        <v/>
      </c>
      <c r="N344" s="34" t="str">
        <f aca="false">IF(D344+E344&gt;0,D344/(D344+E344),"")</f>
        <v/>
      </c>
      <c r="O344" s="33" t="n">
        <f aca="false">IF(H344&gt;0,D344*(B344*(P1_BEN-P1_IVAN)+C344*(P2_BEN-P2_IVAN))/H344,0)-E344*(COSTE_DEV-IVA_DEV)-Y344</f>
        <v>0</v>
      </c>
      <c r="P344" s="33" t="n">
        <f aca="false">T344-U344-V344-W344-X344-Y344</f>
        <v>0</v>
      </c>
      <c r="R344" s="58" t="n">
        <f aca="false">D344+I344*TASA_USADA</f>
        <v>0</v>
      </c>
      <c r="S344" s="58" t="n">
        <f aca="false">E344+I344*(1-TASA_USADA)</f>
        <v>0</v>
      </c>
      <c r="T344" s="59" t="n">
        <f aca="false">IF(H344&gt;0,R344*J344/H344,0)</f>
        <v>0</v>
      </c>
      <c r="U344" s="59" t="n">
        <f aca="false">IF(H344&gt;0,R344*(B344*P1_CPROD+C344*P2_CPROD)/H344,0)</f>
        <v>0</v>
      </c>
      <c r="V344" s="59" t="n">
        <f aca="false">IF(H344&gt;0,R344*(B344*P1_LOG+C344*P2_LOG)/H344,0)</f>
        <v>0</v>
      </c>
      <c r="W344" s="59" t="n">
        <f aca="false">S344*COSTE_DEV</f>
        <v>0</v>
      </c>
      <c r="X344" s="59" t="n">
        <f aca="false">IF(H344&gt;0,R344*(B344*P1_IVAN+C344*P2_IVAN)/H344,0)-S344*IVA_DEV</f>
        <v>0</v>
      </c>
      <c r="Y344" s="59" t="n">
        <f aca="false">F344*(1+RECARGO_ADS)</f>
        <v>0</v>
      </c>
    </row>
    <row r="345" customFormat="false" ht="15" hidden="false" customHeight="false" outlineLevel="0" collapsed="false">
      <c r="A345" s="53" t="n">
        <v>46639</v>
      </c>
      <c r="B345" s="54"/>
      <c r="C345" s="54"/>
      <c r="D345" s="54"/>
      <c r="E345" s="54"/>
      <c r="F345" s="55"/>
      <c r="G345" s="56"/>
      <c r="H345" s="31" t="n">
        <f aca="false">B345+C345</f>
        <v>0</v>
      </c>
      <c r="I345" s="31" t="n">
        <f aca="false">MAX(0,H345-D345-E345)</f>
        <v>0</v>
      </c>
      <c r="J345" s="32" t="n">
        <f aca="false">B345*P1_PVP+C345*P2_PVP</f>
        <v>0</v>
      </c>
      <c r="K345" s="32" t="str">
        <f aca="false">IF(H345&gt;0,J345/H345,"")</f>
        <v/>
      </c>
      <c r="L345" s="32" t="str">
        <f aca="false">IF(H345&gt;0,F345/H345,"")</f>
        <v/>
      </c>
      <c r="M345" s="57" t="str">
        <f aca="false">IF(F345&gt;0,J345/F345,"")</f>
        <v/>
      </c>
      <c r="N345" s="34" t="str">
        <f aca="false">IF(D345+E345&gt;0,D345/(D345+E345),"")</f>
        <v/>
      </c>
      <c r="O345" s="33" t="n">
        <f aca="false">IF(H345&gt;0,D345*(B345*(P1_BEN-P1_IVAN)+C345*(P2_BEN-P2_IVAN))/H345,0)-E345*(COSTE_DEV-IVA_DEV)-Y345</f>
        <v>0</v>
      </c>
      <c r="P345" s="33" t="n">
        <f aca="false">T345-U345-V345-W345-X345-Y345</f>
        <v>0</v>
      </c>
      <c r="R345" s="58" t="n">
        <f aca="false">D345+I345*TASA_USADA</f>
        <v>0</v>
      </c>
      <c r="S345" s="58" t="n">
        <f aca="false">E345+I345*(1-TASA_USADA)</f>
        <v>0</v>
      </c>
      <c r="T345" s="59" t="n">
        <f aca="false">IF(H345&gt;0,R345*J345/H345,0)</f>
        <v>0</v>
      </c>
      <c r="U345" s="59" t="n">
        <f aca="false">IF(H345&gt;0,R345*(B345*P1_CPROD+C345*P2_CPROD)/H345,0)</f>
        <v>0</v>
      </c>
      <c r="V345" s="59" t="n">
        <f aca="false">IF(H345&gt;0,R345*(B345*P1_LOG+C345*P2_LOG)/H345,0)</f>
        <v>0</v>
      </c>
      <c r="W345" s="59" t="n">
        <f aca="false">S345*COSTE_DEV</f>
        <v>0</v>
      </c>
      <c r="X345" s="59" t="n">
        <f aca="false">IF(H345&gt;0,R345*(B345*P1_IVAN+C345*P2_IVAN)/H345,0)-S345*IVA_DEV</f>
        <v>0</v>
      </c>
      <c r="Y345" s="59" t="n">
        <f aca="false">F345*(1+RECARGO_ADS)</f>
        <v>0</v>
      </c>
    </row>
    <row r="346" customFormat="false" ht="15" hidden="false" customHeight="false" outlineLevel="0" collapsed="false">
      <c r="A346" s="53" t="n">
        <v>46640</v>
      </c>
      <c r="B346" s="54"/>
      <c r="C346" s="54"/>
      <c r="D346" s="54"/>
      <c r="E346" s="54"/>
      <c r="F346" s="55"/>
      <c r="G346" s="56"/>
      <c r="H346" s="31" t="n">
        <f aca="false">B346+C346</f>
        <v>0</v>
      </c>
      <c r="I346" s="31" t="n">
        <f aca="false">MAX(0,H346-D346-E346)</f>
        <v>0</v>
      </c>
      <c r="J346" s="32" t="n">
        <f aca="false">B346*P1_PVP+C346*P2_PVP</f>
        <v>0</v>
      </c>
      <c r="K346" s="32" t="str">
        <f aca="false">IF(H346&gt;0,J346/H346,"")</f>
        <v/>
      </c>
      <c r="L346" s="32" t="str">
        <f aca="false">IF(H346&gt;0,F346/H346,"")</f>
        <v/>
      </c>
      <c r="M346" s="57" t="str">
        <f aca="false">IF(F346&gt;0,J346/F346,"")</f>
        <v/>
      </c>
      <c r="N346" s="34" t="str">
        <f aca="false">IF(D346+E346&gt;0,D346/(D346+E346),"")</f>
        <v/>
      </c>
      <c r="O346" s="33" t="n">
        <f aca="false">IF(H346&gt;0,D346*(B346*(P1_BEN-P1_IVAN)+C346*(P2_BEN-P2_IVAN))/H346,0)-E346*(COSTE_DEV-IVA_DEV)-Y346</f>
        <v>0</v>
      </c>
      <c r="P346" s="33" t="n">
        <f aca="false">T346-U346-V346-W346-X346-Y346</f>
        <v>0</v>
      </c>
      <c r="R346" s="58" t="n">
        <f aca="false">D346+I346*TASA_USADA</f>
        <v>0</v>
      </c>
      <c r="S346" s="58" t="n">
        <f aca="false">E346+I346*(1-TASA_USADA)</f>
        <v>0</v>
      </c>
      <c r="T346" s="59" t="n">
        <f aca="false">IF(H346&gt;0,R346*J346/H346,0)</f>
        <v>0</v>
      </c>
      <c r="U346" s="59" t="n">
        <f aca="false">IF(H346&gt;0,R346*(B346*P1_CPROD+C346*P2_CPROD)/H346,0)</f>
        <v>0</v>
      </c>
      <c r="V346" s="59" t="n">
        <f aca="false">IF(H346&gt;0,R346*(B346*P1_LOG+C346*P2_LOG)/H346,0)</f>
        <v>0</v>
      </c>
      <c r="W346" s="59" t="n">
        <f aca="false">S346*COSTE_DEV</f>
        <v>0</v>
      </c>
      <c r="X346" s="59" t="n">
        <f aca="false">IF(H346&gt;0,R346*(B346*P1_IVAN+C346*P2_IVAN)/H346,0)-S346*IVA_DEV</f>
        <v>0</v>
      </c>
      <c r="Y346" s="59" t="n">
        <f aca="false">F346*(1+RECARGO_ADS)</f>
        <v>0</v>
      </c>
    </row>
    <row r="347" customFormat="false" ht="15" hidden="false" customHeight="false" outlineLevel="0" collapsed="false">
      <c r="A347" s="53" t="n">
        <v>46641</v>
      </c>
      <c r="B347" s="54"/>
      <c r="C347" s="54"/>
      <c r="D347" s="54"/>
      <c r="E347" s="54"/>
      <c r="F347" s="55"/>
      <c r="G347" s="56"/>
      <c r="H347" s="31" t="n">
        <f aca="false">B347+C347</f>
        <v>0</v>
      </c>
      <c r="I347" s="31" t="n">
        <f aca="false">MAX(0,H347-D347-E347)</f>
        <v>0</v>
      </c>
      <c r="J347" s="32" t="n">
        <f aca="false">B347*P1_PVP+C347*P2_PVP</f>
        <v>0</v>
      </c>
      <c r="K347" s="32" t="str">
        <f aca="false">IF(H347&gt;0,J347/H347,"")</f>
        <v/>
      </c>
      <c r="L347" s="32" t="str">
        <f aca="false">IF(H347&gt;0,F347/H347,"")</f>
        <v/>
      </c>
      <c r="M347" s="57" t="str">
        <f aca="false">IF(F347&gt;0,J347/F347,"")</f>
        <v/>
      </c>
      <c r="N347" s="34" t="str">
        <f aca="false">IF(D347+E347&gt;0,D347/(D347+E347),"")</f>
        <v/>
      </c>
      <c r="O347" s="33" t="n">
        <f aca="false">IF(H347&gt;0,D347*(B347*(P1_BEN-P1_IVAN)+C347*(P2_BEN-P2_IVAN))/H347,0)-E347*(COSTE_DEV-IVA_DEV)-Y347</f>
        <v>0</v>
      </c>
      <c r="P347" s="33" t="n">
        <f aca="false">T347-U347-V347-W347-X347-Y347</f>
        <v>0</v>
      </c>
      <c r="R347" s="58" t="n">
        <f aca="false">D347+I347*TASA_USADA</f>
        <v>0</v>
      </c>
      <c r="S347" s="58" t="n">
        <f aca="false">E347+I347*(1-TASA_USADA)</f>
        <v>0</v>
      </c>
      <c r="T347" s="59" t="n">
        <f aca="false">IF(H347&gt;0,R347*J347/H347,0)</f>
        <v>0</v>
      </c>
      <c r="U347" s="59" t="n">
        <f aca="false">IF(H347&gt;0,R347*(B347*P1_CPROD+C347*P2_CPROD)/H347,0)</f>
        <v>0</v>
      </c>
      <c r="V347" s="59" t="n">
        <f aca="false">IF(H347&gt;0,R347*(B347*P1_LOG+C347*P2_LOG)/H347,0)</f>
        <v>0</v>
      </c>
      <c r="W347" s="59" t="n">
        <f aca="false">S347*COSTE_DEV</f>
        <v>0</v>
      </c>
      <c r="X347" s="59" t="n">
        <f aca="false">IF(H347&gt;0,R347*(B347*P1_IVAN+C347*P2_IVAN)/H347,0)-S347*IVA_DEV</f>
        <v>0</v>
      </c>
      <c r="Y347" s="59" t="n">
        <f aca="false">F347*(1+RECARGO_ADS)</f>
        <v>0</v>
      </c>
    </row>
    <row r="348" customFormat="false" ht="15" hidden="false" customHeight="false" outlineLevel="0" collapsed="false">
      <c r="A348" s="53" t="n">
        <v>46642</v>
      </c>
      <c r="B348" s="54"/>
      <c r="C348" s="54"/>
      <c r="D348" s="54"/>
      <c r="E348" s="54"/>
      <c r="F348" s="55"/>
      <c r="G348" s="56"/>
      <c r="H348" s="31" t="n">
        <f aca="false">B348+C348</f>
        <v>0</v>
      </c>
      <c r="I348" s="31" t="n">
        <f aca="false">MAX(0,H348-D348-E348)</f>
        <v>0</v>
      </c>
      <c r="J348" s="32" t="n">
        <f aca="false">B348*P1_PVP+C348*P2_PVP</f>
        <v>0</v>
      </c>
      <c r="K348" s="32" t="str">
        <f aca="false">IF(H348&gt;0,J348/H348,"")</f>
        <v/>
      </c>
      <c r="L348" s="32" t="str">
        <f aca="false">IF(H348&gt;0,F348/H348,"")</f>
        <v/>
      </c>
      <c r="M348" s="57" t="str">
        <f aca="false">IF(F348&gt;0,J348/F348,"")</f>
        <v/>
      </c>
      <c r="N348" s="34" t="str">
        <f aca="false">IF(D348+E348&gt;0,D348/(D348+E348),"")</f>
        <v/>
      </c>
      <c r="O348" s="33" t="n">
        <f aca="false">IF(H348&gt;0,D348*(B348*(P1_BEN-P1_IVAN)+C348*(P2_BEN-P2_IVAN))/H348,0)-E348*(COSTE_DEV-IVA_DEV)-Y348</f>
        <v>0</v>
      </c>
      <c r="P348" s="33" t="n">
        <f aca="false">T348-U348-V348-W348-X348-Y348</f>
        <v>0</v>
      </c>
      <c r="R348" s="58" t="n">
        <f aca="false">D348+I348*TASA_USADA</f>
        <v>0</v>
      </c>
      <c r="S348" s="58" t="n">
        <f aca="false">E348+I348*(1-TASA_USADA)</f>
        <v>0</v>
      </c>
      <c r="T348" s="59" t="n">
        <f aca="false">IF(H348&gt;0,R348*J348/H348,0)</f>
        <v>0</v>
      </c>
      <c r="U348" s="59" t="n">
        <f aca="false">IF(H348&gt;0,R348*(B348*P1_CPROD+C348*P2_CPROD)/H348,0)</f>
        <v>0</v>
      </c>
      <c r="V348" s="59" t="n">
        <f aca="false">IF(H348&gt;0,R348*(B348*P1_LOG+C348*P2_LOG)/H348,0)</f>
        <v>0</v>
      </c>
      <c r="W348" s="59" t="n">
        <f aca="false">S348*COSTE_DEV</f>
        <v>0</v>
      </c>
      <c r="X348" s="59" t="n">
        <f aca="false">IF(H348&gt;0,R348*(B348*P1_IVAN+C348*P2_IVAN)/H348,0)-S348*IVA_DEV</f>
        <v>0</v>
      </c>
      <c r="Y348" s="59" t="n">
        <f aca="false">F348*(1+RECARGO_ADS)</f>
        <v>0</v>
      </c>
    </row>
    <row r="349" customFormat="false" ht="15" hidden="false" customHeight="false" outlineLevel="0" collapsed="false">
      <c r="A349" s="53" t="n">
        <v>46643</v>
      </c>
      <c r="B349" s="54"/>
      <c r="C349" s="54"/>
      <c r="D349" s="54"/>
      <c r="E349" s="54"/>
      <c r="F349" s="55"/>
      <c r="G349" s="56"/>
      <c r="H349" s="31" t="n">
        <f aca="false">B349+C349</f>
        <v>0</v>
      </c>
      <c r="I349" s="31" t="n">
        <f aca="false">MAX(0,H349-D349-E349)</f>
        <v>0</v>
      </c>
      <c r="J349" s="32" t="n">
        <f aca="false">B349*P1_PVP+C349*P2_PVP</f>
        <v>0</v>
      </c>
      <c r="K349" s="32" t="str">
        <f aca="false">IF(H349&gt;0,J349/H349,"")</f>
        <v/>
      </c>
      <c r="L349" s="32" t="str">
        <f aca="false">IF(H349&gt;0,F349/H349,"")</f>
        <v/>
      </c>
      <c r="M349" s="57" t="str">
        <f aca="false">IF(F349&gt;0,J349/F349,"")</f>
        <v/>
      </c>
      <c r="N349" s="34" t="str">
        <f aca="false">IF(D349+E349&gt;0,D349/(D349+E349),"")</f>
        <v/>
      </c>
      <c r="O349" s="33" t="n">
        <f aca="false">IF(H349&gt;0,D349*(B349*(P1_BEN-P1_IVAN)+C349*(P2_BEN-P2_IVAN))/H349,0)-E349*(COSTE_DEV-IVA_DEV)-Y349</f>
        <v>0</v>
      </c>
      <c r="P349" s="33" t="n">
        <f aca="false">T349-U349-V349-W349-X349-Y349</f>
        <v>0</v>
      </c>
      <c r="R349" s="58" t="n">
        <f aca="false">D349+I349*TASA_USADA</f>
        <v>0</v>
      </c>
      <c r="S349" s="58" t="n">
        <f aca="false">E349+I349*(1-TASA_USADA)</f>
        <v>0</v>
      </c>
      <c r="T349" s="59" t="n">
        <f aca="false">IF(H349&gt;0,R349*J349/H349,0)</f>
        <v>0</v>
      </c>
      <c r="U349" s="59" t="n">
        <f aca="false">IF(H349&gt;0,R349*(B349*P1_CPROD+C349*P2_CPROD)/H349,0)</f>
        <v>0</v>
      </c>
      <c r="V349" s="59" t="n">
        <f aca="false">IF(H349&gt;0,R349*(B349*P1_LOG+C349*P2_LOG)/H349,0)</f>
        <v>0</v>
      </c>
      <c r="W349" s="59" t="n">
        <f aca="false">S349*COSTE_DEV</f>
        <v>0</v>
      </c>
      <c r="X349" s="59" t="n">
        <f aca="false">IF(H349&gt;0,R349*(B349*P1_IVAN+C349*P2_IVAN)/H349,0)-S349*IVA_DEV</f>
        <v>0</v>
      </c>
      <c r="Y349" s="59" t="n">
        <f aca="false">F349*(1+RECARGO_ADS)</f>
        <v>0</v>
      </c>
    </row>
    <row r="350" customFormat="false" ht="15" hidden="false" customHeight="false" outlineLevel="0" collapsed="false">
      <c r="A350" s="53" t="n">
        <v>46644</v>
      </c>
      <c r="B350" s="54"/>
      <c r="C350" s="54"/>
      <c r="D350" s="54"/>
      <c r="E350" s="54"/>
      <c r="F350" s="55"/>
      <c r="G350" s="56"/>
      <c r="H350" s="31" t="n">
        <f aca="false">B350+C350</f>
        <v>0</v>
      </c>
      <c r="I350" s="31" t="n">
        <f aca="false">MAX(0,H350-D350-E350)</f>
        <v>0</v>
      </c>
      <c r="J350" s="32" t="n">
        <f aca="false">B350*P1_PVP+C350*P2_PVP</f>
        <v>0</v>
      </c>
      <c r="K350" s="32" t="str">
        <f aca="false">IF(H350&gt;0,J350/H350,"")</f>
        <v/>
      </c>
      <c r="L350" s="32" t="str">
        <f aca="false">IF(H350&gt;0,F350/H350,"")</f>
        <v/>
      </c>
      <c r="M350" s="57" t="str">
        <f aca="false">IF(F350&gt;0,J350/F350,"")</f>
        <v/>
      </c>
      <c r="N350" s="34" t="str">
        <f aca="false">IF(D350+E350&gt;0,D350/(D350+E350),"")</f>
        <v/>
      </c>
      <c r="O350" s="33" t="n">
        <f aca="false">IF(H350&gt;0,D350*(B350*(P1_BEN-P1_IVAN)+C350*(P2_BEN-P2_IVAN))/H350,0)-E350*(COSTE_DEV-IVA_DEV)-Y350</f>
        <v>0</v>
      </c>
      <c r="P350" s="33" t="n">
        <f aca="false">T350-U350-V350-W350-X350-Y350</f>
        <v>0</v>
      </c>
      <c r="R350" s="58" t="n">
        <f aca="false">D350+I350*TASA_USADA</f>
        <v>0</v>
      </c>
      <c r="S350" s="58" t="n">
        <f aca="false">E350+I350*(1-TASA_USADA)</f>
        <v>0</v>
      </c>
      <c r="T350" s="59" t="n">
        <f aca="false">IF(H350&gt;0,R350*J350/H350,0)</f>
        <v>0</v>
      </c>
      <c r="U350" s="59" t="n">
        <f aca="false">IF(H350&gt;0,R350*(B350*P1_CPROD+C350*P2_CPROD)/H350,0)</f>
        <v>0</v>
      </c>
      <c r="V350" s="59" t="n">
        <f aca="false">IF(H350&gt;0,R350*(B350*P1_LOG+C350*P2_LOG)/H350,0)</f>
        <v>0</v>
      </c>
      <c r="W350" s="59" t="n">
        <f aca="false">S350*COSTE_DEV</f>
        <v>0</v>
      </c>
      <c r="X350" s="59" t="n">
        <f aca="false">IF(H350&gt;0,R350*(B350*P1_IVAN+C350*P2_IVAN)/H350,0)-S350*IVA_DEV</f>
        <v>0</v>
      </c>
      <c r="Y350" s="59" t="n">
        <f aca="false">F350*(1+RECARGO_ADS)</f>
        <v>0</v>
      </c>
    </row>
    <row r="351" customFormat="false" ht="15" hidden="false" customHeight="false" outlineLevel="0" collapsed="false">
      <c r="A351" s="53" t="n">
        <v>46645</v>
      </c>
      <c r="B351" s="54"/>
      <c r="C351" s="54"/>
      <c r="D351" s="54"/>
      <c r="E351" s="54"/>
      <c r="F351" s="55"/>
      <c r="G351" s="56"/>
      <c r="H351" s="31" t="n">
        <f aca="false">B351+C351</f>
        <v>0</v>
      </c>
      <c r="I351" s="31" t="n">
        <f aca="false">MAX(0,H351-D351-E351)</f>
        <v>0</v>
      </c>
      <c r="J351" s="32" t="n">
        <f aca="false">B351*P1_PVP+C351*P2_PVP</f>
        <v>0</v>
      </c>
      <c r="K351" s="32" t="str">
        <f aca="false">IF(H351&gt;0,J351/H351,"")</f>
        <v/>
      </c>
      <c r="L351" s="32" t="str">
        <f aca="false">IF(H351&gt;0,F351/H351,"")</f>
        <v/>
      </c>
      <c r="M351" s="57" t="str">
        <f aca="false">IF(F351&gt;0,J351/F351,"")</f>
        <v/>
      </c>
      <c r="N351" s="34" t="str">
        <f aca="false">IF(D351+E351&gt;0,D351/(D351+E351),"")</f>
        <v/>
      </c>
      <c r="O351" s="33" t="n">
        <f aca="false">IF(H351&gt;0,D351*(B351*(P1_BEN-P1_IVAN)+C351*(P2_BEN-P2_IVAN))/H351,0)-E351*(COSTE_DEV-IVA_DEV)-Y351</f>
        <v>0</v>
      </c>
      <c r="P351" s="33" t="n">
        <f aca="false">T351-U351-V351-W351-X351-Y351</f>
        <v>0</v>
      </c>
      <c r="R351" s="58" t="n">
        <f aca="false">D351+I351*TASA_USADA</f>
        <v>0</v>
      </c>
      <c r="S351" s="58" t="n">
        <f aca="false">E351+I351*(1-TASA_USADA)</f>
        <v>0</v>
      </c>
      <c r="T351" s="59" t="n">
        <f aca="false">IF(H351&gt;0,R351*J351/H351,0)</f>
        <v>0</v>
      </c>
      <c r="U351" s="59" t="n">
        <f aca="false">IF(H351&gt;0,R351*(B351*P1_CPROD+C351*P2_CPROD)/H351,0)</f>
        <v>0</v>
      </c>
      <c r="V351" s="59" t="n">
        <f aca="false">IF(H351&gt;0,R351*(B351*P1_LOG+C351*P2_LOG)/H351,0)</f>
        <v>0</v>
      </c>
      <c r="W351" s="59" t="n">
        <f aca="false">S351*COSTE_DEV</f>
        <v>0</v>
      </c>
      <c r="X351" s="59" t="n">
        <f aca="false">IF(H351&gt;0,R351*(B351*P1_IVAN+C351*P2_IVAN)/H351,0)-S351*IVA_DEV</f>
        <v>0</v>
      </c>
      <c r="Y351" s="59" t="n">
        <f aca="false">F351*(1+RECARGO_ADS)</f>
        <v>0</v>
      </c>
    </row>
    <row r="352" customFormat="false" ht="15" hidden="false" customHeight="false" outlineLevel="0" collapsed="false">
      <c r="A352" s="53" t="n">
        <v>46646</v>
      </c>
      <c r="B352" s="54"/>
      <c r="C352" s="54"/>
      <c r="D352" s="54"/>
      <c r="E352" s="54"/>
      <c r="F352" s="55"/>
      <c r="G352" s="56"/>
      <c r="H352" s="31" t="n">
        <f aca="false">B352+C352</f>
        <v>0</v>
      </c>
      <c r="I352" s="31" t="n">
        <f aca="false">MAX(0,H352-D352-E352)</f>
        <v>0</v>
      </c>
      <c r="J352" s="32" t="n">
        <f aca="false">B352*P1_PVP+C352*P2_PVP</f>
        <v>0</v>
      </c>
      <c r="K352" s="32" t="str">
        <f aca="false">IF(H352&gt;0,J352/H352,"")</f>
        <v/>
      </c>
      <c r="L352" s="32" t="str">
        <f aca="false">IF(H352&gt;0,F352/H352,"")</f>
        <v/>
      </c>
      <c r="M352" s="57" t="str">
        <f aca="false">IF(F352&gt;0,J352/F352,"")</f>
        <v/>
      </c>
      <c r="N352" s="34" t="str">
        <f aca="false">IF(D352+E352&gt;0,D352/(D352+E352),"")</f>
        <v/>
      </c>
      <c r="O352" s="33" t="n">
        <f aca="false">IF(H352&gt;0,D352*(B352*(P1_BEN-P1_IVAN)+C352*(P2_BEN-P2_IVAN))/H352,0)-E352*(COSTE_DEV-IVA_DEV)-Y352</f>
        <v>0</v>
      </c>
      <c r="P352" s="33" t="n">
        <f aca="false">T352-U352-V352-W352-X352-Y352</f>
        <v>0</v>
      </c>
      <c r="R352" s="58" t="n">
        <f aca="false">D352+I352*TASA_USADA</f>
        <v>0</v>
      </c>
      <c r="S352" s="58" t="n">
        <f aca="false">E352+I352*(1-TASA_USADA)</f>
        <v>0</v>
      </c>
      <c r="T352" s="59" t="n">
        <f aca="false">IF(H352&gt;0,R352*J352/H352,0)</f>
        <v>0</v>
      </c>
      <c r="U352" s="59" t="n">
        <f aca="false">IF(H352&gt;0,R352*(B352*P1_CPROD+C352*P2_CPROD)/H352,0)</f>
        <v>0</v>
      </c>
      <c r="V352" s="59" t="n">
        <f aca="false">IF(H352&gt;0,R352*(B352*P1_LOG+C352*P2_LOG)/H352,0)</f>
        <v>0</v>
      </c>
      <c r="W352" s="59" t="n">
        <f aca="false">S352*COSTE_DEV</f>
        <v>0</v>
      </c>
      <c r="X352" s="59" t="n">
        <f aca="false">IF(H352&gt;0,R352*(B352*P1_IVAN+C352*P2_IVAN)/H352,0)-S352*IVA_DEV</f>
        <v>0</v>
      </c>
      <c r="Y352" s="59" t="n">
        <f aca="false">F352*(1+RECARGO_ADS)</f>
        <v>0</v>
      </c>
    </row>
    <row r="353" customFormat="false" ht="15" hidden="false" customHeight="false" outlineLevel="0" collapsed="false">
      <c r="A353" s="53" t="n">
        <v>46647</v>
      </c>
      <c r="B353" s="54"/>
      <c r="C353" s="54"/>
      <c r="D353" s="54"/>
      <c r="E353" s="54"/>
      <c r="F353" s="55"/>
      <c r="G353" s="56"/>
      <c r="H353" s="31" t="n">
        <f aca="false">B353+C353</f>
        <v>0</v>
      </c>
      <c r="I353" s="31" t="n">
        <f aca="false">MAX(0,H353-D353-E353)</f>
        <v>0</v>
      </c>
      <c r="J353" s="32" t="n">
        <f aca="false">B353*P1_PVP+C353*P2_PVP</f>
        <v>0</v>
      </c>
      <c r="K353" s="32" t="str">
        <f aca="false">IF(H353&gt;0,J353/H353,"")</f>
        <v/>
      </c>
      <c r="L353" s="32" t="str">
        <f aca="false">IF(H353&gt;0,F353/H353,"")</f>
        <v/>
      </c>
      <c r="M353" s="57" t="str">
        <f aca="false">IF(F353&gt;0,J353/F353,"")</f>
        <v/>
      </c>
      <c r="N353" s="34" t="str">
        <f aca="false">IF(D353+E353&gt;0,D353/(D353+E353),"")</f>
        <v/>
      </c>
      <c r="O353" s="33" t="n">
        <f aca="false">IF(H353&gt;0,D353*(B353*(P1_BEN-P1_IVAN)+C353*(P2_BEN-P2_IVAN))/H353,0)-E353*(COSTE_DEV-IVA_DEV)-Y353</f>
        <v>0</v>
      </c>
      <c r="P353" s="33" t="n">
        <f aca="false">T353-U353-V353-W353-X353-Y353</f>
        <v>0</v>
      </c>
      <c r="R353" s="58" t="n">
        <f aca="false">D353+I353*TASA_USADA</f>
        <v>0</v>
      </c>
      <c r="S353" s="58" t="n">
        <f aca="false">E353+I353*(1-TASA_USADA)</f>
        <v>0</v>
      </c>
      <c r="T353" s="59" t="n">
        <f aca="false">IF(H353&gt;0,R353*J353/H353,0)</f>
        <v>0</v>
      </c>
      <c r="U353" s="59" t="n">
        <f aca="false">IF(H353&gt;0,R353*(B353*P1_CPROD+C353*P2_CPROD)/H353,0)</f>
        <v>0</v>
      </c>
      <c r="V353" s="59" t="n">
        <f aca="false">IF(H353&gt;0,R353*(B353*P1_LOG+C353*P2_LOG)/H353,0)</f>
        <v>0</v>
      </c>
      <c r="W353" s="59" t="n">
        <f aca="false">S353*COSTE_DEV</f>
        <v>0</v>
      </c>
      <c r="X353" s="59" t="n">
        <f aca="false">IF(H353&gt;0,R353*(B353*P1_IVAN+C353*P2_IVAN)/H353,0)-S353*IVA_DEV</f>
        <v>0</v>
      </c>
      <c r="Y353" s="59" t="n">
        <f aca="false">F353*(1+RECARGO_ADS)</f>
        <v>0</v>
      </c>
    </row>
    <row r="354" customFormat="false" ht="15" hidden="false" customHeight="false" outlineLevel="0" collapsed="false">
      <c r="A354" s="53" t="n">
        <v>46648</v>
      </c>
      <c r="B354" s="54"/>
      <c r="C354" s="54"/>
      <c r="D354" s="54"/>
      <c r="E354" s="54"/>
      <c r="F354" s="55"/>
      <c r="G354" s="56"/>
      <c r="H354" s="31" t="n">
        <f aca="false">B354+C354</f>
        <v>0</v>
      </c>
      <c r="I354" s="31" t="n">
        <f aca="false">MAX(0,H354-D354-E354)</f>
        <v>0</v>
      </c>
      <c r="J354" s="32" t="n">
        <f aca="false">B354*P1_PVP+C354*P2_PVP</f>
        <v>0</v>
      </c>
      <c r="K354" s="32" t="str">
        <f aca="false">IF(H354&gt;0,J354/H354,"")</f>
        <v/>
      </c>
      <c r="L354" s="32" t="str">
        <f aca="false">IF(H354&gt;0,F354/H354,"")</f>
        <v/>
      </c>
      <c r="M354" s="57" t="str">
        <f aca="false">IF(F354&gt;0,J354/F354,"")</f>
        <v/>
      </c>
      <c r="N354" s="34" t="str">
        <f aca="false">IF(D354+E354&gt;0,D354/(D354+E354),"")</f>
        <v/>
      </c>
      <c r="O354" s="33" t="n">
        <f aca="false">IF(H354&gt;0,D354*(B354*(P1_BEN-P1_IVAN)+C354*(P2_BEN-P2_IVAN))/H354,0)-E354*(COSTE_DEV-IVA_DEV)-Y354</f>
        <v>0</v>
      </c>
      <c r="P354" s="33" t="n">
        <f aca="false">T354-U354-V354-W354-X354-Y354</f>
        <v>0</v>
      </c>
      <c r="R354" s="58" t="n">
        <f aca="false">D354+I354*TASA_USADA</f>
        <v>0</v>
      </c>
      <c r="S354" s="58" t="n">
        <f aca="false">E354+I354*(1-TASA_USADA)</f>
        <v>0</v>
      </c>
      <c r="T354" s="59" t="n">
        <f aca="false">IF(H354&gt;0,R354*J354/H354,0)</f>
        <v>0</v>
      </c>
      <c r="U354" s="59" t="n">
        <f aca="false">IF(H354&gt;0,R354*(B354*P1_CPROD+C354*P2_CPROD)/H354,0)</f>
        <v>0</v>
      </c>
      <c r="V354" s="59" t="n">
        <f aca="false">IF(H354&gt;0,R354*(B354*P1_LOG+C354*P2_LOG)/H354,0)</f>
        <v>0</v>
      </c>
      <c r="W354" s="59" t="n">
        <f aca="false">S354*COSTE_DEV</f>
        <v>0</v>
      </c>
      <c r="X354" s="59" t="n">
        <f aca="false">IF(H354&gt;0,R354*(B354*P1_IVAN+C354*P2_IVAN)/H354,0)-S354*IVA_DEV</f>
        <v>0</v>
      </c>
      <c r="Y354" s="59" t="n">
        <f aca="false">F354*(1+RECARGO_ADS)</f>
        <v>0</v>
      </c>
    </row>
    <row r="355" customFormat="false" ht="15" hidden="false" customHeight="false" outlineLevel="0" collapsed="false">
      <c r="A355" s="53" t="n">
        <v>46649</v>
      </c>
      <c r="B355" s="54"/>
      <c r="C355" s="54"/>
      <c r="D355" s="54"/>
      <c r="E355" s="54"/>
      <c r="F355" s="55"/>
      <c r="G355" s="56"/>
      <c r="H355" s="31" t="n">
        <f aca="false">B355+C355</f>
        <v>0</v>
      </c>
      <c r="I355" s="31" t="n">
        <f aca="false">MAX(0,H355-D355-E355)</f>
        <v>0</v>
      </c>
      <c r="J355" s="32" t="n">
        <f aca="false">B355*P1_PVP+C355*P2_PVP</f>
        <v>0</v>
      </c>
      <c r="K355" s="32" t="str">
        <f aca="false">IF(H355&gt;0,J355/H355,"")</f>
        <v/>
      </c>
      <c r="L355" s="32" t="str">
        <f aca="false">IF(H355&gt;0,F355/H355,"")</f>
        <v/>
      </c>
      <c r="M355" s="57" t="str">
        <f aca="false">IF(F355&gt;0,J355/F355,"")</f>
        <v/>
      </c>
      <c r="N355" s="34" t="str">
        <f aca="false">IF(D355+E355&gt;0,D355/(D355+E355),"")</f>
        <v/>
      </c>
      <c r="O355" s="33" t="n">
        <f aca="false">IF(H355&gt;0,D355*(B355*(P1_BEN-P1_IVAN)+C355*(P2_BEN-P2_IVAN))/H355,0)-E355*(COSTE_DEV-IVA_DEV)-Y355</f>
        <v>0</v>
      </c>
      <c r="P355" s="33" t="n">
        <f aca="false">T355-U355-V355-W355-X355-Y355</f>
        <v>0</v>
      </c>
      <c r="R355" s="58" t="n">
        <f aca="false">D355+I355*TASA_USADA</f>
        <v>0</v>
      </c>
      <c r="S355" s="58" t="n">
        <f aca="false">E355+I355*(1-TASA_USADA)</f>
        <v>0</v>
      </c>
      <c r="T355" s="59" t="n">
        <f aca="false">IF(H355&gt;0,R355*J355/H355,0)</f>
        <v>0</v>
      </c>
      <c r="U355" s="59" t="n">
        <f aca="false">IF(H355&gt;0,R355*(B355*P1_CPROD+C355*P2_CPROD)/H355,0)</f>
        <v>0</v>
      </c>
      <c r="V355" s="59" t="n">
        <f aca="false">IF(H355&gt;0,R355*(B355*P1_LOG+C355*P2_LOG)/H355,0)</f>
        <v>0</v>
      </c>
      <c r="W355" s="59" t="n">
        <f aca="false">S355*COSTE_DEV</f>
        <v>0</v>
      </c>
      <c r="X355" s="59" t="n">
        <f aca="false">IF(H355&gt;0,R355*(B355*P1_IVAN+C355*P2_IVAN)/H355,0)-S355*IVA_DEV</f>
        <v>0</v>
      </c>
      <c r="Y355" s="59" t="n">
        <f aca="false">F355*(1+RECARGO_ADS)</f>
        <v>0</v>
      </c>
    </row>
    <row r="356" customFormat="false" ht="15" hidden="false" customHeight="false" outlineLevel="0" collapsed="false">
      <c r="A356" s="53" t="n">
        <v>46650</v>
      </c>
      <c r="B356" s="54"/>
      <c r="C356" s="54"/>
      <c r="D356" s="54"/>
      <c r="E356" s="54"/>
      <c r="F356" s="55"/>
      <c r="G356" s="56"/>
      <c r="H356" s="31" t="n">
        <f aca="false">B356+C356</f>
        <v>0</v>
      </c>
      <c r="I356" s="31" t="n">
        <f aca="false">MAX(0,H356-D356-E356)</f>
        <v>0</v>
      </c>
      <c r="J356" s="32" t="n">
        <f aca="false">B356*P1_PVP+C356*P2_PVP</f>
        <v>0</v>
      </c>
      <c r="K356" s="32" t="str">
        <f aca="false">IF(H356&gt;0,J356/H356,"")</f>
        <v/>
      </c>
      <c r="L356" s="32" t="str">
        <f aca="false">IF(H356&gt;0,F356/H356,"")</f>
        <v/>
      </c>
      <c r="M356" s="57" t="str">
        <f aca="false">IF(F356&gt;0,J356/F356,"")</f>
        <v/>
      </c>
      <c r="N356" s="34" t="str">
        <f aca="false">IF(D356+E356&gt;0,D356/(D356+E356),"")</f>
        <v/>
      </c>
      <c r="O356" s="33" t="n">
        <f aca="false">IF(H356&gt;0,D356*(B356*(P1_BEN-P1_IVAN)+C356*(P2_BEN-P2_IVAN))/H356,0)-E356*(COSTE_DEV-IVA_DEV)-Y356</f>
        <v>0</v>
      </c>
      <c r="P356" s="33" t="n">
        <f aca="false">T356-U356-V356-W356-X356-Y356</f>
        <v>0</v>
      </c>
      <c r="R356" s="58" t="n">
        <f aca="false">D356+I356*TASA_USADA</f>
        <v>0</v>
      </c>
      <c r="S356" s="58" t="n">
        <f aca="false">E356+I356*(1-TASA_USADA)</f>
        <v>0</v>
      </c>
      <c r="T356" s="59" t="n">
        <f aca="false">IF(H356&gt;0,R356*J356/H356,0)</f>
        <v>0</v>
      </c>
      <c r="U356" s="59" t="n">
        <f aca="false">IF(H356&gt;0,R356*(B356*P1_CPROD+C356*P2_CPROD)/H356,0)</f>
        <v>0</v>
      </c>
      <c r="V356" s="59" t="n">
        <f aca="false">IF(H356&gt;0,R356*(B356*P1_LOG+C356*P2_LOG)/H356,0)</f>
        <v>0</v>
      </c>
      <c r="W356" s="59" t="n">
        <f aca="false">S356*COSTE_DEV</f>
        <v>0</v>
      </c>
      <c r="X356" s="59" t="n">
        <f aca="false">IF(H356&gt;0,R356*(B356*P1_IVAN+C356*P2_IVAN)/H356,0)-S356*IVA_DEV</f>
        <v>0</v>
      </c>
      <c r="Y356" s="59" t="n">
        <f aca="false">F356*(1+RECARGO_ADS)</f>
        <v>0</v>
      </c>
    </row>
    <row r="357" customFormat="false" ht="15" hidden="false" customHeight="false" outlineLevel="0" collapsed="false">
      <c r="A357" s="53" t="n">
        <v>46651</v>
      </c>
      <c r="B357" s="54"/>
      <c r="C357" s="54"/>
      <c r="D357" s="54"/>
      <c r="E357" s="54"/>
      <c r="F357" s="55"/>
      <c r="G357" s="56"/>
      <c r="H357" s="31" t="n">
        <f aca="false">B357+C357</f>
        <v>0</v>
      </c>
      <c r="I357" s="31" t="n">
        <f aca="false">MAX(0,H357-D357-E357)</f>
        <v>0</v>
      </c>
      <c r="J357" s="32" t="n">
        <f aca="false">B357*P1_PVP+C357*P2_PVP</f>
        <v>0</v>
      </c>
      <c r="K357" s="32" t="str">
        <f aca="false">IF(H357&gt;0,J357/H357,"")</f>
        <v/>
      </c>
      <c r="L357" s="32" t="str">
        <f aca="false">IF(H357&gt;0,F357/H357,"")</f>
        <v/>
      </c>
      <c r="M357" s="57" t="str">
        <f aca="false">IF(F357&gt;0,J357/F357,"")</f>
        <v/>
      </c>
      <c r="N357" s="34" t="str">
        <f aca="false">IF(D357+E357&gt;0,D357/(D357+E357),"")</f>
        <v/>
      </c>
      <c r="O357" s="33" t="n">
        <f aca="false">IF(H357&gt;0,D357*(B357*(P1_BEN-P1_IVAN)+C357*(P2_BEN-P2_IVAN))/H357,0)-E357*(COSTE_DEV-IVA_DEV)-Y357</f>
        <v>0</v>
      </c>
      <c r="P357" s="33" t="n">
        <f aca="false">T357-U357-V357-W357-X357-Y357</f>
        <v>0</v>
      </c>
      <c r="R357" s="58" t="n">
        <f aca="false">D357+I357*TASA_USADA</f>
        <v>0</v>
      </c>
      <c r="S357" s="58" t="n">
        <f aca="false">E357+I357*(1-TASA_USADA)</f>
        <v>0</v>
      </c>
      <c r="T357" s="59" t="n">
        <f aca="false">IF(H357&gt;0,R357*J357/H357,0)</f>
        <v>0</v>
      </c>
      <c r="U357" s="59" t="n">
        <f aca="false">IF(H357&gt;0,R357*(B357*P1_CPROD+C357*P2_CPROD)/H357,0)</f>
        <v>0</v>
      </c>
      <c r="V357" s="59" t="n">
        <f aca="false">IF(H357&gt;0,R357*(B357*P1_LOG+C357*P2_LOG)/H357,0)</f>
        <v>0</v>
      </c>
      <c r="W357" s="59" t="n">
        <f aca="false">S357*COSTE_DEV</f>
        <v>0</v>
      </c>
      <c r="X357" s="59" t="n">
        <f aca="false">IF(H357&gt;0,R357*(B357*P1_IVAN+C357*P2_IVAN)/H357,0)-S357*IVA_DEV</f>
        <v>0</v>
      </c>
      <c r="Y357" s="59" t="n">
        <f aca="false">F357*(1+RECARGO_ADS)</f>
        <v>0</v>
      </c>
    </row>
    <row r="358" customFormat="false" ht="15" hidden="false" customHeight="false" outlineLevel="0" collapsed="false">
      <c r="A358" s="53" t="n">
        <v>46652</v>
      </c>
      <c r="B358" s="54"/>
      <c r="C358" s="54"/>
      <c r="D358" s="54"/>
      <c r="E358" s="54"/>
      <c r="F358" s="55"/>
      <c r="G358" s="56"/>
      <c r="H358" s="31" t="n">
        <f aca="false">B358+C358</f>
        <v>0</v>
      </c>
      <c r="I358" s="31" t="n">
        <f aca="false">MAX(0,H358-D358-E358)</f>
        <v>0</v>
      </c>
      <c r="J358" s="32" t="n">
        <f aca="false">B358*P1_PVP+C358*P2_PVP</f>
        <v>0</v>
      </c>
      <c r="K358" s="32" t="str">
        <f aca="false">IF(H358&gt;0,J358/H358,"")</f>
        <v/>
      </c>
      <c r="L358" s="32" t="str">
        <f aca="false">IF(H358&gt;0,F358/H358,"")</f>
        <v/>
      </c>
      <c r="M358" s="57" t="str">
        <f aca="false">IF(F358&gt;0,J358/F358,"")</f>
        <v/>
      </c>
      <c r="N358" s="34" t="str">
        <f aca="false">IF(D358+E358&gt;0,D358/(D358+E358),"")</f>
        <v/>
      </c>
      <c r="O358" s="33" t="n">
        <f aca="false">IF(H358&gt;0,D358*(B358*(P1_BEN-P1_IVAN)+C358*(P2_BEN-P2_IVAN))/H358,0)-E358*(COSTE_DEV-IVA_DEV)-Y358</f>
        <v>0</v>
      </c>
      <c r="P358" s="33" t="n">
        <f aca="false">T358-U358-V358-W358-X358-Y358</f>
        <v>0</v>
      </c>
      <c r="R358" s="58" t="n">
        <f aca="false">D358+I358*TASA_USADA</f>
        <v>0</v>
      </c>
      <c r="S358" s="58" t="n">
        <f aca="false">E358+I358*(1-TASA_USADA)</f>
        <v>0</v>
      </c>
      <c r="T358" s="59" t="n">
        <f aca="false">IF(H358&gt;0,R358*J358/H358,0)</f>
        <v>0</v>
      </c>
      <c r="U358" s="59" t="n">
        <f aca="false">IF(H358&gt;0,R358*(B358*P1_CPROD+C358*P2_CPROD)/H358,0)</f>
        <v>0</v>
      </c>
      <c r="V358" s="59" t="n">
        <f aca="false">IF(H358&gt;0,R358*(B358*P1_LOG+C358*P2_LOG)/H358,0)</f>
        <v>0</v>
      </c>
      <c r="W358" s="59" t="n">
        <f aca="false">S358*COSTE_DEV</f>
        <v>0</v>
      </c>
      <c r="X358" s="59" t="n">
        <f aca="false">IF(H358&gt;0,R358*(B358*P1_IVAN+C358*P2_IVAN)/H358,0)-S358*IVA_DEV</f>
        <v>0</v>
      </c>
      <c r="Y358" s="59" t="n">
        <f aca="false">F358*(1+RECARGO_ADS)</f>
        <v>0</v>
      </c>
    </row>
    <row r="359" customFormat="false" ht="15" hidden="false" customHeight="false" outlineLevel="0" collapsed="false">
      <c r="A359" s="53" t="n">
        <v>46653</v>
      </c>
      <c r="B359" s="54"/>
      <c r="C359" s="54"/>
      <c r="D359" s="54"/>
      <c r="E359" s="54"/>
      <c r="F359" s="55"/>
      <c r="G359" s="56"/>
      <c r="H359" s="31" t="n">
        <f aca="false">B359+C359</f>
        <v>0</v>
      </c>
      <c r="I359" s="31" t="n">
        <f aca="false">MAX(0,H359-D359-E359)</f>
        <v>0</v>
      </c>
      <c r="J359" s="32" t="n">
        <f aca="false">B359*P1_PVP+C359*P2_PVP</f>
        <v>0</v>
      </c>
      <c r="K359" s="32" t="str">
        <f aca="false">IF(H359&gt;0,J359/H359,"")</f>
        <v/>
      </c>
      <c r="L359" s="32" t="str">
        <f aca="false">IF(H359&gt;0,F359/H359,"")</f>
        <v/>
      </c>
      <c r="M359" s="57" t="str">
        <f aca="false">IF(F359&gt;0,J359/F359,"")</f>
        <v/>
      </c>
      <c r="N359" s="34" t="str">
        <f aca="false">IF(D359+E359&gt;0,D359/(D359+E359),"")</f>
        <v/>
      </c>
      <c r="O359" s="33" t="n">
        <f aca="false">IF(H359&gt;0,D359*(B359*(P1_BEN-P1_IVAN)+C359*(P2_BEN-P2_IVAN))/H359,0)-E359*(COSTE_DEV-IVA_DEV)-Y359</f>
        <v>0</v>
      </c>
      <c r="P359" s="33" t="n">
        <f aca="false">T359-U359-V359-W359-X359-Y359</f>
        <v>0</v>
      </c>
      <c r="R359" s="58" t="n">
        <f aca="false">D359+I359*TASA_USADA</f>
        <v>0</v>
      </c>
      <c r="S359" s="58" t="n">
        <f aca="false">E359+I359*(1-TASA_USADA)</f>
        <v>0</v>
      </c>
      <c r="T359" s="59" t="n">
        <f aca="false">IF(H359&gt;0,R359*J359/H359,0)</f>
        <v>0</v>
      </c>
      <c r="U359" s="59" t="n">
        <f aca="false">IF(H359&gt;0,R359*(B359*P1_CPROD+C359*P2_CPROD)/H359,0)</f>
        <v>0</v>
      </c>
      <c r="V359" s="59" t="n">
        <f aca="false">IF(H359&gt;0,R359*(B359*P1_LOG+C359*P2_LOG)/H359,0)</f>
        <v>0</v>
      </c>
      <c r="W359" s="59" t="n">
        <f aca="false">S359*COSTE_DEV</f>
        <v>0</v>
      </c>
      <c r="X359" s="59" t="n">
        <f aca="false">IF(H359&gt;0,R359*(B359*P1_IVAN+C359*P2_IVAN)/H359,0)-S359*IVA_DEV</f>
        <v>0</v>
      </c>
      <c r="Y359" s="59" t="n">
        <f aca="false">F359*(1+RECARGO_ADS)</f>
        <v>0</v>
      </c>
    </row>
    <row r="360" customFormat="false" ht="15" hidden="false" customHeight="false" outlineLevel="0" collapsed="false">
      <c r="A360" s="53" t="n">
        <v>46654</v>
      </c>
      <c r="B360" s="54"/>
      <c r="C360" s="54"/>
      <c r="D360" s="54"/>
      <c r="E360" s="54"/>
      <c r="F360" s="55"/>
      <c r="G360" s="56"/>
      <c r="H360" s="31" t="n">
        <f aca="false">B360+C360</f>
        <v>0</v>
      </c>
      <c r="I360" s="31" t="n">
        <f aca="false">MAX(0,H360-D360-E360)</f>
        <v>0</v>
      </c>
      <c r="J360" s="32" t="n">
        <f aca="false">B360*P1_PVP+C360*P2_PVP</f>
        <v>0</v>
      </c>
      <c r="K360" s="32" t="str">
        <f aca="false">IF(H360&gt;0,J360/H360,"")</f>
        <v/>
      </c>
      <c r="L360" s="32" t="str">
        <f aca="false">IF(H360&gt;0,F360/H360,"")</f>
        <v/>
      </c>
      <c r="M360" s="57" t="str">
        <f aca="false">IF(F360&gt;0,J360/F360,"")</f>
        <v/>
      </c>
      <c r="N360" s="34" t="str">
        <f aca="false">IF(D360+E360&gt;0,D360/(D360+E360),"")</f>
        <v/>
      </c>
      <c r="O360" s="33" t="n">
        <f aca="false">IF(H360&gt;0,D360*(B360*(P1_BEN-P1_IVAN)+C360*(P2_BEN-P2_IVAN))/H360,0)-E360*(COSTE_DEV-IVA_DEV)-Y360</f>
        <v>0</v>
      </c>
      <c r="P360" s="33" t="n">
        <f aca="false">T360-U360-V360-W360-X360-Y360</f>
        <v>0</v>
      </c>
      <c r="R360" s="58" t="n">
        <f aca="false">D360+I360*TASA_USADA</f>
        <v>0</v>
      </c>
      <c r="S360" s="58" t="n">
        <f aca="false">E360+I360*(1-TASA_USADA)</f>
        <v>0</v>
      </c>
      <c r="T360" s="59" t="n">
        <f aca="false">IF(H360&gt;0,R360*J360/H360,0)</f>
        <v>0</v>
      </c>
      <c r="U360" s="59" t="n">
        <f aca="false">IF(H360&gt;0,R360*(B360*P1_CPROD+C360*P2_CPROD)/H360,0)</f>
        <v>0</v>
      </c>
      <c r="V360" s="59" t="n">
        <f aca="false">IF(H360&gt;0,R360*(B360*P1_LOG+C360*P2_LOG)/H360,0)</f>
        <v>0</v>
      </c>
      <c r="W360" s="59" t="n">
        <f aca="false">S360*COSTE_DEV</f>
        <v>0</v>
      </c>
      <c r="X360" s="59" t="n">
        <f aca="false">IF(H360&gt;0,R360*(B360*P1_IVAN+C360*P2_IVAN)/H360,0)-S360*IVA_DEV</f>
        <v>0</v>
      </c>
      <c r="Y360" s="59" t="n">
        <f aca="false">F360*(1+RECARGO_ADS)</f>
        <v>0</v>
      </c>
    </row>
    <row r="361" customFormat="false" ht="15" hidden="false" customHeight="false" outlineLevel="0" collapsed="false">
      <c r="A361" s="53" t="n">
        <v>46655</v>
      </c>
      <c r="B361" s="54"/>
      <c r="C361" s="54"/>
      <c r="D361" s="54"/>
      <c r="E361" s="54"/>
      <c r="F361" s="55"/>
      <c r="G361" s="56"/>
      <c r="H361" s="31" t="n">
        <f aca="false">B361+C361</f>
        <v>0</v>
      </c>
      <c r="I361" s="31" t="n">
        <f aca="false">MAX(0,H361-D361-E361)</f>
        <v>0</v>
      </c>
      <c r="J361" s="32" t="n">
        <f aca="false">B361*P1_PVP+C361*P2_PVP</f>
        <v>0</v>
      </c>
      <c r="K361" s="32" t="str">
        <f aca="false">IF(H361&gt;0,J361/H361,"")</f>
        <v/>
      </c>
      <c r="L361" s="32" t="str">
        <f aca="false">IF(H361&gt;0,F361/H361,"")</f>
        <v/>
      </c>
      <c r="M361" s="57" t="str">
        <f aca="false">IF(F361&gt;0,J361/F361,"")</f>
        <v/>
      </c>
      <c r="N361" s="34" t="str">
        <f aca="false">IF(D361+E361&gt;0,D361/(D361+E361),"")</f>
        <v/>
      </c>
      <c r="O361" s="33" t="n">
        <f aca="false">IF(H361&gt;0,D361*(B361*(P1_BEN-P1_IVAN)+C361*(P2_BEN-P2_IVAN))/H361,0)-E361*(COSTE_DEV-IVA_DEV)-Y361</f>
        <v>0</v>
      </c>
      <c r="P361" s="33" t="n">
        <f aca="false">T361-U361-V361-W361-X361-Y361</f>
        <v>0</v>
      </c>
      <c r="R361" s="58" t="n">
        <f aca="false">D361+I361*TASA_USADA</f>
        <v>0</v>
      </c>
      <c r="S361" s="58" t="n">
        <f aca="false">E361+I361*(1-TASA_USADA)</f>
        <v>0</v>
      </c>
      <c r="T361" s="59" t="n">
        <f aca="false">IF(H361&gt;0,R361*J361/H361,0)</f>
        <v>0</v>
      </c>
      <c r="U361" s="59" t="n">
        <f aca="false">IF(H361&gt;0,R361*(B361*P1_CPROD+C361*P2_CPROD)/H361,0)</f>
        <v>0</v>
      </c>
      <c r="V361" s="59" t="n">
        <f aca="false">IF(H361&gt;0,R361*(B361*P1_LOG+C361*P2_LOG)/H361,0)</f>
        <v>0</v>
      </c>
      <c r="W361" s="59" t="n">
        <f aca="false">S361*COSTE_DEV</f>
        <v>0</v>
      </c>
      <c r="X361" s="59" t="n">
        <f aca="false">IF(H361&gt;0,R361*(B361*P1_IVAN+C361*P2_IVAN)/H361,0)-S361*IVA_DEV</f>
        <v>0</v>
      </c>
      <c r="Y361" s="59" t="n">
        <f aca="false">F361*(1+RECARGO_ADS)</f>
        <v>0</v>
      </c>
    </row>
    <row r="362" customFormat="false" ht="15" hidden="false" customHeight="false" outlineLevel="0" collapsed="false">
      <c r="A362" s="53" t="n">
        <v>46656</v>
      </c>
      <c r="B362" s="54"/>
      <c r="C362" s="54"/>
      <c r="D362" s="54"/>
      <c r="E362" s="54"/>
      <c r="F362" s="55"/>
      <c r="G362" s="56"/>
      <c r="H362" s="31" t="n">
        <f aca="false">B362+C362</f>
        <v>0</v>
      </c>
      <c r="I362" s="31" t="n">
        <f aca="false">MAX(0,H362-D362-E362)</f>
        <v>0</v>
      </c>
      <c r="J362" s="32" t="n">
        <f aca="false">B362*P1_PVP+C362*P2_PVP</f>
        <v>0</v>
      </c>
      <c r="K362" s="32" t="str">
        <f aca="false">IF(H362&gt;0,J362/H362,"")</f>
        <v/>
      </c>
      <c r="L362" s="32" t="str">
        <f aca="false">IF(H362&gt;0,F362/H362,"")</f>
        <v/>
      </c>
      <c r="M362" s="57" t="str">
        <f aca="false">IF(F362&gt;0,J362/F362,"")</f>
        <v/>
      </c>
      <c r="N362" s="34" t="str">
        <f aca="false">IF(D362+E362&gt;0,D362/(D362+E362),"")</f>
        <v/>
      </c>
      <c r="O362" s="33" t="n">
        <f aca="false">IF(H362&gt;0,D362*(B362*(P1_BEN-P1_IVAN)+C362*(P2_BEN-P2_IVAN))/H362,0)-E362*(COSTE_DEV-IVA_DEV)-Y362</f>
        <v>0</v>
      </c>
      <c r="P362" s="33" t="n">
        <f aca="false">T362-U362-V362-W362-X362-Y362</f>
        <v>0</v>
      </c>
      <c r="R362" s="58" t="n">
        <f aca="false">D362+I362*TASA_USADA</f>
        <v>0</v>
      </c>
      <c r="S362" s="58" t="n">
        <f aca="false">E362+I362*(1-TASA_USADA)</f>
        <v>0</v>
      </c>
      <c r="T362" s="59" t="n">
        <f aca="false">IF(H362&gt;0,R362*J362/H362,0)</f>
        <v>0</v>
      </c>
      <c r="U362" s="59" t="n">
        <f aca="false">IF(H362&gt;0,R362*(B362*P1_CPROD+C362*P2_CPROD)/H362,0)</f>
        <v>0</v>
      </c>
      <c r="V362" s="59" t="n">
        <f aca="false">IF(H362&gt;0,R362*(B362*P1_LOG+C362*P2_LOG)/H362,0)</f>
        <v>0</v>
      </c>
      <c r="W362" s="59" t="n">
        <f aca="false">S362*COSTE_DEV</f>
        <v>0</v>
      </c>
      <c r="X362" s="59" t="n">
        <f aca="false">IF(H362&gt;0,R362*(B362*P1_IVAN+C362*P2_IVAN)/H362,0)-S362*IVA_DEV</f>
        <v>0</v>
      </c>
      <c r="Y362" s="59" t="n">
        <f aca="false">F362*(1+RECARGO_ADS)</f>
        <v>0</v>
      </c>
    </row>
    <row r="363" customFormat="false" ht="15" hidden="false" customHeight="false" outlineLevel="0" collapsed="false">
      <c r="A363" s="53" t="n">
        <v>46657</v>
      </c>
      <c r="B363" s="54"/>
      <c r="C363" s="54"/>
      <c r="D363" s="54"/>
      <c r="E363" s="54"/>
      <c r="F363" s="55"/>
      <c r="G363" s="56"/>
      <c r="H363" s="31" t="n">
        <f aca="false">B363+C363</f>
        <v>0</v>
      </c>
      <c r="I363" s="31" t="n">
        <f aca="false">MAX(0,H363-D363-E363)</f>
        <v>0</v>
      </c>
      <c r="J363" s="32" t="n">
        <f aca="false">B363*P1_PVP+C363*P2_PVP</f>
        <v>0</v>
      </c>
      <c r="K363" s="32" t="str">
        <f aca="false">IF(H363&gt;0,J363/H363,"")</f>
        <v/>
      </c>
      <c r="L363" s="32" t="str">
        <f aca="false">IF(H363&gt;0,F363/H363,"")</f>
        <v/>
      </c>
      <c r="M363" s="57" t="str">
        <f aca="false">IF(F363&gt;0,J363/F363,"")</f>
        <v/>
      </c>
      <c r="N363" s="34" t="str">
        <f aca="false">IF(D363+E363&gt;0,D363/(D363+E363),"")</f>
        <v/>
      </c>
      <c r="O363" s="33" t="n">
        <f aca="false">IF(H363&gt;0,D363*(B363*(P1_BEN-P1_IVAN)+C363*(P2_BEN-P2_IVAN))/H363,0)-E363*(COSTE_DEV-IVA_DEV)-Y363</f>
        <v>0</v>
      </c>
      <c r="P363" s="33" t="n">
        <f aca="false">T363-U363-V363-W363-X363-Y363</f>
        <v>0</v>
      </c>
      <c r="R363" s="58" t="n">
        <f aca="false">D363+I363*TASA_USADA</f>
        <v>0</v>
      </c>
      <c r="S363" s="58" t="n">
        <f aca="false">E363+I363*(1-TASA_USADA)</f>
        <v>0</v>
      </c>
      <c r="T363" s="59" t="n">
        <f aca="false">IF(H363&gt;0,R363*J363/H363,0)</f>
        <v>0</v>
      </c>
      <c r="U363" s="59" t="n">
        <f aca="false">IF(H363&gt;0,R363*(B363*P1_CPROD+C363*P2_CPROD)/H363,0)</f>
        <v>0</v>
      </c>
      <c r="V363" s="59" t="n">
        <f aca="false">IF(H363&gt;0,R363*(B363*P1_LOG+C363*P2_LOG)/H363,0)</f>
        <v>0</v>
      </c>
      <c r="W363" s="59" t="n">
        <f aca="false">S363*COSTE_DEV</f>
        <v>0</v>
      </c>
      <c r="X363" s="59" t="n">
        <f aca="false">IF(H363&gt;0,R363*(B363*P1_IVAN+C363*P2_IVAN)/H363,0)-S363*IVA_DEV</f>
        <v>0</v>
      </c>
      <c r="Y363" s="59" t="n">
        <f aca="false">F363*(1+RECARGO_ADS)</f>
        <v>0</v>
      </c>
    </row>
    <row r="364" customFormat="false" ht="15" hidden="false" customHeight="false" outlineLevel="0" collapsed="false">
      <c r="A364" s="53" t="n">
        <v>46658</v>
      </c>
      <c r="B364" s="54"/>
      <c r="C364" s="54"/>
      <c r="D364" s="54"/>
      <c r="E364" s="54"/>
      <c r="F364" s="55"/>
      <c r="G364" s="56"/>
      <c r="H364" s="31" t="n">
        <f aca="false">B364+C364</f>
        <v>0</v>
      </c>
      <c r="I364" s="31" t="n">
        <f aca="false">MAX(0,H364-D364-E364)</f>
        <v>0</v>
      </c>
      <c r="J364" s="32" t="n">
        <f aca="false">B364*P1_PVP+C364*P2_PVP</f>
        <v>0</v>
      </c>
      <c r="K364" s="32" t="str">
        <f aca="false">IF(H364&gt;0,J364/H364,"")</f>
        <v/>
      </c>
      <c r="L364" s="32" t="str">
        <f aca="false">IF(H364&gt;0,F364/H364,"")</f>
        <v/>
      </c>
      <c r="M364" s="57" t="str">
        <f aca="false">IF(F364&gt;0,J364/F364,"")</f>
        <v/>
      </c>
      <c r="N364" s="34" t="str">
        <f aca="false">IF(D364+E364&gt;0,D364/(D364+E364),"")</f>
        <v/>
      </c>
      <c r="O364" s="33" t="n">
        <f aca="false">IF(H364&gt;0,D364*(B364*(P1_BEN-P1_IVAN)+C364*(P2_BEN-P2_IVAN))/H364,0)-E364*(COSTE_DEV-IVA_DEV)-Y364</f>
        <v>0</v>
      </c>
      <c r="P364" s="33" t="n">
        <f aca="false">T364-U364-V364-W364-X364-Y364</f>
        <v>0</v>
      </c>
      <c r="R364" s="58" t="n">
        <f aca="false">D364+I364*TASA_USADA</f>
        <v>0</v>
      </c>
      <c r="S364" s="58" t="n">
        <f aca="false">E364+I364*(1-TASA_USADA)</f>
        <v>0</v>
      </c>
      <c r="T364" s="59" t="n">
        <f aca="false">IF(H364&gt;0,R364*J364/H364,0)</f>
        <v>0</v>
      </c>
      <c r="U364" s="59" t="n">
        <f aca="false">IF(H364&gt;0,R364*(B364*P1_CPROD+C364*P2_CPROD)/H364,0)</f>
        <v>0</v>
      </c>
      <c r="V364" s="59" t="n">
        <f aca="false">IF(H364&gt;0,R364*(B364*P1_LOG+C364*P2_LOG)/H364,0)</f>
        <v>0</v>
      </c>
      <c r="W364" s="59" t="n">
        <f aca="false">S364*COSTE_DEV</f>
        <v>0</v>
      </c>
      <c r="X364" s="59" t="n">
        <f aca="false">IF(H364&gt;0,R364*(B364*P1_IVAN+C364*P2_IVAN)/H364,0)-S364*IVA_DEV</f>
        <v>0</v>
      </c>
      <c r="Y364" s="59" t="n">
        <f aca="false">F364*(1+RECARGO_ADS)</f>
        <v>0</v>
      </c>
    </row>
    <row r="365" customFormat="false" ht="15" hidden="false" customHeight="false" outlineLevel="0" collapsed="false">
      <c r="A365" s="53" t="n">
        <v>46659</v>
      </c>
      <c r="B365" s="54"/>
      <c r="C365" s="54"/>
      <c r="D365" s="54"/>
      <c r="E365" s="54"/>
      <c r="F365" s="55"/>
      <c r="G365" s="56"/>
      <c r="H365" s="31" t="n">
        <f aca="false">B365+C365</f>
        <v>0</v>
      </c>
      <c r="I365" s="31" t="n">
        <f aca="false">MAX(0,H365-D365-E365)</f>
        <v>0</v>
      </c>
      <c r="J365" s="32" t="n">
        <f aca="false">B365*P1_PVP+C365*P2_PVP</f>
        <v>0</v>
      </c>
      <c r="K365" s="32" t="str">
        <f aca="false">IF(H365&gt;0,J365/H365,"")</f>
        <v/>
      </c>
      <c r="L365" s="32" t="str">
        <f aca="false">IF(H365&gt;0,F365/H365,"")</f>
        <v/>
      </c>
      <c r="M365" s="57" t="str">
        <f aca="false">IF(F365&gt;0,J365/F365,"")</f>
        <v/>
      </c>
      <c r="N365" s="34" t="str">
        <f aca="false">IF(D365+E365&gt;0,D365/(D365+E365),"")</f>
        <v/>
      </c>
      <c r="O365" s="33" t="n">
        <f aca="false">IF(H365&gt;0,D365*(B365*(P1_BEN-P1_IVAN)+C365*(P2_BEN-P2_IVAN))/H365,0)-E365*(COSTE_DEV-IVA_DEV)-Y365</f>
        <v>0</v>
      </c>
      <c r="P365" s="33" t="n">
        <f aca="false">T365-U365-V365-W365-X365-Y365</f>
        <v>0</v>
      </c>
      <c r="R365" s="58" t="n">
        <f aca="false">D365+I365*TASA_USADA</f>
        <v>0</v>
      </c>
      <c r="S365" s="58" t="n">
        <f aca="false">E365+I365*(1-TASA_USADA)</f>
        <v>0</v>
      </c>
      <c r="T365" s="59" t="n">
        <f aca="false">IF(H365&gt;0,R365*J365/H365,0)</f>
        <v>0</v>
      </c>
      <c r="U365" s="59" t="n">
        <f aca="false">IF(H365&gt;0,R365*(B365*P1_CPROD+C365*P2_CPROD)/H365,0)</f>
        <v>0</v>
      </c>
      <c r="V365" s="59" t="n">
        <f aca="false">IF(H365&gt;0,R365*(B365*P1_LOG+C365*P2_LOG)/H365,0)</f>
        <v>0</v>
      </c>
      <c r="W365" s="59" t="n">
        <f aca="false">S365*COSTE_DEV</f>
        <v>0</v>
      </c>
      <c r="X365" s="59" t="n">
        <f aca="false">IF(H365&gt;0,R365*(B365*P1_IVAN+C365*P2_IVAN)/H365,0)-S365*IVA_DEV</f>
        <v>0</v>
      </c>
      <c r="Y365" s="59" t="n">
        <f aca="false">F365*(1+RECARGO_ADS)</f>
        <v>0</v>
      </c>
    </row>
    <row r="366" customFormat="false" ht="15" hidden="false" customHeight="false" outlineLevel="0" collapsed="false">
      <c r="A366" s="53" t="n">
        <v>46660</v>
      </c>
      <c r="B366" s="54"/>
      <c r="C366" s="54"/>
      <c r="D366" s="54"/>
      <c r="E366" s="54"/>
      <c r="F366" s="55"/>
      <c r="G366" s="56"/>
      <c r="H366" s="31" t="n">
        <f aca="false">B366+C366</f>
        <v>0</v>
      </c>
      <c r="I366" s="31" t="n">
        <f aca="false">MAX(0,H366-D366-E366)</f>
        <v>0</v>
      </c>
      <c r="J366" s="32" t="n">
        <f aca="false">B366*P1_PVP+C366*P2_PVP</f>
        <v>0</v>
      </c>
      <c r="K366" s="32" t="str">
        <f aca="false">IF(H366&gt;0,J366/H366,"")</f>
        <v/>
      </c>
      <c r="L366" s="32" t="str">
        <f aca="false">IF(H366&gt;0,F366/H366,"")</f>
        <v/>
      </c>
      <c r="M366" s="57" t="str">
        <f aca="false">IF(F366&gt;0,J366/F366,"")</f>
        <v/>
      </c>
      <c r="N366" s="34" t="str">
        <f aca="false">IF(D366+E366&gt;0,D366/(D366+E366),"")</f>
        <v/>
      </c>
      <c r="O366" s="33" t="n">
        <f aca="false">IF(H366&gt;0,D366*(B366*(P1_BEN-P1_IVAN)+C366*(P2_BEN-P2_IVAN))/H366,0)-E366*(COSTE_DEV-IVA_DEV)-Y366</f>
        <v>0</v>
      </c>
      <c r="P366" s="33" t="n">
        <f aca="false">T366-U366-V366-W366-X366-Y366</f>
        <v>0</v>
      </c>
      <c r="R366" s="58" t="n">
        <f aca="false">D366+I366*TASA_USADA</f>
        <v>0</v>
      </c>
      <c r="S366" s="58" t="n">
        <f aca="false">E366+I366*(1-TASA_USADA)</f>
        <v>0</v>
      </c>
      <c r="T366" s="59" t="n">
        <f aca="false">IF(H366&gt;0,R366*J366/H366,0)</f>
        <v>0</v>
      </c>
      <c r="U366" s="59" t="n">
        <f aca="false">IF(H366&gt;0,R366*(B366*P1_CPROD+C366*P2_CPROD)/H366,0)</f>
        <v>0</v>
      </c>
      <c r="V366" s="59" t="n">
        <f aca="false">IF(H366&gt;0,R366*(B366*P1_LOG+C366*P2_LOG)/H366,0)</f>
        <v>0</v>
      </c>
      <c r="W366" s="59" t="n">
        <f aca="false">S366*COSTE_DEV</f>
        <v>0</v>
      </c>
      <c r="X366" s="59" t="n">
        <f aca="false">IF(H366&gt;0,R366*(B366*P1_IVAN+C366*P2_IVAN)/H366,0)-S366*IVA_DEV</f>
        <v>0</v>
      </c>
      <c r="Y366" s="59" t="n">
        <f aca="false">F366*(1+RECARGO_ADS)</f>
        <v>0</v>
      </c>
    </row>
    <row r="367" customFormat="false" ht="15" hidden="false" customHeight="false" outlineLevel="0" collapsed="false">
      <c r="A367" s="53" t="n">
        <v>46661</v>
      </c>
      <c r="B367" s="54"/>
      <c r="C367" s="54"/>
      <c r="D367" s="54"/>
      <c r="E367" s="54"/>
      <c r="F367" s="55"/>
      <c r="G367" s="56"/>
      <c r="H367" s="31" t="n">
        <f aca="false">B367+C367</f>
        <v>0</v>
      </c>
      <c r="I367" s="31" t="n">
        <f aca="false">MAX(0,H367-D367-E367)</f>
        <v>0</v>
      </c>
      <c r="J367" s="32" t="n">
        <f aca="false">B367*P1_PVP+C367*P2_PVP</f>
        <v>0</v>
      </c>
      <c r="K367" s="32" t="str">
        <f aca="false">IF(H367&gt;0,J367/H367,"")</f>
        <v/>
      </c>
      <c r="L367" s="32" t="str">
        <f aca="false">IF(H367&gt;0,F367/H367,"")</f>
        <v/>
      </c>
      <c r="M367" s="57" t="str">
        <f aca="false">IF(F367&gt;0,J367/F367,"")</f>
        <v/>
      </c>
      <c r="N367" s="34" t="str">
        <f aca="false">IF(D367+E367&gt;0,D367/(D367+E367),"")</f>
        <v/>
      </c>
      <c r="O367" s="33" t="n">
        <f aca="false">IF(H367&gt;0,D367*(B367*(P1_BEN-P1_IVAN)+C367*(P2_BEN-P2_IVAN))/H367,0)-E367*(COSTE_DEV-IVA_DEV)-Y367</f>
        <v>0</v>
      </c>
      <c r="P367" s="33" t="n">
        <f aca="false">T367-U367-V367-W367-X367-Y367</f>
        <v>0</v>
      </c>
      <c r="R367" s="58" t="n">
        <f aca="false">D367+I367*TASA_USADA</f>
        <v>0</v>
      </c>
      <c r="S367" s="58" t="n">
        <f aca="false">E367+I367*(1-TASA_USADA)</f>
        <v>0</v>
      </c>
      <c r="T367" s="59" t="n">
        <f aca="false">IF(H367&gt;0,R367*J367/H367,0)</f>
        <v>0</v>
      </c>
      <c r="U367" s="59" t="n">
        <f aca="false">IF(H367&gt;0,R367*(B367*P1_CPROD+C367*P2_CPROD)/H367,0)</f>
        <v>0</v>
      </c>
      <c r="V367" s="59" t="n">
        <f aca="false">IF(H367&gt;0,R367*(B367*P1_LOG+C367*P2_LOG)/H367,0)</f>
        <v>0</v>
      </c>
      <c r="W367" s="59" t="n">
        <f aca="false">S367*COSTE_DEV</f>
        <v>0</v>
      </c>
      <c r="X367" s="59" t="n">
        <f aca="false">IF(H367&gt;0,R367*(B367*P1_IVAN+C367*P2_IVAN)/H367,0)-S367*IVA_DEV</f>
        <v>0</v>
      </c>
      <c r="Y367" s="59" t="n">
        <f aca="false">F367*(1+RECARGO_ADS)</f>
        <v>0</v>
      </c>
    </row>
    <row r="368" customFormat="false" ht="15" hidden="false" customHeight="false" outlineLevel="0" collapsed="false">
      <c r="A368" s="53" t="n">
        <v>46662</v>
      </c>
      <c r="B368" s="54"/>
      <c r="C368" s="54"/>
      <c r="D368" s="54"/>
      <c r="E368" s="54"/>
      <c r="F368" s="55"/>
      <c r="G368" s="56"/>
      <c r="H368" s="31" t="n">
        <f aca="false">B368+C368</f>
        <v>0</v>
      </c>
      <c r="I368" s="31" t="n">
        <f aca="false">MAX(0,H368-D368-E368)</f>
        <v>0</v>
      </c>
      <c r="J368" s="32" t="n">
        <f aca="false">B368*P1_PVP+C368*P2_PVP</f>
        <v>0</v>
      </c>
      <c r="K368" s="32" t="str">
        <f aca="false">IF(H368&gt;0,J368/H368,"")</f>
        <v/>
      </c>
      <c r="L368" s="32" t="str">
        <f aca="false">IF(H368&gt;0,F368/H368,"")</f>
        <v/>
      </c>
      <c r="M368" s="57" t="str">
        <f aca="false">IF(F368&gt;0,J368/F368,"")</f>
        <v/>
      </c>
      <c r="N368" s="34" t="str">
        <f aca="false">IF(D368+E368&gt;0,D368/(D368+E368),"")</f>
        <v/>
      </c>
      <c r="O368" s="33" t="n">
        <f aca="false">IF(H368&gt;0,D368*(B368*(P1_BEN-P1_IVAN)+C368*(P2_BEN-P2_IVAN))/H368,0)-E368*(COSTE_DEV-IVA_DEV)-Y368</f>
        <v>0</v>
      </c>
      <c r="P368" s="33" t="n">
        <f aca="false">T368-U368-V368-W368-X368-Y368</f>
        <v>0</v>
      </c>
      <c r="R368" s="58" t="n">
        <f aca="false">D368+I368*TASA_USADA</f>
        <v>0</v>
      </c>
      <c r="S368" s="58" t="n">
        <f aca="false">E368+I368*(1-TASA_USADA)</f>
        <v>0</v>
      </c>
      <c r="T368" s="59" t="n">
        <f aca="false">IF(H368&gt;0,R368*J368/H368,0)</f>
        <v>0</v>
      </c>
      <c r="U368" s="59" t="n">
        <f aca="false">IF(H368&gt;0,R368*(B368*P1_CPROD+C368*P2_CPROD)/H368,0)</f>
        <v>0</v>
      </c>
      <c r="V368" s="59" t="n">
        <f aca="false">IF(H368&gt;0,R368*(B368*P1_LOG+C368*P2_LOG)/H368,0)</f>
        <v>0</v>
      </c>
      <c r="W368" s="59" t="n">
        <f aca="false">S368*COSTE_DEV</f>
        <v>0</v>
      </c>
      <c r="X368" s="59" t="n">
        <f aca="false">IF(H368&gt;0,R368*(B368*P1_IVAN+C368*P2_IVAN)/H368,0)-S368*IVA_DEV</f>
        <v>0</v>
      </c>
      <c r="Y368" s="59" t="n">
        <f aca="false">F368*(1+RECARGO_ADS)</f>
        <v>0</v>
      </c>
    </row>
    <row r="369" customFormat="false" ht="15" hidden="false" customHeight="false" outlineLevel="0" collapsed="false">
      <c r="A369" s="53" t="n">
        <v>46663</v>
      </c>
      <c r="B369" s="54"/>
      <c r="C369" s="54"/>
      <c r="D369" s="54"/>
      <c r="E369" s="54"/>
      <c r="F369" s="55"/>
      <c r="G369" s="56"/>
      <c r="H369" s="31" t="n">
        <f aca="false">B369+C369</f>
        <v>0</v>
      </c>
      <c r="I369" s="31" t="n">
        <f aca="false">MAX(0,H369-D369-E369)</f>
        <v>0</v>
      </c>
      <c r="J369" s="32" t="n">
        <f aca="false">B369*P1_PVP+C369*P2_PVP</f>
        <v>0</v>
      </c>
      <c r="K369" s="32" t="str">
        <f aca="false">IF(H369&gt;0,J369/H369,"")</f>
        <v/>
      </c>
      <c r="L369" s="32" t="str">
        <f aca="false">IF(H369&gt;0,F369/H369,"")</f>
        <v/>
      </c>
      <c r="M369" s="57" t="str">
        <f aca="false">IF(F369&gt;0,J369/F369,"")</f>
        <v/>
      </c>
      <c r="N369" s="34" t="str">
        <f aca="false">IF(D369+E369&gt;0,D369/(D369+E369),"")</f>
        <v/>
      </c>
      <c r="O369" s="33" t="n">
        <f aca="false">IF(H369&gt;0,D369*(B369*(P1_BEN-P1_IVAN)+C369*(P2_BEN-P2_IVAN))/H369,0)-E369*(COSTE_DEV-IVA_DEV)-Y369</f>
        <v>0</v>
      </c>
      <c r="P369" s="33" t="n">
        <f aca="false">T369-U369-V369-W369-X369-Y369</f>
        <v>0</v>
      </c>
      <c r="R369" s="58" t="n">
        <f aca="false">D369+I369*TASA_USADA</f>
        <v>0</v>
      </c>
      <c r="S369" s="58" t="n">
        <f aca="false">E369+I369*(1-TASA_USADA)</f>
        <v>0</v>
      </c>
      <c r="T369" s="59" t="n">
        <f aca="false">IF(H369&gt;0,R369*J369/H369,0)</f>
        <v>0</v>
      </c>
      <c r="U369" s="59" t="n">
        <f aca="false">IF(H369&gt;0,R369*(B369*P1_CPROD+C369*P2_CPROD)/H369,0)</f>
        <v>0</v>
      </c>
      <c r="V369" s="59" t="n">
        <f aca="false">IF(H369&gt;0,R369*(B369*P1_LOG+C369*P2_LOG)/H369,0)</f>
        <v>0</v>
      </c>
      <c r="W369" s="59" t="n">
        <f aca="false">S369*COSTE_DEV</f>
        <v>0</v>
      </c>
      <c r="X369" s="59" t="n">
        <f aca="false">IF(H369&gt;0,R369*(B369*P1_IVAN+C369*P2_IVAN)/H369,0)-S369*IVA_DEV</f>
        <v>0</v>
      </c>
      <c r="Y369" s="59" t="n">
        <f aca="false">F369*(1+RECARGO_ADS)</f>
        <v>0</v>
      </c>
    </row>
    <row r="370" customFormat="false" ht="15" hidden="false" customHeight="false" outlineLevel="0" collapsed="false">
      <c r="A370" s="53" t="n">
        <v>46664</v>
      </c>
      <c r="B370" s="54"/>
      <c r="C370" s="54"/>
      <c r="D370" s="54"/>
      <c r="E370" s="54"/>
      <c r="F370" s="55"/>
      <c r="G370" s="56"/>
      <c r="H370" s="31" t="n">
        <f aca="false">B370+C370</f>
        <v>0</v>
      </c>
      <c r="I370" s="31" t="n">
        <f aca="false">MAX(0,H370-D370-E370)</f>
        <v>0</v>
      </c>
      <c r="J370" s="32" t="n">
        <f aca="false">B370*P1_PVP+C370*P2_PVP</f>
        <v>0</v>
      </c>
      <c r="K370" s="32" t="str">
        <f aca="false">IF(H370&gt;0,J370/H370,"")</f>
        <v/>
      </c>
      <c r="L370" s="32" t="str">
        <f aca="false">IF(H370&gt;0,F370/H370,"")</f>
        <v/>
      </c>
      <c r="M370" s="57" t="str">
        <f aca="false">IF(F370&gt;0,J370/F370,"")</f>
        <v/>
      </c>
      <c r="N370" s="34" t="str">
        <f aca="false">IF(D370+E370&gt;0,D370/(D370+E370),"")</f>
        <v/>
      </c>
      <c r="O370" s="33" t="n">
        <f aca="false">IF(H370&gt;0,D370*(B370*(P1_BEN-P1_IVAN)+C370*(P2_BEN-P2_IVAN))/H370,0)-E370*(COSTE_DEV-IVA_DEV)-Y370</f>
        <v>0</v>
      </c>
      <c r="P370" s="33" t="n">
        <f aca="false">T370-U370-V370-W370-X370-Y370</f>
        <v>0</v>
      </c>
      <c r="R370" s="58" t="n">
        <f aca="false">D370+I370*TASA_USADA</f>
        <v>0</v>
      </c>
      <c r="S370" s="58" t="n">
        <f aca="false">E370+I370*(1-TASA_USADA)</f>
        <v>0</v>
      </c>
      <c r="T370" s="59" t="n">
        <f aca="false">IF(H370&gt;0,R370*J370/H370,0)</f>
        <v>0</v>
      </c>
      <c r="U370" s="59" t="n">
        <f aca="false">IF(H370&gt;0,R370*(B370*P1_CPROD+C370*P2_CPROD)/H370,0)</f>
        <v>0</v>
      </c>
      <c r="V370" s="59" t="n">
        <f aca="false">IF(H370&gt;0,R370*(B370*P1_LOG+C370*P2_LOG)/H370,0)</f>
        <v>0</v>
      </c>
      <c r="W370" s="59" t="n">
        <f aca="false">S370*COSTE_DEV</f>
        <v>0</v>
      </c>
      <c r="X370" s="59" t="n">
        <f aca="false">IF(H370&gt;0,R370*(B370*P1_IVAN+C370*P2_IVAN)/H370,0)-S370*IVA_DEV</f>
        <v>0</v>
      </c>
      <c r="Y370" s="59" t="n">
        <f aca="false">F370*(1+RECARGO_ADS)</f>
        <v>0</v>
      </c>
    </row>
  </sheetData>
  <conditionalFormatting sqref="B6:C370">
    <cfRule type="expression" priority="2" aboveAverage="0" equalAverage="0" bottom="0" percent="0" rank="0" text="" dxfId="8">
      <formula>AND($F6&gt;0,$B6="",$C6="",$A6&lt;TODAY())</formula>
    </cfRule>
  </conditionalFormatting>
  <conditionalFormatting sqref="A6:A370">
    <cfRule type="expression" priority="3" aboveAverage="0" equalAverage="0" bottom="0" percent="0" rank="0" text="" dxfId="9">
      <formula>$A6=TODAY()</formula>
    </cfRule>
  </conditionalFormatting>
  <conditionalFormatting sqref="O6:P370">
    <cfRule type="cellIs" priority="4" operator="greaterThan" aboveAverage="0" equalAverage="0" bottom="0" percent="0" rank="0" text="" dxfId="5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88</v>
      </c>
    </row>
    <row r="3" customFormat="false" ht="15" hidden="false" customHeight="false" outlineLevel="0" collapsed="false">
      <c r="A3" s="2" t="s">
        <v>89</v>
      </c>
    </row>
    <row r="4" customFormat="false" ht="15" hidden="false" customHeight="false" outlineLevel="0" collapsed="false">
      <c r="A4" s="52" t="s">
        <v>48</v>
      </c>
      <c r="B4" s="52" t="s">
        <v>90</v>
      </c>
      <c r="C4" s="52" t="s">
        <v>91</v>
      </c>
      <c r="D4" s="52" t="s">
        <v>92</v>
      </c>
      <c r="E4" s="52" t="s">
        <v>73</v>
      </c>
    </row>
    <row r="5" customFormat="false" ht="15" hidden="false" customHeight="false" outlineLevel="0" collapsed="false">
      <c r="A5" s="60"/>
      <c r="B5" s="56"/>
      <c r="C5" s="56"/>
      <c r="D5" s="55"/>
      <c r="E5" s="56"/>
    </row>
    <row r="6" customFormat="false" ht="15" hidden="false" customHeight="false" outlineLevel="0" collapsed="false">
      <c r="A6" s="60"/>
      <c r="B6" s="56"/>
      <c r="C6" s="56"/>
      <c r="D6" s="55"/>
      <c r="E6" s="56"/>
    </row>
    <row r="7" customFormat="false" ht="15" hidden="false" customHeight="false" outlineLevel="0" collapsed="false">
      <c r="A7" s="60"/>
      <c r="B7" s="56"/>
      <c r="C7" s="56"/>
      <c r="D7" s="55"/>
      <c r="E7" s="56"/>
    </row>
    <row r="8" customFormat="false" ht="15" hidden="false" customHeight="false" outlineLevel="0" collapsed="false">
      <c r="A8" s="60"/>
      <c r="B8" s="56"/>
      <c r="C8" s="56"/>
      <c r="D8" s="55"/>
      <c r="E8" s="56"/>
    </row>
    <row r="9" customFormat="false" ht="15" hidden="false" customHeight="false" outlineLevel="0" collapsed="false">
      <c r="A9" s="60"/>
      <c r="B9" s="56"/>
      <c r="C9" s="56"/>
      <c r="D9" s="55"/>
      <c r="E9" s="56"/>
    </row>
    <row r="10" customFormat="false" ht="15" hidden="false" customHeight="false" outlineLevel="0" collapsed="false">
      <c r="A10" s="60"/>
      <c r="B10" s="56"/>
      <c r="C10" s="56"/>
      <c r="D10" s="55"/>
      <c r="E10" s="56"/>
    </row>
    <row r="11" customFormat="false" ht="15" hidden="false" customHeight="false" outlineLevel="0" collapsed="false">
      <c r="A11" s="60"/>
      <c r="B11" s="56"/>
      <c r="C11" s="56"/>
      <c r="D11" s="55"/>
      <c r="E11" s="56"/>
    </row>
    <row r="12" customFormat="false" ht="15" hidden="false" customHeight="false" outlineLevel="0" collapsed="false">
      <c r="A12" s="60"/>
      <c r="B12" s="56"/>
      <c r="C12" s="56"/>
      <c r="D12" s="55"/>
      <c r="E12" s="56"/>
    </row>
    <row r="13" customFormat="false" ht="15" hidden="false" customHeight="false" outlineLevel="0" collapsed="false">
      <c r="A13" s="60"/>
      <c r="B13" s="56"/>
      <c r="C13" s="56"/>
      <c r="D13" s="55"/>
      <c r="E13" s="56"/>
    </row>
    <row r="14" customFormat="false" ht="15" hidden="false" customHeight="false" outlineLevel="0" collapsed="false">
      <c r="A14" s="60"/>
      <c r="B14" s="56"/>
      <c r="C14" s="56"/>
      <c r="D14" s="55"/>
      <c r="E14" s="56"/>
    </row>
    <row r="15" customFormat="false" ht="15" hidden="false" customHeight="false" outlineLevel="0" collapsed="false">
      <c r="A15" s="60"/>
      <c r="B15" s="56"/>
      <c r="C15" s="56"/>
      <c r="D15" s="55"/>
      <c r="E15" s="56"/>
    </row>
    <row r="16" customFormat="false" ht="15" hidden="false" customHeight="false" outlineLevel="0" collapsed="false">
      <c r="A16" s="60"/>
      <c r="B16" s="56"/>
      <c r="C16" s="56"/>
      <c r="D16" s="55"/>
      <c r="E16" s="56"/>
    </row>
    <row r="17" customFormat="false" ht="15" hidden="false" customHeight="false" outlineLevel="0" collapsed="false">
      <c r="A17" s="60"/>
      <c r="B17" s="56"/>
      <c r="C17" s="56"/>
      <c r="D17" s="55"/>
      <c r="E17" s="56"/>
    </row>
    <row r="18" customFormat="false" ht="15" hidden="false" customHeight="false" outlineLevel="0" collapsed="false">
      <c r="A18" s="60"/>
      <c r="B18" s="56"/>
      <c r="C18" s="56"/>
      <c r="D18" s="55"/>
      <c r="E18" s="56"/>
    </row>
    <row r="19" customFormat="false" ht="15" hidden="false" customHeight="false" outlineLevel="0" collapsed="false">
      <c r="A19" s="60"/>
      <c r="B19" s="56"/>
      <c r="C19" s="56"/>
      <c r="D19" s="55"/>
      <c r="E19" s="56"/>
    </row>
    <row r="20" customFormat="false" ht="15" hidden="false" customHeight="false" outlineLevel="0" collapsed="false">
      <c r="A20" s="60"/>
      <c r="B20" s="56"/>
      <c r="C20" s="56"/>
      <c r="D20" s="55"/>
      <c r="E20" s="56"/>
    </row>
    <row r="21" customFormat="false" ht="15" hidden="false" customHeight="false" outlineLevel="0" collapsed="false">
      <c r="A21" s="60"/>
      <c r="B21" s="56"/>
      <c r="C21" s="56"/>
      <c r="D21" s="55"/>
      <c r="E21" s="56"/>
    </row>
    <row r="22" customFormat="false" ht="15" hidden="false" customHeight="false" outlineLevel="0" collapsed="false">
      <c r="A22" s="60"/>
      <c r="B22" s="56"/>
      <c r="C22" s="56"/>
      <c r="D22" s="55"/>
      <c r="E22" s="56"/>
    </row>
    <row r="23" customFormat="false" ht="15" hidden="false" customHeight="false" outlineLevel="0" collapsed="false">
      <c r="A23" s="60"/>
      <c r="B23" s="56"/>
      <c r="C23" s="56"/>
      <c r="D23" s="55"/>
      <c r="E23" s="56"/>
    </row>
    <row r="24" customFormat="false" ht="15" hidden="false" customHeight="false" outlineLevel="0" collapsed="false">
      <c r="A24" s="60"/>
      <c r="B24" s="56"/>
      <c r="C24" s="56"/>
      <c r="D24" s="55"/>
      <c r="E24" s="56"/>
    </row>
    <row r="25" customFormat="false" ht="15" hidden="false" customHeight="false" outlineLevel="0" collapsed="false">
      <c r="A25" s="60"/>
      <c r="B25" s="56"/>
      <c r="C25" s="56"/>
      <c r="D25" s="55"/>
      <c r="E25" s="56"/>
    </row>
    <row r="26" customFormat="false" ht="15" hidden="false" customHeight="false" outlineLevel="0" collapsed="false">
      <c r="A26" s="60"/>
      <c r="B26" s="56"/>
      <c r="C26" s="56"/>
      <c r="D26" s="55"/>
      <c r="E26" s="56"/>
    </row>
    <row r="27" customFormat="false" ht="15" hidden="false" customHeight="false" outlineLevel="0" collapsed="false">
      <c r="A27" s="60"/>
      <c r="B27" s="56"/>
      <c r="C27" s="56"/>
      <c r="D27" s="55"/>
      <c r="E27" s="56"/>
    </row>
    <row r="28" customFormat="false" ht="15" hidden="false" customHeight="false" outlineLevel="0" collapsed="false">
      <c r="A28" s="60"/>
      <c r="B28" s="56"/>
      <c r="C28" s="56"/>
      <c r="D28" s="55"/>
      <c r="E28" s="56"/>
    </row>
    <row r="29" customFormat="false" ht="15" hidden="false" customHeight="false" outlineLevel="0" collapsed="false">
      <c r="A29" s="60"/>
      <c r="B29" s="56"/>
      <c r="C29" s="56"/>
      <c r="D29" s="55"/>
      <c r="E29" s="56"/>
    </row>
    <row r="30" customFormat="false" ht="15" hidden="false" customHeight="false" outlineLevel="0" collapsed="false">
      <c r="A30" s="60"/>
      <c r="B30" s="56"/>
      <c r="C30" s="56"/>
      <c r="D30" s="55"/>
      <c r="E30" s="56"/>
    </row>
    <row r="31" customFormat="false" ht="15" hidden="false" customHeight="false" outlineLevel="0" collapsed="false">
      <c r="A31" s="60"/>
      <c r="B31" s="56"/>
      <c r="C31" s="56"/>
      <c r="D31" s="55"/>
      <c r="E31" s="56"/>
    </row>
    <row r="32" customFormat="false" ht="15" hidden="false" customHeight="false" outlineLevel="0" collapsed="false">
      <c r="A32" s="60"/>
      <c r="B32" s="56"/>
      <c r="C32" s="56"/>
      <c r="D32" s="55"/>
      <c r="E32" s="56"/>
    </row>
    <row r="33" customFormat="false" ht="15" hidden="false" customHeight="false" outlineLevel="0" collapsed="false">
      <c r="A33" s="60"/>
      <c r="B33" s="56"/>
      <c r="C33" s="56"/>
      <c r="D33" s="55"/>
      <c r="E33" s="56"/>
    </row>
    <row r="34" customFormat="false" ht="15" hidden="false" customHeight="false" outlineLevel="0" collapsed="false">
      <c r="A34" s="60"/>
      <c r="B34" s="56"/>
      <c r="C34" s="56"/>
      <c r="D34" s="55"/>
      <c r="E34" s="56"/>
    </row>
    <row r="35" customFormat="false" ht="15" hidden="false" customHeight="false" outlineLevel="0" collapsed="false">
      <c r="A35" s="60"/>
      <c r="B35" s="56"/>
      <c r="C35" s="56"/>
      <c r="D35" s="55"/>
      <c r="E35" s="56"/>
    </row>
    <row r="36" customFormat="false" ht="15" hidden="false" customHeight="false" outlineLevel="0" collapsed="false">
      <c r="A36" s="60"/>
      <c r="B36" s="56"/>
      <c r="C36" s="56"/>
      <c r="D36" s="55"/>
      <c r="E36" s="56"/>
    </row>
    <row r="37" customFormat="false" ht="15" hidden="false" customHeight="false" outlineLevel="0" collapsed="false">
      <c r="A37" s="60"/>
      <c r="B37" s="56"/>
      <c r="C37" s="56"/>
      <c r="D37" s="55"/>
      <c r="E37" s="56"/>
    </row>
    <row r="38" customFormat="false" ht="15" hidden="false" customHeight="false" outlineLevel="0" collapsed="false">
      <c r="A38" s="60"/>
      <c r="B38" s="56"/>
      <c r="C38" s="56"/>
      <c r="D38" s="55"/>
      <c r="E38" s="56"/>
    </row>
    <row r="39" customFormat="false" ht="15" hidden="false" customHeight="false" outlineLevel="0" collapsed="false">
      <c r="A39" s="60"/>
      <c r="B39" s="56"/>
      <c r="C39" s="56"/>
      <c r="D39" s="55"/>
      <c r="E39" s="56"/>
    </row>
    <row r="40" customFormat="false" ht="15" hidden="false" customHeight="false" outlineLevel="0" collapsed="false">
      <c r="A40" s="60"/>
      <c r="B40" s="56"/>
      <c r="C40" s="56"/>
      <c r="D40" s="55"/>
      <c r="E40" s="56"/>
    </row>
    <row r="41" customFormat="false" ht="15" hidden="false" customHeight="false" outlineLevel="0" collapsed="false">
      <c r="A41" s="60"/>
      <c r="B41" s="56"/>
      <c r="C41" s="56"/>
      <c r="D41" s="55"/>
      <c r="E41" s="56"/>
    </row>
    <row r="42" customFormat="false" ht="15" hidden="false" customHeight="false" outlineLevel="0" collapsed="false">
      <c r="A42" s="60"/>
      <c r="B42" s="56"/>
      <c r="C42" s="56"/>
      <c r="D42" s="55"/>
      <c r="E42" s="56"/>
    </row>
    <row r="43" customFormat="false" ht="15" hidden="false" customHeight="false" outlineLevel="0" collapsed="false">
      <c r="A43" s="60"/>
      <c r="B43" s="56"/>
      <c r="C43" s="56"/>
      <c r="D43" s="55"/>
      <c r="E43" s="56"/>
    </row>
    <row r="44" customFormat="false" ht="15" hidden="false" customHeight="false" outlineLevel="0" collapsed="false">
      <c r="A44" s="60"/>
      <c r="B44" s="56"/>
      <c r="C44" s="56"/>
      <c r="D44" s="55"/>
      <c r="E44" s="56"/>
    </row>
    <row r="45" customFormat="false" ht="15" hidden="false" customHeight="false" outlineLevel="0" collapsed="false">
      <c r="A45" s="60"/>
      <c r="B45" s="56"/>
      <c r="C45" s="56"/>
      <c r="D45" s="55"/>
      <c r="E45" s="56"/>
    </row>
    <row r="46" customFormat="false" ht="15" hidden="false" customHeight="false" outlineLevel="0" collapsed="false">
      <c r="A46" s="60"/>
      <c r="B46" s="56"/>
      <c r="C46" s="56"/>
      <c r="D46" s="55"/>
      <c r="E46" s="56"/>
    </row>
    <row r="47" customFormat="false" ht="15" hidden="false" customHeight="false" outlineLevel="0" collapsed="false">
      <c r="A47" s="60"/>
      <c r="B47" s="56"/>
      <c r="C47" s="56"/>
      <c r="D47" s="55"/>
      <c r="E47" s="56"/>
    </row>
    <row r="48" customFormat="false" ht="15" hidden="false" customHeight="false" outlineLevel="0" collapsed="false">
      <c r="A48" s="60"/>
      <c r="B48" s="56"/>
      <c r="C48" s="56"/>
      <c r="D48" s="55"/>
      <c r="E48" s="56"/>
    </row>
    <row r="49" customFormat="false" ht="15" hidden="false" customHeight="false" outlineLevel="0" collapsed="false">
      <c r="A49" s="60"/>
      <c r="B49" s="56"/>
      <c r="C49" s="56"/>
      <c r="D49" s="55"/>
      <c r="E49" s="56"/>
    </row>
    <row r="50" customFormat="false" ht="15" hidden="false" customHeight="false" outlineLevel="0" collapsed="false">
      <c r="A50" s="60"/>
      <c r="B50" s="56"/>
      <c r="C50" s="56"/>
      <c r="D50" s="55"/>
      <c r="E50" s="56"/>
    </row>
    <row r="51" customFormat="false" ht="15" hidden="false" customHeight="false" outlineLevel="0" collapsed="false">
      <c r="A51" s="60"/>
      <c r="B51" s="56"/>
      <c r="C51" s="56"/>
      <c r="D51" s="55"/>
      <c r="E51" s="56"/>
    </row>
    <row r="52" customFormat="false" ht="15" hidden="false" customHeight="false" outlineLevel="0" collapsed="false">
      <c r="A52" s="60"/>
      <c r="B52" s="56"/>
      <c r="C52" s="56"/>
      <c r="D52" s="55"/>
      <c r="E52" s="56"/>
    </row>
    <row r="53" customFormat="false" ht="15" hidden="false" customHeight="false" outlineLevel="0" collapsed="false">
      <c r="A53" s="60"/>
      <c r="B53" s="56"/>
      <c r="C53" s="56"/>
      <c r="D53" s="55"/>
      <c r="E53" s="56"/>
    </row>
    <row r="54" customFormat="false" ht="15" hidden="false" customHeight="false" outlineLevel="0" collapsed="false">
      <c r="A54" s="60"/>
      <c r="B54" s="56"/>
      <c r="C54" s="56"/>
      <c r="D54" s="55"/>
      <c r="E54" s="56"/>
    </row>
    <row r="55" customFormat="false" ht="15" hidden="false" customHeight="false" outlineLevel="0" collapsed="false">
      <c r="A55" s="60"/>
      <c r="B55" s="56"/>
      <c r="C55" s="56"/>
      <c r="D55" s="55"/>
      <c r="E55" s="56"/>
    </row>
    <row r="56" customFormat="false" ht="15" hidden="false" customHeight="false" outlineLevel="0" collapsed="false">
      <c r="A56" s="60"/>
      <c r="B56" s="56"/>
      <c r="C56" s="56"/>
      <c r="D56" s="55"/>
      <c r="E56" s="56"/>
    </row>
    <row r="57" customFormat="false" ht="15" hidden="false" customHeight="false" outlineLevel="0" collapsed="false">
      <c r="A57" s="60"/>
      <c r="B57" s="56"/>
      <c r="C57" s="56"/>
      <c r="D57" s="55"/>
      <c r="E57" s="56"/>
    </row>
    <row r="58" customFormat="false" ht="15" hidden="false" customHeight="false" outlineLevel="0" collapsed="false">
      <c r="A58" s="60"/>
      <c r="B58" s="56"/>
      <c r="C58" s="56"/>
      <c r="D58" s="55"/>
      <c r="E58" s="56"/>
    </row>
    <row r="59" customFormat="false" ht="15" hidden="false" customHeight="false" outlineLevel="0" collapsed="false">
      <c r="A59" s="60"/>
      <c r="B59" s="56"/>
      <c r="C59" s="56"/>
      <c r="D59" s="55"/>
      <c r="E59" s="56"/>
    </row>
    <row r="60" customFormat="false" ht="15" hidden="false" customHeight="false" outlineLevel="0" collapsed="false">
      <c r="A60" s="60"/>
      <c r="B60" s="56"/>
      <c r="C60" s="56"/>
      <c r="D60" s="55"/>
      <c r="E60" s="56"/>
    </row>
    <row r="61" customFormat="false" ht="15" hidden="false" customHeight="false" outlineLevel="0" collapsed="false">
      <c r="A61" s="60"/>
      <c r="B61" s="56"/>
      <c r="C61" s="56"/>
      <c r="D61" s="55"/>
      <c r="E61" s="56"/>
    </row>
    <row r="62" customFormat="false" ht="15" hidden="false" customHeight="false" outlineLevel="0" collapsed="false">
      <c r="A62" s="60"/>
      <c r="B62" s="56"/>
      <c r="C62" s="56"/>
      <c r="D62" s="55"/>
      <c r="E62" s="56"/>
    </row>
    <row r="63" customFormat="false" ht="15" hidden="false" customHeight="false" outlineLevel="0" collapsed="false">
      <c r="A63" s="60"/>
      <c r="B63" s="56"/>
      <c r="C63" s="56"/>
      <c r="D63" s="55"/>
      <c r="E63" s="56"/>
    </row>
    <row r="64" customFormat="false" ht="15" hidden="false" customHeight="false" outlineLevel="0" collapsed="false">
      <c r="A64" s="60"/>
      <c r="B64" s="56"/>
      <c r="C64" s="56"/>
      <c r="D64" s="55"/>
      <c r="E64" s="56"/>
    </row>
    <row r="65" customFormat="false" ht="15" hidden="false" customHeight="false" outlineLevel="0" collapsed="false">
      <c r="A65" s="60"/>
      <c r="B65" s="56"/>
      <c r="C65" s="56"/>
      <c r="D65" s="55"/>
      <c r="E65" s="56"/>
    </row>
    <row r="66" customFormat="false" ht="15" hidden="false" customHeight="false" outlineLevel="0" collapsed="false">
      <c r="A66" s="60"/>
      <c r="B66" s="56"/>
      <c r="C66" s="56"/>
      <c r="D66" s="55"/>
      <c r="E66" s="56"/>
    </row>
    <row r="67" customFormat="false" ht="15" hidden="false" customHeight="false" outlineLevel="0" collapsed="false">
      <c r="A67" s="60"/>
      <c r="B67" s="56"/>
      <c r="C67" s="56"/>
      <c r="D67" s="55"/>
      <c r="E67" s="56"/>
    </row>
    <row r="68" customFormat="false" ht="15" hidden="false" customHeight="false" outlineLevel="0" collapsed="false">
      <c r="A68" s="60"/>
      <c r="B68" s="56"/>
      <c r="C68" s="56"/>
      <c r="D68" s="55"/>
      <c r="E68" s="56"/>
    </row>
    <row r="69" customFormat="false" ht="15" hidden="false" customHeight="false" outlineLevel="0" collapsed="false">
      <c r="A69" s="60"/>
      <c r="B69" s="56"/>
      <c r="C69" s="56"/>
      <c r="D69" s="55"/>
      <c r="E69" s="56"/>
    </row>
    <row r="70" customFormat="false" ht="15" hidden="false" customHeight="false" outlineLevel="0" collapsed="false">
      <c r="A70" s="60"/>
      <c r="B70" s="56"/>
      <c r="C70" s="56"/>
      <c r="D70" s="55"/>
      <c r="E70" s="56"/>
    </row>
    <row r="71" customFormat="false" ht="15" hidden="false" customHeight="false" outlineLevel="0" collapsed="false">
      <c r="A71" s="60"/>
      <c r="B71" s="56"/>
      <c r="C71" s="56"/>
      <c r="D71" s="55"/>
      <c r="E71" s="56"/>
    </row>
    <row r="72" customFormat="false" ht="15" hidden="false" customHeight="false" outlineLevel="0" collapsed="false">
      <c r="A72" s="60"/>
      <c r="B72" s="56"/>
      <c r="C72" s="56"/>
      <c r="D72" s="55"/>
      <c r="E72" s="56"/>
    </row>
    <row r="73" customFormat="false" ht="15" hidden="false" customHeight="false" outlineLevel="0" collapsed="false">
      <c r="A73" s="60"/>
      <c r="B73" s="56"/>
      <c r="C73" s="56"/>
      <c r="D73" s="55"/>
      <c r="E73" s="56"/>
    </row>
    <row r="74" customFormat="false" ht="15" hidden="false" customHeight="false" outlineLevel="0" collapsed="false">
      <c r="A74" s="60"/>
      <c r="B74" s="56"/>
      <c r="C74" s="56"/>
      <c r="D74" s="55"/>
      <c r="E74" s="56"/>
    </row>
    <row r="75" customFormat="false" ht="15" hidden="false" customHeight="false" outlineLevel="0" collapsed="false">
      <c r="A75" s="60"/>
      <c r="B75" s="56"/>
      <c r="C75" s="56"/>
      <c r="D75" s="55"/>
      <c r="E75" s="56"/>
    </row>
    <row r="76" customFormat="false" ht="15" hidden="false" customHeight="false" outlineLevel="0" collapsed="false">
      <c r="A76" s="60"/>
      <c r="B76" s="56"/>
      <c r="C76" s="56"/>
      <c r="D76" s="55"/>
      <c r="E76" s="56"/>
    </row>
    <row r="77" customFormat="false" ht="15" hidden="false" customHeight="false" outlineLevel="0" collapsed="false">
      <c r="A77" s="60"/>
      <c r="B77" s="56"/>
      <c r="C77" s="56"/>
      <c r="D77" s="55"/>
      <c r="E77" s="56"/>
    </row>
    <row r="78" customFormat="false" ht="15" hidden="false" customHeight="false" outlineLevel="0" collapsed="false">
      <c r="A78" s="60"/>
      <c r="B78" s="56"/>
      <c r="C78" s="56"/>
      <c r="D78" s="55"/>
      <c r="E78" s="56"/>
    </row>
    <row r="79" customFormat="false" ht="15" hidden="false" customHeight="false" outlineLevel="0" collapsed="false">
      <c r="A79" s="60"/>
      <c r="B79" s="56"/>
      <c r="C79" s="56"/>
      <c r="D79" s="55"/>
      <c r="E79" s="56"/>
    </row>
    <row r="80" customFormat="false" ht="15" hidden="false" customHeight="false" outlineLevel="0" collapsed="false">
      <c r="A80" s="60"/>
      <c r="B80" s="56"/>
      <c r="C80" s="56"/>
      <c r="D80" s="55"/>
      <c r="E80" s="56"/>
    </row>
    <row r="81" customFormat="false" ht="15" hidden="false" customHeight="false" outlineLevel="0" collapsed="false">
      <c r="A81" s="60"/>
      <c r="B81" s="56"/>
      <c r="C81" s="56"/>
      <c r="D81" s="55"/>
      <c r="E81" s="56"/>
    </row>
    <row r="82" customFormat="false" ht="15" hidden="false" customHeight="false" outlineLevel="0" collapsed="false">
      <c r="A82" s="60"/>
      <c r="B82" s="56"/>
      <c r="C82" s="56"/>
      <c r="D82" s="55"/>
      <c r="E82" s="56"/>
    </row>
    <row r="83" customFormat="false" ht="15" hidden="false" customHeight="false" outlineLevel="0" collapsed="false">
      <c r="A83" s="60"/>
      <c r="B83" s="56"/>
      <c r="C83" s="56"/>
      <c r="D83" s="55"/>
      <c r="E83" s="56"/>
    </row>
    <row r="84" customFormat="false" ht="15" hidden="false" customHeight="false" outlineLevel="0" collapsed="false">
      <c r="A84" s="60"/>
      <c r="B84" s="56"/>
      <c r="C84" s="56"/>
      <c r="D84" s="55"/>
      <c r="E84" s="56"/>
    </row>
    <row r="85" customFormat="false" ht="15" hidden="false" customHeight="false" outlineLevel="0" collapsed="false">
      <c r="A85" s="60"/>
      <c r="B85" s="56"/>
      <c r="C85" s="56"/>
      <c r="D85" s="55"/>
      <c r="E85" s="56"/>
    </row>
    <row r="86" customFormat="false" ht="15" hidden="false" customHeight="false" outlineLevel="0" collapsed="false">
      <c r="A86" s="60"/>
      <c r="B86" s="56"/>
      <c r="C86" s="56"/>
      <c r="D86" s="55"/>
      <c r="E86" s="56"/>
    </row>
    <row r="87" customFormat="false" ht="15" hidden="false" customHeight="false" outlineLevel="0" collapsed="false">
      <c r="A87" s="60"/>
      <c r="B87" s="56"/>
      <c r="C87" s="56"/>
      <c r="D87" s="55"/>
      <c r="E87" s="56"/>
    </row>
    <row r="88" customFormat="false" ht="15" hidden="false" customHeight="false" outlineLevel="0" collapsed="false">
      <c r="A88" s="60"/>
      <c r="B88" s="56"/>
      <c r="C88" s="56"/>
      <c r="D88" s="55"/>
      <c r="E88" s="56"/>
    </row>
    <row r="89" customFormat="false" ht="15" hidden="false" customHeight="false" outlineLevel="0" collapsed="false">
      <c r="A89" s="60"/>
      <c r="B89" s="56"/>
      <c r="C89" s="56"/>
      <c r="D89" s="55"/>
      <c r="E89" s="56"/>
    </row>
    <row r="90" customFormat="false" ht="15" hidden="false" customHeight="false" outlineLevel="0" collapsed="false">
      <c r="A90" s="60"/>
      <c r="B90" s="56"/>
      <c r="C90" s="56"/>
      <c r="D90" s="55"/>
      <c r="E90" s="56"/>
    </row>
    <row r="91" customFormat="false" ht="15" hidden="false" customHeight="false" outlineLevel="0" collapsed="false">
      <c r="A91" s="60"/>
      <c r="B91" s="56"/>
      <c r="C91" s="56"/>
      <c r="D91" s="55"/>
      <c r="E91" s="56"/>
    </row>
    <row r="92" customFormat="false" ht="15" hidden="false" customHeight="false" outlineLevel="0" collapsed="false">
      <c r="A92" s="60"/>
      <c r="B92" s="56"/>
      <c r="C92" s="56"/>
      <c r="D92" s="55"/>
      <c r="E92" s="56"/>
    </row>
    <row r="93" customFormat="false" ht="15" hidden="false" customHeight="false" outlineLevel="0" collapsed="false">
      <c r="A93" s="60"/>
      <c r="B93" s="56"/>
      <c r="C93" s="56"/>
      <c r="D93" s="55"/>
      <c r="E93" s="56"/>
    </row>
    <row r="94" customFormat="false" ht="15" hidden="false" customHeight="false" outlineLevel="0" collapsed="false">
      <c r="A94" s="60"/>
      <c r="B94" s="56"/>
      <c r="C94" s="56"/>
      <c r="D94" s="55"/>
      <c r="E94" s="56"/>
    </row>
    <row r="95" customFormat="false" ht="15" hidden="false" customHeight="false" outlineLevel="0" collapsed="false">
      <c r="A95" s="60"/>
      <c r="B95" s="56"/>
      <c r="C95" s="56"/>
      <c r="D95" s="55"/>
      <c r="E95" s="56"/>
    </row>
    <row r="96" customFormat="false" ht="15" hidden="false" customHeight="false" outlineLevel="0" collapsed="false">
      <c r="A96" s="60"/>
      <c r="B96" s="56"/>
      <c r="C96" s="56"/>
      <c r="D96" s="55"/>
      <c r="E96" s="56"/>
    </row>
    <row r="97" customFormat="false" ht="15" hidden="false" customHeight="false" outlineLevel="0" collapsed="false">
      <c r="A97" s="60"/>
      <c r="B97" s="56"/>
      <c r="C97" s="56"/>
      <c r="D97" s="55"/>
      <c r="E97" s="56"/>
    </row>
    <row r="98" customFormat="false" ht="15" hidden="false" customHeight="false" outlineLevel="0" collapsed="false">
      <c r="A98" s="60"/>
      <c r="B98" s="56"/>
      <c r="C98" s="56"/>
      <c r="D98" s="55"/>
      <c r="E98" s="56"/>
    </row>
    <row r="99" customFormat="false" ht="15" hidden="false" customHeight="false" outlineLevel="0" collapsed="false">
      <c r="A99" s="60"/>
      <c r="B99" s="56"/>
      <c r="C99" s="56"/>
      <c r="D99" s="55"/>
      <c r="E99" s="56"/>
    </row>
    <row r="100" customFormat="false" ht="15" hidden="false" customHeight="false" outlineLevel="0" collapsed="false">
      <c r="A100" s="60"/>
      <c r="B100" s="56"/>
      <c r="C100" s="56"/>
      <c r="D100" s="55"/>
      <c r="E100" s="56"/>
    </row>
    <row r="101" customFormat="false" ht="15" hidden="false" customHeight="false" outlineLevel="0" collapsed="false">
      <c r="A101" s="60"/>
      <c r="B101" s="56"/>
      <c r="C101" s="56"/>
      <c r="D101" s="55"/>
      <c r="E101" s="56"/>
    </row>
    <row r="102" customFormat="false" ht="15" hidden="false" customHeight="false" outlineLevel="0" collapsed="false">
      <c r="A102" s="60"/>
      <c r="B102" s="56"/>
      <c r="C102" s="56"/>
      <c r="D102" s="55"/>
      <c r="E102" s="56"/>
    </row>
    <row r="103" customFormat="false" ht="15" hidden="false" customHeight="false" outlineLevel="0" collapsed="false">
      <c r="A103" s="60"/>
      <c r="B103" s="56"/>
      <c r="C103" s="56"/>
      <c r="D103" s="55"/>
      <c r="E103" s="56"/>
    </row>
    <row r="104" customFormat="false" ht="15" hidden="false" customHeight="false" outlineLevel="0" collapsed="false">
      <c r="A104" s="60"/>
      <c r="B104" s="56"/>
      <c r="C104" s="56"/>
      <c r="D104" s="55"/>
      <c r="E104" s="56"/>
    </row>
    <row r="105" customFormat="false" ht="15" hidden="false" customHeight="false" outlineLevel="0" collapsed="false">
      <c r="A105" s="60"/>
      <c r="B105" s="56"/>
      <c r="C105" s="56"/>
      <c r="D105" s="55"/>
      <c r="E105" s="56"/>
    </row>
    <row r="106" customFormat="false" ht="15" hidden="false" customHeight="false" outlineLevel="0" collapsed="false">
      <c r="A106" s="60"/>
      <c r="B106" s="56"/>
      <c r="C106" s="56"/>
      <c r="D106" s="55"/>
      <c r="E106" s="56"/>
    </row>
    <row r="107" customFormat="false" ht="15" hidden="false" customHeight="false" outlineLevel="0" collapsed="false">
      <c r="A107" s="60"/>
      <c r="B107" s="56"/>
      <c r="C107" s="56"/>
      <c r="D107" s="55"/>
      <c r="E107" s="56"/>
    </row>
    <row r="108" customFormat="false" ht="15" hidden="false" customHeight="false" outlineLevel="0" collapsed="false">
      <c r="A108" s="60"/>
      <c r="B108" s="56"/>
      <c r="C108" s="56"/>
      <c r="D108" s="55"/>
      <c r="E108" s="56"/>
    </row>
    <row r="109" customFormat="false" ht="15" hidden="false" customHeight="false" outlineLevel="0" collapsed="false">
      <c r="A109" s="60"/>
      <c r="B109" s="56"/>
      <c r="C109" s="56"/>
      <c r="D109" s="55"/>
      <c r="E109" s="56"/>
    </row>
    <row r="110" customFormat="false" ht="15" hidden="false" customHeight="false" outlineLevel="0" collapsed="false">
      <c r="A110" s="60"/>
      <c r="B110" s="56"/>
      <c r="C110" s="56"/>
      <c r="D110" s="55"/>
      <c r="E110" s="56"/>
    </row>
    <row r="111" customFormat="false" ht="15" hidden="false" customHeight="false" outlineLevel="0" collapsed="false">
      <c r="A111" s="60"/>
      <c r="B111" s="56"/>
      <c r="C111" s="56"/>
      <c r="D111" s="55"/>
      <c r="E111" s="56"/>
    </row>
    <row r="112" customFormat="false" ht="15" hidden="false" customHeight="false" outlineLevel="0" collapsed="false">
      <c r="A112" s="60"/>
      <c r="B112" s="56"/>
      <c r="C112" s="56"/>
      <c r="D112" s="55"/>
      <c r="E112" s="56"/>
    </row>
    <row r="113" customFormat="false" ht="15" hidden="false" customHeight="false" outlineLevel="0" collapsed="false">
      <c r="A113" s="60"/>
      <c r="B113" s="56"/>
      <c r="C113" s="56"/>
      <c r="D113" s="55"/>
      <c r="E113" s="56"/>
    </row>
    <row r="114" customFormat="false" ht="15" hidden="false" customHeight="false" outlineLevel="0" collapsed="false">
      <c r="A114" s="60"/>
      <c r="B114" s="56"/>
      <c r="C114" s="56"/>
      <c r="D114" s="55"/>
      <c r="E114" s="56"/>
    </row>
    <row r="115" customFormat="false" ht="15" hidden="false" customHeight="false" outlineLevel="0" collapsed="false">
      <c r="A115" s="60"/>
      <c r="B115" s="56"/>
      <c r="C115" s="56"/>
      <c r="D115" s="55"/>
      <c r="E115" s="56"/>
    </row>
    <row r="116" customFormat="false" ht="15" hidden="false" customHeight="false" outlineLevel="0" collapsed="false">
      <c r="A116" s="60"/>
      <c r="B116" s="56"/>
      <c r="C116" s="56"/>
      <c r="D116" s="55"/>
      <c r="E116" s="56"/>
    </row>
    <row r="117" customFormat="false" ht="15" hidden="false" customHeight="false" outlineLevel="0" collapsed="false">
      <c r="A117" s="60"/>
      <c r="B117" s="56"/>
      <c r="C117" s="56"/>
      <c r="D117" s="55"/>
      <c r="E117" s="56"/>
    </row>
    <row r="118" customFormat="false" ht="15" hidden="false" customHeight="false" outlineLevel="0" collapsed="false">
      <c r="A118" s="60"/>
      <c r="B118" s="56"/>
      <c r="C118" s="56"/>
      <c r="D118" s="55"/>
      <c r="E118" s="56"/>
    </row>
    <row r="119" customFormat="false" ht="15" hidden="false" customHeight="false" outlineLevel="0" collapsed="false">
      <c r="A119" s="60"/>
      <c r="B119" s="56"/>
      <c r="C119" s="56"/>
      <c r="D119" s="55"/>
      <c r="E119" s="56"/>
    </row>
    <row r="120" customFormat="false" ht="15" hidden="false" customHeight="false" outlineLevel="0" collapsed="false">
      <c r="A120" s="60"/>
      <c r="B120" s="56"/>
      <c r="C120" s="56"/>
      <c r="D120" s="55"/>
      <c r="E120" s="56"/>
    </row>
    <row r="121" customFormat="false" ht="15" hidden="false" customHeight="false" outlineLevel="0" collapsed="false">
      <c r="A121" s="60"/>
      <c r="B121" s="56"/>
      <c r="C121" s="56"/>
      <c r="D121" s="55"/>
      <c r="E121" s="56"/>
    </row>
    <row r="122" customFormat="false" ht="15" hidden="false" customHeight="false" outlineLevel="0" collapsed="false">
      <c r="A122" s="60"/>
      <c r="B122" s="56"/>
      <c r="C122" s="56"/>
      <c r="D122" s="55"/>
      <c r="E122" s="56"/>
    </row>
    <row r="123" customFormat="false" ht="15" hidden="false" customHeight="false" outlineLevel="0" collapsed="false">
      <c r="A123" s="60"/>
      <c r="B123" s="56"/>
      <c r="C123" s="56"/>
      <c r="D123" s="55"/>
      <c r="E123" s="56"/>
    </row>
    <row r="124" customFormat="false" ht="15" hidden="false" customHeight="false" outlineLevel="0" collapsed="false">
      <c r="A124" s="60"/>
      <c r="B124" s="56"/>
      <c r="C124" s="56"/>
      <c r="D124" s="55"/>
      <c r="E124" s="56"/>
    </row>
    <row r="125" customFormat="false" ht="15" hidden="false" customHeight="false" outlineLevel="0" collapsed="false">
      <c r="A125" s="60"/>
      <c r="B125" s="56"/>
      <c r="C125" s="56"/>
      <c r="D125" s="55"/>
      <c r="E125" s="56"/>
    </row>
    <row r="126" customFormat="false" ht="15" hidden="false" customHeight="false" outlineLevel="0" collapsed="false">
      <c r="A126" s="60"/>
      <c r="B126" s="56"/>
      <c r="C126" s="56"/>
      <c r="D126" s="55"/>
      <c r="E126" s="56"/>
    </row>
    <row r="127" customFormat="false" ht="15" hidden="false" customHeight="false" outlineLevel="0" collapsed="false">
      <c r="A127" s="60"/>
      <c r="B127" s="56"/>
      <c r="C127" s="56"/>
      <c r="D127" s="55"/>
      <c r="E127" s="56"/>
    </row>
    <row r="128" customFormat="false" ht="15" hidden="false" customHeight="false" outlineLevel="0" collapsed="false">
      <c r="A128" s="60"/>
      <c r="B128" s="56"/>
      <c r="C128" s="56"/>
      <c r="D128" s="55"/>
      <c r="E128" s="56"/>
    </row>
    <row r="129" customFormat="false" ht="15" hidden="false" customHeight="false" outlineLevel="0" collapsed="false">
      <c r="A129" s="60"/>
      <c r="B129" s="56"/>
      <c r="C129" s="56"/>
      <c r="D129" s="55"/>
      <c r="E129" s="56"/>
    </row>
    <row r="130" customFormat="false" ht="15" hidden="false" customHeight="false" outlineLevel="0" collapsed="false">
      <c r="A130" s="60"/>
      <c r="B130" s="56"/>
      <c r="C130" s="56"/>
      <c r="D130" s="55"/>
      <c r="E130" s="56"/>
    </row>
    <row r="131" customFormat="false" ht="15" hidden="false" customHeight="false" outlineLevel="0" collapsed="false">
      <c r="A131" s="60"/>
      <c r="B131" s="56"/>
      <c r="C131" s="56"/>
      <c r="D131" s="55"/>
      <c r="E131" s="56"/>
    </row>
    <row r="132" customFormat="false" ht="15" hidden="false" customHeight="false" outlineLevel="0" collapsed="false">
      <c r="A132" s="60"/>
      <c r="B132" s="56"/>
      <c r="C132" s="56"/>
      <c r="D132" s="55"/>
      <c r="E132" s="56"/>
    </row>
    <row r="133" customFormat="false" ht="15" hidden="false" customHeight="false" outlineLevel="0" collapsed="false">
      <c r="A133" s="60"/>
      <c r="B133" s="56"/>
      <c r="C133" s="56"/>
      <c r="D133" s="55"/>
      <c r="E133" s="56"/>
    </row>
    <row r="134" customFormat="false" ht="15" hidden="false" customHeight="false" outlineLevel="0" collapsed="false">
      <c r="A134" s="60"/>
      <c r="B134" s="56"/>
      <c r="C134" s="56"/>
      <c r="D134" s="55"/>
      <c r="E134" s="56"/>
    </row>
    <row r="135" customFormat="false" ht="15" hidden="false" customHeight="false" outlineLevel="0" collapsed="false">
      <c r="A135" s="60"/>
      <c r="B135" s="56"/>
      <c r="C135" s="56"/>
      <c r="D135" s="55"/>
      <c r="E135" s="56"/>
    </row>
    <row r="136" customFormat="false" ht="15" hidden="false" customHeight="false" outlineLevel="0" collapsed="false">
      <c r="A136" s="60"/>
      <c r="B136" s="56"/>
      <c r="C136" s="56"/>
      <c r="D136" s="55"/>
      <c r="E136" s="56"/>
    </row>
    <row r="137" customFormat="false" ht="15" hidden="false" customHeight="false" outlineLevel="0" collapsed="false">
      <c r="A137" s="60"/>
      <c r="B137" s="56"/>
      <c r="C137" s="56"/>
      <c r="D137" s="55"/>
      <c r="E137" s="56"/>
    </row>
    <row r="138" customFormat="false" ht="15" hidden="false" customHeight="false" outlineLevel="0" collapsed="false">
      <c r="A138" s="60"/>
      <c r="B138" s="56"/>
      <c r="C138" s="56"/>
      <c r="D138" s="55"/>
      <c r="E138" s="56"/>
    </row>
    <row r="139" customFormat="false" ht="15" hidden="false" customHeight="false" outlineLevel="0" collapsed="false">
      <c r="A139" s="60"/>
      <c r="B139" s="56"/>
      <c r="C139" s="56"/>
      <c r="D139" s="55"/>
      <c r="E139" s="56"/>
    </row>
    <row r="140" customFormat="false" ht="15" hidden="false" customHeight="false" outlineLevel="0" collapsed="false">
      <c r="A140" s="60"/>
      <c r="B140" s="56"/>
      <c r="C140" s="56"/>
      <c r="D140" s="55"/>
      <c r="E140" s="56"/>
    </row>
    <row r="141" customFormat="false" ht="15" hidden="false" customHeight="false" outlineLevel="0" collapsed="false">
      <c r="A141" s="60"/>
      <c r="B141" s="56"/>
      <c r="C141" s="56"/>
      <c r="D141" s="55"/>
      <c r="E141" s="56"/>
    </row>
    <row r="142" customFormat="false" ht="15" hidden="false" customHeight="false" outlineLevel="0" collapsed="false">
      <c r="A142" s="60"/>
      <c r="B142" s="56"/>
      <c r="C142" s="56"/>
      <c r="D142" s="55"/>
      <c r="E142" s="56"/>
    </row>
    <row r="143" customFormat="false" ht="15" hidden="false" customHeight="false" outlineLevel="0" collapsed="false">
      <c r="A143" s="60"/>
      <c r="B143" s="56"/>
      <c r="C143" s="56"/>
      <c r="D143" s="55"/>
      <c r="E143" s="56"/>
    </row>
    <row r="144" customFormat="false" ht="15" hidden="false" customHeight="false" outlineLevel="0" collapsed="false">
      <c r="A144" s="60"/>
      <c r="B144" s="56"/>
      <c r="C144" s="56"/>
      <c r="D144" s="55"/>
      <c r="E144" s="56"/>
    </row>
    <row r="145" customFormat="false" ht="15" hidden="false" customHeight="false" outlineLevel="0" collapsed="false">
      <c r="A145" s="60"/>
      <c r="B145" s="56"/>
      <c r="C145" s="56"/>
      <c r="D145" s="55"/>
      <c r="E145" s="56"/>
    </row>
    <row r="146" customFormat="false" ht="15" hidden="false" customHeight="false" outlineLevel="0" collapsed="false">
      <c r="A146" s="60"/>
      <c r="B146" s="56"/>
      <c r="C146" s="56"/>
      <c r="D146" s="55"/>
      <c r="E146" s="56"/>
    </row>
    <row r="147" customFormat="false" ht="15" hidden="false" customHeight="false" outlineLevel="0" collapsed="false">
      <c r="A147" s="60"/>
      <c r="B147" s="56"/>
      <c r="C147" s="56"/>
      <c r="D147" s="55"/>
      <c r="E147" s="56"/>
    </row>
    <row r="148" customFormat="false" ht="15" hidden="false" customHeight="false" outlineLevel="0" collapsed="false">
      <c r="A148" s="60"/>
      <c r="B148" s="56"/>
      <c r="C148" s="56"/>
      <c r="D148" s="55"/>
      <c r="E148" s="56"/>
    </row>
    <row r="149" customFormat="false" ht="15" hidden="false" customHeight="false" outlineLevel="0" collapsed="false">
      <c r="A149" s="60"/>
      <c r="B149" s="56"/>
      <c r="C149" s="56"/>
      <c r="D149" s="55"/>
      <c r="E149" s="56"/>
    </row>
    <row r="150" customFormat="false" ht="15" hidden="false" customHeight="false" outlineLevel="0" collapsed="false">
      <c r="A150" s="60"/>
      <c r="B150" s="56"/>
      <c r="C150" s="56"/>
      <c r="D150" s="55"/>
      <c r="E150" s="56"/>
    </row>
    <row r="151" customFormat="false" ht="15" hidden="false" customHeight="false" outlineLevel="0" collapsed="false">
      <c r="A151" s="60"/>
      <c r="B151" s="56"/>
      <c r="C151" s="56"/>
      <c r="D151" s="55"/>
      <c r="E151" s="56"/>
    </row>
    <row r="152" customFormat="false" ht="15" hidden="false" customHeight="false" outlineLevel="0" collapsed="false">
      <c r="A152" s="60"/>
      <c r="B152" s="56"/>
      <c r="C152" s="56"/>
      <c r="D152" s="55"/>
      <c r="E152" s="56"/>
    </row>
    <row r="153" customFormat="false" ht="15" hidden="false" customHeight="false" outlineLevel="0" collapsed="false">
      <c r="A153" s="60"/>
      <c r="B153" s="56"/>
      <c r="C153" s="56"/>
      <c r="D153" s="55"/>
      <c r="E153" s="56"/>
    </row>
    <row r="154" customFormat="false" ht="15" hidden="false" customHeight="false" outlineLevel="0" collapsed="false">
      <c r="A154" s="60"/>
      <c r="B154" s="56"/>
      <c r="C154" s="56"/>
      <c r="D154" s="55"/>
      <c r="E154" s="56"/>
    </row>
    <row r="155" customFormat="false" ht="15" hidden="false" customHeight="false" outlineLevel="0" collapsed="false">
      <c r="A155" s="60"/>
      <c r="B155" s="56"/>
      <c r="C155" s="56"/>
      <c r="D155" s="55"/>
      <c r="E155" s="56"/>
    </row>
    <row r="156" customFormat="false" ht="15" hidden="false" customHeight="false" outlineLevel="0" collapsed="false">
      <c r="A156" s="60"/>
      <c r="B156" s="56"/>
      <c r="C156" s="56"/>
      <c r="D156" s="55"/>
      <c r="E156" s="56"/>
    </row>
    <row r="157" customFormat="false" ht="15" hidden="false" customHeight="false" outlineLevel="0" collapsed="false">
      <c r="A157" s="60"/>
      <c r="B157" s="56"/>
      <c r="C157" s="56"/>
      <c r="D157" s="55"/>
      <c r="E157" s="56"/>
    </row>
    <row r="158" customFormat="false" ht="15" hidden="false" customHeight="false" outlineLevel="0" collapsed="false">
      <c r="A158" s="60"/>
      <c r="B158" s="56"/>
      <c r="C158" s="56"/>
      <c r="D158" s="55"/>
      <c r="E158" s="56"/>
    </row>
    <row r="159" customFormat="false" ht="15" hidden="false" customHeight="false" outlineLevel="0" collapsed="false">
      <c r="A159" s="60"/>
      <c r="B159" s="56"/>
      <c r="C159" s="56"/>
      <c r="D159" s="55"/>
      <c r="E159" s="56"/>
    </row>
    <row r="160" customFormat="false" ht="15" hidden="false" customHeight="false" outlineLevel="0" collapsed="false">
      <c r="A160" s="60"/>
      <c r="B160" s="56"/>
      <c r="C160" s="56"/>
      <c r="D160" s="55"/>
      <c r="E160" s="56"/>
    </row>
    <row r="161" customFormat="false" ht="15" hidden="false" customHeight="false" outlineLevel="0" collapsed="false">
      <c r="A161" s="60"/>
      <c r="B161" s="56"/>
      <c r="C161" s="56"/>
      <c r="D161" s="55"/>
      <c r="E161" s="56"/>
    </row>
    <row r="162" customFormat="false" ht="15" hidden="false" customHeight="false" outlineLevel="0" collapsed="false">
      <c r="A162" s="60"/>
      <c r="B162" s="56"/>
      <c r="C162" s="56"/>
      <c r="D162" s="55"/>
      <c r="E162" s="56"/>
    </row>
    <row r="163" customFormat="false" ht="15" hidden="false" customHeight="false" outlineLevel="0" collapsed="false">
      <c r="A163" s="60"/>
      <c r="B163" s="56"/>
      <c r="C163" s="56"/>
      <c r="D163" s="55"/>
      <c r="E163" s="56"/>
    </row>
    <row r="164" customFormat="false" ht="15" hidden="false" customHeight="false" outlineLevel="0" collapsed="false">
      <c r="A164" s="60"/>
      <c r="B164" s="56"/>
      <c r="C164" s="56"/>
      <c r="D164" s="55"/>
      <c r="E164" s="56"/>
    </row>
    <row r="165" customFormat="false" ht="15" hidden="false" customHeight="false" outlineLevel="0" collapsed="false">
      <c r="A165" s="60"/>
      <c r="B165" s="56"/>
      <c r="C165" s="56"/>
      <c r="D165" s="55"/>
      <c r="E165" s="56"/>
    </row>
    <row r="166" customFormat="false" ht="15" hidden="false" customHeight="false" outlineLevel="0" collapsed="false">
      <c r="A166" s="60"/>
      <c r="B166" s="56"/>
      <c r="C166" s="56"/>
      <c r="D166" s="55"/>
      <c r="E166" s="56"/>
    </row>
    <row r="167" customFormat="false" ht="15" hidden="false" customHeight="false" outlineLevel="0" collapsed="false">
      <c r="A167" s="60"/>
      <c r="B167" s="56"/>
      <c r="C167" s="56"/>
      <c r="D167" s="55"/>
      <c r="E167" s="56"/>
    </row>
    <row r="168" customFormat="false" ht="15" hidden="false" customHeight="false" outlineLevel="0" collapsed="false">
      <c r="A168" s="60"/>
      <c r="B168" s="56"/>
      <c r="C168" s="56"/>
      <c r="D168" s="55"/>
      <c r="E168" s="56"/>
    </row>
    <row r="169" customFormat="false" ht="15" hidden="false" customHeight="false" outlineLevel="0" collapsed="false">
      <c r="A169" s="60"/>
      <c r="B169" s="56"/>
      <c r="C169" s="56"/>
      <c r="D169" s="55"/>
      <c r="E169" s="56"/>
    </row>
    <row r="170" customFormat="false" ht="15" hidden="false" customHeight="false" outlineLevel="0" collapsed="false">
      <c r="A170" s="60"/>
      <c r="B170" s="56"/>
      <c r="C170" s="56"/>
      <c r="D170" s="55"/>
      <c r="E170" s="56"/>
    </row>
    <row r="171" customFormat="false" ht="15" hidden="false" customHeight="false" outlineLevel="0" collapsed="false">
      <c r="A171" s="60"/>
      <c r="B171" s="56"/>
      <c r="C171" s="56"/>
      <c r="D171" s="55"/>
      <c r="E171" s="56"/>
    </row>
    <row r="172" customFormat="false" ht="15" hidden="false" customHeight="false" outlineLevel="0" collapsed="false">
      <c r="A172" s="60"/>
      <c r="B172" s="56"/>
      <c r="C172" s="56"/>
      <c r="D172" s="55"/>
      <c r="E172" s="56"/>
    </row>
    <row r="173" customFormat="false" ht="15" hidden="false" customHeight="false" outlineLevel="0" collapsed="false">
      <c r="A173" s="60"/>
      <c r="B173" s="56"/>
      <c r="C173" s="56"/>
      <c r="D173" s="55"/>
      <c r="E173" s="56"/>
    </row>
    <row r="174" customFormat="false" ht="15" hidden="false" customHeight="false" outlineLevel="0" collapsed="false">
      <c r="A174" s="60"/>
      <c r="B174" s="56"/>
      <c r="C174" s="56"/>
      <c r="D174" s="55"/>
      <c r="E174" s="56"/>
    </row>
    <row r="175" customFormat="false" ht="15" hidden="false" customHeight="false" outlineLevel="0" collapsed="false">
      <c r="A175" s="60"/>
      <c r="B175" s="56"/>
      <c r="C175" s="56"/>
      <c r="D175" s="55"/>
      <c r="E175" s="56"/>
    </row>
    <row r="176" customFormat="false" ht="15" hidden="false" customHeight="false" outlineLevel="0" collapsed="false">
      <c r="A176" s="60"/>
      <c r="B176" s="56"/>
      <c r="C176" s="56"/>
      <c r="D176" s="55"/>
      <c r="E176" s="56"/>
    </row>
    <row r="177" customFormat="false" ht="15" hidden="false" customHeight="false" outlineLevel="0" collapsed="false">
      <c r="A177" s="60"/>
      <c r="B177" s="56"/>
      <c r="C177" s="56"/>
      <c r="D177" s="55"/>
      <c r="E177" s="56"/>
    </row>
    <row r="178" customFormat="false" ht="15" hidden="false" customHeight="false" outlineLevel="0" collapsed="false">
      <c r="A178" s="60"/>
      <c r="B178" s="56"/>
      <c r="C178" s="56"/>
      <c r="D178" s="55"/>
      <c r="E178" s="56"/>
    </row>
    <row r="179" customFormat="false" ht="15" hidden="false" customHeight="false" outlineLevel="0" collapsed="false">
      <c r="A179" s="60"/>
      <c r="B179" s="56"/>
      <c r="C179" s="56"/>
      <c r="D179" s="55"/>
      <c r="E179" s="56"/>
    </row>
    <row r="180" customFormat="false" ht="15" hidden="false" customHeight="false" outlineLevel="0" collapsed="false">
      <c r="A180" s="60"/>
      <c r="B180" s="56"/>
      <c r="C180" s="56"/>
      <c r="D180" s="55"/>
      <c r="E180" s="56"/>
    </row>
    <row r="181" customFormat="false" ht="15" hidden="false" customHeight="false" outlineLevel="0" collapsed="false">
      <c r="A181" s="60"/>
      <c r="B181" s="56"/>
      <c r="C181" s="56"/>
      <c r="D181" s="55"/>
      <c r="E181" s="56"/>
    </row>
    <row r="182" customFormat="false" ht="15" hidden="false" customHeight="false" outlineLevel="0" collapsed="false">
      <c r="A182" s="60"/>
      <c r="B182" s="56"/>
      <c r="C182" s="56"/>
      <c r="D182" s="55"/>
      <c r="E182" s="56"/>
    </row>
    <row r="183" customFormat="false" ht="15" hidden="false" customHeight="false" outlineLevel="0" collapsed="false">
      <c r="A183" s="60"/>
      <c r="B183" s="56"/>
      <c r="C183" s="56"/>
      <c r="D183" s="55"/>
      <c r="E183" s="56"/>
    </row>
    <row r="184" customFormat="false" ht="15" hidden="false" customHeight="false" outlineLevel="0" collapsed="false">
      <c r="A184" s="60"/>
      <c r="B184" s="56"/>
      <c r="C184" s="56"/>
      <c r="D184" s="55"/>
      <c r="E184" s="56"/>
    </row>
    <row r="185" customFormat="false" ht="15" hidden="false" customHeight="false" outlineLevel="0" collapsed="false">
      <c r="A185" s="60"/>
      <c r="B185" s="56"/>
      <c r="C185" s="56"/>
      <c r="D185" s="55"/>
      <c r="E185" s="56"/>
    </row>
    <row r="186" customFormat="false" ht="15" hidden="false" customHeight="false" outlineLevel="0" collapsed="false">
      <c r="A186" s="60"/>
      <c r="B186" s="56"/>
      <c r="C186" s="56"/>
      <c r="D186" s="55"/>
      <c r="E186" s="56"/>
    </row>
    <row r="187" customFormat="false" ht="15" hidden="false" customHeight="false" outlineLevel="0" collapsed="false">
      <c r="A187" s="60"/>
      <c r="B187" s="56"/>
      <c r="C187" s="56"/>
      <c r="D187" s="55"/>
      <c r="E187" s="56"/>
    </row>
    <row r="188" customFormat="false" ht="15" hidden="false" customHeight="false" outlineLevel="0" collapsed="false">
      <c r="A188" s="60"/>
      <c r="B188" s="56"/>
      <c r="C188" s="56"/>
      <c r="D188" s="55"/>
      <c r="E188" s="56"/>
    </row>
    <row r="189" customFormat="false" ht="15" hidden="false" customHeight="false" outlineLevel="0" collapsed="false">
      <c r="A189" s="60"/>
      <c r="B189" s="56"/>
      <c r="C189" s="56"/>
      <c r="D189" s="55"/>
      <c r="E189" s="56"/>
    </row>
    <row r="190" customFormat="false" ht="15" hidden="false" customHeight="false" outlineLevel="0" collapsed="false">
      <c r="A190" s="60"/>
      <c r="B190" s="56"/>
      <c r="C190" s="56"/>
      <c r="D190" s="55"/>
      <c r="E190" s="56"/>
    </row>
    <row r="191" customFormat="false" ht="15" hidden="false" customHeight="false" outlineLevel="0" collapsed="false">
      <c r="A191" s="60"/>
      <c r="B191" s="56"/>
      <c r="C191" s="56"/>
      <c r="D191" s="55"/>
      <c r="E191" s="56"/>
    </row>
    <row r="192" customFormat="false" ht="15" hidden="false" customHeight="false" outlineLevel="0" collapsed="false">
      <c r="A192" s="60"/>
      <c r="B192" s="56"/>
      <c r="C192" s="56"/>
      <c r="D192" s="55"/>
      <c r="E192" s="56"/>
    </row>
    <row r="193" customFormat="false" ht="15" hidden="false" customHeight="false" outlineLevel="0" collapsed="false">
      <c r="A193" s="60"/>
      <c r="B193" s="56"/>
      <c r="C193" s="56"/>
      <c r="D193" s="55"/>
      <c r="E193" s="56"/>
    </row>
    <row r="194" customFormat="false" ht="15" hidden="false" customHeight="false" outlineLevel="0" collapsed="false">
      <c r="A194" s="60"/>
      <c r="B194" s="56"/>
      <c r="C194" s="56"/>
      <c r="D194" s="55"/>
      <c r="E194" s="56"/>
    </row>
    <row r="195" customFormat="false" ht="15" hidden="false" customHeight="false" outlineLevel="0" collapsed="false">
      <c r="A195" s="60"/>
      <c r="B195" s="56"/>
      <c r="C195" s="56"/>
      <c r="D195" s="55"/>
      <c r="E195" s="56"/>
    </row>
    <row r="196" customFormat="false" ht="15" hidden="false" customHeight="false" outlineLevel="0" collapsed="false">
      <c r="A196" s="60"/>
      <c r="B196" s="56"/>
      <c r="C196" s="56"/>
      <c r="D196" s="55"/>
      <c r="E196" s="56"/>
    </row>
    <row r="197" customFormat="false" ht="15" hidden="false" customHeight="false" outlineLevel="0" collapsed="false">
      <c r="A197" s="60"/>
      <c r="B197" s="56"/>
      <c r="C197" s="56"/>
      <c r="D197" s="55"/>
      <c r="E197" s="56"/>
    </row>
    <row r="198" customFormat="false" ht="15" hidden="false" customHeight="false" outlineLevel="0" collapsed="false">
      <c r="A198" s="60"/>
      <c r="B198" s="56"/>
      <c r="C198" s="56"/>
      <c r="D198" s="55"/>
      <c r="E198" s="56"/>
    </row>
    <row r="199" customFormat="false" ht="15" hidden="false" customHeight="false" outlineLevel="0" collapsed="false">
      <c r="A199" s="60"/>
      <c r="B199" s="56"/>
      <c r="C199" s="56"/>
      <c r="D199" s="55"/>
      <c r="E199" s="56"/>
    </row>
    <row r="200" customFormat="false" ht="15" hidden="false" customHeight="false" outlineLevel="0" collapsed="false">
      <c r="A200" s="60"/>
      <c r="B200" s="56"/>
      <c r="C200" s="56"/>
      <c r="D200" s="55"/>
      <c r="E200" s="56"/>
    </row>
    <row r="201" customFormat="false" ht="15" hidden="false" customHeight="false" outlineLevel="0" collapsed="false">
      <c r="A201" s="60"/>
      <c r="B201" s="56"/>
      <c r="C201" s="56"/>
      <c r="D201" s="55"/>
      <c r="E201" s="56"/>
    </row>
    <row r="202" customFormat="false" ht="15" hidden="false" customHeight="false" outlineLevel="0" collapsed="false">
      <c r="A202" s="60"/>
      <c r="B202" s="56"/>
      <c r="C202" s="56"/>
      <c r="D202" s="55"/>
      <c r="E202" s="56"/>
    </row>
    <row r="203" customFormat="false" ht="15" hidden="false" customHeight="false" outlineLevel="0" collapsed="false">
      <c r="A203" s="60"/>
      <c r="B203" s="56"/>
      <c r="C203" s="56"/>
      <c r="D203" s="55"/>
      <c r="E203" s="56"/>
    </row>
    <row r="204" customFormat="false" ht="15" hidden="false" customHeight="false" outlineLevel="0" collapsed="false">
      <c r="A204" s="60"/>
      <c r="B204" s="56"/>
      <c r="C204" s="56"/>
      <c r="D204" s="55"/>
      <c r="E204" s="56"/>
    </row>
    <row r="205" customFormat="false" ht="15" hidden="false" customHeight="false" outlineLevel="0" collapsed="false">
      <c r="A205" s="60"/>
      <c r="B205" s="56"/>
      <c r="C205" s="56"/>
      <c r="D205" s="55"/>
      <c r="E205" s="56"/>
    </row>
    <row r="206" customFormat="false" ht="15" hidden="false" customHeight="false" outlineLevel="0" collapsed="false">
      <c r="A206" s="60"/>
      <c r="B206" s="56"/>
      <c r="C206" s="56"/>
      <c r="D206" s="55"/>
      <c r="E206" s="56"/>
    </row>
    <row r="207" customFormat="false" ht="15" hidden="false" customHeight="false" outlineLevel="0" collapsed="false">
      <c r="A207" s="60"/>
      <c r="B207" s="56"/>
      <c r="C207" s="56"/>
      <c r="D207" s="55"/>
      <c r="E207" s="56"/>
    </row>
    <row r="208" customFormat="false" ht="15" hidden="false" customHeight="false" outlineLevel="0" collapsed="false">
      <c r="A208" s="60"/>
      <c r="B208" s="56"/>
      <c r="C208" s="56"/>
      <c r="D208" s="55"/>
      <c r="E208" s="56"/>
    </row>
    <row r="209" customFormat="false" ht="15" hidden="false" customHeight="false" outlineLevel="0" collapsed="false">
      <c r="A209" s="60"/>
      <c r="B209" s="56"/>
      <c r="C209" s="56"/>
      <c r="D209" s="55"/>
      <c r="E209" s="56"/>
    </row>
    <row r="210" customFormat="false" ht="15" hidden="false" customHeight="false" outlineLevel="0" collapsed="false">
      <c r="A210" s="60"/>
      <c r="B210" s="56"/>
      <c r="C210" s="56"/>
      <c r="D210" s="55"/>
      <c r="E210" s="56"/>
    </row>
    <row r="211" customFormat="false" ht="15" hidden="false" customHeight="false" outlineLevel="0" collapsed="false">
      <c r="A211" s="60"/>
      <c r="B211" s="56"/>
      <c r="C211" s="56"/>
      <c r="D211" s="55"/>
      <c r="E211" s="56"/>
    </row>
    <row r="212" customFormat="false" ht="15" hidden="false" customHeight="false" outlineLevel="0" collapsed="false">
      <c r="A212" s="60"/>
      <c r="B212" s="56"/>
      <c r="C212" s="56"/>
      <c r="D212" s="55"/>
      <c r="E212" s="56"/>
    </row>
    <row r="213" customFormat="false" ht="15" hidden="false" customHeight="false" outlineLevel="0" collapsed="false">
      <c r="A213" s="60"/>
      <c r="B213" s="56"/>
      <c r="C213" s="56"/>
      <c r="D213" s="55"/>
      <c r="E213" s="56"/>
    </row>
    <row r="214" customFormat="false" ht="15" hidden="false" customHeight="false" outlineLevel="0" collapsed="false">
      <c r="A214" s="60"/>
      <c r="B214" s="56"/>
      <c r="C214" s="56"/>
      <c r="D214" s="55"/>
      <c r="E214" s="56"/>
    </row>
    <row r="215" customFormat="false" ht="15" hidden="false" customHeight="false" outlineLevel="0" collapsed="false">
      <c r="A215" s="60"/>
      <c r="B215" s="56"/>
      <c r="C215" s="56"/>
      <c r="D215" s="55"/>
      <c r="E215" s="56"/>
    </row>
    <row r="216" customFormat="false" ht="15" hidden="false" customHeight="false" outlineLevel="0" collapsed="false">
      <c r="A216" s="60"/>
      <c r="B216" s="56"/>
      <c r="C216" s="56"/>
      <c r="D216" s="55"/>
      <c r="E216" s="56"/>
    </row>
    <row r="217" customFormat="false" ht="15" hidden="false" customHeight="false" outlineLevel="0" collapsed="false">
      <c r="A217" s="60"/>
      <c r="B217" s="56"/>
      <c r="C217" s="56"/>
      <c r="D217" s="55"/>
      <c r="E217" s="56"/>
    </row>
    <row r="218" customFormat="false" ht="15" hidden="false" customHeight="false" outlineLevel="0" collapsed="false">
      <c r="A218" s="60"/>
      <c r="B218" s="56"/>
      <c r="C218" s="56"/>
      <c r="D218" s="55"/>
      <c r="E218" s="56"/>
    </row>
    <row r="219" customFormat="false" ht="15" hidden="false" customHeight="false" outlineLevel="0" collapsed="false">
      <c r="A219" s="60"/>
      <c r="B219" s="56"/>
      <c r="C219" s="56"/>
      <c r="D219" s="55"/>
      <c r="E219" s="56"/>
    </row>
    <row r="220" customFormat="false" ht="15" hidden="false" customHeight="false" outlineLevel="0" collapsed="false">
      <c r="A220" s="60"/>
      <c r="B220" s="56"/>
      <c r="C220" s="56"/>
      <c r="D220" s="55"/>
      <c r="E220" s="56"/>
    </row>
    <row r="221" customFormat="false" ht="15" hidden="false" customHeight="false" outlineLevel="0" collapsed="false">
      <c r="A221" s="60"/>
      <c r="B221" s="56"/>
      <c r="C221" s="56"/>
      <c r="D221" s="55"/>
      <c r="E221" s="56"/>
    </row>
    <row r="222" customFormat="false" ht="15" hidden="false" customHeight="false" outlineLevel="0" collapsed="false">
      <c r="A222" s="60"/>
      <c r="B222" s="56"/>
      <c r="C222" s="56"/>
      <c r="D222" s="55"/>
      <c r="E222" s="56"/>
    </row>
    <row r="223" customFormat="false" ht="15" hidden="false" customHeight="false" outlineLevel="0" collapsed="false">
      <c r="A223" s="60"/>
      <c r="B223" s="56"/>
      <c r="C223" s="56"/>
      <c r="D223" s="55"/>
      <c r="E223" s="56"/>
    </row>
    <row r="224" customFormat="false" ht="15" hidden="false" customHeight="false" outlineLevel="0" collapsed="false">
      <c r="A224" s="60"/>
      <c r="B224" s="56"/>
      <c r="C224" s="56"/>
      <c r="D224" s="55"/>
      <c r="E224" s="56"/>
    </row>
    <row r="225" customFormat="false" ht="15" hidden="false" customHeight="false" outlineLevel="0" collapsed="false">
      <c r="A225" s="60"/>
      <c r="B225" s="56"/>
      <c r="C225" s="56"/>
      <c r="D225" s="55"/>
      <c r="E225" s="56"/>
    </row>
    <row r="226" customFormat="false" ht="15" hidden="false" customHeight="false" outlineLevel="0" collapsed="false">
      <c r="A226" s="60"/>
      <c r="B226" s="56"/>
      <c r="C226" s="56"/>
      <c r="D226" s="55"/>
      <c r="E226" s="56"/>
    </row>
    <row r="227" customFormat="false" ht="15" hidden="false" customHeight="false" outlineLevel="0" collapsed="false">
      <c r="A227" s="60"/>
      <c r="B227" s="56"/>
      <c r="C227" s="56"/>
      <c r="D227" s="55"/>
      <c r="E227" s="56"/>
    </row>
    <row r="228" customFormat="false" ht="15" hidden="false" customHeight="false" outlineLevel="0" collapsed="false">
      <c r="A228" s="60"/>
      <c r="B228" s="56"/>
      <c r="C228" s="56"/>
      <c r="D228" s="55"/>
      <c r="E228" s="56"/>
    </row>
    <row r="229" customFormat="false" ht="15" hidden="false" customHeight="false" outlineLevel="0" collapsed="false">
      <c r="A229" s="60"/>
      <c r="B229" s="56"/>
      <c r="C229" s="56"/>
      <c r="D229" s="55"/>
      <c r="E229" s="56"/>
    </row>
    <row r="230" customFormat="false" ht="15" hidden="false" customHeight="false" outlineLevel="0" collapsed="false">
      <c r="A230" s="60"/>
      <c r="B230" s="56"/>
      <c r="C230" s="56"/>
      <c r="D230" s="55"/>
      <c r="E230" s="56"/>
    </row>
    <row r="231" customFormat="false" ht="15" hidden="false" customHeight="false" outlineLevel="0" collapsed="false">
      <c r="A231" s="60"/>
      <c r="B231" s="56"/>
      <c r="C231" s="56"/>
      <c r="D231" s="55"/>
      <c r="E231" s="56"/>
    </row>
    <row r="232" customFormat="false" ht="15" hidden="false" customHeight="false" outlineLevel="0" collapsed="false">
      <c r="A232" s="60"/>
      <c r="B232" s="56"/>
      <c r="C232" s="56"/>
      <c r="D232" s="55"/>
      <c r="E232" s="56"/>
    </row>
    <row r="233" customFormat="false" ht="15" hidden="false" customHeight="false" outlineLevel="0" collapsed="false">
      <c r="A233" s="60"/>
      <c r="B233" s="56"/>
      <c r="C233" s="56"/>
      <c r="D233" s="55"/>
      <c r="E233" s="56"/>
    </row>
    <row r="234" customFormat="false" ht="15" hidden="false" customHeight="false" outlineLevel="0" collapsed="false">
      <c r="A234" s="60"/>
      <c r="B234" s="56"/>
      <c r="C234" s="56"/>
      <c r="D234" s="55"/>
      <c r="E234" s="56"/>
    </row>
    <row r="235" customFormat="false" ht="15" hidden="false" customHeight="false" outlineLevel="0" collapsed="false">
      <c r="A235" s="60"/>
      <c r="B235" s="56"/>
      <c r="C235" s="56"/>
      <c r="D235" s="55"/>
      <c r="E235" s="56"/>
    </row>
    <row r="236" customFormat="false" ht="15" hidden="false" customHeight="false" outlineLevel="0" collapsed="false">
      <c r="A236" s="60"/>
      <c r="B236" s="56"/>
      <c r="C236" s="56"/>
      <c r="D236" s="55"/>
      <c r="E236" s="56"/>
    </row>
    <row r="237" customFormat="false" ht="15" hidden="false" customHeight="false" outlineLevel="0" collapsed="false">
      <c r="A237" s="60"/>
      <c r="B237" s="56"/>
      <c r="C237" s="56"/>
      <c r="D237" s="55"/>
      <c r="E237" s="56"/>
    </row>
    <row r="238" customFormat="false" ht="15" hidden="false" customHeight="false" outlineLevel="0" collapsed="false">
      <c r="A238" s="60"/>
      <c r="B238" s="56"/>
      <c r="C238" s="56"/>
      <c r="D238" s="55"/>
      <c r="E238" s="56"/>
    </row>
    <row r="239" customFormat="false" ht="15" hidden="false" customHeight="false" outlineLevel="0" collapsed="false">
      <c r="A239" s="60"/>
      <c r="B239" s="56"/>
      <c r="C239" s="56"/>
      <c r="D239" s="55"/>
      <c r="E239" s="56"/>
    </row>
    <row r="240" customFormat="false" ht="15" hidden="false" customHeight="false" outlineLevel="0" collapsed="false">
      <c r="A240" s="60"/>
      <c r="B240" s="56"/>
      <c r="C240" s="56"/>
      <c r="D240" s="55"/>
      <c r="E240" s="56"/>
    </row>
    <row r="241" customFormat="false" ht="15" hidden="false" customHeight="false" outlineLevel="0" collapsed="false">
      <c r="A241" s="60"/>
      <c r="B241" s="56"/>
      <c r="C241" s="56"/>
      <c r="D241" s="55"/>
      <c r="E241" s="56"/>
    </row>
    <row r="242" customFormat="false" ht="15" hidden="false" customHeight="false" outlineLevel="0" collapsed="false">
      <c r="A242" s="60"/>
      <c r="B242" s="56"/>
      <c r="C242" s="56"/>
      <c r="D242" s="55"/>
      <c r="E242" s="56"/>
    </row>
    <row r="243" customFormat="false" ht="15" hidden="false" customHeight="false" outlineLevel="0" collapsed="false">
      <c r="A243" s="60"/>
      <c r="B243" s="56"/>
      <c r="C243" s="56"/>
      <c r="D243" s="55"/>
      <c r="E243" s="56"/>
    </row>
    <row r="244" customFormat="false" ht="15" hidden="false" customHeight="false" outlineLevel="0" collapsed="false">
      <c r="A244" s="60"/>
      <c r="B244" s="56"/>
      <c r="C244" s="56"/>
      <c r="D244" s="55"/>
      <c r="E244" s="56"/>
    </row>
    <row r="245" customFormat="false" ht="15" hidden="false" customHeight="false" outlineLevel="0" collapsed="false">
      <c r="A245" s="60"/>
      <c r="B245" s="56"/>
      <c r="C245" s="56"/>
      <c r="D245" s="55"/>
      <c r="E245" s="56"/>
    </row>
    <row r="246" customFormat="false" ht="15" hidden="false" customHeight="false" outlineLevel="0" collapsed="false">
      <c r="A246" s="60"/>
      <c r="B246" s="56"/>
      <c r="C246" s="56"/>
      <c r="D246" s="55"/>
      <c r="E246" s="56"/>
    </row>
    <row r="247" customFormat="false" ht="15" hidden="false" customHeight="false" outlineLevel="0" collapsed="false">
      <c r="A247" s="60"/>
      <c r="B247" s="56"/>
      <c r="C247" s="56"/>
      <c r="D247" s="55"/>
      <c r="E247" s="56"/>
    </row>
    <row r="248" customFormat="false" ht="15" hidden="false" customHeight="false" outlineLevel="0" collapsed="false">
      <c r="A248" s="60"/>
      <c r="B248" s="56"/>
      <c r="C248" s="56"/>
      <c r="D248" s="55"/>
      <c r="E248" s="56"/>
    </row>
    <row r="249" customFormat="false" ht="15" hidden="false" customHeight="false" outlineLevel="0" collapsed="false">
      <c r="A249" s="60"/>
      <c r="B249" s="56"/>
      <c r="C249" s="56"/>
      <c r="D249" s="55"/>
      <c r="E249" s="56"/>
    </row>
    <row r="250" customFormat="false" ht="15" hidden="false" customHeight="false" outlineLevel="0" collapsed="false">
      <c r="A250" s="60"/>
      <c r="B250" s="56"/>
      <c r="C250" s="56"/>
      <c r="D250" s="55"/>
      <c r="E250" s="56"/>
    </row>
    <row r="251" customFormat="false" ht="15" hidden="false" customHeight="false" outlineLevel="0" collapsed="false">
      <c r="A251" s="60"/>
      <c r="B251" s="56"/>
      <c r="C251" s="56"/>
      <c r="D251" s="55"/>
      <c r="E251" s="56"/>
    </row>
    <row r="252" customFormat="false" ht="15" hidden="false" customHeight="false" outlineLevel="0" collapsed="false">
      <c r="A252" s="60"/>
      <c r="B252" s="56"/>
      <c r="C252" s="56"/>
      <c r="D252" s="55"/>
      <c r="E252" s="56"/>
    </row>
    <row r="253" customFormat="false" ht="15" hidden="false" customHeight="false" outlineLevel="0" collapsed="false">
      <c r="A253" s="60"/>
      <c r="B253" s="56"/>
      <c r="C253" s="56"/>
      <c r="D253" s="55"/>
      <c r="E253" s="56"/>
    </row>
    <row r="254" customFormat="false" ht="15" hidden="false" customHeight="false" outlineLevel="0" collapsed="false">
      <c r="A254" s="60"/>
      <c r="B254" s="56"/>
      <c r="C254" s="56"/>
      <c r="D254" s="55"/>
      <c r="E254" s="56"/>
    </row>
    <row r="255" customFormat="false" ht="15" hidden="false" customHeight="false" outlineLevel="0" collapsed="false">
      <c r="A255" s="60"/>
      <c r="B255" s="56"/>
      <c r="C255" s="56"/>
      <c r="D255" s="55"/>
      <c r="E255" s="56"/>
    </row>
    <row r="256" customFormat="false" ht="15" hidden="false" customHeight="false" outlineLevel="0" collapsed="false">
      <c r="A256" s="60"/>
      <c r="B256" s="56"/>
      <c r="C256" s="56"/>
      <c r="D256" s="55"/>
      <c r="E256" s="56"/>
    </row>
    <row r="257" customFormat="false" ht="15" hidden="false" customHeight="false" outlineLevel="0" collapsed="false">
      <c r="A257" s="60"/>
      <c r="B257" s="56"/>
      <c r="C257" s="56"/>
      <c r="D257" s="55"/>
      <c r="E257" s="56"/>
    </row>
    <row r="258" customFormat="false" ht="15" hidden="false" customHeight="false" outlineLevel="0" collapsed="false">
      <c r="A258" s="60"/>
      <c r="B258" s="56"/>
      <c r="C258" s="56"/>
      <c r="D258" s="55"/>
      <c r="E258" s="56"/>
    </row>
    <row r="259" customFormat="false" ht="15" hidden="false" customHeight="false" outlineLevel="0" collapsed="false">
      <c r="A259" s="60"/>
      <c r="B259" s="56"/>
      <c r="C259" s="56"/>
      <c r="D259" s="55"/>
      <c r="E259" s="56"/>
    </row>
    <row r="260" customFormat="false" ht="15" hidden="false" customHeight="false" outlineLevel="0" collapsed="false">
      <c r="A260" s="60"/>
      <c r="B260" s="56"/>
      <c r="C260" s="56"/>
      <c r="D260" s="55"/>
      <c r="E260" s="56"/>
    </row>
    <row r="261" customFormat="false" ht="15" hidden="false" customHeight="false" outlineLevel="0" collapsed="false">
      <c r="A261" s="60"/>
      <c r="B261" s="56"/>
      <c r="C261" s="56"/>
      <c r="D261" s="55"/>
      <c r="E261" s="56"/>
    </row>
    <row r="262" customFormat="false" ht="15" hidden="false" customHeight="false" outlineLevel="0" collapsed="false">
      <c r="A262" s="60"/>
      <c r="B262" s="56"/>
      <c r="C262" s="56"/>
      <c r="D262" s="55"/>
      <c r="E262" s="56"/>
    </row>
    <row r="263" customFormat="false" ht="15" hidden="false" customHeight="false" outlineLevel="0" collapsed="false">
      <c r="A263" s="60"/>
      <c r="B263" s="56"/>
      <c r="C263" s="56"/>
      <c r="D263" s="55"/>
      <c r="E263" s="56"/>
    </row>
    <row r="264" customFormat="false" ht="15" hidden="false" customHeight="false" outlineLevel="0" collapsed="false">
      <c r="A264" s="60"/>
      <c r="B264" s="56"/>
      <c r="C264" s="56"/>
      <c r="D264" s="55"/>
      <c r="E264" s="56"/>
    </row>
    <row r="265" customFormat="false" ht="15" hidden="false" customHeight="false" outlineLevel="0" collapsed="false">
      <c r="A265" s="60"/>
      <c r="B265" s="56"/>
      <c r="C265" s="56"/>
      <c r="D265" s="55"/>
      <c r="E265" s="56"/>
    </row>
    <row r="266" customFormat="false" ht="15" hidden="false" customHeight="false" outlineLevel="0" collapsed="false">
      <c r="A266" s="60"/>
      <c r="B266" s="56"/>
      <c r="C266" s="56"/>
      <c r="D266" s="55"/>
      <c r="E266" s="56"/>
    </row>
    <row r="267" customFormat="false" ht="15" hidden="false" customHeight="false" outlineLevel="0" collapsed="false">
      <c r="A267" s="60"/>
      <c r="B267" s="56"/>
      <c r="C267" s="56"/>
      <c r="D267" s="55"/>
      <c r="E267" s="56"/>
    </row>
    <row r="268" customFormat="false" ht="15" hidden="false" customHeight="false" outlineLevel="0" collapsed="false">
      <c r="A268" s="60"/>
      <c r="B268" s="56"/>
      <c r="C268" s="56"/>
      <c r="D268" s="55"/>
      <c r="E268" s="56"/>
    </row>
    <row r="269" customFormat="false" ht="15" hidden="false" customHeight="false" outlineLevel="0" collapsed="false">
      <c r="A269" s="60"/>
      <c r="B269" s="56"/>
      <c r="C269" s="56"/>
      <c r="D269" s="55"/>
      <c r="E269" s="56"/>
    </row>
    <row r="270" customFormat="false" ht="15" hidden="false" customHeight="false" outlineLevel="0" collapsed="false">
      <c r="A270" s="60"/>
      <c r="B270" s="56"/>
      <c r="C270" s="56"/>
      <c r="D270" s="55"/>
      <c r="E270" s="56"/>
    </row>
    <row r="271" customFormat="false" ht="15" hidden="false" customHeight="false" outlineLevel="0" collapsed="false">
      <c r="A271" s="60"/>
      <c r="B271" s="56"/>
      <c r="C271" s="56"/>
      <c r="D271" s="55"/>
      <c r="E271" s="56"/>
    </row>
    <row r="272" customFormat="false" ht="15" hidden="false" customHeight="false" outlineLevel="0" collapsed="false">
      <c r="A272" s="60"/>
      <c r="B272" s="56"/>
      <c r="C272" s="56"/>
      <c r="D272" s="55"/>
      <c r="E272" s="56"/>
    </row>
    <row r="273" customFormat="false" ht="15" hidden="false" customHeight="false" outlineLevel="0" collapsed="false">
      <c r="A273" s="60"/>
      <c r="B273" s="56"/>
      <c r="C273" s="56"/>
      <c r="D273" s="55"/>
      <c r="E273" s="56"/>
    </row>
    <row r="274" customFormat="false" ht="15" hidden="false" customHeight="false" outlineLevel="0" collapsed="false">
      <c r="A274" s="60"/>
      <c r="B274" s="56"/>
      <c r="C274" s="56"/>
      <c r="D274" s="55"/>
      <c r="E274" s="56"/>
    </row>
    <row r="275" customFormat="false" ht="15" hidden="false" customHeight="false" outlineLevel="0" collapsed="false">
      <c r="A275" s="60"/>
      <c r="B275" s="56"/>
      <c r="C275" s="56"/>
      <c r="D275" s="55"/>
      <c r="E275" s="56"/>
    </row>
    <row r="276" customFormat="false" ht="15" hidden="false" customHeight="false" outlineLevel="0" collapsed="false">
      <c r="A276" s="60"/>
      <c r="B276" s="56"/>
      <c r="C276" s="56"/>
      <c r="D276" s="55"/>
      <c r="E276" s="56"/>
    </row>
    <row r="277" customFormat="false" ht="15" hidden="false" customHeight="false" outlineLevel="0" collapsed="false">
      <c r="A277" s="60"/>
      <c r="B277" s="56"/>
      <c r="C277" s="56"/>
      <c r="D277" s="55"/>
      <c r="E277" s="56"/>
    </row>
    <row r="278" customFormat="false" ht="15" hidden="false" customHeight="false" outlineLevel="0" collapsed="false">
      <c r="A278" s="60"/>
      <c r="B278" s="56"/>
      <c r="C278" s="56"/>
      <c r="D278" s="55"/>
      <c r="E278" s="56"/>
    </row>
    <row r="279" customFormat="false" ht="15" hidden="false" customHeight="false" outlineLevel="0" collapsed="false">
      <c r="A279" s="60"/>
      <c r="B279" s="56"/>
      <c r="C279" s="56"/>
      <c r="D279" s="55"/>
      <c r="E279" s="56"/>
    </row>
    <row r="280" customFormat="false" ht="15" hidden="false" customHeight="false" outlineLevel="0" collapsed="false">
      <c r="A280" s="60"/>
      <c r="B280" s="56"/>
      <c r="C280" s="56"/>
      <c r="D280" s="55"/>
      <c r="E280" s="56"/>
    </row>
    <row r="281" customFormat="false" ht="15" hidden="false" customHeight="false" outlineLevel="0" collapsed="false">
      <c r="A281" s="60"/>
      <c r="B281" s="56"/>
      <c r="C281" s="56"/>
      <c r="D281" s="55"/>
      <c r="E281" s="56"/>
    </row>
    <row r="282" customFormat="false" ht="15" hidden="false" customHeight="false" outlineLevel="0" collapsed="false">
      <c r="A282" s="60"/>
      <c r="B282" s="56"/>
      <c r="C282" s="56"/>
      <c r="D282" s="55"/>
      <c r="E282" s="56"/>
    </row>
    <row r="283" customFormat="false" ht="15" hidden="false" customHeight="false" outlineLevel="0" collapsed="false">
      <c r="A283" s="60"/>
      <c r="B283" s="56"/>
      <c r="C283" s="56"/>
      <c r="D283" s="55"/>
      <c r="E283" s="56"/>
    </row>
    <row r="284" customFormat="false" ht="15" hidden="false" customHeight="false" outlineLevel="0" collapsed="false">
      <c r="A284" s="60"/>
      <c r="B284" s="56"/>
      <c r="C284" s="56"/>
      <c r="D284" s="55"/>
      <c r="E284" s="56"/>
    </row>
    <row r="285" customFormat="false" ht="15" hidden="false" customHeight="false" outlineLevel="0" collapsed="false">
      <c r="A285" s="60"/>
      <c r="B285" s="56"/>
      <c r="C285" s="56"/>
      <c r="D285" s="55"/>
      <c r="E285" s="56"/>
    </row>
    <row r="286" customFormat="false" ht="15" hidden="false" customHeight="false" outlineLevel="0" collapsed="false">
      <c r="A286" s="60"/>
      <c r="B286" s="56"/>
      <c r="C286" s="56"/>
      <c r="D286" s="55"/>
      <c r="E286" s="56"/>
    </row>
    <row r="287" customFormat="false" ht="15" hidden="false" customHeight="false" outlineLevel="0" collapsed="false">
      <c r="A287" s="60"/>
      <c r="B287" s="56"/>
      <c r="C287" s="56"/>
      <c r="D287" s="55"/>
      <c r="E287" s="56"/>
    </row>
    <row r="288" customFormat="false" ht="15" hidden="false" customHeight="false" outlineLevel="0" collapsed="false">
      <c r="A288" s="60"/>
      <c r="B288" s="56"/>
      <c r="C288" s="56"/>
      <c r="D288" s="55"/>
      <c r="E288" s="56"/>
    </row>
    <row r="289" customFormat="false" ht="15" hidden="false" customHeight="false" outlineLevel="0" collapsed="false">
      <c r="A289" s="60"/>
      <c r="B289" s="56"/>
      <c r="C289" s="56"/>
      <c r="D289" s="55"/>
      <c r="E289" s="56"/>
    </row>
    <row r="290" customFormat="false" ht="15" hidden="false" customHeight="false" outlineLevel="0" collapsed="false">
      <c r="A290" s="60"/>
      <c r="B290" s="56"/>
      <c r="C290" s="56"/>
      <c r="D290" s="55"/>
      <c r="E290" s="56"/>
    </row>
    <row r="291" customFormat="false" ht="15" hidden="false" customHeight="false" outlineLevel="0" collapsed="false">
      <c r="A291" s="60"/>
      <c r="B291" s="56"/>
      <c r="C291" s="56"/>
      <c r="D291" s="55"/>
      <c r="E291" s="56"/>
    </row>
    <row r="292" customFormat="false" ht="15" hidden="false" customHeight="false" outlineLevel="0" collapsed="false">
      <c r="A292" s="60"/>
      <c r="B292" s="56"/>
      <c r="C292" s="56"/>
      <c r="D292" s="55"/>
      <c r="E292" s="56"/>
    </row>
    <row r="293" customFormat="false" ht="15" hidden="false" customHeight="false" outlineLevel="0" collapsed="false">
      <c r="A293" s="60"/>
      <c r="B293" s="56"/>
      <c r="C293" s="56"/>
      <c r="D293" s="55"/>
      <c r="E293" s="56"/>
    </row>
    <row r="294" customFormat="false" ht="15" hidden="false" customHeight="false" outlineLevel="0" collapsed="false">
      <c r="A294" s="60"/>
      <c r="B294" s="56"/>
      <c r="C294" s="56"/>
      <c r="D294" s="55"/>
      <c r="E294" s="56"/>
    </row>
    <row r="295" customFormat="false" ht="15" hidden="false" customHeight="false" outlineLevel="0" collapsed="false">
      <c r="A295" s="60"/>
      <c r="B295" s="56"/>
      <c r="C295" s="56"/>
      <c r="D295" s="55"/>
      <c r="E295" s="56"/>
    </row>
    <row r="296" customFormat="false" ht="15" hidden="false" customHeight="false" outlineLevel="0" collapsed="false">
      <c r="A296" s="60"/>
      <c r="B296" s="56"/>
      <c r="C296" s="56"/>
      <c r="D296" s="55"/>
      <c r="E296" s="56"/>
    </row>
    <row r="297" customFormat="false" ht="15" hidden="false" customHeight="false" outlineLevel="0" collapsed="false">
      <c r="A297" s="60"/>
      <c r="B297" s="56"/>
      <c r="C297" s="56"/>
      <c r="D297" s="55"/>
      <c r="E297" s="56"/>
    </row>
    <row r="298" customFormat="false" ht="15" hidden="false" customHeight="false" outlineLevel="0" collapsed="false">
      <c r="A298" s="60"/>
      <c r="B298" s="56"/>
      <c r="C298" s="56"/>
      <c r="D298" s="55"/>
      <c r="E298" s="56"/>
    </row>
    <row r="299" customFormat="false" ht="15" hidden="false" customHeight="false" outlineLevel="0" collapsed="false">
      <c r="A299" s="60"/>
      <c r="B299" s="56"/>
      <c r="C299" s="56"/>
      <c r="D299" s="55"/>
      <c r="E299" s="56"/>
    </row>
    <row r="300" customFormat="false" ht="15" hidden="false" customHeight="false" outlineLevel="0" collapsed="false">
      <c r="A300" s="60"/>
      <c r="B300" s="56"/>
      <c r="C300" s="56"/>
      <c r="D300" s="55"/>
      <c r="E300" s="56"/>
    </row>
    <row r="301" customFormat="false" ht="15" hidden="false" customHeight="false" outlineLevel="0" collapsed="false">
      <c r="A301" s="60"/>
      <c r="B301" s="56"/>
      <c r="C301" s="56"/>
      <c r="D301" s="55"/>
      <c r="E301" s="56"/>
    </row>
    <row r="302" customFormat="false" ht="15" hidden="false" customHeight="false" outlineLevel="0" collapsed="false">
      <c r="A302" s="60"/>
      <c r="B302" s="56"/>
      <c r="C302" s="56"/>
      <c r="D302" s="55"/>
      <c r="E302" s="56"/>
    </row>
    <row r="303" customFormat="false" ht="15" hidden="false" customHeight="false" outlineLevel="0" collapsed="false">
      <c r="A303" s="60"/>
      <c r="B303" s="56"/>
      <c r="C303" s="56"/>
      <c r="D303" s="55"/>
      <c r="E303" s="56"/>
    </row>
    <row r="304" customFormat="false" ht="15" hidden="false" customHeight="false" outlineLevel="0" collapsed="false">
      <c r="A304" s="60"/>
      <c r="B304" s="56"/>
      <c r="C304" s="56"/>
      <c r="D304" s="55"/>
      <c r="E304" s="56"/>
    </row>
  </sheetData>
  <dataValidations count="1">
    <dataValidation allowBlank="true" errorStyle="stop" operator="between" showDropDown="false" showErrorMessage="false" showInputMessage="false" sqref="C5:C304" type="list">
      <formula1>"Suscripciones,Apps,Contenido / UGC,Muestras,Herramientas,Gestoría,Comisiones,Otros"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4" min="3" style="0" width="15"/>
    <col collapsed="false" customWidth="true" hidden="false" outlineLevel="0" max="5" min="5" style="0" width="70"/>
  </cols>
  <sheetData>
    <row r="1" customFormat="false" ht="19.7" hidden="false" customHeight="false" outlineLevel="0" collapsed="false">
      <c r="B1" s="1" t="s">
        <v>93</v>
      </c>
    </row>
    <row r="2" customFormat="false" ht="15" hidden="false" customHeight="false" outlineLevel="0" collapsed="false">
      <c r="B2" s="2" t="s">
        <v>94</v>
      </c>
    </row>
    <row r="4" customFormat="false" ht="15" hidden="false" customHeight="false" outlineLevel="0" collapsed="false">
      <c r="B4" s="61" t="s">
        <v>95</v>
      </c>
      <c r="C4" s="29" t="s">
        <v>96</v>
      </c>
      <c r="D4" s="29" t="s">
        <v>97</v>
      </c>
      <c r="E4" s="29" t="s">
        <v>98</v>
      </c>
    </row>
    <row r="5" customFormat="false" ht="15" hidden="false" customHeight="false" outlineLevel="0" collapsed="false">
      <c r="B5" s="62" t="s">
        <v>99</v>
      </c>
      <c r="C5" s="63" t="n">
        <v>29.99</v>
      </c>
      <c r="D5" s="63" t="n">
        <v>39.99</v>
      </c>
      <c r="E5" s="64" t="s">
        <v>100</v>
      </c>
    </row>
    <row r="6" customFormat="false" ht="15" hidden="false" customHeight="false" outlineLevel="0" collapsed="false">
      <c r="B6" s="62" t="s">
        <v>101</v>
      </c>
      <c r="C6" s="65" t="n">
        <v>1</v>
      </c>
      <c r="D6" s="65" t="n">
        <v>2</v>
      </c>
      <c r="E6" s="64" t="s">
        <v>102</v>
      </c>
    </row>
    <row r="7" customFormat="false" ht="15" hidden="false" customHeight="false" outlineLevel="0" collapsed="false">
      <c r="B7" s="62" t="s">
        <v>103</v>
      </c>
      <c r="C7" s="63" t="n">
        <v>1.99</v>
      </c>
      <c r="D7" s="63" t="n">
        <v>1.99</v>
      </c>
      <c r="E7" s="64" t="s">
        <v>104</v>
      </c>
    </row>
    <row r="8" customFormat="false" ht="15" hidden="false" customHeight="false" outlineLevel="0" collapsed="false">
      <c r="B8" s="62" t="s">
        <v>105</v>
      </c>
      <c r="C8" s="63" t="n">
        <v>8.06</v>
      </c>
      <c r="D8" s="63" t="n">
        <v>8.06</v>
      </c>
      <c r="E8" s="64" t="s">
        <v>106</v>
      </c>
    </row>
    <row r="9" customFormat="false" ht="15" hidden="false" customHeight="false" outlineLevel="0" collapsed="false">
      <c r="B9" s="62" t="s">
        <v>107</v>
      </c>
      <c r="C9" s="32" t="n">
        <f aca="false">C6*C7*(1+IVA_PROD)</f>
        <v>2.4079</v>
      </c>
      <c r="D9" s="32" t="n">
        <f aca="false">D6*D7*(1+IVA_PROD)</f>
        <v>4.8158</v>
      </c>
      <c r="E9" s="64" t="s">
        <v>108</v>
      </c>
    </row>
    <row r="10" customFormat="false" ht="15" hidden="false" customHeight="false" outlineLevel="0" collapsed="false">
      <c r="B10" s="62" t="s">
        <v>109</v>
      </c>
      <c r="C10" s="32" t="n">
        <f aca="false">C9+C8</f>
        <v>10.4679</v>
      </c>
      <c r="D10" s="32" t="n">
        <f aca="false">D9+D8</f>
        <v>12.8758</v>
      </c>
      <c r="E10" s="64" t="s">
        <v>110</v>
      </c>
    </row>
    <row r="11" customFormat="false" ht="15" hidden="false" customHeight="false" outlineLevel="0" collapsed="false">
      <c r="B11" s="66" t="s">
        <v>111</v>
      </c>
      <c r="C11" s="33" t="n">
        <f aca="false">C5-C10</f>
        <v>19.5221</v>
      </c>
      <c r="D11" s="33" t="n">
        <f aca="false">D5-D10</f>
        <v>27.1142</v>
      </c>
      <c r="E11" s="64" t="s">
        <v>112</v>
      </c>
    </row>
    <row r="12" customFormat="false" ht="15" hidden="false" customHeight="false" outlineLevel="0" collapsed="false">
      <c r="B12" s="62" t="s">
        <v>113</v>
      </c>
      <c r="C12" s="32" t="n">
        <f aca="false">C5*IVA_VENTAS/(1+IVA_VENTAS)</f>
        <v>5.20487603305785</v>
      </c>
      <c r="D12" s="32" t="n">
        <f aca="false">D5*IVA_VENTAS/(1+IVA_VENTAS)</f>
        <v>6.9404132231405</v>
      </c>
      <c r="E12" s="64" t="s">
        <v>114</v>
      </c>
    </row>
    <row r="13" customFormat="false" ht="15" hidden="false" customHeight="false" outlineLevel="0" collapsed="false">
      <c r="B13" s="62" t="s">
        <v>115</v>
      </c>
      <c r="C13" s="32" t="n">
        <f aca="false">C6*C7*IVA_PROD+C8*IVA_VENTAS/(1+IVA_VENTAS)</f>
        <v>1.81674297520661</v>
      </c>
      <c r="D13" s="32" t="n">
        <f aca="false">D6*D7*IVA_PROD+D8*IVA_VENTAS/(1+IVA_VENTAS)</f>
        <v>2.23464297520661</v>
      </c>
      <c r="E13" s="64" t="s">
        <v>116</v>
      </c>
    </row>
    <row r="14" customFormat="false" ht="15" hidden="false" customHeight="false" outlineLevel="0" collapsed="false">
      <c r="B14" s="62" t="s">
        <v>117</v>
      </c>
      <c r="C14" s="32" t="n">
        <f aca="false">IF(APLICA_IVA=1,C12-C13,0)</f>
        <v>3.38813305785124</v>
      </c>
      <c r="D14" s="32" t="n">
        <f aca="false">IF(APLICA_IVA=1,D12-D13,0)</f>
        <v>4.70577024793388</v>
      </c>
      <c r="E14" s="64" t="s">
        <v>118</v>
      </c>
    </row>
    <row r="15" customFormat="false" ht="15" hidden="false" customHeight="false" outlineLevel="0" collapsed="false">
      <c r="B15" s="66" t="s">
        <v>119</v>
      </c>
      <c r="C15" s="33" t="n">
        <f aca="false">C11-C14</f>
        <v>16.1339669421488</v>
      </c>
      <c r="D15" s="33" t="n">
        <f aca="false">D11-D14</f>
        <v>22.4084297520661</v>
      </c>
      <c r="E15" s="64" t="s">
        <v>120</v>
      </c>
    </row>
    <row r="17" customFormat="false" ht="15" hidden="false" customHeight="false" outlineLevel="0" collapsed="false">
      <c r="B17" s="61" t="s">
        <v>121</v>
      </c>
      <c r="C17" s="29" t="s">
        <v>122</v>
      </c>
      <c r="D17" s="29"/>
      <c r="E17" s="29" t="s">
        <v>123</v>
      </c>
    </row>
    <row r="18" customFormat="false" ht="15" hidden="false" customHeight="false" outlineLevel="0" collapsed="false">
      <c r="B18" s="62" t="s">
        <v>124</v>
      </c>
      <c r="C18" s="67" t="n">
        <v>0.21</v>
      </c>
      <c r="E18" s="68" t="s">
        <v>125</v>
      </c>
    </row>
    <row r="19" customFormat="false" ht="15" hidden="false" customHeight="false" outlineLevel="0" collapsed="false">
      <c r="B19" s="62" t="s">
        <v>126</v>
      </c>
      <c r="C19" s="67" t="n">
        <v>0.21</v>
      </c>
      <c r="E19" s="68" t="s">
        <v>127</v>
      </c>
    </row>
    <row r="20" customFormat="false" ht="22.35" hidden="false" customHeight="false" outlineLevel="0" collapsed="false">
      <c r="B20" s="62" t="s">
        <v>128</v>
      </c>
      <c r="C20" s="69" t="s">
        <v>129</v>
      </c>
      <c r="E20" s="68" t="s">
        <v>130</v>
      </c>
    </row>
    <row r="21" customFormat="false" ht="22.35" hidden="false" customHeight="false" outlineLevel="0" collapsed="false">
      <c r="B21" s="62" t="s">
        <v>131</v>
      </c>
      <c r="C21" s="63" t="n">
        <v>8.06</v>
      </c>
      <c r="E21" s="68" t="s">
        <v>132</v>
      </c>
    </row>
    <row r="22" customFormat="false" ht="22.35" hidden="false" customHeight="false" outlineLevel="0" collapsed="false">
      <c r="B22" s="62" t="s">
        <v>133</v>
      </c>
      <c r="C22" s="67" t="n">
        <v>0</v>
      </c>
      <c r="E22" s="68" t="s">
        <v>134</v>
      </c>
    </row>
    <row r="23" customFormat="false" ht="15" hidden="false" customHeight="false" outlineLevel="0" collapsed="false">
      <c r="B23" s="62" t="s">
        <v>135</v>
      </c>
      <c r="C23" s="67" t="n">
        <v>0.8</v>
      </c>
      <c r="E23" s="68" t="s">
        <v>136</v>
      </c>
    </row>
    <row r="24" customFormat="false" ht="15" hidden="false" customHeight="false" outlineLevel="0" collapsed="false">
      <c r="B24" s="62" t="s">
        <v>137</v>
      </c>
      <c r="C24" s="65" t="n">
        <v>30</v>
      </c>
      <c r="E24" s="68" t="s">
        <v>138</v>
      </c>
    </row>
    <row r="25" customFormat="false" ht="15" hidden="false" customHeight="false" outlineLevel="0" collapsed="false">
      <c r="B25" s="62" t="s">
        <v>139</v>
      </c>
      <c r="C25" s="67" t="n">
        <v>0.3</v>
      </c>
      <c r="E25" s="68" t="s">
        <v>140</v>
      </c>
    </row>
    <row r="26" customFormat="false" ht="15" hidden="false" customHeight="false" outlineLevel="0" collapsed="false">
      <c r="B26" s="62" t="s">
        <v>29</v>
      </c>
      <c r="C26" s="70" t="n">
        <v>10000</v>
      </c>
      <c r="E26" s="68" t="s">
        <v>141</v>
      </c>
    </row>
    <row r="27" customFormat="false" ht="15" hidden="false" customHeight="false" outlineLevel="0" collapsed="false">
      <c r="B27" s="62" t="s">
        <v>142</v>
      </c>
      <c r="C27" s="4" t="n">
        <v>46300</v>
      </c>
      <c r="E27" s="68" t="s">
        <v>143</v>
      </c>
    </row>
    <row r="28" customFormat="false" ht="15" hidden="false" customHeight="false" outlineLevel="0" collapsed="false">
      <c r="B28" s="62" t="s">
        <v>144</v>
      </c>
      <c r="C28" s="69" t="s">
        <v>145</v>
      </c>
      <c r="E28" s="68" t="s">
        <v>146</v>
      </c>
    </row>
    <row r="29" customFormat="false" ht="15" hidden="false" customHeight="false" outlineLevel="0" collapsed="false">
      <c r="B29" s="62" t="s">
        <v>147</v>
      </c>
      <c r="C29" s="69" t="s">
        <v>148</v>
      </c>
      <c r="E29" s="68" t="s">
        <v>149</v>
      </c>
    </row>
    <row r="31" customFormat="false" ht="15" hidden="false" customHeight="false" outlineLevel="0" collapsed="false">
      <c r="B31" s="61" t="s">
        <v>150</v>
      </c>
      <c r="C31" s="29" t="s">
        <v>122</v>
      </c>
      <c r="D31" s="29"/>
      <c r="E31" s="29" t="s">
        <v>151</v>
      </c>
    </row>
    <row r="32" customFormat="false" ht="15" hidden="false" customHeight="false" outlineLevel="0" collapsed="false">
      <c r="B32" s="62" t="s">
        <v>152</v>
      </c>
      <c r="C32" s="31" t="n">
        <f aca="false">IF(C20="SÍ",1,0)</f>
        <v>1</v>
      </c>
      <c r="E32" s="64"/>
    </row>
    <row r="33" customFormat="false" ht="15" hidden="false" customHeight="false" outlineLevel="0" collapsed="false">
      <c r="B33" s="62" t="s">
        <v>153</v>
      </c>
      <c r="C33" s="32" t="n">
        <f aca="false">IF(APLICA_IVA=1,C21*IVA_VENTAS/(1+IVA_VENTAS),0)</f>
        <v>1.39884297520661</v>
      </c>
      <c r="E33" s="64" t="s">
        <v>154</v>
      </c>
    </row>
    <row r="34" customFormat="false" ht="15" hidden="false" customHeight="false" outlineLevel="0" collapsed="false">
      <c r="B34" s="62" t="s">
        <v>155</v>
      </c>
      <c r="C34" s="32" t="n">
        <f aca="false">C21-C33</f>
        <v>6.66115702479339</v>
      </c>
      <c r="E34" s="64"/>
    </row>
    <row r="35" customFormat="false" ht="15" hidden="false" customHeight="false" outlineLevel="0" collapsed="false">
      <c r="B35" s="62" t="s">
        <v>156</v>
      </c>
      <c r="C35" s="31" t="n">
        <f aca="false">SUM(Diario!$D$6:$D$370)+SUM(Diario!$E$6:$E$370)</f>
        <v>0</v>
      </c>
      <c r="E35" s="64" t="s">
        <v>157</v>
      </c>
    </row>
    <row r="36" customFormat="false" ht="15" hidden="false" customHeight="false" outlineLevel="0" collapsed="false">
      <c r="B36" s="62" t="s">
        <v>158</v>
      </c>
      <c r="C36" s="34" t="str">
        <f aca="false">IF(C35&gt;0,SUM(Diario!$D$6:$D$370)/C35,"")</f>
        <v/>
      </c>
      <c r="E36" s="64" t="s">
        <v>159</v>
      </c>
    </row>
    <row r="37" customFormat="false" ht="15" hidden="false" customHeight="false" outlineLevel="0" collapsed="false">
      <c r="B37" s="62" t="s">
        <v>160</v>
      </c>
      <c r="C37" s="34" t="n">
        <f aca="false">IF(AND(C35&gt;=C24,C36&lt;&gt;""),C36,C23)</f>
        <v>0.8</v>
      </c>
      <c r="E37" s="64" t="s">
        <v>161</v>
      </c>
    </row>
    <row r="38" customFormat="false" ht="15" hidden="false" customHeight="false" outlineLevel="0" collapsed="false">
      <c r="B38" s="62" t="s">
        <v>162</v>
      </c>
      <c r="C38" s="34" t="str">
        <f aca="false">IF(SUM(Diario!$H$6:$H$370)&gt;0,SUM(Diario!$C$6:$C$370)/SUM(Diario!$H$6:$H$370),"")</f>
        <v/>
      </c>
      <c r="E38" s="64" t="s">
        <v>163</v>
      </c>
    </row>
    <row r="39" customFormat="false" ht="15" hidden="false" customHeight="false" outlineLevel="0" collapsed="false">
      <c r="B39" s="62" t="s">
        <v>164</v>
      </c>
      <c r="C39" s="34" t="n">
        <f aca="false">IF(C38="",C25,C38)</f>
        <v>0.3</v>
      </c>
      <c r="E39" s="64"/>
    </row>
    <row r="40" customFormat="false" ht="15" hidden="false" customHeight="false" outlineLevel="0" collapsed="false">
      <c r="B40" s="62" t="s">
        <v>165</v>
      </c>
      <c r="C40" s="32" t="n">
        <f aca="false">(1-C39)*C5+C39*D5</f>
        <v>32.99</v>
      </c>
      <c r="E40" s="64"/>
    </row>
    <row r="41" customFormat="false" ht="15" hidden="false" customHeight="false" outlineLevel="0" collapsed="false">
      <c r="B41" s="62" t="s">
        <v>166</v>
      </c>
      <c r="C41" s="32" t="n">
        <f aca="false">(1-C39)*C15+C39*D15</f>
        <v>18.016305785124</v>
      </c>
      <c r="E41" s="64" t="s">
        <v>167</v>
      </c>
    </row>
    <row r="42" customFormat="false" ht="15" hidden="false" customHeight="false" outlineLevel="0" collapsed="false">
      <c r="B42" s="62" t="s">
        <v>168</v>
      </c>
      <c r="C42" s="32" t="n">
        <f aca="false">C37*C41-(1-C37)*C34</f>
        <v>13.0808132231405</v>
      </c>
      <c r="E42" s="64" t="s">
        <v>169</v>
      </c>
    </row>
    <row r="43" customFormat="false" ht="15" hidden="false" customHeight="false" outlineLevel="0" collapsed="false">
      <c r="B43" s="66" t="s">
        <v>170</v>
      </c>
      <c r="C43" s="33" t="n">
        <f aca="false">C42/(1+RECARGO_ADS)</f>
        <v>13.0808132231405</v>
      </c>
      <c r="E43" s="64" t="s">
        <v>171</v>
      </c>
    </row>
    <row r="44" customFormat="false" ht="15" hidden="false" customHeight="false" outlineLevel="0" collapsed="false">
      <c r="B44" s="66" t="s">
        <v>172</v>
      </c>
      <c r="C44" s="71" t="n">
        <f aca="false">IF(C43&gt;0,C40/C43,"")</f>
        <v>2.52201445256013</v>
      </c>
      <c r="E44" s="64" t="s">
        <v>173</v>
      </c>
    </row>
  </sheetData>
  <dataValidations count="1">
    <dataValidation allowBlank="false" errorStyle="stop" operator="between" showDropDown="false" showErrorMessage="false" showInputMessage="false" sqref="C20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0"/>
  </cols>
  <sheetData>
    <row r="1" customFormat="false" ht="19.7" hidden="false" customHeight="false" outlineLevel="0" collapsed="false">
      <c r="B1" s="1" t="s">
        <v>174</v>
      </c>
    </row>
    <row r="4" customFormat="false" ht="15" hidden="false" customHeight="false" outlineLevel="0" collapsed="false">
      <c r="B4" s="72" t="s">
        <v>175</v>
      </c>
    </row>
    <row r="5" customFormat="false" ht="15" hidden="false" customHeight="false" outlineLevel="0" collapsed="false">
      <c r="B5" s="73" t="s">
        <v>176</v>
      </c>
    </row>
    <row r="6" customFormat="false" ht="15" hidden="false" customHeight="false" outlineLevel="0" collapsed="false">
      <c r="B6" s="73" t="s">
        <v>177</v>
      </c>
    </row>
    <row r="7" customFormat="false" ht="15" hidden="false" customHeight="false" outlineLevel="0" collapsed="false">
      <c r="B7" s="73" t="s">
        <v>178</v>
      </c>
    </row>
    <row r="8" customFormat="false" ht="15" hidden="false" customHeight="false" outlineLevel="0" collapsed="false">
      <c r="B8" s="73" t="s">
        <v>179</v>
      </c>
    </row>
    <row r="10" customFormat="false" ht="15" hidden="false" customHeight="false" outlineLevel="0" collapsed="false">
      <c r="B10" s="72" t="s">
        <v>180</v>
      </c>
    </row>
    <row r="11" customFormat="false" ht="15" hidden="false" customHeight="false" outlineLevel="0" collapsed="false">
      <c r="B11" s="73" t="s">
        <v>181</v>
      </c>
    </row>
    <row r="12" customFormat="false" ht="15" hidden="false" customHeight="false" outlineLevel="0" collapsed="false">
      <c r="B12" s="73" t="s">
        <v>182</v>
      </c>
    </row>
    <row r="14" customFormat="false" ht="15" hidden="false" customHeight="false" outlineLevel="0" collapsed="false">
      <c r="B14" s="72" t="s">
        <v>183</v>
      </c>
    </row>
    <row r="15" customFormat="false" ht="15" hidden="false" customHeight="false" outlineLevel="0" collapsed="false">
      <c r="B15" s="73" t="s">
        <v>184</v>
      </c>
    </row>
    <row r="16" customFormat="false" ht="15" hidden="false" customHeight="false" outlineLevel="0" collapsed="false">
      <c r="B16" s="73" t="s">
        <v>185</v>
      </c>
    </row>
    <row r="17" customFormat="false" ht="15" hidden="false" customHeight="false" outlineLevel="0" collapsed="false">
      <c r="B17" s="73" t="s">
        <v>186</v>
      </c>
    </row>
    <row r="19" customFormat="false" ht="15" hidden="false" customHeight="false" outlineLevel="0" collapsed="false">
      <c r="B19" s="72" t="s">
        <v>187</v>
      </c>
    </row>
    <row r="20" customFormat="false" ht="23.85" hidden="false" customHeight="false" outlineLevel="0" collapsed="false">
      <c r="B20" s="73" t="s">
        <v>188</v>
      </c>
    </row>
    <row r="21" customFormat="false" ht="15" hidden="false" customHeight="false" outlineLevel="0" collapsed="false">
      <c r="B21" s="73" t="s">
        <v>189</v>
      </c>
    </row>
    <row r="23" customFormat="false" ht="15" hidden="false" customHeight="false" outlineLevel="0" collapsed="false">
      <c r="B23" s="72" t="s">
        <v>190</v>
      </c>
    </row>
    <row r="24" customFormat="false" ht="15" hidden="false" customHeight="false" outlineLevel="0" collapsed="false">
      <c r="B24" s="73" t="s">
        <v>191</v>
      </c>
    </row>
    <row r="25" customFormat="false" ht="15" hidden="false" customHeight="false" outlineLevel="0" collapsed="false">
      <c r="B25" s="73" t="s">
        <v>192</v>
      </c>
    </row>
    <row r="26" customFormat="false" ht="15" hidden="false" customHeight="false" outlineLevel="0" collapsed="false">
      <c r="B26" s="73" t="s">
        <v>193</v>
      </c>
    </row>
    <row r="28" customFormat="false" ht="15" hidden="false" customHeight="false" outlineLevel="0" collapsed="false">
      <c r="B28" s="72" t="s">
        <v>194</v>
      </c>
    </row>
    <row r="29" customFormat="false" ht="15" hidden="false" customHeight="false" outlineLevel="0" collapsed="false">
      <c r="B29" s="73" t="s">
        <v>195</v>
      </c>
    </row>
    <row r="30" customFormat="false" ht="15" hidden="false" customHeight="false" outlineLevel="0" collapsed="false">
      <c r="B30" s="73" t="s">
        <v>196</v>
      </c>
    </row>
    <row r="31" customFormat="false" ht="15" hidden="false" customHeight="false" outlineLevel="0" collapsed="false">
      <c r="B31" s="73" t="s">
        <v>197</v>
      </c>
    </row>
    <row r="32" customFormat="false" ht="23.85" hidden="false" customHeight="false" outlineLevel="0" collapsed="false">
      <c r="B32" s="73" t="s">
        <v>198</v>
      </c>
    </row>
    <row r="34" customFormat="false" ht="15" hidden="false" customHeight="false" outlineLevel="0" collapsed="false">
      <c r="B34" s="72" t="s">
        <v>199</v>
      </c>
    </row>
    <row r="35" customFormat="false" ht="15" hidden="false" customHeight="false" outlineLevel="0" collapsed="false">
      <c r="B35" s="73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2026-10-07T10:16:38Z</dcterms:created>
  <dc:creator>openpyxl</dc:creator>
  <dc:description/>
  <dc:language>en-US</dc:language>
  <cp:lastModifiedBy/>
  <dcterms:modified xsi:type="dcterms:W3CDTF">2026-10-07T10:16:40Z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