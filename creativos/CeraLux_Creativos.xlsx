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el" sheetId="1" state="visible" r:id="rId3"/>
    <sheet name="Mapa" sheetId="2" state="visible" r:id="rId4"/>
    <sheet name="Creativos" sheetId="3" state="visible" r:id="rId5"/>
    <sheet name="Cuerpos" sheetId="4" state="visible" r:id="rId6"/>
    <sheet name="Matriz" sheetId="5" state="visible" r:id="rId7"/>
    <sheet name="Histórico" sheetId="6" state="visible" r:id="rId8"/>
    <sheet name="Pedidos" sheetId="7" state="visible" r:id="rId9"/>
    <sheet name="Config" sheetId="8" state="visible" r:id="rId10"/>
    <sheet name="Guía" sheetId="9" state="visible" r:id="rId11"/>
  </sheets>
  <definedNames>
    <definedName function="false" hidden="true" localSheetId="5" name="_xlnm._FilterDatabase" vbProcedure="false">Histórico!$A$4:$W$38</definedName>
    <definedName function="false" hidden="false" name="APG_CV" vbProcedure="false">Config!$C$10</definedName>
    <definedName function="false" hidden="false" name="APG_SV" vbProcedure="false">Config!$C$9</definedName>
    <definedName function="false" hidden="false" name="BEN_PEDIDO" vbProcedure="false">Config!$C$5</definedName>
    <definedName function="false" hidden="false" name="CPA_BE" vbProcedure="false">Config!$C$4</definedName>
    <definedName function="false" hidden="false" name="DESDE" vbProcedure="false">Panel!$C$3</definedName>
    <definedName function="false" hidden="false" name="FECHA_INICIO" vbProcedure="false">Config!$C$7</definedName>
    <definedName function="false" hidden="false" name="HASTA" vbProcedure="false">Panel!$F$3</definedName>
    <definedName function="false" hidden="false" name="LISTA_TIPOS" vbProcedure="false">Config!$C$14:$C$16</definedName>
    <definedName function="false" hidden="false" name="MEDIA_CTR" vbProcedure="false">Panel!$F$10</definedName>
    <definedName function="false" hidden="false" name="MEDIA_CVR" vbProcedure="false">Panel!$J$10</definedName>
    <definedName function="false" hidden="false" name="MEDIA_GANCHO" vbProcedure="false">Panel!$D$10</definedName>
    <definedName function="false" hidden="false" name="MEDIA_WEB" vbProcedure="false">Panel!$H$10</definedName>
    <definedName function="false" hidden="false" name="MIN_IMPR" vbProcedure="false">Config!$C$11</definedName>
    <definedName function="false" hidden="false" name="RATIO" vbProcedure="false">Panel!$H$7</definedName>
    <definedName function="false" hidden="false" name="RECARGO" vbProcedure="false">Config!$C$6</definedName>
    <definedName function="false" hidden="false" name="UMB_ESC" vbProcedure="false">Config!$C$8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Escribe una fecha para fijar el periodo.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5" authorId="0">
      <text>
        <r>
          <rPr>
            <sz val="10"/>
            <rFont val="Arial"/>
            <family val="2"/>
          </rPr>
          <t xml:space="preserve">Hook de texto: la frase exacta. Hook visual: describe qué se ve en los 3 primeros segundos.</t>
        </r>
      </text>
    </comment>
  </commentList>
</comments>
</file>

<file path=xl/sharedStrings.xml><?xml version="1.0" encoding="utf-8"?>
<sst xmlns="http://schemas.openxmlformats.org/spreadsheetml/2006/main" count="545" uniqueCount="241">
  <si>
    <t xml:space="preserve">CeraLux · Creativos</t>
  </si>
  <si>
    <t xml:space="preserve">Qué anuncio, qué hook y qué cuerpo te están dando dinero. Datos de Meta corregidos con tus pedidos reales.</t>
  </si>
  <si>
    <t xml:space="preserve">Desde</t>
  </si>
  <si>
    <t xml:space="preserve">Hasta</t>
  </si>
  <si>
    <t xml:space="preserve">Días</t>
  </si>
  <si>
    <t xml:space="preserve">Actualizado: 2026-10-07 20:50</t>
  </si>
  <si>
    <t xml:space="preserve">RESUMEN DEL PERIODO</t>
  </si>
  <si>
    <t xml:space="preserve">GASTO</t>
  </si>
  <si>
    <t xml:space="preserve">COMPRAS (META)</t>
  </si>
  <si>
    <t xml:space="preserve">PEDIDOS REALES</t>
  </si>
  <si>
    <t xml:space="preserve">PEDIDOS REALES ÷ META</t>
  </si>
  <si>
    <t xml:space="preserve">CPA REAL</t>
  </si>
  <si>
    <t xml:space="preserve">BENEFICIO ESTIMADO</t>
  </si>
  <si>
    <t xml:space="preserve">CPA MÁXIMO RENTABLE</t>
  </si>
  <si>
    <t xml:space="preserve">GANCHO MEDIO (25%)</t>
  </si>
  <si>
    <t xml:space="preserve">CTR MEDIO</t>
  </si>
  <si>
    <t xml:space="preserve">LLEGA A LA WEB</t>
  </si>
  <si>
    <t xml:space="preserve">COMPRA / CLIC</t>
  </si>
  <si>
    <t xml:space="preserve">ANUNCIOS CON GASTO</t>
  </si>
  <si>
    <t xml:space="preserve">QUÉ HACER CON TUS ANUNCIOS</t>
  </si>
  <si>
    <t xml:space="preserve">ESCALAR</t>
  </si>
  <si>
    <t xml:space="preserve">MANTENER</t>
  </si>
  <si>
    <t xml:space="preserve">PROMETEDOR</t>
  </si>
  <si>
    <t xml:space="preserve">VIGILAR</t>
  </si>
  <si>
    <t xml:space="preserve">APAGAR</t>
  </si>
  <si>
    <t xml:space="preserve">APRENDIENDO</t>
  </si>
  <si>
    <t xml:space="preserve">TOP 5 CREATIVOS POR BENEFICIO ESTIMADO</t>
  </si>
  <si>
    <t xml:space="preserve">#</t>
  </si>
  <si>
    <t xml:space="preserve">Anuncio</t>
  </si>
  <si>
    <t xml:space="preserve">Ángulo</t>
  </si>
  <si>
    <t xml:space="preserve">Hook</t>
  </si>
  <si>
    <t xml:space="preserve">Gasto</t>
  </si>
  <si>
    <t xml:space="preserve">CPA real</t>
  </si>
  <si>
    <t xml:space="preserve">Beneficio</t>
  </si>
  <si>
    <t xml:space="preserve">Veredicto</t>
  </si>
  <si>
    <t xml:space="preserve">POR ÁNGULO (conjunto de anuncios)</t>
  </si>
  <si>
    <t xml:space="preserve">Anuncios</t>
  </si>
  <si>
    <t xml:space="preserve">Compras Meta</t>
  </si>
  <si>
    <t xml:space="preserve">Pedidos est.</t>
  </si>
  <si>
    <t xml:space="preserve">Beneficio est.</t>
  </si>
  <si>
    <t xml:space="preserve">Gancho</t>
  </si>
  <si>
    <t xml:space="preserve">CTR</t>
  </si>
  <si>
    <t xml:space="preserve">AS1 · RABIA — no fue culpa mía</t>
  </si>
  <si>
    <t xml:space="preserve">AS2 · DINERO — voy a vender el coche</t>
  </si>
  <si>
    <t xml:space="preserve">AS3 · BROAD — hooks visuales</t>
  </si>
  <si>
    <t xml:space="preserve">POR CUERPO (guion después del hook)</t>
  </si>
  <si>
    <t xml:space="preserve">Cuerpo</t>
  </si>
  <si>
    <t xml:space="preserve">C1 · Rabia · el bote habla</t>
  </si>
  <si>
    <t xml:space="preserve">C2 · Dinero · vender el coche</t>
  </si>
  <si>
    <t xml:space="preserve">C3 · Demostración real · sin cortes</t>
  </si>
  <si>
    <t xml:space="preserve">POR CONCEPTO DE HOOK</t>
  </si>
  <si>
    <t xml:space="preserve">Concepto del hook</t>
  </si>
  <si>
    <t xml:space="preserve">Rayón en el parking</t>
  </si>
  <si>
    <t xml:space="preserve">Vender el coche</t>
  </si>
  <si>
    <t xml:space="preserve">Bolardo</t>
  </si>
  <si>
    <t xml:space="preserve">Llaves</t>
  </si>
  <si>
    <t xml:space="preserve">Perro</t>
  </si>
  <si>
    <t xml:space="preserve">Carrito</t>
  </si>
  <si>
    <t xml:space="preserve">Mapa de creativos: ángulo → cuerpo → hooks</t>
  </si>
  <si>
    <t xml:space="preserve">Tu pizarra de estructura con los números al lado. Se rellena sola desde Creativos y Cuerpos (periodo del Panel).</t>
  </si>
  <si>
    <t xml:space="preserve">AS1 · RABIA — no fue culpa mía   ·   Cuerpo C1: Rabia · el bote habla</t>
  </si>
  <si>
    <t xml:space="preserve">CUERPO (lo mismo para todos sus hooks)</t>
  </si>
  <si>
    <t xml:space="preserve">ANUNCIO</t>
  </si>
  <si>
    <t xml:space="preserve">HOOK</t>
  </si>
  <si>
    <t xml:space="preserve">Compras</t>
  </si>
  <si>
    <t xml:space="preserve">Total</t>
  </si>
  <si>
    <t xml:space="preserve">AS2 · DINERO — voy a vender el coche   ·   Cuerpo C2: Dinero · vender el coche</t>
  </si>
  <si>
    <t xml:space="preserve">AS3 · BROAD — hooks visuales   ·   Cuerpo C3: Demostración real · sin cortes</t>
  </si>
  <si>
    <t xml:space="preserve">Creativos: estructura y rendimiento</t>
  </si>
  <si>
    <t xml:space="preserve">Una fila por anuncio. Lo amarillo lo editas tú (hook, concepto, cuerpo, notas). Las métricas son del periodo elegido en el Panel.</t>
  </si>
  <si>
    <t xml:space="preserve">ID anuncio</t>
  </si>
  <si>
    <t xml:space="preserve">Campaña</t>
  </si>
  <si>
    <t xml:space="preserve">Ángulo (conjunto)</t>
  </si>
  <si>
    <t xml:space="preserve">Formato</t>
  </si>
  <si>
    <t xml:space="preserve">Tipo de hook</t>
  </si>
  <si>
    <t xml:space="preserve">Hook (texto, o qué se ve en los 3 primeros segundos)</t>
  </si>
  <si>
    <t xml:space="preserve">Alta</t>
  </si>
  <si>
    <t xml:space="preserve">Estado</t>
  </si>
  <si>
    <t xml:space="preserve">Notas / aprendizaje</t>
  </si>
  <si>
    <t xml:space="preserve">Impresiones</t>
  </si>
  <si>
    <t xml:space="preserve">Clics</t>
  </si>
  <si>
    <t xml:space="preserve">Visitas web</t>
  </si>
  <si>
    <t xml:space="preserve">Pedidos reales est.</t>
  </si>
  <si>
    <t xml:space="preserve">Gancho (ven el 25%)</t>
  </si>
  <si>
    <t xml:space="preserve">Retención (25%→50%)</t>
  </si>
  <si>
    <t xml:space="preserve">Llega a la web</t>
  </si>
  <si>
    <t xml:space="preserve">Compra / clic</t>
  </si>
  <si>
    <t xml:space="preserve">Tiempo medio (s)</t>
  </si>
  <si>
    <t xml:space="preserve">Diagnóstico</t>
  </si>
  <si>
    <t xml:space="preserve">orden</t>
  </si>
  <si>
    <t xml:space="preserve">120254996455720271</t>
  </si>
  <si>
    <t xml:space="preserve">PIXARSUPER_H1</t>
  </si>
  <si>
    <t xml:space="preserve">CeraLux ES — Test 3 ángulos — Oct 2026</t>
  </si>
  <si>
    <t xml:space="preserve">C1</t>
  </si>
  <si>
    <t xml:space="preserve">Animación estilo Pixar (habla el bote)</t>
  </si>
  <si>
    <t xml:space="preserve">Texto</t>
  </si>
  <si>
    <t xml:space="preserve">Vuelves al coche y ahí está, un rayón nuevo y ni una nota.</t>
  </si>
  <si>
    <t xml:space="preserve">Activo</t>
  </si>
  <si>
    <t xml:space="preserve">120254996456760271</t>
  </si>
  <si>
    <t xml:space="preserve">PIXARSUPER_H2</t>
  </si>
  <si>
    <t xml:space="preserve">¡Sorpresa! Un nuevo rayón y ni una nota en el parabrisas.</t>
  </si>
  <si>
    <t xml:space="preserve">120254996414630271</t>
  </si>
  <si>
    <t xml:space="preserve">PIXARVENTA_H1</t>
  </si>
  <si>
    <t xml:space="preserve">C2</t>
  </si>
  <si>
    <t xml:space="preserve">Vas a vender tu coche esta semana y esos rayones van a decidir lo que te ofrecen. No merece la pena, ¿no?</t>
  </si>
  <si>
    <t xml:space="preserve">120254996416070271</t>
  </si>
  <si>
    <t xml:space="preserve">PIXARVENTA_H2</t>
  </si>
  <si>
    <t xml:space="preserve">Vas a vender el coche y esos cuatro rayones le van a dar la excusa perfecta para bajarte el precio.</t>
  </si>
  <si>
    <t xml:space="preserve">120254996454750271</t>
  </si>
  <si>
    <t xml:space="preserve">PIXARVENTA_H3</t>
  </si>
  <si>
    <t xml:space="preserve">Siempre has mimado tu coche y ahora que lo vendes, te van a regatear por cuatro rayones que ni son tuyos.</t>
  </si>
  <si>
    <t xml:space="preserve">120254996458790271</t>
  </si>
  <si>
    <t xml:space="preserve">BROAD_H1 BOLARDO</t>
  </si>
  <si>
    <t xml:space="preserve">C3</t>
  </si>
  <si>
    <t xml:space="preserve">Demostración real (UGC)</t>
  </si>
  <si>
    <t xml:space="preserve">Visual</t>
  </si>
  <si>
    <t xml:space="preserve">120254996458800271</t>
  </si>
  <si>
    <t xml:space="preserve">BROAD_H2 LLAVES</t>
  </si>
  <si>
    <t xml:space="preserve">120254996458810271</t>
  </si>
  <si>
    <t xml:space="preserve">BROAD_H3 LLAVES</t>
  </si>
  <si>
    <t xml:space="preserve">120254996458820271</t>
  </si>
  <si>
    <t xml:space="preserve">BROAD_H4 PERRO</t>
  </si>
  <si>
    <t xml:space="preserve">120254996458830271</t>
  </si>
  <si>
    <t xml:space="preserve">BROAD_H5 PERRO</t>
  </si>
  <si>
    <t xml:space="preserve">120254996458840271</t>
  </si>
  <si>
    <t xml:space="preserve">BROAD_H6 CARRITO</t>
  </si>
  <si>
    <t xml:space="preserve">120254996456980271</t>
  </si>
  <si>
    <t xml:space="preserve">BROAD_H7 CARRITO</t>
  </si>
  <si>
    <t xml:space="preserve">Cuerpos: el guion después del hook, dividido por partes</t>
  </si>
  <si>
    <t xml:space="preserve">Edita cada parte en amarillo; el texto completo, la duración y el rendimiento se calculan solos. Para un cuerpo nuevo, escribe un ID nuevo (C4, C5…) en la primera fila libre.</t>
  </si>
  <si>
    <t xml:space="preserve">ID</t>
  </si>
  <si>
    <t xml:space="preserve">Nombre</t>
  </si>
  <si>
    <t xml:space="preserve">1 · Apertura / problema</t>
  </si>
  <si>
    <t xml:space="preserve">2 · Giro / solución</t>
  </si>
  <si>
    <t xml:space="preserve">3 · Mecanismo (por qué funciona)</t>
  </si>
  <si>
    <t xml:space="preserve">4 · Prueba / filtro / garantía</t>
  </si>
  <si>
    <t xml:space="preserve">5 · Oferta</t>
  </si>
  <si>
    <t xml:space="preserve">6 · Llamada a la acción</t>
  </si>
  <si>
    <t xml:space="preserve">Texto completo</t>
  </si>
  <si>
    <t xml:space="preserve">Palabras</t>
  </si>
  <si>
    <t xml:space="preserve">Duración aprox. (s)</t>
  </si>
  <si>
    <t xml:space="preserve">Precio que menciona</t>
  </si>
  <si>
    <t xml:space="preserve">Notas</t>
  </si>
  <si>
    <t xml:space="preserve">Rabia · el bote habla</t>
  </si>
  <si>
    <t xml:space="preserve">No la hiciste tú, pero la vas a pagar tú. Vas al taller, te piden 120 euros y te quedas dos días sin coche, por una raya que no es culpa tuya.</t>
  </si>
  <si>
    <t xml:space="preserve">Oye, ¿y si no hiciera falta? Me pulverizas, pasas el paño y la raya deja de verse.</t>
  </si>
  <si>
    <t xml:space="preserve">No lijo, relleno. Tu coche tiene el barniz que tiene. Yo no te quito ni una capa.</t>
  </si>
  <si>
    <t xml:space="preserve">29 euros. Y me pagas cuando llego a tu casa.</t>
  </si>
  <si>
    <t xml:space="preserve">Haz clic en el enlace. Guárdame en el maletero y olvídate.</t>
  </si>
  <si>
    <t xml:space="preserve">29 €</t>
  </si>
  <si>
    <t xml:space="preserve">Dinero · vender el coche</t>
  </si>
  <si>
    <t xml:space="preserve">Un dineral en el taller. La pulidora te come barniz y el del súper no hace nada.</t>
  </si>
  <si>
    <t xml:space="preserve">Pues no hace falta. Soy Ceralux y funciono al revés que una pulidora.</t>
  </si>
  <si>
    <t xml:space="preserve">Ella lija el barniz hasta igualar la raya. Yo la relleno y te dejo el barniz intacto.</t>
  </si>
  <si>
    <t xml:space="preserve">Pasa la uña por encima del rayón. Si se engancha, es demasiado profunda y yo no te sirvo. Si no se engancha, soy tu solución.</t>
  </si>
  <si>
    <t xml:space="preserve">Puesto menos de 30 euros y no pagas nada hasta tenerme en la mano.</t>
  </si>
  <si>
    <t xml:space="preserve">10 minutos y ahora te quedas tranquilo de haberlo vendido por lo que vale.</t>
  </si>
  <si>
    <t xml:space="preserve">&lt; 30 €</t>
  </si>
  <si>
    <t xml:space="preserve">No tiene llamada a la acción explícita (no dice 'haz clic').</t>
  </si>
  <si>
    <t xml:space="preserve">Demostración real · sin cortes</t>
  </si>
  <si>
    <t xml:space="preserve">Este es el reparador de arañazos del que habla todo el mundo. Míralo, sin cortes y sin Photoshop.</t>
  </si>
  <si>
    <t xml:space="preserve">Dos pulsaciones sobre el paño y lo pasamos directamente por encima del arañazo.</t>
  </si>
  <si>
    <t xml:space="preserve">La fórmula de nanopolímeros rellena la marca y te alisa la superficie al instante, sin lijar el barniz. Esa raya blanca, un par de pasadas y deja de verse.</t>
  </si>
  <si>
    <t xml:space="preserve">Funciona en cualquier color de coche, mismo resultado. No pagas nada hasta que lo tienes en la mano y lo ves funcionar.</t>
  </si>
  <si>
    <t xml:space="preserve">Hoy te llevas dos botes por 39,90 y el envío te sale gratis.</t>
  </si>
  <si>
    <t xml:space="preserve">Pagas en casa cuando te llegue. El enlace está aquí abajo.</t>
  </si>
  <si>
    <t xml:space="preserve">39,90 € (2 botes)</t>
  </si>
  <si>
    <t xml:space="preserve">El precio del Pack 2 en la tienda es 39,99 €.</t>
  </si>
  <si>
    <t xml:space="preserve">Matriz hook × cuerpo: CPA real de cada combinación</t>
  </si>
  <si>
    <t xml:space="preserve">Cada celda es un concepto de hook montado sobre un cuerpo. '—' = combinación sin probar: ahí están tus próximos tests.</t>
  </si>
  <si>
    <t xml:space="preserve">Verde: CPA real ≤ 75% del break-even (escalar). Ámbar: rentable justo. Rojo: pierde dinero o sin ventas.</t>
  </si>
  <si>
    <t xml:space="preserve">Histórico diario por anuncio (Meta Ads)</t>
  </si>
  <si>
    <t xml:space="preserve">Lo carga Claude desde el conector de Meta. Actualizado: 2026-10-07T20:50:00+02:00. El último día puede estar incompleto (día en curso).</t>
  </si>
  <si>
    <t xml:space="preserve">Fecha</t>
  </si>
  <si>
    <t xml:space="preserve">Clics enlace</t>
  </si>
  <si>
    <t xml:space="preserve">Añadir carrito</t>
  </si>
  <si>
    <t xml:space="preserve">Inicio pago</t>
  </si>
  <si>
    <t xml:space="preserve">Compras (píxel)</t>
  </si>
  <si>
    <t xml:space="preserve">Vídeo 25%</t>
  </si>
  <si>
    <t xml:space="preserve">Vídeo 50%</t>
  </si>
  <si>
    <t xml:space="preserve">ThruPlays</t>
  </si>
  <si>
    <t xml:space="preserve">Frecuencia</t>
  </si>
  <si>
    <t xml:space="preserve">Concepto hook</t>
  </si>
  <si>
    <t xml:space="preserve">Tiempo × impr.</t>
  </si>
  <si>
    <t xml:space="preserve">CPA píxel</t>
  </si>
  <si>
    <t xml:space="preserve">Pedidos reales por día (Shopify)</t>
  </si>
  <si>
    <t xml:space="preserve">Sirve para corregir las compras de Meta: el píxel no ve todas las ventas.</t>
  </si>
  <si>
    <t xml:space="preserve">Pedidos reales (Shopify)</t>
  </si>
  <si>
    <t xml:space="preserve">Real ÷ Meta</t>
  </si>
  <si>
    <t xml:space="preserve">Ajustes</t>
  </si>
  <si>
    <t xml:space="preserve">Azul sobre amarillo = editable. Vienen del dashboard de números; cámbialos si allí cambian.</t>
  </si>
  <si>
    <t xml:space="preserve">Parámetro</t>
  </si>
  <si>
    <t xml:space="preserve">Valor</t>
  </si>
  <si>
    <t xml:space="preserve">Qué significa</t>
  </si>
  <si>
    <t xml:space="preserve">CPA máximo rentable (break-even)</t>
  </si>
  <si>
    <t xml:space="preserve">Del dashboard (pestaña Números). Por encima de este CPA pierdes dinero.</t>
  </si>
  <si>
    <t xml:space="preserve">cpa_be</t>
  </si>
  <si>
    <t xml:space="preserve">Beneficio esperado por pedido (antes de Ads)</t>
  </si>
  <si>
    <t xml:space="preserve">Del dashboard: lo que deja de media un pedido confirmado tras IVA, envío y devoluciones.</t>
  </si>
  <si>
    <t xml:space="preserve">ben_pedido</t>
  </si>
  <si>
    <t xml:space="preserve">Recargo sobre el gasto en Ads</t>
  </si>
  <si>
    <t xml:space="preserve">0% si Meta factura sin IVA o lo deduces.</t>
  </si>
  <si>
    <t xml:space="preserve">recargo_ads</t>
  </si>
  <si>
    <t xml:space="preserve">Fecha de inicio</t>
  </si>
  <si>
    <t xml:space="preserve">Primer día del histórico.</t>
  </si>
  <si>
    <t xml:space="preserve">fecha_inicio</t>
  </si>
  <si>
    <t xml:space="preserve">ESCALAR si el CPA real es ≤ este % del break-even</t>
  </si>
  <si>
    <t xml:space="preserve">Y al menos 3 compras.</t>
  </si>
  <si>
    <t xml:space="preserve">umbral_escalar</t>
  </si>
  <si>
    <t xml:space="preserve">APAGAR sin ventas al gastar × break-even</t>
  </si>
  <si>
    <t xml:space="preserve">1,5 = apagar a ~18 € sin una venta.</t>
  </si>
  <si>
    <t xml:space="preserve">apagar_sin_ventas</t>
  </si>
  <si>
    <t xml:space="preserve">APAGAR con ventas caras al gastar × break-even</t>
  </si>
  <si>
    <t xml:space="preserve">Si el CPA real supera el break-even.</t>
  </si>
  <si>
    <t xml:space="preserve">apagar_con_ventas</t>
  </si>
  <si>
    <t xml:space="preserve">Impresiones mínimas para el diagnóstico</t>
  </si>
  <si>
    <t xml:space="preserve">Con menos, el diagnóstico dice 'pocos datos'.</t>
  </si>
  <si>
    <t xml:space="preserve">min_impr_diag</t>
  </si>
  <si>
    <t xml:space="preserve">Listas para los desplegables</t>
  </si>
  <si>
    <t xml:space="preserve">Tipos de hook</t>
  </si>
  <si>
    <t xml:space="preserve">Texto + visual</t>
  </si>
  <si>
    <t xml:space="preserve">Cómo usar este libro</t>
  </si>
  <si>
    <t xml:space="preserve">Hojas</t>
  </si>
  <si>
    <t xml:space="preserve">Panel: elige Desde / Hasta y mira qué anuncios, ángulos, cuerpos y hooks dan dinero. El Top 5 y los totales salen solos.</t>
  </si>
  <si>
    <t xml:space="preserve">Mapa: tu pizarra (ángulo → cuerpo → hooks) con gasto, CPA real, beneficio y veredicto al lado de cada hook.</t>
  </si>
  <si>
    <t xml:space="preserve">Creativos: la tabla maestra. Una fila por anuncio. Rellena en amarillo el hook, el concepto, el cuerpo que usa y tus notas.</t>
  </si>
  <si>
    <t xml:space="preserve">Cuerpos: cada guion dividido en 6 partes (apertura, giro, mecanismo, prueba, oferta, llamada a la acción). Cambia una parte y el texto completo y la duración se recalculan.</t>
  </si>
  <si>
    <t xml:space="preserve">Matriz: qué combinación de hook + cuerpo funciona. Las celdas con '—' son combinaciones que aún no has probado.</t>
  </si>
  <si>
    <t xml:space="preserve">Histórico: los datos diarios de Meta por anuncio. Pedidos: tus pedidos reales de Shopify para corregir lo que Meta no ve.</t>
  </si>
  <si>
    <t xml:space="preserve">Cómo se actualiza</t>
  </si>
  <si>
    <t xml:space="preserve">Dile a Claude "actualiza el Excel de creativos". Trae de Meta el histórico de cada anuncio y de Shopify los pedidos, regenera el libro y conserva todo lo que hayas escrito a mano (hooks, cuerpos, notas, ajustes).</t>
  </si>
  <si>
    <t xml:space="preserve">Los anuncios nuevos aparecen solos en Creativos: solo tienes que escribir su hook, su concepto y qué cuerpo usan.</t>
  </si>
  <si>
    <t xml:space="preserve">Cómo se calcula</t>
  </si>
  <si>
    <t xml:space="preserve">Pedidos reales est. = compras de Meta × (pedidos reales de Shopify ÷ compras de Meta) en el periodo.</t>
  </si>
  <si>
    <t xml:space="preserve">CPA real = gasto ÷ pedidos reales est. Beneficio est. = pedidos reales est. × beneficio por pedido − gasto.</t>
  </si>
  <si>
    <t xml:space="preserve">Gancho = % de impresiones que ven al menos el 25% del vídeo. Retención = de esos, cuántos llegan al 50%.</t>
  </si>
  <si>
    <t xml:space="preserve">Veredicto (igual que en el dashboard): ESCALAR (≥3 compras y CPA ≤ 75% del break-even) · MANTENER (≥3 y ≤ break-even) · PROMETEDOR (&lt;3 compras y ≤ break-even) · VIGILAR · APAGAR (sin ventas al gastar 1,5 × break-even, o caro al gastar 2 ×) · APRENDIENDO.</t>
  </si>
  <si>
    <t xml:space="preserve">Para sacarle partido</t>
  </si>
  <si>
    <t xml:space="preserve">Nombra los anuncios ÁNGULO_CONCEPTO_HOOK_VERSIÓN (ej.: BROAD_LLAVES_H2_V3). Así cada variación se agrupa sola por concepto.</t>
  </si>
  <si>
    <t xml:space="preserve">Testea hooks nuevos sobre un cuerpo ganador (mismo cuerpo, distinto inicio): así sabes si lo que gana es el hook o el cuerpo.</t>
  </si>
  <si>
    <t xml:space="preserve">Colores: azul sobre amarillo = lo escribes tú. Negro = fórmula.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</si>
</sst>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/mm/yyyy"/>
    <numFmt numFmtId="166" formatCode="#,##0;\-#,##0;\-"/>
    <numFmt numFmtId="167" formatCode="#,##0.00&quot; €&quot;;[RED]\-#,##0.00&quot; €&quot;;\-"/>
    <numFmt numFmtId="168" formatCode="0.00;\-0.00;\-"/>
    <numFmt numFmtId="169" formatCode="0.0%;\-0.0%;\-"/>
    <numFmt numFmtId="170" formatCode="0.0;\-0.0;\-"/>
    <numFmt numFmtId="171" formatCode="#,##0&quot; €&quot;"/>
    <numFmt numFmtId="172" formatCode="@"/>
    <numFmt numFmtId="173" formatCode="0.0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537"/>
      <name val="Arial"/>
      <family val="0"/>
      <charset val="1"/>
    </font>
    <font>
      <i val="true"/>
      <sz val="9"/>
      <color rgb="FF6B7686"/>
      <name val="Arial"/>
      <family val="0"/>
      <charset val="1"/>
    </font>
    <font>
      <b val="true"/>
      <sz val="10"/>
      <color rgb="FF1B253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6B7686"/>
      <name val="Arial"/>
      <family val="0"/>
      <charset val="1"/>
    </font>
    <font>
      <b val="true"/>
      <sz val="15"/>
      <color rgb="FF1B2537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9"/>
      <color rgb="FFB9770E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6B7686"/>
      <name val="Arial"/>
      <family val="0"/>
      <charset val="1"/>
    </font>
    <font>
      <b val="true"/>
      <sz val="14"/>
      <color rgb="FF1B2537"/>
      <name val="Arial"/>
      <family val="0"/>
      <charset val="1"/>
    </font>
    <font>
      <b val="true"/>
      <sz val="9"/>
      <color rgb="FF1B2537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2"/>
      <color rgb="FF1B2537"/>
      <name val="Arial"/>
      <family val="0"/>
      <charset val="1"/>
    </font>
    <font>
      <b val="true"/>
      <sz val="9"/>
      <color rgb="FF5A4300"/>
      <name val="Arial"/>
      <family val="0"/>
      <charset val="1"/>
    </font>
    <font>
      <sz val="8"/>
      <color rgb="FF6B7686"/>
      <name val="Arial"/>
      <family val="0"/>
      <charset val="1"/>
    </font>
    <font>
      <sz val="10"/>
      <color rgb="FF6B7686"/>
      <name val="Arial"/>
      <family val="0"/>
      <charset val="1"/>
    </font>
    <font>
      <sz val="9"/>
      <color rgb="FF6B7686"/>
      <name val="Arial"/>
      <family val="0"/>
      <charset val="1"/>
    </font>
    <font>
      <sz val="7"/>
      <color rgb="FFFFFFFF"/>
      <name val="Arial"/>
      <family val="0"/>
      <charset val="1"/>
    </font>
    <font>
      <b val="true"/>
      <sz val="11"/>
      <color rgb="FF1B2537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4CC"/>
        <bgColor rgb="FFFBEBD0"/>
      </patternFill>
    </fill>
    <fill>
      <patternFill patternType="solid">
        <fgColor rgb="FF1B2537"/>
        <bgColor rgb="FF003366"/>
      </patternFill>
    </fill>
    <fill>
      <patternFill patternType="solid">
        <fgColor rgb="FFF3F5F8"/>
        <bgColor rgb="FFF9F9F9"/>
      </patternFill>
    </fill>
    <fill>
      <patternFill patternType="solid">
        <fgColor rgb="FF1E8449"/>
        <bgColor rgb="FF008080"/>
      </patternFill>
    </fill>
    <fill>
      <patternFill patternType="solid">
        <fgColor rgb="FFD5F0DD"/>
        <bgColor rgb="FFE3F1E1"/>
      </patternFill>
    </fill>
    <fill>
      <patternFill patternType="solid">
        <fgColor rgb="FFFBEBD0"/>
        <bgColor rgb="FFF7E6D5"/>
      </patternFill>
    </fill>
    <fill>
      <patternFill patternType="solid">
        <fgColor rgb="FFF8DEDA"/>
        <bgColor rgb="FFF7E6D5"/>
      </patternFill>
    </fill>
    <fill>
      <patternFill patternType="solid">
        <fgColor rgb="FFE6EAF0"/>
        <bgColor rgb="FFDCE8F7"/>
      </patternFill>
    </fill>
    <fill>
      <patternFill patternType="solid">
        <fgColor rgb="FFDCE8F7"/>
        <bgColor rgb="FFE6EAF0"/>
      </patternFill>
    </fill>
    <fill>
      <patternFill patternType="solid">
        <fgColor rgb="FFFFFDF5"/>
        <bgColor rgb="FFFFFFFF"/>
      </patternFill>
    </fill>
    <fill>
      <patternFill patternType="solid">
        <fgColor rgb="FFF7E6D5"/>
        <bgColor rgb="FFFBEBD0"/>
      </patternFill>
    </fill>
    <fill>
      <patternFill patternType="solid">
        <fgColor rgb="FFE3F1E1"/>
        <bgColor rgb="FFE6EAF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  <border diagonalUp="false" diagonalDown="false">
      <left style="thin">
        <color rgb="FFD5DBE3"/>
      </left>
      <right/>
      <top style="thin">
        <color rgb="FFD5DBE3"/>
      </top>
      <bottom style="thin">
        <color rgb="FFD5DBE3"/>
      </bottom>
      <diagonal/>
    </border>
    <border diagonalUp="false" diagonalDown="false">
      <left style="thin">
        <color rgb="FFD5DBE3"/>
      </left>
      <right style="thin">
        <color rgb="FFD5DBE3"/>
      </right>
      <top style="thin">
        <color rgb="FFD5DBE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2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1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11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1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1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6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2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26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26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ont>
        <name val="Arial"/>
        <charset val="1"/>
        <family val="0"/>
        <b val="1"/>
        <color rgb="FFC0392B"/>
        <sz val="15"/>
      </font>
    </dxf>
    <dxf>
      <font>
        <name val="Arial"/>
        <charset val="1"/>
        <family val="0"/>
        <b val="1"/>
        <color rgb="FF1E8449"/>
        <sz val="15"/>
      </font>
    </dxf>
    <dxf>
      <font>
        <name val="Arial"/>
        <charset val="1"/>
        <family val="0"/>
        <b val="1"/>
        <color rgb="FFFFFFFF"/>
      </font>
      <fill>
        <patternFill>
          <bgColor rgb="FF1E8449"/>
        </patternFill>
      </fill>
    </dxf>
    <dxf>
      <font>
        <name val="Arial"/>
        <charset val="1"/>
        <family val="0"/>
        <b val="1"/>
        <color rgb="FF1E8449"/>
      </font>
      <fill>
        <patternFill>
          <bgColor rgb="FFD5F0DD"/>
        </patternFill>
      </fill>
    </dxf>
    <dxf>
      <font>
        <name val="Arial"/>
        <charset val="1"/>
        <family val="0"/>
        <b val="1"/>
        <color rgb="FFB9770E"/>
      </font>
      <fill>
        <patternFill>
          <bgColor rgb="FFFBEBD0"/>
        </patternFill>
      </fill>
    </dxf>
    <dxf>
      <font>
        <name val="Arial"/>
        <charset val="1"/>
        <family val="0"/>
        <b val="1"/>
        <color rgb="FFC0392B"/>
      </font>
      <fill>
        <patternFill>
          <bgColor rgb="FFF8DEDA"/>
        </patternFill>
      </fill>
    </dxf>
    <dxf>
      <font>
        <name val="Arial"/>
        <charset val="1"/>
        <family val="0"/>
        <b val="1"/>
        <color rgb="FF6B7686"/>
      </font>
      <fill>
        <patternFill>
          <bgColor rgb="FFE6EAF0"/>
        </patternFill>
      </fill>
    </dxf>
    <dxf>
      <font>
        <name val="Arial"/>
        <charset val="1"/>
        <family val="0"/>
        <b val="1"/>
        <color rgb="FF1E8449"/>
      </font>
    </dxf>
    <dxf>
      <font>
        <name val="Arial"/>
        <charset val="1"/>
        <family val="0"/>
        <b val="1"/>
        <color rgb="FFC0392B"/>
      </font>
    </dxf>
    <dxf>
      <fill>
        <patternFill patternType="solid">
          <fgColor rgb="FFE6EA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B2537"/>
          <bgColor rgb="FF000000"/>
        </patternFill>
      </fill>
    </dxf>
    <dxf>
      <fill>
        <patternFill patternType="solid">
          <fgColor rgb="FF6B768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DF5"/>
      <rgbColor rgb="FFFF00FF"/>
      <rgbColor rgb="FF00FFFF"/>
      <rgbColor rgb="FF800000"/>
      <rgbColor rgb="FF008000"/>
      <rgbColor rgb="FF000080"/>
      <rgbColor rgb="FFB9770E"/>
      <rgbColor rgb="FF800080"/>
      <rgbColor rgb="FF008080"/>
      <rgbColor rgb="FFD9D9D9"/>
      <rgbColor rgb="FF878787"/>
      <rgbColor rgb="FF9999FF"/>
      <rgbColor rgb="FF993366"/>
      <rgbColor rgb="FFFFF4CC"/>
      <rgbColor rgb="FFE3F1E1"/>
      <rgbColor rgb="FF660066"/>
      <rgbColor rgb="FFFF8080"/>
      <rgbColor rgb="FF0066CC"/>
      <rgbColor rgb="FFD5DBE3"/>
      <rgbColor rgb="FF000080"/>
      <rgbColor rgb="FFFF00FF"/>
      <rgbColor rgb="FFF9F9F9"/>
      <rgbColor rgb="FF00FFFF"/>
      <rgbColor rgb="FF800080"/>
      <rgbColor rgb="FF800000"/>
      <rgbColor rgb="FF008080"/>
      <rgbColor rgb="FF0000FF"/>
      <rgbColor rgb="FF00CCFF"/>
      <rgbColor rgb="FFDCE8F7"/>
      <rgbColor rgb="FFD5F0DD"/>
      <rgbColor rgb="FFFBEBD0"/>
      <rgbColor rgb="FFE6EAF0"/>
      <rgbColor rgb="FFF7E6D5"/>
      <rgbColor rgb="FFF3F5F8"/>
      <rgbColor rgb="FFF8DEDA"/>
      <rgbColor rgb="FF3366FF"/>
      <rgbColor rgb="FF33CCCC"/>
      <rgbColor rgb="FF99CC00"/>
      <rgbColor rgb="FFFFCC00"/>
      <rgbColor rgb="FFFF9900"/>
      <rgbColor rgb="FFFF6600"/>
      <rgbColor rgb="FF6B7686"/>
      <rgbColor rgb="FF969696"/>
      <rgbColor rgb="FF003366"/>
      <rgbColor rgb="FF1E8449"/>
      <rgbColor rgb="FF003300"/>
      <rgbColor rgb="FF5A4300"/>
      <rgbColor rgb="FFC0392B"/>
      <rgbColor rgb="FF993366"/>
      <rgbColor rgb="FF333399"/>
      <rgbColor rgb="FF1B25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Beneficio estimado por anuncio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Creativos!T4</c:f>
              <c:strCache>
                <c:ptCount val="1"/>
                <c:pt idx="0">
                  <c:v>Beneficio est.</c:v>
                </c:pt>
              </c:strCache>
            </c:strRef>
          </c:tx>
          <c:spPr>
            <a:solidFill>
              <a:srgbClr val="1b253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Creativos!$B$5:$B$16</c:f>
              <c:strCache>
                <c:ptCount val="12"/>
                <c:pt idx="0">
                  <c:v>PIXARSUPER_H1</c:v>
                </c:pt>
                <c:pt idx="1">
                  <c:v>PIXARSUPER_H2</c:v>
                </c:pt>
                <c:pt idx="2">
                  <c:v>PIXARVENTA_H1</c:v>
                </c:pt>
                <c:pt idx="3">
                  <c:v>PIXARVENTA_H2</c:v>
                </c:pt>
                <c:pt idx="4">
                  <c:v>PIXARVENTA_H3</c:v>
                </c:pt>
                <c:pt idx="5">
                  <c:v>BROAD_H1 BOLARDO</c:v>
                </c:pt>
                <c:pt idx="6">
                  <c:v>BROAD_H2 LLAVES</c:v>
                </c:pt>
                <c:pt idx="7">
                  <c:v>BROAD_H3 LLAVES</c:v>
                </c:pt>
                <c:pt idx="8">
                  <c:v>BROAD_H4 PERRO</c:v>
                </c:pt>
                <c:pt idx="9">
                  <c:v>BROAD_H5 PERRO</c:v>
                </c:pt>
                <c:pt idx="10">
                  <c:v>BROAD_H6 CARRITO</c:v>
                </c:pt>
                <c:pt idx="11">
                  <c:v>BROAD_H7 CARRITO</c:v>
                </c:pt>
              </c:strCache>
            </c:strRef>
          </c:cat>
          <c:val>
            <c:numRef>
              <c:f>Creativos!$T$5:$T$16</c:f>
              <c:numCache>
                <c:formatCode>#,##0.00" €";[RED]\-#,##0.00" €";\-</c:formatCode>
                <c:ptCount val="12"/>
                <c:pt idx="0">
                  <c:v>14.34</c:v>
                </c:pt>
                <c:pt idx="1">
                  <c:v>-3.37</c:v>
                </c:pt>
                <c:pt idx="2">
                  <c:v>-9.17</c:v>
                </c:pt>
                <c:pt idx="3">
                  <c:v>-2.35</c:v>
                </c:pt>
                <c:pt idx="4">
                  <c:v>-2.84</c:v>
                </c:pt>
                <c:pt idx="5">
                  <c:v>37.66</c:v>
                </c:pt>
                <c:pt idx="6">
                  <c:v>36.22</c:v>
                </c:pt>
                <c:pt idx="7">
                  <c:v>-1.81</c:v>
                </c:pt>
                <c:pt idx="8">
                  <c:v>16.19</c:v>
                </c:pt>
                <c:pt idx="9">
                  <c:v>-0.05</c:v>
                </c:pt>
                <c:pt idx="10">
                  <c:v>-0.73</c:v>
                </c:pt>
                <c:pt idx="11">
                  <c:v>-0.58</c:v>
                </c:pt>
              </c:numCache>
            </c:numRef>
          </c:val>
        </c:ser>
        <c:gapWidth val="50"/>
        <c:overlap val="0"/>
        <c:axId val="23218860"/>
        <c:axId val="24872227"/>
      </c:barChart>
      <c:catAx>
        <c:axId val="232188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872227"/>
        <c:crosses val="autoZero"/>
        <c:auto val="1"/>
        <c:lblAlgn val="ctr"/>
        <c:lblOffset val="100"/>
        <c:noMultiLvlLbl val="0"/>
      </c:catAx>
      <c:valAx>
        <c:axId val="248722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2188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44</xdr:row>
      <xdr:rowOff>0</xdr:rowOff>
    </xdr:from>
    <xdr:to>
      <xdr:col>15</xdr:col>
      <xdr:colOff>430200</xdr:colOff>
      <xdr:row>58</xdr:row>
      <xdr:rowOff>7560</xdr:rowOff>
    </xdr:to>
    <xdr:graphicFrame>
      <xdr:nvGraphicFramePr>
        <xdr:cNvPr id="0" name="Chart 1"/>
        <xdr:cNvGraphicFramePr/>
      </xdr:nvGraphicFramePr>
      <xdr:xfrm>
        <a:off x="141120" y="10172880"/>
        <a:ext cx="11159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8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2" min="2" style="0" width="11.5"/>
    <col collapsed="false" customWidth="true" hidden="false" outlineLevel="0" max="13" min="13" style="0" width="15"/>
    <col collapsed="false" customWidth="true" hidden="false" outlineLevel="0" max="14" min="14" style="0" width="2"/>
  </cols>
  <sheetData>
    <row r="1" customFormat="false" ht="24" hidden="false" customHeight="true" outlineLevel="0" collapsed="false">
      <c r="B1" s="1" t="s">
        <v>0</v>
      </c>
    </row>
    <row r="2" customFormat="false" ht="15.75" hidden="false" customHeight="true" outlineLevel="0" collapsed="false">
      <c r="B2" s="2" t="s">
        <v>1</v>
      </c>
    </row>
    <row r="3" customFormat="false" ht="15.75" hidden="false" customHeight="true" outlineLevel="0" collapsed="false">
      <c r="B3" s="3" t="s">
        <v>2</v>
      </c>
      <c r="C3" s="4" t="n">
        <f aca="false">FECHA_INICIO</f>
        <v>46300</v>
      </c>
      <c r="D3" s="4"/>
      <c r="E3" s="3" t="s">
        <v>3</v>
      </c>
      <c r="F3" s="4" t="n">
        <f aca="true">TODAY()</f>
        <v>46302</v>
      </c>
      <c r="G3" s="4"/>
      <c r="H3" s="3" t="s">
        <v>4</v>
      </c>
      <c r="I3" s="5" t="n">
        <f aca="false">MAX(1,F3-C3+1)</f>
        <v>3</v>
      </c>
      <c r="J3" s="2" t="s">
        <v>5</v>
      </c>
    </row>
    <row r="4" customFormat="false" ht="15.75" hidden="false" customHeight="true" outlineLevel="0" collapsed="false"/>
    <row r="5" customFormat="false" ht="15.75" hidden="false" customHeight="true" outlineLevel="0" collapsed="false">
      <c r="B5" s="6" t="s">
        <v>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customFormat="false" ht="15.75" hidden="false" customHeight="true" outlineLevel="0" collapsed="false">
      <c r="B6" s="7" t="s">
        <v>7</v>
      </c>
      <c r="C6" s="7"/>
      <c r="D6" s="7" t="s">
        <v>8</v>
      </c>
      <c r="E6" s="7"/>
      <c r="F6" s="7" t="s">
        <v>9</v>
      </c>
      <c r="G6" s="7"/>
      <c r="H6" s="7" t="s">
        <v>10</v>
      </c>
      <c r="I6" s="7"/>
      <c r="J6" s="7" t="s">
        <v>11</v>
      </c>
      <c r="K6" s="7"/>
      <c r="L6" s="7" t="s">
        <v>12</v>
      </c>
      <c r="M6" s="7"/>
    </row>
    <row r="7" customFormat="false" ht="30" hidden="false" customHeight="true" outlineLevel="0" collapsed="false">
      <c r="B7" s="8" t="n">
        <f aca="false">SUMIFS(Histórico!$F$5:$F$5000,Histórico!$A$5:$A$5000,"&gt;="&amp;DESDE,Histórico!$A$5:$A$5000,"&lt;="&amp;HASTA)</f>
        <v>175.21</v>
      </c>
      <c r="C7" s="8"/>
      <c r="D7" s="9" t="n">
        <f aca="false">SUMIFS(Histórico!$L$5:$L$5000,Histórico!$A$5:$A$5000,"&gt;="&amp;DESDE,Histórico!$A$5:$A$5000,"&lt;="&amp;HASTA)</f>
        <v>21</v>
      </c>
      <c r="E7" s="9"/>
      <c r="F7" s="9" t="n">
        <f aca="false">IF(SUMIFS(Pedidos!$B$5:$B$7,Pedidos!$A$5:$A$7,"&gt;="&amp;DESDE,Pedidos!$A$5:$A$7,"&lt;="&amp;HASTA)&gt;0,SUMIFS(Pedidos!$B$5:$B$7,Pedidos!$A$5:$A$7,"&gt;="&amp;DESDE,Pedidos!$A$5:$A$7,"&lt;="&amp;HASTA),D7)</f>
        <v>22</v>
      </c>
      <c r="G7" s="9"/>
      <c r="H7" s="10" t="n">
        <f aca="false">IF(D7&gt;0,F7/D7,1)</f>
        <v>1.04761904761905</v>
      </c>
      <c r="I7" s="10"/>
      <c r="J7" s="8" t="n">
        <f aca="false">IF(F7&gt;0,B7/F7,"")</f>
        <v>7.96409090909091</v>
      </c>
      <c r="K7" s="8"/>
      <c r="L7" s="8" t="n">
        <f aca="false">F7*BEN_PEDIDO-B7*(1+RECARGO)</f>
        <v>83.51</v>
      </c>
      <c r="M7" s="8"/>
    </row>
    <row r="8" customFormat="false" ht="15.75" hidden="false" customHeight="true" outlineLevel="0" collapsed="false"/>
    <row r="9" customFormat="false" ht="15.75" hidden="false" customHeight="true" outlineLevel="0" collapsed="false">
      <c r="B9" s="7" t="s">
        <v>13</v>
      </c>
      <c r="C9" s="7"/>
      <c r="D9" s="7" t="s">
        <v>14</v>
      </c>
      <c r="E9" s="7"/>
      <c r="F9" s="7" t="s">
        <v>15</v>
      </c>
      <c r="G9" s="7"/>
      <c r="H9" s="7" t="s">
        <v>16</v>
      </c>
      <c r="I9" s="7"/>
      <c r="J9" s="7" t="s">
        <v>17</v>
      </c>
      <c r="K9" s="7"/>
      <c r="L9" s="7" t="s">
        <v>18</v>
      </c>
      <c r="M9" s="7"/>
    </row>
    <row r="10" customFormat="false" ht="30" hidden="false" customHeight="true" outlineLevel="0" collapsed="false">
      <c r="B10" s="8" t="n">
        <f aca="false">CPA_BE</f>
        <v>11.76</v>
      </c>
      <c r="C10" s="8"/>
      <c r="D10" s="11" t="n">
        <f aca="false">IFERROR(SUMIFS(Histórico!$M$5:$M$5000,Histórico!$A$5:$A$5000,"&gt;="&amp;DESDE,Histórico!$A$5:$A$5000,"&lt;="&amp;HASTA)/SUMIFS(Histórico!$G$5:$G$5000,Histórico!$A$5:$A$5000,"&gt;="&amp;DESDE,Histórico!$A$5:$A$5000,"&lt;="&amp;HASTA),0)</f>
        <v>0.137954239569314</v>
      </c>
      <c r="E10" s="11"/>
      <c r="F10" s="11" t="n">
        <f aca="false">IFERROR(SUMIFS(Histórico!$H$5:$H$5000,Histórico!$A$5:$A$5000,"&gt;="&amp;DESDE,Histórico!$A$5:$A$5000,"&lt;="&amp;HASTA)/SUMIFS(Histórico!$G$5:$G$5000,Histórico!$A$5:$A$5000,"&gt;="&amp;DESDE,Histórico!$A$5:$A$5000,"&lt;="&amp;HASTA),0)</f>
        <v>0.0189322566173172</v>
      </c>
      <c r="G10" s="11"/>
      <c r="H10" s="11" t="n">
        <f aca="false">IFERROR(SUMIFS(Histórico!$I$5:$I$5000,Histórico!$A$5:$A$5000,"&gt;="&amp;DESDE,Histórico!$A$5:$A$5000,"&lt;="&amp;HASTA)/SUMIFS(Histórico!$H$5:$H$5000,Histórico!$A$5:$A$5000,"&gt;="&amp;DESDE,Histórico!$A$5:$A$5000,"&lt;="&amp;HASTA),0)</f>
        <v>0.388625592417062</v>
      </c>
      <c r="I10" s="11"/>
      <c r="J10" s="11" t="n">
        <f aca="false">IFERROR(SUMIFS(Histórico!$L$5:$L$5000,Histórico!$A$5:$A$5000,"&gt;="&amp;DESDE,Histórico!$A$5:$A$5000,"&lt;="&amp;HASTA)/SUMIFS(Histórico!$H$5:$H$5000,Histórico!$A$5:$A$5000,"&gt;="&amp;DESDE,Histórico!$A$5:$A$5000,"&lt;="&amp;HASTA),0)</f>
        <v>0.0497630331753555</v>
      </c>
      <c r="K10" s="11"/>
      <c r="L10" s="9" t="n">
        <f aca="false">COUNTIF(Creativos!$M$5:$M$16,"&gt;0")</f>
        <v>12</v>
      </c>
      <c r="M10" s="9"/>
    </row>
    <row r="11" customFormat="false" ht="15.75" hidden="false" customHeight="true" outlineLevel="0" collapsed="false"/>
    <row r="12" customFormat="false" ht="15.75" hidden="false" customHeight="true" outlineLevel="0" collapsed="false">
      <c r="B12" s="6" t="s">
        <v>19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customFormat="false" ht="15.75" hidden="false" customHeight="true" outlineLevel="0" collapsed="false">
      <c r="B13" s="12" t="s">
        <v>20</v>
      </c>
      <c r="C13" s="12"/>
      <c r="D13" s="13" t="s">
        <v>21</v>
      </c>
      <c r="E13" s="13"/>
      <c r="F13" s="14" t="s">
        <v>22</v>
      </c>
      <c r="G13" s="14"/>
      <c r="H13" s="14" t="s">
        <v>23</v>
      </c>
      <c r="I13" s="14"/>
      <c r="J13" s="15" t="s">
        <v>24</v>
      </c>
      <c r="K13" s="15"/>
      <c r="L13" s="16" t="s">
        <v>25</v>
      </c>
      <c r="M13" s="16"/>
    </row>
    <row r="14" customFormat="false" ht="15.75" hidden="false" customHeight="true" outlineLevel="0" collapsed="false">
      <c r="B14" s="17" t="n">
        <f aca="false">COUNTIF(Creativos!$AA$5:$AA$16,"ESCALAR")</f>
        <v>2</v>
      </c>
      <c r="C14" s="17"/>
      <c r="D14" s="17" t="n">
        <f aca="false">COUNTIF(Creativos!$AA$5:$AA$16,"MANTENER")</f>
        <v>0</v>
      </c>
      <c r="E14" s="17"/>
      <c r="F14" s="17" t="n">
        <f aca="false">COUNTIF(Creativos!$AA$5:$AA$16,"PROMETEDOR")</f>
        <v>2</v>
      </c>
      <c r="G14" s="17"/>
      <c r="H14" s="17" t="n">
        <f aca="false">COUNTIF(Creativos!$AA$5:$AA$16,"VIGILAR")</f>
        <v>2</v>
      </c>
      <c r="I14" s="17"/>
      <c r="J14" s="17" t="n">
        <f aca="false">COUNTIF(Creativos!$AA$5:$AA$16,"APAGAR")</f>
        <v>0</v>
      </c>
      <c r="K14" s="17"/>
      <c r="L14" s="17" t="n">
        <f aca="false">COUNTIF(Creativos!$AA$5:$AA$16,"APRENDIENDO")</f>
        <v>6</v>
      </c>
      <c r="M14" s="17"/>
    </row>
    <row r="15" customFormat="false" ht="15.75" hidden="false" customHeight="true" outlineLevel="0" collapsed="false"/>
    <row r="16" customFormat="false" ht="15.75" hidden="false" customHeight="true" outlineLevel="0" collapsed="false">
      <c r="B16" s="6" t="s">
        <v>26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customFormat="false" ht="15.75" hidden="false" customHeight="true" outlineLevel="0" collapsed="false">
      <c r="B17" s="18" t="s">
        <v>27</v>
      </c>
      <c r="C17" s="18" t="s">
        <v>28</v>
      </c>
      <c r="D17" s="18"/>
      <c r="E17" s="18" t="s">
        <v>29</v>
      </c>
      <c r="F17" s="18"/>
      <c r="G17" s="18" t="s">
        <v>30</v>
      </c>
      <c r="H17" s="18"/>
      <c r="I17" s="18"/>
      <c r="J17" s="18" t="s">
        <v>31</v>
      </c>
      <c r="K17" s="18" t="s">
        <v>32</v>
      </c>
      <c r="L17" s="18" t="s">
        <v>33</v>
      </c>
      <c r="M17" s="18" t="s">
        <v>34</v>
      </c>
    </row>
    <row r="18" customFormat="false" ht="30" hidden="false" customHeight="true" outlineLevel="0" collapsed="false">
      <c r="B18" s="19" t="n">
        <v>1</v>
      </c>
      <c r="C18" s="20" t="str">
        <f aca="false">IFERROR(INDEX(Creativos!$B$5:$B$16,MATCH(LARGE(Creativos!$AC$5:$AC$16,1),Creativos!$AC$5:$AC$16,0)),"")</f>
        <v>BROAD_H1 BOLARDO</v>
      </c>
      <c r="D18" s="20"/>
      <c r="E18" s="21" t="str">
        <f aca="false">IFERROR(INDEX(Creativos!$D$5:$D$16,MATCH(LARGE(Creativos!$AC$5:$AC$16,1),Creativos!$AC$5:$AC$16,0)),"")</f>
        <v>AS3 · BROAD — hooks visuales</v>
      </c>
      <c r="F18" s="21"/>
      <c r="G18" s="21" t="str">
        <f aca="false">IFERROR(IF(INDEX(Creativos!$I$5:$I$16,MATCH(LARGE(Creativos!$AC$5:$AC$16,1),Creativos!$AC$5:$AC$16,0))="","[visual] "&amp;INDEX(Creativos!$H$5:$H$16,MATCH(LARGE(Creativos!$AC$5:$AC$16,1),Creativos!$AC$5:$AC$16,0)),INDEX(Creativos!$I$5:$I$16,MATCH(LARGE(Creativos!$AC$5:$AC$16,1),Creativos!$AC$5:$AC$16,0))),"")</f>
        <v>[visual] Bolardo</v>
      </c>
      <c r="H18" s="21"/>
      <c r="I18" s="21"/>
      <c r="J18" s="22" t="n">
        <f aca="false">IFERROR(INDEX(Creativos!$M$5:$M$16,MATCH(LARGE(Creativos!$AC$5:$AC$16,1),Creativos!$AC$5:$AC$16,0)),"")</f>
        <v>85.54</v>
      </c>
      <c r="K18" s="23" t="n">
        <f aca="false">IFERROR(INDEX(Creativos!$S$5:$S$16,MATCH(LARGE(Creativos!$AC$5:$AC$16,1),Creativos!$AC$5:$AC$16,0)),"")</f>
        <v>8.16518181818182</v>
      </c>
      <c r="L18" s="23" t="n">
        <f aca="false">IFERROR(INDEX(Creativos!$T$5:$T$16,MATCH(LARGE(Creativos!$AC$5:$AC$16,1),Creativos!$AC$5:$AC$16,0)),"")</f>
        <v>37.66</v>
      </c>
      <c r="M18" s="24" t="str">
        <f aca="false">IFERROR(INDEX(Creativos!$AA$5:$AA$16,MATCH(LARGE(Creativos!$AC$5:$AC$16,1),Creativos!$AC$5:$AC$16,0)),"")</f>
        <v>ESCALAR</v>
      </c>
    </row>
    <row r="19" customFormat="false" ht="30" hidden="false" customHeight="true" outlineLevel="0" collapsed="false">
      <c r="B19" s="19" t="n">
        <v>2</v>
      </c>
      <c r="C19" s="20" t="str">
        <f aca="false">IFERROR(INDEX(Creativos!$B$5:$B$16,MATCH(LARGE(Creativos!$AC$5:$AC$16,2),Creativos!$AC$5:$AC$16,0)),"")</f>
        <v>BROAD_H2 LLAVES</v>
      </c>
      <c r="D19" s="20"/>
      <c r="E19" s="21" t="str">
        <f aca="false">IFERROR(INDEX(Creativos!$D$5:$D$16,MATCH(LARGE(Creativos!$AC$5:$AC$16,2),Creativos!$AC$5:$AC$16,0)),"")</f>
        <v>AS3 · BROAD — hooks visuales</v>
      </c>
      <c r="F19" s="21"/>
      <c r="G19" s="21" t="str">
        <f aca="false">IFERROR(IF(INDEX(Creativos!$I$5:$I$16,MATCH(LARGE(Creativos!$AC$5:$AC$16,2),Creativos!$AC$5:$AC$16,0))="","[visual] "&amp;INDEX(Creativos!$H$5:$H$16,MATCH(LARGE(Creativos!$AC$5:$AC$16,2),Creativos!$AC$5:$AC$16,0)),INDEX(Creativos!$I$5:$I$16,MATCH(LARGE(Creativos!$AC$5:$AC$16,2),Creativos!$AC$5:$AC$16,0))),"")</f>
        <v>[visual] Llaves</v>
      </c>
      <c r="H19" s="21"/>
      <c r="I19" s="21"/>
      <c r="J19" s="22" t="n">
        <f aca="false">IFERROR(INDEX(Creativos!$M$5:$M$16,MATCH(LARGE(Creativos!$AC$5:$AC$16,2),Creativos!$AC$5:$AC$16,0)),"")</f>
        <v>37.7</v>
      </c>
      <c r="K19" s="23" t="n">
        <f aca="false">IFERROR(INDEX(Creativos!$S$5:$S$16,MATCH(LARGE(Creativos!$AC$5:$AC$16,2),Creativos!$AC$5:$AC$16,0)),"")</f>
        <v>5.99772727272727</v>
      </c>
      <c r="L19" s="23" t="n">
        <f aca="false">IFERROR(INDEX(Creativos!$T$5:$T$16,MATCH(LARGE(Creativos!$AC$5:$AC$16,2),Creativos!$AC$5:$AC$16,0)),"")</f>
        <v>36.22</v>
      </c>
      <c r="M19" s="24" t="str">
        <f aca="false">IFERROR(INDEX(Creativos!$AA$5:$AA$16,MATCH(LARGE(Creativos!$AC$5:$AC$16,2),Creativos!$AC$5:$AC$16,0)),"")</f>
        <v>ESCALAR</v>
      </c>
    </row>
    <row r="20" customFormat="false" ht="30" hidden="false" customHeight="true" outlineLevel="0" collapsed="false">
      <c r="B20" s="19" t="n">
        <v>3</v>
      </c>
      <c r="C20" s="20" t="str">
        <f aca="false">IFERROR(INDEX(Creativos!$B$5:$B$16,MATCH(LARGE(Creativos!$AC$5:$AC$16,3),Creativos!$AC$5:$AC$16,0)),"")</f>
        <v>BROAD_H4 PERRO</v>
      </c>
      <c r="D20" s="20"/>
      <c r="E20" s="21" t="str">
        <f aca="false">IFERROR(INDEX(Creativos!$D$5:$D$16,MATCH(LARGE(Creativos!$AC$5:$AC$16,3),Creativos!$AC$5:$AC$16,0)),"")</f>
        <v>AS3 · BROAD — hooks visuales</v>
      </c>
      <c r="F20" s="21"/>
      <c r="G20" s="21" t="str">
        <f aca="false">IFERROR(IF(INDEX(Creativos!$I$5:$I$16,MATCH(LARGE(Creativos!$AC$5:$AC$16,3),Creativos!$AC$5:$AC$16,0))="","[visual] "&amp;INDEX(Creativos!$H$5:$H$16,MATCH(LARGE(Creativos!$AC$5:$AC$16,3),Creativos!$AC$5:$AC$16,0)),INDEX(Creativos!$I$5:$I$16,MATCH(LARGE(Creativos!$AC$5:$AC$16,3),Creativos!$AC$5:$AC$16,0))),"")</f>
        <v>[visual] Perro</v>
      </c>
      <c r="H20" s="21"/>
      <c r="I20" s="21"/>
      <c r="J20" s="22" t="n">
        <f aca="false">IFERROR(INDEX(Creativos!$M$5:$M$16,MATCH(LARGE(Creativos!$AC$5:$AC$16,3),Creativos!$AC$5:$AC$16,0)),"")</f>
        <v>8.45</v>
      </c>
      <c r="K20" s="23" t="n">
        <f aca="false">IFERROR(INDEX(Creativos!$S$5:$S$16,MATCH(LARGE(Creativos!$AC$5:$AC$16,3),Creativos!$AC$5:$AC$16,0)),"")</f>
        <v>4.03295454545455</v>
      </c>
      <c r="L20" s="23" t="n">
        <f aca="false">IFERROR(INDEX(Creativos!$T$5:$T$16,MATCH(LARGE(Creativos!$AC$5:$AC$16,3),Creativos!$AC$5:$AC$16,0)),"")</f>
        <v>16.19</v>
      </c>
      <c r="M20" s="24" t="str">
        <f aca="false">IFERROR(INDEX(Creativos!$AA$5:$AA$16,MATCH(LARGE(Creativos!$AC$5:$AC$16,3),Creativos!$AC$5:$AC$16,0)),"")</f>
        <v>PROMETEDOR</v>
      </c>
    </row>
    <row r="21" customFormat="false" ht="30" hidden="false" customHeight="true" outlineLevel="0" collapsed="false">
      <c r="B21" s="19" t="n">
        <v>4</v>
      </c>
      <c r="C21" s="20" t="str">
        <f aca="false">IFERROR(INDEX(Creativos!$B$5:$B$16,MATCH(LARGE(Creativos!$AC$5:$AC$16,4),Creativos!$AC$5:$AC$16,0)),"")</f>
        <v>PIXARSUPER_H1</v>
      </c>
      <c r="D21" s="20"/>
      <c r="E21" s="21" t="str">
        <f aca="false">IFERROR(INDEX(Creativos!$D$5:$D$16,MATCH(LARGE(Creativos!$AC$5:$AC$16,4),Creativos!$AC$5:$AC$16,0)),"")</f>
        <v>AS1 · RABIA — no fue culpa mía</v>
      </c>
      <c r="F21" s="21"/>
      <c r="G21" s="21" t="str">
        <f aca="false">IFERROR(IF(INDEX(Creativos!$I$5:$I$16,MATCH(LARGE(Creativos!$AC$5:$AC$16,4),Creativos!$AC$5:$AC$16,0))="","[visual] "&amp;INDEX(Creativos!$H$5:$H$16,MATCH(LARGE(Creativos!$AC$5:$AC$16,4),Creativos!$AC$5:$AC$16,0)),INDEX(Creativos!$I$5:$I$16,MATCH(LARGE(Creativos!$AC$5:$AC$16,4),Creativos!$AC$5:$AC$16,0))),"")</f>
        <v>Vuelves al coche y ahí está, un rayón nuevo y ni una nota.</v>
      </c>
      <c r="H21" s="21"/>
      <c r="I21" s="21"/>
      <c r="J21" s="22" t="n">
        <f aca="false">IFERROR(INDEX(Creativos!$M$5:$M$16,MATCH(LARGE(Creativos!$AC$5:$AC$16,4),Creativos!$AC$5:$AC$16,0)),"")</f>
        <v>10.3</v>
      </c>
      <c r="K21" s="23" t="n">
        <f aca="false">IFERROR(INDEX(Creativos!$S$5:$S$16,MATCH(LARGE(Creativos!$AC$5:$AC$16,4),Creativos!$AC$5:$AC$16,0)),"")</f>
        <v>4.91590909090909</v>
      </c>
      <c r="L21" s="23" t="n">
        <f aca="false">IFERROR(INDEX(Creativos!$T$5:$T$16,MATCH(LARGE(Creativos!$AC$5:$AC$16,4),Creativos!$AC$5:$AC$16,0)),"")</f>
        <v>14.34</v>
      </c>
      <c r="M21" s="24" t="str">
        <f aca="false">IFERROR(INDEX(Creativos!$AA$5:$AA$16,MATCH(LARGE(Creativos!$AC$5:$AC$16,4),Creativos!$AC$5:$AC$16,0)),"")</f>
        <v>PROMETEDOR</v>
      </c>
    </row>
    <row r="22" customFormat="false" ht="30" hidden="false" customHeight="true" outlineLevel="0" collapsed="false">
      <c r="B22" s="19" t="n">
        <v>5</v>
      </c>
      <c r="C22" s="20" t="str">
        <f aca="false">IFERROR(INDEX(Creativos!$B$5:$B$16,MATCH(LARGE(Creativos!$AC$5:$AC$16,5),Creativos!$AC$5:$AC$16,0)),"")</f>
        <v>BROAD_H5 PERRO</v>
      </c>
      <c r="D22" s="20"/>
      <c r="E22" s="21" t="str">
        <f aca="false">IFERROR(INDEX(Creativos!$D$5:$D$16,MATCH(LARGE(Creativos!$AC$5:$AC$16,5),Creativos!$AC$5:$AC$16,0)),"")</f>
        <v>AS3 · BROAD — hooks visuales</v>
      </c>
      <c r="F22" s="21"/>
      <c r="G22" s="21" t="str">
        <f aca="false">IFERROR(IF(INDEX(Creativos!$I$5:$I$16,MATCH(LARGE(Creativos!$AC$5:$AC$16,5),Creativos!$AC$5:$AC$16,0))="","[visual] "&amp;INDEX(Creativos!$H$5:$H$16,MATCH(LARGE(Creativos!$AC$5:$AC$16,5),Creativos!$AC$5:$AC$16,0)),INDEX(Creativos!$I$5:$I$16,MATCH(LARGE(Creativos!$AC$5:$AC$16,5),Creativos!$AC$5:$AC$16,0))),"")</f>
        <v>[visual] Perro</v>
      </c>
      <c r="H22" s="21"/>
      <c r="I22" s="21"/>
      <c r="J22" s="22" t="n">
        <f aca="false">IFERROR(INDEX(Creativos!$M$5:$M$16,MATCH(LARGE(Creativos!$AC$5:$AC$16,5),Creativos!$AC$5:$AC$16,0)),"")</f>
        <v>0.05</v>
      </c>
      <c r="K22" s="23" t="str">
        <f aca="false">IFERROR(INDEX(Creativos!$S$5:$S$16,MATCH(LARGE(Creativos!$AC$5:$AC$16,5),Creativos!$AC$5:$AC$16,0)),"")</f>
        <v/>
      </c>
      <c r="L22" s="23" t="n">
        <f aca="false">IFERROR(INDEX(Creativos!$T$5:$T$16,MATCH(LARGE(Creativos!$AC$5:$AC$16,5),Creativos!$AC$5:$AC$16,0)),"")</f>
        <v>-0.05</v>
      </c>
      <c r="M22" s="24" t="str">
        <f aca="false">IFERROR(INDEX(Creativos!$AA$5:$AA$16,MATCH(LARGE(Creativos!$AC$5:$AC$16,5),Creativos!$AC$5:$AC$16,0)),"")</f>
        <v>APRENDIENDO</v>
      </c>
    </row>
    <row r="23" customFormat="false" ht="15.75" hidden="false" customHeight="true" outlineLevel="0" collapsed="false"/>
    <row r="24" customFormat="false" ht="15.75" hidden="false" customHeight="true" outlineLevel="0" collapsed="false">
      <c r="B24" s="6" t="s">
        <v>35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customFormat="false" ht="15.75" hidden="false" customHeight="true" outlineLevel="0" collapsed="false">
      <c r="B25" s="18" t="s">
        <v>29</v>
      </c>
      <c r="C25" s="18"/>
      <c r="D25" s="18"/>
      <c r="E25" s="18"/>
      <c r="F25" s="18" t="s">
        <v>36</v>
      </c>
      <c r="G25" s="18" t="s">
        <v>31</v>
      </c>
      <c r="H25" s="18" t="s">
        <v>37</v>
      </c>
      <c r="I25" s="18" t="s">
        <v>38</v>
      </c>
      <c r="J25" s="18" t="s">
        <v>32</v>
      </c>
      <c r="K25" s="18" t="s">
        <v>39</v>
      </c>
      <c r="L25" s="18" t="s">
        <v>40</v>
      </c>
      <c r="M25" s="18" t="s">
        <v>41</v>
      </c>
    </row>
    <row r="26" customFormat="false" ht="15.75" hidden="false" customHeight="true" outlineLevel="0" collapsed="false">
      <c r="B26" s="20" t="s">
        <v>42</v>
      </c>
      <c r="C26" s="20"/>
      <c r="D26" s="20"/>
      <c r="E26" s="20"/>
      <c r="F26" s="25" t="n">
        <f aca="false">COUNTIF(Creativos!$D$5:$D$16,$B26)</f>
        <v>2</v>
      </c>
      <c r="G26" s="22" t="n">
        <f aca="false">SUMIFS(Histórico!$F$5:$F$5000,Histórico!$D$5:$D$5000,$B26,Histórico!$A$5:$A$5000,"&gt;="&amp;DESDE,Histórico!$A$5:$A$5000,"&lt;="&amp;HASTA)</f>
        <v>13.67</v>
      </c>
      <c r="H26" s="25" t="n">
        <f aca="false">SUMIFS(Histórico!$L$5:$L$5000,Histórico!$D$5:$D$5000,$B26,Histórico!$A$5:$A$5000,"&gt;="&amp;DESDE,Histórico!$A$5:$A$5000,"&lt;="&amp;HASTA)</f>
        <v>2</v>
      </c>
      <c r="I26" s="26" t="n">
        <f aca="false">H26*RATIO</f>
        <v>2.0952380952381</v>
      </c>
      <c r="J26" s="23" t="n">
        <f aca="false">IF(I26&gt;0,G26/I26,"")</f>
        <v>6.52431818181818</v>
      </c>
      <c r="K26" s="23" t="n">
        <f aca="false">I26*BEN_PEDIDO-G26*(1+RECARGO)</f>
        <v>10.97</v>
      </c>
      <c r="L26" s="27" t="n">
        <f aca="false">IFERROR(SUMIFS(Histórico!$M$5:$M$5000,Histórico!$D$5:$D$5000,$B26,Histórico!$A$5:$A$5000,"&gt;="&amp;DESDE,Histórico!$A$5:$A$5000,"&lt;="&amp;HASTA)/SUMIFS(Histórico!$G$5:$G$5000,Histórico!$D$5:$D$5000,$B26,Histórico!$A$5:$A$5000,"&gt;="&amp;DESDE,Histórico!$A$5:$A$5000,"&lt;="&amp;HASTA),"")</f>
        <v>0.253694581280788</v>
      </c>
      <c r="M26" s="27" t="n">
        <f aca="false">IFERROR(SUMIFS(Histórico!$H$5:$H$5000,Histórico!$D$5:$D$5000,$B26,Histórico!$A$5:$A$5000,"&gt;="&amp;DESDE,Histórico!$A$5:$A$5000,"&lt;="&amp;HASTA)/SUMIFS(Histórico!$G$5:$G$5000,Histórico!$D$5:$D$5000,$B26,Histórico!$A$5:$A$5000,"&gt;="&amp;DESDE,Histórico!$A$5:$A$5000,"&lt;="&amp;HASTA),"")</f>
        <v>0.0254515599343186</v>
      </c>
    </row>
    <row r="27" customFormat="false" ht="15.75" hidden="false" customHeight="true" outlineLevel="0" collapsed="false">
      <c r="B27" s="20" t="s">
        <v>43</v>
      </c>
      <c r="C27" s="20"/>
      <c r="D27" s="20"/>
      <c r="E27" s="20"/>
      <c r="F27" s="25" t="n">
        <f aca="false">COUNTIF(Creativos!$D$5:$D$16,$B27)</f>
        <v>3</v>
      </c>
      <c r="G27" s="22" t="n">
        <f aca="false">SUMIFS(Histórico!$F$5:$F$5000,Histórico!$D$5:$D$5000,$B27,Histórico!$A$5:$A$5000,"&gt;="&amp;DESDE,Histórico!$A$5:$A$5000,"&lt;="&amp;HASTA)</f>
        <v>14.36</v>
      </c>
      <c r="H27" s="25" t="n">
        <f aca="false">SUMIFS(Histórico!$L$5:$L$5000,Histórico!$D$5:$D$5000,$B27,Histórico!$A$5:$A$5000,"&gt;="&amp;DESDE,Histórico!$A$5:$A$5000,"&lt;="&amp;HASTA)</f>
        <v>0</v>
      </c>
      <c r="I27" s="26" t="n">
        <f aca="false">H27*RATIO</f>
        <v>0</v>
      </c>
      <c r="J27" s="23" t="str">
        <f aca="false">IF(I27&gt;0,G27/I27,"")</f>
        <v/>
      </c>
      <c r="K27" s="23" t="n">
        <f aca="false">I27*BEN_PEDIDO-G27*(1+RECARGO)</f>
        <v>-14.36</v>
      </c>
      <c r="L27" s="27" t="n">
        <f aca="false">IFERROR(SUMIFS(Histórico!$M$5:$M$5000,Histórico!$D$5:$D$5000,$B27,Histórico!$A$5:$A$5000,"&gt;="&amp;DESDE,Histórico!$A$5:$A$5000,"&lt;="&amp;HASTA)/SUMIFS(Histórico!$G$5:$G$5000,Histórico!$D$5:$D$5000,$B27,Histórico!$A$5:$A$5000,"&gt;="&amp;DESDE,Histórico!$A$5:$A$5000,"&lt;="&amp;HASTA),"")</f>
        <v>0.192771084337349</v>
      </c>
      <c r="M27" s="27" t="n">
        <f aca="false">IFERROR(SUMIFS(Histórico!$H$5:$H$5000,Histórico!$D$5:$D$5000,$B27,Histórico!$A$5:$A$5000,"&gt;="&amp;DESDE,Histórico!$A$5:$A$5000,"&lt;="&amp;HASTA)/SUMIFS(Histórico!$G$5:$G$5000,Histórico!$D$5:$D$5000,$B27,Histórico!$A$5:$A$5000,"&gt;="&amp;DESDE,Histórico!$A$5:$A$5000,"&lt;="&amp;HASTA),"")</f>
        <v>0.0315106580166821</v>
      </c>
    </row>
    <row r="28" customFormat="false" ht="15.75" hidden="false" customHeight="true" outlineLevel="0" collapsed="false">
      <c r="B28" s="20" t="s">
        <v>44</v>
      </c>
      <c r="C28" s="20"/>
      <c r="D28" s="20"/>
      <c r="E28" s="20"/>
      <c r="F28" s="25" t="n">
        <f aca="false">COUNTIF(Creativos!$D$5:$D$16,$B28)</f>
        <v>7</v>
      </c>
      <c r="G28" s="22" t="n">
        <f aca="false">SUMIFS(Histórico!$F$5:$F$5000,Histórico!$D$5:$D$5000,$B28,Histórico!$A$5:$A$5000,"&gt;="&amp;DESDE,Histórico!$A$5:$A$5000,"&lt;="&amp;HASTA)</f>
        <v>147.18</v>
      </c>
      <c r="H28" s="25" t="n">
        <f aca="false">SUMIFS(Histórico!$L$5:$L$5000,Histórico!$D$5:$D$5000,$B28,Histórico!$A$5:$A$5000,"&gt;="&amp;DESDE,Histórico!$A$5:$A$5000,"&lt;="&amp;HASTA)</f>
        <v>19</v>
      </c>
      <c r="I28" s="26" t="n">
        <f aca="false">H28*RATIO</f>
        <v>19.9047619047619</v>
      </c>
      <c r="J28" s="23" t="n">
        <f aca="false">IF(I28&gt;0,G28/I28,"")</f>
        <v>7.39421052631579</v>
      </c>
      <c r="K28" s="23" t="n">
        <f aca="false">I28*BEN_PEDIDO-G28*(1+RECARGO)</f>
        <v>86.9</v>
      </c>
      <c r="L28" s="27" t="n">
        <f aca="false">IFERROR(SUMIFS(Histórico!$M$5:$M$5000,Histórico!$D$5:$D$5000,$B28,Histórico!$A$5:$A$5000,"&gt;="&amp;DESDE,Histórico!$A$5:$A$5000,"&lt;="&amp;HASTA)/SUMIFS(Histórico!$G$5:$G$5000,Histórico!$D$5:$D$5000,$B28,Histórico!$A$5:$A$5000,"&gt;="&amp;DESDE,Histórico!$A$5:$A$5000,"&lt;="&amp;HASTA),"")</f>
        <v>0.127944780673236</v>
      </c>
      <c r="M28" s="27" t="n">
        <f aca="false">IFERROR(SUMIFS(Histórico!$H$5:$H$5000,Histórico!$D$5:$D$5000,$B28,Histórico!$A$5:$A$5000,"&gt;="&amp;DESDE,Histórico!$A$5:$A$5000,"&lt;="&amp;HASTA)/SUMIFS(Histórico!$G$5:$G$5000,Histórico!$D$5:$D$5000,$B28,Histórico!$A$5:$A$5000,"&gt;="&amp;DESDE,Histórico!$A$5:$A$5000,"&lt;="&amp;HASTA),"")</f>
        <v>0.0178562496873906</v>
      </c>
    </row>
    <row r="29" customFormat="false" ht="15.75" hidden="false" customHeight="true" outlineLevel="0" collapsed="false"/>
    <row r="30" customFormat="false" ht="15.75" hidden="false" customHeight="true" outlineLevel="0" collapsed="false">
      <c r="B30" s="6" t="s">
        <v>45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customFormat="false" ht="15.75" hidden="false" customHeight="true" outlineLevel="0" collapsed="false">
      <c r="B31" s="18" t="s">
        <v>46</v>
      </c>
      <c r="C31" s="18"/>
      <c r="D31" s="18"/>
      <c r="E31" s="18"/>
      <c r="F31" s="18" t="s">
        <v>36</v>
      </c>
      <c r="G31" s="18" t="s">
        <v>31</v>
      </c>
      <c r="H31" s="18" t="s">
        <v>37</v>
      </c>
      <c r="I31" s="18" t="s">
        <v>38</v>
      </c>
      <c r="J31" s="18" t="s">
        <v>32</v>
      </c>
      <c r="K31" s="18" t="s">
        <v>39</v>
      </c>
      <c r="L31" s="18" t="s">
        <v>40</v>
      </c>
      <c r="M31" s="18" t="s">
        <v>41</v>
      </c>
    </row>
    <row r="32" customFormat="false" ht="15.75" hidden="false" customHeight="true" outlineLevel="0" collapsed="false">
      <c r="B32" s="20" t="s">
        <v>47</v>
      </c>
      <c r="C32" s="20"/>
      <c r="D32" s="20"/>
      <c r="E32" s="20"/>
      <c r="F32" s="25" t="n">
        <f aca="false">COUNTIF(Creativos!$E$5:$E$16,LEFT($B32,FIND(" · ",$B32&amp;" · ")-1))</f>
        <v>2</v>
      </c>
      <c r="G32" s="22" t="n">
        <f aca="false">SUMIFS(Histórico!$F$5:$F$5000,Histórico!$R$5:$R$5000,LEFT($B32,FIND(" · ",$B32&amp;" · ")-1),Histórico!$A$5:$A$5000,"&gt;="&amp;DESDE,Histórico!$A$5:$A$5000,"&lt;="&amp;HASTA)</f>
        <v>13.67</v>
      </c>
      <c r="H32" s="25" t="n">
        <f aca="false">SUMIFS(Histórico!$L$5:$L$5000,Histórico!$R$5:$R$5000,LEFT($B32,FIND(" · ",$B32&amp;" · ")-1),Histórico!$A$5:$A$5000,"&gt;="&amp;DESDE,Histórico!$A$5:$A$5000,"&lt;="&amp;HASTA)</f>
        <v>2</v>
      </c>
      <c r="I32" s="26" t="n">
        <f aca="false">H32*RATIO</f>
        <v>2.0952380952381</v>
      </c>
      <c r="J32" s="23" t="n">
        <f aca="false">IF(I32&gt;0,G32/I32,"")</f>
        <v>6.52431818181818</v>
      </c>
      <c r="K32" s="23" t="n">
        <f aca="false">I32*BEN_PEDIDO-G32*(1+RECARGO)</f>
        <v>10.97</v>
      </c>
      <c r="L32" s="27" t="n">
        <f aca="false">IFERROR(SUMIFS(Histórico!$M$5:$M$5000,Histórico!$R$5:$R$5000,LEFT($B32,FIND(" · ",$B32&amp;" · ")-1),Histórico!$A$5:$A$5000,"&gt;="&amp;DESDE,Histórico!$A$5:$A$5000,"&lt;="&amp;HASTA)/SUMIFS(Histórico!$G$5:$G$5000,Histórico!$R$5:$R$5000,LEFT($B32,FIND(" · ",$B32&amp;" · ")-1),Histórico!$A$5:$A$5000,"&gt;="&amp;DESDE,Histórico!$A$5:$A$5000,"&lt;="&amp;HASTA),"")</f>
        <v>0.253694581280788</v>
      </c>
      <c r="M32" s="27" t="n">
        <f aca="false">IFERROR(SUMIFS(Histórico!$H$5:$H$5000,Histórico!$R$5:$R$5000,LEFT($B32,FIND(" · ",$B32&amp;" · ")-1),Histórico!$A$5:$A$5000,"&gt;="&amp;DESDE,Histórico!$A$5:$A$5000,"&lt;="&amp;HASTA)/SUMIFS(Histórico!$G$5:$G$5000,Histórico!$R$5:$R$5000,LEFT($B32,FIND(" · ",$B32&amp;" · ")-1),Histórico!$A$5:$A$5000,"&gt;="&amp;DESDE,Histórico!$A$5:$A$5000,"&lt;="&amp;HASTA),"")</f>
        <v>0.0254515599343186</v>
      </c>
    </row>
    <row r="33" customFormat="false" ht="15.75" hidden="false" customHeight="true" outlineLevel="0" collapsed="false">
      <c r="B33" s="20" t="s">
        <v>48</v>
      </c>
      <c r="C33" s="20"/>
      <c r="D33" s="20"/>
      <c r="E33" s="20"/>
      <c r="F33" s="25" t="n">
        <f aca="false">COUNTIF(Creativos!$E$5:$E$16,LEFT($B33,FIND(" · ",$B33&amp;" · ")-1))</f>
        <v>3</v>
      </c>
      <c r="G33" s="22" t="n">
        <f aca="false">SUMIFS(Histórico!$F$5:$F$5000,Histórico!$R$5:$R$5000,LEFT($B33,FIND(" · ",$B33&amp;" · ")-1),Histórico!$A$5:$A$5000,"&gt;="&amp;DESDE,Histórico!$A$5:$A$5000,"&lt;="&amp;HASTA)</f>
        <v>14.36</v>
      </c>
      <c r="H33" s="25" t="n">
        <f aca="false">SUMIFS(Histórico!$L$5:$L$5000,Histórico!$R$5:$R$5000,LEFT($B33,FIND(" · ",$B33&amp;" · ")-1),Histórico!$A$5:$A$5000,"&gt;="&amp;DESDE,Histórico!$A$5:$A$5000,"&lt;="&amp;HASTA)</f>
        <v>0</v>
      </c>
      <c r="I33" s="26" t="n">
        <f aca="false">H33*RATIO</f>
        <v>0</v>
      </c>
      <c r="J33" s="23" t="str">
        <f aca="false">IF(I33&gt;0,G33/I33,"")</f>
        <v/>
      </c>
      <c r="K33" s="23" t="n">
        <f aca="false">I33*BEN_PEDIDO-G33*(1+RECARGO)</f>
        <v>-14.36</v>
      </c>
      <c r="L33" s="27" t="n">
        <f aca="false">IFERROR(SUMIFS(Histórico!$M$5:$M$5000,Histórico!$R$5:$R$5000,LEFT($B33,FIND(" · ",$B33&amp;" · ")-1),Histórico!$A$5:$A$5000,"&gt;="&amp;DESDE,Histórico!$A$5:$A$5000,"&lt;="&amp;HASTA)/SUMIFS(Histórico!$G$5:$G$5000,Histórico!$R$5:$R$5000,LEFT($B33,FIND(" · ",$B33&amp;" · ")-1),Histórico!$A$5:$A$5000,"&gt;="&amp;DESDE,Histórico!$A$5:$A$5000,"&lt;="&amp;HASTA),"")</f>
        <v>0.192771084337349</v>
      </c>
      <c r="M33" s="27" t="n">
        <f aca="false">IFERROR(SUMIFS(Histórico!$H$5:$H$5000,Histórico!$R$5:$R$5000,LEFT($B33,FIND(" · ",$B33&amp;" · ")-1),Histórico!$A$5:$A$5000,"&gt;="&amp;DESDE,Histórico!$A$5:$A$5000,"&lt;="&amp;HASTA)/SUMIFS(Histórico!$G$5:$G$5000,Histórico!$R$5:$R$5000,LEFT($B33,FIND(" · ",$B33&amp;" · ")-1),Histórico!$A$5:$A$5000,"&gt;="&amp;DESDE,Histórico!$A$5:$A$5000,"&lt;="&amp;HASTA),"")</f>
        <v>0.0315106580166821</v>
      </c>
    </row>
    <row r="34" customFormat="false" ht="15.75" hidden="false" customHeight="true" outlineLevel="0" collapsed="false">
      <c r="B34" s="20" t="s">
        <v>49</v>
      </c>
      <c r="C34" s="20"/>
      <c r="D34" s="20"/>
      <c r="E34" s="20"/>
      <c r="F34" s="25" t="n">
        <f aca="false">COUNTIF(Creativos!$E$5:$E$16,LEFT($B34,FIND(" · ",$B34&amp;" · ")-1))</f>
        <v>7</v>
      </c>
      <c r="G34" s="22" t="n">
        <f aca="false">SUMIFS(Histórico!$F$5:$F$5000,Histórico!$R$5:$R$5000,LEFT($B34,FIND(" · ",$B34&amp;" · ")-1),Histórico!$A$5:$A$5000,"&gt;="&amp;DESDE,Histórico!$A$5:$A$5000,"&lt;="&amp;HASTA)</f>
        <v>147.18</v>
      </c>
      <c r="H34" s="25" t="n">
        <f aca="false">SUMIFS(Histórico!$L$5:$L$5000,Histórico!$R$5:$R$5000,LEFT($B34,FIND(" · ",$B34&amp;" · ")-1),Histórico!$A$5:$A$5000,"&gt;="&amp;DESDE,Histórico!$A$5:$A$5000,"&lt;="&amp;HASTA)</f>
        <v>19</v>
      </c>
      <c r="I34" s="26" t="n">
        <f aca="false">H34*RATIO</f>
        <v>19.9047619047619</v>
      </c>
      <c r="J34" s="23" t="n">
        <f aca="false">IF(I34&gt;0,G34/I34,"")</f>
        <v>7.39421052631579</v>
      </c>
      <c r="K34" s="23" t="n">
        <f aca="false">I34*BEN_PEDIDO-G34*(1+RECARGO)</f>
        <v>86.9</v>
      </c>
      <c r="L34" s="27" t="n">
        <f aca="false">IFERROR(SUMIFS(Histórico!$M$5:$M$5000,Histórico!$R$5:$R$5000,LEFT($B34,FIND(" · ",$B34&amp;" · ")-1),Histórico!$A$5:$A$5000,"&gt;="&amp;DESDE,Histórico!$A$5:$A$5000,"&lt;="&amp;HASTA)/SUMIFS(Histórico!$G$5:$G$5000,Histórico!$R$5:$R$5000,LEFT($B34,FIND(" · ",$B34&amp;" · ")-1),Histórico!$A$5:$A$5000,"&gt;="&amp;DESDE,Histórico!$A$5:$A$5000,"&lt;="&amp;HASTA),"")</f>
        <v>0.127944780673236</v>
      </c>
      <c r="M34" s="27" t="n">
        <f aca="false">IFERROR(SUMIFS(Histórico!$H$5:$H$5000,Histórico!$R$5:$R$5000,LEFT($B34,FIND(" · ",$B34&amp;" · ")-1),Histórico!$A$5:$A$5000,"&gt;="&amp;DESDE,Histórico!$A$5:$A$5000,"&lt;="&amp;HASTA)/SUMIFS(Histórico!$G$5:$G$5000,Histórico!$R$5:$R$5000,LEFT($B34,FIND(" · ",$B34&amp;" · ")-1),Histórico!$A$5:$A$5000,"&gt;="&amp;DESDE,Histórico!$A$5:$A$5000,"&lt;="&amp;HASTA),"")</f>
        <v>0.0178562496873906</v>
      </c>
    </row>
    <row r="35" customFormat="false" ht="15.75" hidden="false" customHeight="true" outlineLevel="0" collapsed="false"/>
    <row r="36" customFormat="false" ht="15.75" hidden="false" customHeight="true" outlineLevel="0" collapsed="false">
      <c r="B36" s="6" t="s">
        <v>50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customFormat="false" ht="15.75" hidden="false" customHeight="true" outlineLevel="0" collapsed="false">
      <c r="B37" s="18" t="s">
        <v>51</v>
      </c>
      <c r="C37" s="18"/>
      <c r="D37" s="18"/>
      <c r="E37" s="18"/>
      <c r="F37" s="18" t="s">
        <v>36</v>
      </c>
      <c r="G37" s="18" t="s">
        <v>31</v>
      </c>
      <c r="H37" s="18" t="s">
        <v>37</v>
      </c>
      <c r="I37" s="18" t="s">
        <v>38</v>
      </c>
      <c r="J37" s="18" t="s">
        <v>32</v>
      </c>
      <c r="K37" s="18" t="s">
        <v>39</v>
      </c>
      <c r="L37" s="18" t="s">
        <v>40</v>
      </c>
      <c r="M37" s="18" t="s">
        <v>41</v>
      </c>
    </row>
    <row r="38" customFormat="false" ht="15.75" hidden="false" customHeight="true" outlineLevel="0" collapsed="false">
      <c r="B38" s="20" t="s">
        <v>52</v>
      </c>
      <c r="C38" s="20"/>
      <c r="D38" s="20"/>
      <c r="E38" s="20"/>
      <c r="F38" s="25" t="n">
        <f aca="false">COUNTIF(Creativos!$H$5:$H$16,$B38)</f>
        <v>2</v>
      </c>
      <c r="G38" s="22" t="n">
        <f aca="false">SUMIFS(Histórico!$F$5:$F$5000,Histórico!$S$5:$S$5000,$B38,Histórico!$A$5:$A$5000,"&gt;="&amp;DESDE,Histórico!$A$5:$A$5000,"&lt;="&amp;HASTA)</f>
        <v>13.67</v>
      </c>
      <c r="H38" s="25" t="n">
        <f aca="false">SUMIFS(Histórico!$L$5:$L$5000,Histórico!$S$5:$S$5000,$B38,Histórico!$A$5:$A$5000,"&gt;="&amp;DESDE,Histórico!$A$5:$A$5000,"&lt;="&amp;HASTA)</f>
        <v>2</v>
      </c>
      <c r="I38" s="26" t="n">
        <f aca="false">H38*RATIO</f>
        <v>2.0952380952381</v>
      </c>
      <c r="J38" s="23" t="n">
        <f aca="false">IF(I38&gt;0,G38/I38,"")</f>
        <v>6.52431818181818</v>
      </c>
      <c r="K38" s="23" t="n">
        <f aca="false">I38*BEN_PEDIDO-G38*(1+RECARGO)</f>
        <v>10.97</v>
      </c>
      <c r="L38" s="27" t="n">
        <f aca="false">IFERROR(SUMIFS(Histórico!$M$5:$M$5000,Histórico!$S$5:$S$5000,$B38,Histórico!$A$5:$A$5000,"&gt;="&amp;DESDE,Histórico!$A$5:$A$5000,"&lt;="&amp;HASTA)/SUMIFS(Histórico!$G$5:$G$5000,Histórico!$S$5:$S$5000,$B38,Histórico!$A$5:$A$5000,"&gt;="&amp;DESDE,Histórico!$A$5:$A$5000,"&lt;="&amp;HASTA),"")</f>
        <v>0.253694581280788</v>
      </c>
      <c r="M38" s="27" t="n">
        <f aca="false">IFERROR(SUMIFS(Histórico!$H$5:$H$5000,Histórico!$S$5:$S$5000,$B38,Histórico!$A$5:$A$5000,"&gt;="&amp;DESDE,Histórico!$A$5:$A$5000,"&lt;="&amp;HASTA)/SUMIFS(Histórico!$G$5:$G$5000,Histórico!$S$5:$S$5000,$B38,Histórico!$A$5:$A$5000,"&gt;="&amp;DESDE,Histórico!$A$5:$A$5000,"&lt;="&amp;HASTA),"")</f>
        <v>0.0254515599343186</v>
      </c>
    </row>
    <row r="39" customFormat="false" ht="15.75" hidden="false" customHeight="true" outlineLevel="0" collapsed="false">
      <c r="B39" s="20" t="s">
        <v>53</v>
      </c>
      <c r="C39" s="20"/>
      <c r="D39" s="20"/>
      <c r="E39" s="20"/>
      <c r="F39" s="25" t="n">
        <f aca="false">COUNTIF(Creativos!$H$5:$H$16,$B39)</f>
        <v>3</v>
      </c>
      <c r="G39" s="22" t="n">
        <f aca="false">SUMIFS(Histórico!$F$5:$F$5000,Histórico!$S$5:$S$5000,$B39,Histórico!$A$5:$A$5000,"&gt;="&amp;DESDE,Histórico!$A$5:$A$5000,"&lt;="&amp;HASTA)</f>
        <v>14.36</v>
      </c>
      <c r="H39" s="25" t="n">
        <f aca="false">SUMIFS(Histórico!$L$5:$L$5000,Histórico!$S$5:$S$5000,$B39,Histórico!$A$5:$A$5000,"&gt;="&amp;DESDE,Histórico!$A$5:$A$5000,"&lt;="&amp;HASTA)</f>
        <v>0</v>
      </c>
      <c r="I39" s="26" t="n">
        <f aca="false">H39*RATIO</f>
        <v>0</v>
      </c>
      <c r="J39" s="23" t="str">
        <f aca="false">IF(I39&gt;0,G39/I39,"")</f>
        <v/>
      </c>
      <c r="K39" s="23" t="n">
        <f aca="false">I39*BEN_PEDIDO-G39*(1+RECARGO)</f>
        <v>-14.36</v>
      </c>
      <c r="L39" s="27" t="n">
        <f aca="false">IFERROR(SUMIFS(Histórico!$M$5:$M$5000,Histórico!$S$5:$S$5000,$B39,Histórico!$A$5:$A$5000,"&gt;="&amp;DESDE,Histórico!$A$5:$A$5000,"&lt;="&amp;HASTA)/SUMIFS(Histórico!$G$5:$G$5000,Histórico!$S$5:$S$5000,$B39,Histórico!$A$5:$A$5000,"&gt;="&amp;DESDE,Histórico!$A$5:$A$5000,"&lt;="&amp;HASTA),"")</f>
        <v>0.192771084337349</v>
      </c>
      <c r="M39" s="27" t="n">
        <f aca="false">IFERROR(SUMIFS(Histórico!$H$5:$H$5000,Histórico!$S$5:$S$5000,$B39,Histórico!$A$5:$A$5000,"&gt;="&amp;DESDE,Histórico!$A$5:$A$5000,"&lt;="&amp;HASTA)/SUMIFS(Histórico!$G$5:$G$5000,Histórico!$S$5:$S$5000,$B39,Histórico!$A$5:$A$5000,"&gt;="&amp;DESDE,Histórico!$A$5:$A$5000,"&lt;="&amp;HASTA),"")</f>
        <v>0.0315106580166821</v>
      </c>
    </row>
    <row r="40" customFormat="false" ht="15.75" hidden="false" customHeight="true" outlineLevel="0" collapsed="false">
      <c r="B40" s="20" t="s">
        <v>54</v>
      </c>
      <c r="C40" s="20"/>
      <c r="D40" s="20"/>
      <c r="E40" s="20"/>
      <c r="F40" s="25" t="n">
        <f aca="false">COUNTIF(Creativos!$H$5:$H$16,$B40)</f>
        <v>1</v>
      </c>
      <c r="G40" s="22" t="n">
        <f aca="false">SUMIFS(Histórico!$F$5:$F$5000,Histórico!$S$5:$S$5000,$B40,Histórico!$A$5:$A$5000,"&gt;="&amp;DESDE,Histórico!$A$5:$A$5000,"&lt;="&amp;HASTA)</f>
        <v>85.54</v>
      </c>
      <c r="H40" s="25" t="n">
        <f aca="false">SUMIFS(Histórico!$L$5:$L$5000,Histórico!$S$5:$S$5000,$B40,Histórico!$A$5:$A$5000,"&gt;="&amp;DESDE,Histórico!$A$5:$A$5000,"&lt;="&amp;HASTA)</f>
        <v>10</v>
      </c>
      <c r="I40" s="26" t="n">
        <f aca="false">H40*RATIO</f>
        <v>10.4761904761905</v>
      </c>
      <c r="J40" s="23" t="n">
        <f aca="false">IF(I40&gt;0,G40/I40,"")</f>
        <v>8.16518181818182</v>
      </c>
      <c r="K40" s="23" t="n">
        <f aca="false">I40*BEN_PEDIDO-G40*(1+RECARGO)</f>
        <v>37.66</v>
      </c>
      <c r="L40" s="27" t="n">
        <f aca="false">IFERROR(SUMIFS(Histórico!$M$5:$M$5000,Histórico!$S$5:$S$5000,$B40,Histórico!$A$5:$A$5000,"&gt;="&amp;DESDE,Histórico!$A$5:$A$5000,"&lt;="&amp;HASTA)/SUMIFS(Histórico!$G$5:$G$5000,Histórico!$S$5:$S$5000,$B40,Histórico!$A$5:$A$5000,"&gt;="&amp;DESDE,Histórico!$A$5:$A$5000,"&lt;="&amp;HASTA),"")</f>
        <v>0.121081615362892</v>
      </c>
      <c r="M40" s="27" t="n">
        <f aca="false">IFERROR(SUMIFS(Histórico!$H$5:$H$5000,Histórico!$S$5:$S$5000,$B40,Histórico!$A$5:$A$5000,"&gt;="&amp;DESDE,Histórico!$A$5:$A$5000,"&lt;="&amp;HASTA)/SUMIFS(Histórico!$G$5:$G$5000,Histórico!$S$5:$S$5000,$B40,Histórico!$A$5:$A$5000,"&gt;="&amp;DESDE,Histórico!$A$5:$A$5000,"&lt;="&amp;HASTA),"")</f>
        <v>0.0160971476983903</v>
      </c>
    </row>
    <row r="41" customFormat="false" ht="15.75" hidden="false" customHeight="true" outlineLevel="0" collapsed="false">
      <c r="B41" s="20" t="s">
        <v>55</v>
      </c>
      <c r="C41" s="20"/>
      <c r="D41" s="20"/>
      <c r="E41" s="20"/>
      <c r="F41" s="25" t="n">
        <f aca="false">COUNTIF(Creativos!$H$5:$H$16,$B41)</f>
        <v>2</v>
      </c>
      <c r="G41" s="22" t="n">
        <f aca="false">SUMIFS(Histórico!$F$5:$F$5000,Histórico!$S$5:$S$5000,$B41,Histórico!$A$5:$A$5000,"&gt;="&amp;DESDE,Histórico!$A$5:$A$5000,"&lt;="&amp;HASTA)</f>
        <v>39.51</v>
      </c>
      <c r="H41" s="25" t="n">
        <f aca="false">SUMIFS(Histórico!$L$5:$L$5000,Histórico!$S$5:$S$5000,$B41,Histórico!$A$5:$A$5000,"&gt;="&amp;DESDE,Histórico!$A$5:$A$5000,"&lt;="&amp;HASTA)</f>
        <v>6</v>
      </c>
      <c r="I41" s="26" t="n">
        <f aca="false">H41*RATIO</f>
        <v>6.28571428571429</v>
      </c>
      <c r="J41" s="23" t="n">
        <f aca="false">IF(I41&gt;0,G41/I41,"")</f>
        <v>6.28568181818182</v>
      </c>
      <c r="K41" s="23" t="n">
        <f aca="false">I41*BEN_PEDIDO-G41*(1+RECARGO)</f>
        <v>34.41</v>
      </c>
      <c r="L41" s="27" t="n">
        <f aca="false">IFERROR(SUMIFS(Histórico!$M$5:$M$5000,Histórico!$S$5:$S$5000,$B41,Histórico!$A$5:$A$5000,"&gt;="&amp;DESDE,Histórico!$A$5:$A$5000,"&lt;="&amp;HASTA)/SUMIFS(Histórico!$G$5:$G$5000,Histórico!$S$5:$S$5000,$B41,Histórico!$A$5:$A$5000,"&gt;="&amp;DESDE,Histórico!$A$5:$A$5000,"&lt;="&amp;HASTA),"")</f>
        <v>0.111111111111111</v>
      </c>
      <c r="M41" s="27" t="n">
        <f aca="false">IFERROR(SUMIFS(Histórico!$H$5:$H$5000,Histórico!$S$5:$S$5000,$B41,Histórico!$A$5:$A$5000,"&gt;="&amp;DESDE,Histórico!$A$5:$A$5000,"&lt;="&amp;HASTA)/SUMIFS(Histórico!$G$5:$G$5000,Histórico!$S$5:$S$5000,$B41,Histórico!$A$5:$A$5000,"&gt;="&amp;DESDE,Histórico!$A$5:$A$5000,"&lt;="&amp;HASTA),"")</f>
        <v>0.0185586888406845</v>
      </c>
    </row>
    <row r="42" customFormat="false" ht="15.75" hidden="false" customHeight="true" outlineLevel="0" collapsed="false">
      <c r="B42" s="20" t="s">
        <v>56</v>
      </c>
      <c r="C42" s="20"/>
      <c r="D42" s="20"/>
      <c r="E42" s="20"/>
      <c r="F42" s="25" t="n">
        <f aca="false">COUNTIF(Creativos!$H$5:$H$16,$B42)</f>
        <v>2</v>
      </c>
      <c r="G42" s="22" t="n">
        <f aca="false">SUMIFS(Histórico!$F$5:$F$5000,Histórico!$S$5:$S$5000,$B42,Histórico!$A$5:$A$5000,"&gt;="&amp;DESDE,Histórico!$A$5:$A$5000,"&lt;="&amp;HASTA)</f>
        <v>8.5</v>
      </c>
      <c r="H42" s="25" t="n">
        <f aca="false">SUMIFS(Histórico!$L$5:$L$5000,Histórico!$S$5:$S$5000,$B42,Histórico!$A$5:$A$5000,"&gt;="&amp;DESDE,Histórico!$A$5:$A$5000,"&lt;="&amp;HASTA)</f>
        <v>2</v>
      </c>
      <c r="I42" s="26" t="n">
        <f aca="false">H42*RATIO</f>
        <v>2.0952380952381</v>
      </c>
      <c r="J42" s="23" t="n">
        <f aca="false">IF(I42&gt;0,G42/I42,"")</f>
        <v>4.05681818181818</v>
      </c>
      <c r="K42" s="23" t="n">
        <f aca="false">I42*BEN_PEDIDO-G42*(1+RECARGO)</f>
        <v>16.14</v>
      </c>
      <c r="L42" s="27" t="n">
        <f aca="false">IFERROR(SUMIFS(Histórico!$M$5:$M$5000,Histórico!$S$5:$S$5000,$B42,Histórico!$A$5:$A$5000,"&gt;="&amp;DESDE,Histórico!$A$5:$A$5000,"&lt;="&amp;HASTA)/SUMIFS(Histórico!$G$5:$G$5000,Histórico!$S$5:$S$5000,$B42,Histórico!$A$5:$A$5000,"&gt;="&amp;DESDE,Histórico!$A$5:$A$5000,"&lt;="&amp;HASTA),"")</f>
        <v>0.182529335071708</v>
      </c>
      <c r="M42" s="27" t="n">
        <f aca="false">IFERROR(SUMIFS(Histórico!$H$5:$H$5000,Histórico!$S$5:$S$5000,$B42,Histórico!$A$5:$A$5000,"&gt;="&amp;DESDE,Histórico!$A$5:$A$5000,"&lt;="&amp;HASTA)/SUMIFS(Histórico!$G$5:$G$5000,Histórico!$S$5:$S$5000,$B42,Histórico!$A$5:$A$5000,"&gt;="&amp;DESDE,Histórico!$A$5:$A$5000,"&lt;="&amp;HASTA),"")</f>
        <v>0.0247718383311604</v>
      </c>
    </row>
    <row r="43" customFormat="false" ht="15.75" hidden="false" customHeight="true" outlineLevel="0" collapsed="false">
      <c r="B43" s="20" t="s">
        <v>57</v>
      </c>
      <c r="C43" s="20"/>
      <c r="D43" s="20"/>
      <c r="E43" s="20"/>
      <c r="F43" s="25" t="n">
        <f aca="false">COUNTIF(Creativos!$H$5:$H$16,$B43)</f>
        <v>2</v>
      </c>
      <c r="G43" s="22" t="n">
        <f aca="false">SUMIFS(Histórico!$F$5:$F$5000,Histórico!$S$5:$S$5000,$B43,Histórico!$A$5:$A$5000,"&gt;="&amp;DESDE,Histórico!$A$5:$A$5000,"&lt;="&amp;HASTA)</f>
        <v>13.63</v>
      </c>
      <c r="H43" s="25" t="n">
        <f aca="false">SUMIFS(Histórico!$L$5:$L$5000,Histórico!$S$5:$S$5000,$B43,Histórico!$A$5:$A$5000,"&gt;="&amp;DESDE,Histórico!$A$5:$A$5000,"&lt;="&amp;HASTA)</f>
        <v>1</v>
      </c>
      <c r="I43" s="26" t="n">
        <f aca="false">H43*RATIO</f>
        <v>1.04761904761905</v>
      </c>
      <c r="J43" s="23" t="n">
        <f aca="false">IF(I43&gt;0,G43/I43,"")</f>
        <v>13.0104545454545</v>
      </c>
      <c r="K43" s="23" t="n">
        <f aca="false">I43*BEN_PEDIDO-G43*(1+RECARGO)</f>
        <v>-1.31</v>
      </c>
      <c r="L43" s="27" t="n">
        <f aca="false">IFERROR(SUMIFS(Histórico!$M$5:$M$5000,Histórico!$S$5:$S$5000,$B43,Histórico!$A$5:$A$5000,"&gt;="&amp;DESDE,Histórico!$A$5:$A$5000,"&lt;="&amp;HASTA)/SUMIFS(Histórico!$G$5:$G$5000,Histórico!$S$5:$S$5000,$B43,Histórico!$A$5:$A$5000,"&gt;="&amp;DESDE,Histórico!$A$5:$A$5000,"&lt;="&amp;HASTA),"")</f>
        <v>0.265060240963855</v>
      </c>
      <c r="M43" s="27" t="n">
        <f aca="false">IFERROR(SUMIFS(Histórico!$H$5:$H$5000,Histórico!$S$5:$S$5000,$B43,Histórico!$A$5:$A$5000,"&gt;="&amp;DESDE,Histórico!$A$5:$A$5000,"&lt;="&amp;HASTA)/SUMIFS(Histórico!$G$5:$G$5000,Histórico!$S$5:$S$5000,$B43,Histórico!$A$5:$A$5000,"&gt;="&amp;DESDE,Histórico!$A$5:$A$5000,"&lt;="&amp;HASTA),"")</f>
        <v>0.036144578313253</v>
      </c>
    </row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</sheetData>
  <mergeCells count="77">
    <mergeCell ref="C3:D3"/>
    <mergeCell ref="F3:G3"/>
    <mergeCell ref="B5:M5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L9:M9"/>
    <mergeCell ref="B10:C10"/>
    <mergeCell ref="D10:E10"/>
    <mergeCell ref="F10:G10"/>
    <mergeCell ref="H10:I10"/>
    <mergeCell ref="J10:K10"/>
    <mergeCell ref="L10:M10"/>
    <mergeCell ref="B12:M12"/>
    <mergeCell ref="B13:C13"/>
    <mergeCell ref="D13:E13"/>
    <mergeCell ref="F13:G13"/>
    <mergeCell ref="H13:I13"/>
    <mergeCell ref="J13:K13"/>
    <mergeCell ref="L13:M13"/>
    <mergeCell ref="B14:C14"/>
    <mergeCell ref="D14:E14"/>
    <mergeCell ref="F14:G14"/>
    <mergeCell ref="H14:I14"/>
    <mergeCell ref="J14:K14"/>
    <mergeCell ref="L14:M14"/>
    <mergeCell ref="B16:M16"/>
    <mergeCell ref="C17:D17"/>
    <mergeCell ref="E17:F17"/>
    <mergeCell ref="G17:I17"/>
    <mergeCell ref="C18:D18"/>
    <mergeCell ref="E18:F18"/>
    <mergeCell ref="G18:I18"/>
    <mergeCell ref="C19:D19"/>
    <mergeCell ref="E19:F19"/>
    <mergeCell ref="G19:I19"/>
    <mergeCell ref="C20:D20"/>
    <mergeCell ref="E20:F20"/>
    <mergeCell ref="G20:I20"/>
    <mergeCell ref="C21:D21"/>
    <mergeCell ref="E21:F21"/>
    <mergeCell ref="G21:I21"/>
    <mergeCell ref="C22:D22"/>
    <mergeCell ref="E22:F22"/>
    <mergeCell ref="G22:I22"/>
    <mergeCell ref="B24:M24"/>
    <mergeCell ref="B25:E25"/>
    <mergeCell ref="B26:E26"/>
    <mergeCell ref="B27:E27"/>
    <mergeCell ref="B28:E28"/>
    <mergeCell ref="B30:M30"/>
    <mergeCell ref="B31:E31"/>
    <mergeCell ref="B32:E32"/>
    <mergeCell ref="B33:E33"/>
    <mergeCell ref="B34:E34"/>
    <mergeCell ref="B36:M36"/>
    <mergeCell ref="B37:E37"/>
    <mergeCell ref="B38:E38"/>
    <mergeCell ref="B39:E39"/>
    <mergeCell ref="B40:E40"/>
    <mergeCell ref="B41:E41"/>
    <mergeCell ref="B42:E42"/>
    <mergeCell ref="B43:E43"/>
  </mergeCells>
  <conditionalFormatting sqref="J7">
    <cfRule type="expression" priority="2" aboveAverage="0" equalAverage="0" bottom="0" percent="0" rank="0" text="" dxfId="0">
      <formula>AND(ISNUMBER(J7),J7&gt;CPA_BE)</formula>
    </cfRule>
  </conditionalFormatting>
  <conditionalFormatting sqref="L7">
    <cfRule type="cellIs" priority="3" operator="greaterThan" aboveAverage="0" equalAverage="0" bottom="0" percent="0" rank="0" text="" dxfId="1">
      <formula>0</formula>
    </cfRule>
  </conditionalFormatting>
  <conditionalFormatting sqref="M18:M22">
    <cfRule type="cellIs" priority="4" operator="equal" aboveAverage="0" equalAverage="0" bottom="0" percent="0" rank="0" text="" dxfId="2">
      <formula>"ESCALAR"</formula>
    </cfRule>
    <cfRule type="cellIs" priority="5" operator="equal" aboveAverage="0" equalAverage="0" bottom="0" percent="0" rank="0" text="" dxfId="3">
      <formula>"MANTENER"</formula>
    </cfRule>
    <cfRule type="cellIs" priority="6" operator="equal" aboveAverage="0" equalAverage="0" bottom="0" percent="0" rank="0" text="" dxfId="4">
      <formula>"PROMETEDOR"</formula>
    </cfRule>
    <cfRule type="cellIs" priority="7" operator="equal" aboveAverage="0" equalAverage="0" bottom="0" percent="0" rank="0" text="" dxfId="4">
      <formula>"VIGILAR"</formula>
    </cfRule>
    <cfRule type="cellIs" priority="8" operator="equal" aboveAverage="0" equalAverage="0" bottom="0" percent="0" rank="0" text="" dxfId="5">
      <formula>"APAGAR"</formula>
    </cfRule>
    <cfRule type="cellIs" priority="9" operator="equal" aboveAverage="0" equalAverage="0" bottom="0" percent="0" rank="0" text="" dxfId="6">
      <formula>"APRENDIENDO"</formula>
    </cfRule>
  </conditionalFormatting>
  <conditionalFormatting sqref="K26:K28">
    <cfRule type="cellIs" priority="10" operator="greaterThan" aboveAverage="0" equalAverage="0" bottom="0" percent="0" rank="0" text="" dxfId="7">
      <formula>0</formula>
    </cfRule>
    <cfRule type="cellIs" priority="11" operator="lessThan" aboveAverage="0" equalAverage="0" bottom="0" percent="0" rank="0" text="" dxfId="8">
      <formula>0</formula>
    </cfRule>
  </conditionalFormatting>
  <conditionalFormatting sqref="K32:K34">
    <cfRule type="cellIs" priority="12" operator="greaterThan" aboveAverage="0" equalAverage="0" bottom="0" percent="0" rank="0" text="" dxfId="7">
      <formula>0</formula>
    </cfRule>
    <cfRule type="cellIs" priority="13" operator="lessThan" aboveAverage="0" equalAverage="0" bottom="0" percent="0" rank="0" text="" dxfId="8">
      <formula>0</formula>
    </cfRule>
  </conditionalFormatting>
  <conditionalFormatting sqref="K38:K43">
    <cfRule type="cellIs" priority="14" operator="greaterThan" aboveAverage="0" equalAverage="0" bottom="0" percent="0" rank="0" text="" dxfId="7">
      <formula>0</formula>
    </cfRule>
    <cfRule type="cellIs" priority="15" operator="less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3" min="3" style="0" width="20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2"/>
  </cols>
  <sheetData>
    <row r="1" customFormat="false" ht="19.7" hidden="false" customHeight="false" outlineLevel="0" collapsed="false">
      <c r="B1" s="1" t="s">
        <v>58</v>
      </c>
    </row>
    <row r="2" customFormat="false" ht="15" hidden="false" customHeight="false" outlineLevel="0" collapsed="false">
      <c r="B2" s="2" t="s">
        <v>59</v>
      </c>
    </row>
    <row r="4" customFormat="false" ht="24" hidden="false" customHeight="true" outlineLevel="0" collapsed="false">
      <c r="B4" s="28" t="s">
        <v>60</v>
      </c>
      <c r="C4" s="28"/>
      <c r="D4" s="28"/>
      <c r="E4" s="28"/>
      <c r="F4" s="28"/>
      <c r="G4" s="28"/>
      <c r="H4" s="28"/>
      <c r="I4" s="28"/>
    </row>
    <row r="5" customFormat="false" ht="15" hidden="false" customHeight="false" outlineLevel="0" collapsed="false">
      <c r="B5" s="18" t="s">
        <v>61</v>
      </c>
      <c r="C5" s="18" t="s">
        <v>62</v>
      </c>
      <c r="D5" s="18" t="s">
        <v>63</v>
      </c>
      <c r="E5" s="18" t="s">
        <v>31</v>
      </c>
      <c r="F5" s="18" t="s">
        <v>64</v>
      </c>
      <c r="G5" s="18" t="s">
        <v>32</v>
      </c>
      <c r="H5" s="18" t="s">
        <v>39</v>
      </c>
      <c r="I5" s="18" t="s">
        <v>34</v>
      </c>
    </row>
    <row r="6" customFormat="false" ht="40.5" hidden="false" customHeight="true" outlineLevel="0" collapsed="false">
      <c r="B6" s="29" t="str">
        <f aca="false">IFERROR(INDEX(Cuerpos!$K$5:$K$17,MATCH("C1",Cuerpos!$A$5:$A$17,0)),"")</f>
        <v>No la hiciste tú, pero la vas a pagar tú. Vas al taller, te piden 120 euros y te quedas dos días sin coche, por una raya que no es culpa tuya. Oye, ¿y si no hiciera falta? Me pulverizas, pasas el paño y la raya deja de verse. No lijo, relleno. Tu coche tiene el barniz que tiene. Yo no te quito ni una capa. 29 euros. Y me pagas cuando llego a tu casa. Haz clic en el enlace. Guárdame en el maletero y olvídate.</v>
      </c>
      <c r="C6" s="30" t="str">
        <f aca="false">Creativos!B5</f>
        <v>PIXARSUPER_H1</v>
      </c>
      <c r="D6" s="31" t="str">
        <f aca="false">IF(Creativos!I5="","[visual] "&amp;Creativos!H5,Creativos!I5)</f>
        <v>Vuelves al coche y ahí está, un rayón nuevo y ni una nota.</v>
      </c>
      <c r="E6" s="22" t="n">
        <f aca="false">Creativos!M5</f>
        <v>10.3</v>
      </c>
      <c r="F6" s="25" t="n">
        <f aca="false">Creativos!Q5</f>
        <v>2</v>
      </c>
      <c r="G6" s="23" t="n">
        <f aca="false">Creativos!S5</f>
        <v>4.91590909090909</v>
      </c>
      <c r="H6" s="23" t="n">
        <f aca="false">Creativos!T5</f>
        <v>14.34</v>
      </c>
      <c r="I6" s="24" t="str">
        <f aca="false">Creativos!AA5</f>
        <v>PROMETEDOR</v>
      </c>
    </row>
    <row r="7" customFormat="false" ht="40.5" hidden="false" customHeight="true" outlineLevel="0" collapsed="false">
      <c r="B7" s="29"/>
      <c r="C7" s="30" t="str">
        <f aca="false">Creativos!B6</f>
        <v>PIXARSUPER_H2</v>
      </c>
      <c r="D7" s="31" t="str">
        <f aca="false">IF(Creativos!I6="","[visual] "&amp;Creativos!H6,Creativos!I6)</f>
        <v>¡Sorpresa! Un nuevo rayón y ni una nota en el parabrisas.</v>
      </c>
      <c r="E7" s="22" t="n">
        <f aca="false">Creativos!M6</f>
        <v>3.37</v>
      </c>
      <c r="F7" s="25" t="n">
        <f aca="false">Creativos!Q6</f>
        <v>0</v>
      </c>
      <c r="G7" s="23" t="str">
        <f aca="false">Creativos!S6</f>
        <v/>
      </c>
      <c r="H7" s="23" t="n">
        <f aca="false">Creativos!T6</f>
        <v>-3.37</v>
      </c>
      <c r="I7" s="24" t="str">
        <f aca="false">Creativos!AA6</f>
        <v>APRENDIENDO</v>
      </c>
    </row>
    <row r="8" customFormat="false" ht="15" hidden="false" customHeight="false" outlineLevel="0" collapsed="false">
      <c r="C8" s="32" t="s">
        <v>65</v>
      </c>
      <c r="E8" s="33" t="n">
        <f aca="false">SUM(E6:E7)</f>
        <v>13.67</v>
      </c>
      <c r="F8" s="34" t="n">
        <f aca="false">SUM(F6:F7)</f>
        <v>2</v>
      </c>
      <c r="G8" s="33" t="n">
        <f aca="false">IF(F8*RATIO&gt;0,E8/(F8*RATIO),"")</f>
        <v>6.52431818181818</v>
      </c>
      <c r="H8" s="33" t="n">
        <f aca="false">SUM(H6:H7)</f>
        <v>10.97</v>
      </c>
    </row>
    <row r="10" customFormat="false" ht="24" hidden="false" customHeight="true" outlineLevel="0" collapsed="false">
      <c r="B10" s="35" t="s">
        <v>66</v>
      </c>
      <c r="C10" s="35"/>
      <c r="D10" s="35"/>
      <c r="E10" s="35"/>
      <c r="F10" s="35"/>
      <c r="G10" s="35"/>
      <c r="H10" s="35"/>
      <c r="I10" s="35"/>
    </row>
    <row r="11" customFormat="false" ht="15" hidden="false" customHeight="false" outlineLevel="0" collapsed="false">
      <c r="B11" s="18" t="s">
        <v>61</v>
      </c>
      <c r="C11" s="18" t="s">
        <v>62</v>
      </c>
      <c r="D11" s="18" t="s">
        <v>63</v>
      </c>
      <c r="E11" s="18" t="s">
        <v>31</v>
      </c>
      <c r="F11" s="18" t="s">
        <v>64</v>
      </c>
      <c r="G11" s="18" t="s">
        <v>32</v>
      </c>
      <c r="H11" s="18" t="s">
        <v>39</v>
      </c>
      <c r="I11" s="18" t="s">
        <v>34</v>
      </c>
    </row>
    <row r="12" customFormat="false" ht="33.75" hidden="false" customHeight="true" outlineLevel="0" collapsed="false">
      <c r="B12" s="29" t="str">
        <f aca="false">IFERROR(INDEX(Cuerpos!$K$5:$K$17,MATCH("C2",Cuerpos!$A$5:$A$17,0)),"")</f>
        <v>Un dineral en el taller. La pulidora te come barniz y el del súper no hace nada. Pues no hace falta. Soy Ceralux y funciono al revés que una pulidora. Ella lija el barniz hasta igualar la raya. Yo la relleno y te dejo el barniz intacto. Pasa la uña por encima del rayón. Si se engancha, es demasiado profunda y yo no te sirvo. Si no se engancha, soy tu solución. Puesto menos de 30 euros y no pagas nada hasta tenerme en la mano. 10 minutos y ahora te quedas tranquilo de haberlo vendido por lo que vale.</v>
      </c>
      <c r="C12" s="36" t="str">
        <f aca="false">Creativos!B7</f>
        <v>PIXARVENTA_H1</v>
      </c>
      <c r="D12" s="31" t="str">
        <f aca="false">IF(Creativos!I7="","[visual] "&amp;Creativos!H7,Creativos!I7)</f>
        <v>Vas a vender tu coche esta semana y esos rayones van a decidir lo que te ofrecen. No merece la pena, ¿no?</v>
      </c>
      <c r="E12" s="22" t="n">
        <f aca="false">Creativos!M7</f>
        <v>9.17</v>
      </c>
      <c r="F12" s="25" t="n">
        <f aca="false">Creativos!Q7</f>
        <v>0</v>
      </c>
      <c r="G12" s="23" t="str">
        <f aca="false">Creativos!S7</f>
        <v/>
      </c>
      <c r="H12" s="23" t="n">
        <f aca="false">Creativos!T7</f>
        <v>-9.17</v>
      </c>
      <c r="I12" s="24" t="str">
        <f aca="false">Creativos!AA7</f>
        <v>VIGILAR</v>
      </c>
    </row>
    <row r="13" customFormat="false" ht="33.75" hidden="false" customHeight="true" outlineLevel="0" collapsed="false">
      <c r="B13" s="29"/>
      <c r="C13" s="36" t="str">
        <f aca="false">Creativos!B8</f>
        <v>PIXARVENTA_H2</v>
      </c>
      <c r="D13" s="31" t="str">
        <f aca="false">IF(Creativos!I8="","[visual] "&amp;Creativos!H8,Creativos!I8)</f>
        <v>Vas a vender el coche y esos cuatro rayones le van a dar la excusa perfecta para bajarte el precio.</v>
      </c>
      <c r="E13" s="22" t="n">
        <f aca="false">Creativos!M8</f>
        <v>2.35</v>
      </c>
      <c r="F13" s="25" t="n">
        <f aca="false">Creativos!Q8</f>
        <v>0</v>
      </c>
      <c r="G13" s="23" t="str">
        <f aca="false">Creativos!S8</f>
        <v/>
      </c>
      <c r="H13" s="23" t="n">
        <f aca="false">Creativos!T8</f>
        <v>-2.35</v>
      </c>
      <c r="I13" s="24" t="str">
        <f aca="false">Creativos!AA8</f>
        <v>APRENDIENDO</v>
      </c>
    </row>
    <row r="14" customFormat="false" ht="33.75" hidden="false" customHeight="true" outlineLevel="0" collapsed="false">
      <c r="B14" s="29"/>
      <c r="C14" s="36" t="str">
        <f aca="false">Creativos!B9</f>
        <v>PIXARVENTA_H3</v>
      </c>
      <c r="D14" s="31" t="str">
        <f aca="false">IF(Creativos!I9="","[visual] "&amp;Creativos!H9,Creativos!I9)</f>
        <v>Siempre has mimado tu coche y ahora que lo vendes, te van a regatear por cuatro rayones que ni son tuyos.</v>
      </c>
      <c r="E14" s="22" t="n">
        <f aca="false">Creativos!M9</f>
        <v>2.84</v>
      </c>
      <c r="F14" s="25" t="n">
        <f aca="false">Creativos!Q9</f>
        <v>0</v>
      </c>
      <c r="G14" s="23" t="str">
        <f aca="false">Creativos!S9</f>
        <v/>
      </c>
      <c r="H14" s="23" t="n">
        <f aca="false">Creativos!T9</f>
        <v>-2.84</v>
      </c>
      <c r="I14" s="24" t="str">
        <f aca="false">Creativos!AA9</f>
        <v>APRENDIENDO</v>
      </c>
    </row>
    <row r="15" customFormat="false" ht="15" hidden="false" customHeight="false" outlineLevel="0" collapsed="false">
      <c r="C15" s="32" t="s">
        <v>65</v>
      </c>
      <c r="E15" s="33" t="n">
        <f aca="false">SUM(E12:E14)</f>
        <v>14.36</v>
      </c>
      <c r="F15" s="34" t="n">
        <f aca="false">SUM(F12:F14)</f>
        <v>0</v>
      </c>
      <c r="G15" s="33" t="str">
        <f aca="false">IF(F15*RATIO&gt;0,E15/(F15*RATIO),"")</f>
        <v/>
      </c>
      <c r="H15" s="33" t="n">
        <f aca="false">SUM(H12:H14)</f>
        <v>-14.36</v>
      </c>
    </row>
    <row r="17" customFormat="false" ht="24" hidden="false" customHeight="true" outlineLevel="0" collapsed="false">
      <c r="B17" s="37" t="s">
        <v>67</v>
      </c>
      <c r="C17" s="37"/>
      <c r="D17" s="37"/>
      <c r="E17" s="37"/>
      <c r="F17" s="37"/>
      <c r="G17" s="37"/>
      <c r="H17" s="37"/>
      <c r="I17" s="37"/>
    </row>
    <row r="18" customFormat="false" ht="15" hidden="false" customHeight="false" outlineLevel="0" collapsed="false">
      <c r="B18" s="18" t="s">
        <v>61</v>
      </c>
      <c r="C18" s="18" t="s">
        <v>62</v>
      </c>
      <c r="D18" s="18" t="s">
        <v>63</v>
      </c>
      <c r="E18" s="18" t="s">
        <v>31</v>
      </c>
      <c r="F18" s="18" t="s">
        <v>64</v>
      </c>
      <c r="G18" s="18" t="s">
        <v>32</v>
      </c>
      <c r="H18" s="18" t="s">
        <v>39</v>
      </c>
      <c r="I18" s="18" t="s">
        <v>34</v>
      </c>
    </row>
    <row r="19" customFormat="false" ht="33.75" hidden="false" customHeight="true" outlineLevel="0" collapsed="false">
      <c r="B19" s="29" t="str">
        <f aca="false">IFERROR(INDEX(Cuerpos!$K$5:$K$17,MATCH("C3",Cuerpos!$A$5:$A$17,0)),"")</f>
        <v>Este es el reparador de arañazos del que habla todo el mundo. Míralo, sin cortes y sin Photoshop. Dos pulsaciones sobre el paño y lo pasamos directamente por encima del arañazo. La fórmula de nanopolímeros rellena la marca y te alisa la superficie al instante, sin lijar el barniz. Esa raya blanca, un par de pasadas y deja de verse. Funciona en cualquier color de coche, mismo resultado. No pagas nada hasta que lo tienes en la mano y lo ves funcionar. Hoy te llevas dos botes por 39,90 y el envío te sale gratis. Pagas en casa cuando te llegue. El enlace está aquí abajo.</v>
      </c>
      <c r="C19" s="38" t="str">
        <f aca="false">Creativos!B10</f>
        <v>BROAD_H1 BOLARDO</v>
      </c>
      <c r="D19" s="31" t="str">
        <f aca="false">IF(Creativos!I10="","[visual] "&amp;Creativos!H10,Creativos!I10)</f>
        <v>[visual] Bolardo</v>
      </c>
      <c r="E19" s="22" t="n">
        <f aca="false">Creativos!M10</f>
        <v>85.54</v>
      </c>
      <c r="F19" s="25" t="n">
        <f aca="false">Creativos!Q10</f>
        <v>10</v>
      </c>
      <c r="G19" s="23" t="n">
        <f aca="false">Creativos!S10</f>
        <v>8.16518181818182</v>
      </c>
      <c r="H19" s="23" t="n">
        <f aca="false">Creativos!T10</f>
        <v>37.66</v>
      </c>
      <c r="I19" s="24" t="str">
        <f aca="false">Creativos!AA10</f>
        <v>ESCALAR</v>
      </c>
    </row>
    <row r="20" customFormat="false" ht="33.75" hidden="false" customHeight="true" outlineLevel="0" collapsed="false">
      <c r="B20" s="29"/>
      <c r="C20" s="38" t="str">
        <f aca="false">Creativos!B11</f>
        <v>BROAD_H2 LLAVES</v>
      </c>
      <c r="D20" s="31" t="str">
        <f aca="false">IF(Creativos!I11="","[visual] "&amp;Creativos!H11,Creativos!I11)</f>
        <v>[visual] Llaves</v>
      </c>
      <c r="E20" s="22" t="n">
        <f aca="false">Creativos!M11</f>
        <v>37.7</v>
      </c>
      <c r="F20" s="25" t="n">
        <f aca="false">Creativos!Q11</f>
        <v>6</v>
      </c>
      <c r="G20" s="23" t="n">
        <f aca="false">Creativos!S11</f>
        <v>5.99772727272727</v>
      </c>
      <c r="H20" s="23" t="n">
        <f aca="false">Creativos!T11</f>
        <v>36.22</v>
      </c>
      <c r="I20" s="24" t="str">
        <f aca="false">Creativos!AA11</f>
        <v>ESCALAR</v>
      </c>
    </row>
    <row r="21" customFormat="false" ht="33.75" hidden="false" customHeight="true" outlineLevel="0" collapsed="false">
      <c r="B21" s="29"/>
      <c r="C21" s="38" t="str">
        <f aca="false">Creativos!B12</f>
        <v>BROAD_H3 LLAVES</v>
      </c>
      <c r="D21" s="31" t="str">
        <f aca="false">IF(Creativos!I12="","[visual] "&amp;Creativos!H12,Creativos!I12)</f>
        <v>[visual] Llaves</v>
      </c>
      <c r="E21" s="22" t="n">
        <f aca="false">Creativos!M12</f>
        <v>1.81</v>
      </c>
      <c r="F21" s="25" t="n">
        <f aca="false">Creativos!Q12</f>
        <v>0</v>
      </c>
      <c r="G21" s="23" t="str">
        <f aca="false">Creativos!S12</f>
        <v/>
      </c>
      <c r="H21" s="23" t="n">
        <f aca="false">Creativos!T12</f>
        <v>-1.81</v>
      </c>
      <c r="I21" s="24" t="str">
        <f aca="false">Creativos!AA12</f>
        <v>APRENDIENDO</v>
      </c>
    </row>
    <row r="22" customFormat="false" ht="33.75" hidden="false" customHeight="true" outlineLevel="0" collapsed="false">
      <c r="B22" s="29"/>
      <c r="C22" s="38" t="str">
        <f aca="false">Creativos!B13</f>
        <v>BROAD_H4 PERRO</v>
      </c>
      <c r="D22" s="31" t="str">
        <f aca="false">IF(Creativos!I13="","[visual] "&amp;Creativos!H13,Creativos!I13)</f>
        <v>[visual] Perro</v>
      </c>
      <c r="E22" s="22" t="n">
        <f aca="false">Creativos!M13</f>
        <v>8.45</v>
      </c>
      <c r="F22" s="25" t="n">
        <f aca="false">Creativos!Q13</f>
        <v>2</v>
      </c>
      <c r="G22" s="23" t="n">
        <f aca="false">Creativos!S13</f>
        <v>4.03295454545455</v>
      </c>
      <c r="H22" s="23" t="n">
        <f aca="false">Creativos!T13</f>
        <v>16.19</v>
      </c>
      <c r="I22" s="24" t="str">
        <f aca="false">Creativos!AA13</f>
        <v>PROMETEDOR</v>
      </c>
    </row>
    <row r="23" customFormat="false" ht="33.75" hidden="false" customHeight="true" outlineLevel="0" collapsed="false">
      <c r="B23" s="29"/>
      <c r="C23" s="38" t="str">
        <f aca="false">Creativos!B14</f>
        <v>BROAD_H5 PERRO</v>
      </c>
      <c r="D23" s="31" t="str">
        <f aca="false">IF(Creativos!I14="","[visual] "&amp;Creativos!H14,Creativos!I14)</f>
        <v>[visual] Perro</v>
      </c>
      <c r="E23" s="22" t="n">
        <f aca="false">Creativos!M14</f>
        <v>0.05</v>
      </c>
      <c r="F23" s="25" t="n">
        <f aca="false">Creativos!Q14</f>
        <v>0</v>
      </c>
      <c r="G23" s="23" t="str">
        <f aca="false">Creativos!S14</f>
        <v/>
      </c>
      <c r="H23" s="23" t="n">
        <f aca="false">Creativos!T14</f>
        <v>-0.05</v>
      </c>
      <c r="I23" s="24" t="str">
        <f aca="false">Creativos!AA14</f>
        <v>APRENDIENDO</v>
      </c>
    </row>
    <row r="24" customFormat="false" ht="33.75" hidden="false" customHeight="true" outlineLevel="0" collapsed="false">
      <c r="B24" s="29"/>
      <c r="C24" s="38" t="str">
        <f aca="false">Creativos!B15</f>
        <v>BROAD_H6 CARRITO</v>
      </c>
      <c r="D24" s="31" t="str">
        <f aca="false">IF(Creativos!I15="","[visual] "&amp;Creativos!H15,Creativos!I15)</f>
        <v>[visual] Carrito</v>
      </c>
      <c r="E24" s="22" t="n">
        <f aca="false">Creativos!M15</f>
        <v>0.73</v>
      </c>
      <c r="F24" s="25" t="n">
        <f aca="false">Creativos!Q15</f>
        <v>0</v>
      </c>
      <c r="G24" s="23" t="str">
        <f aca="false">Creativos!S15</f>
        <v/>
      </c>
      <c r="H24" s="23" t="n">
        <f aca="false">Creativos!T15</f>
        <v>-0.73</v>
      </c>
      <c r="I24" s="24" t="str">
        <f aca="false">Creativos!AA15</f>
        <v>APRENDIENDO</v>
      </c>
    </row>
    <row r="25" customFormat="false" ht="33.75" hidden="false" customHeight="true" outlineLevel="0" collapsed="false">
      <c r="B25" s="29"/>
      <c r="C25" s="38" t="str">
        <f aca="false">Creativos!B16</f>
        <v>BROAD_H7 CARRITO</v>
      </c>
      <c r="D25" s="31" t="str">
        <f aca="false">IF(Creativos!I16="","[visual] "&amp;Creativos!H16,Creativos!I16)</f>
        <v>[visual] Carrito</v>
      </c>
      <c r="E25" s="22" t="n">
        <f aca="false">Creativos!M16</f>
        <v>12.9</v>
      </c>
      <c r="F25" s="25" t="n">
        <f aca="false">Creativos!Q16</f>
        <v>1</v>
      </c>
      <c r="G25" s="23" t="n">
        <f aca="false">Creativos!S16</f>
        <v>12.3136363636364</v>
      </c>
      <c r="H25" s="23" t="n">
        <f aca="false">Creativos!T16</f>
        <v>-0.58</v>
      </c>
      <c r="I25" s="24" t="str">
        <f aca="false">Creativos!AA16</f>
        <v>VIGILAR</v>
      </c>
    </row>
    <row r="26" customFormat="false" ht="15" hidden="false" customHeight="false" outlineLevel="0" collapsed="false">
      <c r="C26" s="32" t="s">
        <v>65</v>
      </c>
      <c r="E26" s="33" t="n">
        <f aca="false">SUM(E19:E25)</f>
        <v>147.18</v>
      </c>
      <c r="F26" s="34" t="n">
        <f aca="false">SUM(F19:F25)</f>
        <v>19</v>
      </c>
      <c r="G26" s="33" t="n">
        <f aca="false">IF(F26*RATIO&gt;0,E26/(F26*RATIO),"")</f>
        <v>7.39421052631579</v>
      </c>
      <c r="H26" s="33" t="n">
        <f aca="false">SUM(H19:H25)</f>
        <v>86.9</v>
      </c>
    </row>
  </sheetData>
  <mergeCells count="6">
    <mergeCell ref="B4:I4"/>
    <mergeCell ref="B6:B7"/>
    <mergeCell ref="B10:I10"/>
    <mergeCell ref="B12:B14"/>
    <mergeCell ref="B17:I17"/>
    <mergeCell ref="B19:B25"/>
  </mergeCells>
  <conditionalFormatting sqref="I6:I7">
    <cfRule type="cellIs" priority="2" operator="equal" aboveAverage="0" equalAverage="0" bottom="0" percent="0" rank="0" text="" dxfId="2">
      <formula>"ESCALAR"</formula>
    </cfRule>
    <cfRule type="cellIs" priority="3" operator="equal" aboveAverage="0" equalAverage="0" bottom="0" percent="0" rank="0" text="" dxfId="3">
      <formula>"MANTENER"</formula>
    </cfRule>
    <cfRule type="cellIs" priority="4" operator="equal" aboveAverage="0" equalAverage="0" bottom="0" percent="0" rank="0" text="" dxfId="4">
      <formula>"PROMETEDOR"</formula>
    </cfRule>
    <cfRule type="cellIs" priority="5" operator="equal" aboveAverage="0" equalAverage="0" bottom="0" percent="0" rank="0" text="" dxfId="4">
      <formula>"VIGILAR"</formula>
    </cfRule>
    <cfRule type="cellIs" priority="6" operator="equal" aboveAverage="0" equalAverage="0" bottom="0" percent="0" rank="0" text="" dxfId="5">
      <formula>"APAGAR"</formula>
    </cfRule>
    <cfRule type="cellIs" priority="7" operator="equal" aboveAverage="0" equalAverage="0" bottom="0" percent="0" rank="0" text="" dxfId="6">
      <formula>"APRENDIENDO"</formula>
    </cfRule>
  </conditionalFormatting>
  <conditionalFormatting sqref="H6:H8">
    <cfRule type="cellIs" priority="8" operator="lessThan" aboveAverage="0" equalAverage="0" bottom="0" percent="0" rank="0" text="" dxfId="8">
      <formula>0</formula>
    </cfRule>
    <cfRule type="cellIs" priority="9" operator="greaterThan" aboveAverage="0" equalAverage="0" bottom="0" percent="0" rank="0" text="" dxfId="7">
      <formula>0</formula>
    </cfRule>
  </conditionalFormatting>
  <conditionalFormatting sqref="I12:I14">
    <cfRule type="cellIs" priority="10" operator="equal" aboveAverage="0" equalAverage="0" bottom="0" percent="0" rank="0" text="" dxfId="2">
      <formula>"ESCALAR"</formula>
    </cfRule>
    <cfRule type="cellIs" priority="11" operator="equal" aboveAverage="0" equalAverage="0" bottom="0" percent="0" rank="0" text="" dxfId="3">
      <formula>"MANTENER"</formula>
    </cfRule>
    <cfRule type="cellIs" priority="12" operator="equal" aboveAverage="0" equalAverage="0" bottom="0" percent="0" rank="0" text="" dxfId="4">
      <formula>"PROMETEDOR"</formula>
    </cfRule>
    <cfRule type="cellIs" priority="13" operator="equal" aboveAverage="0" equalAverage="0" bottom="0" percent="0" rank="0" text="" dxfId="4">
      <formula>"VIGILAR"</formula>
    </cfRule>
    <cfRule type="cellIs" priority="14" operator="equal" aboveAverage="0" equalAverage="0" bottom="0" percent="0" rank="0" text="" dxfId="5">
      <formula>"APAGAR"</formula>
    </cfRule>
    <cfRule type="cellIs" priority="15" operator="equal" aboveAverage="0" equalAverage="0" bottom="0" percent="0" rank="0" text="" dxfId="6">
      <formula>"APRENDIENDO"</formula>
    </cfRule>
  </conditionalFormatting>
  <conditionalFormatting sqref="H12:H15">
    <cfRule type="cellIs" priority="16" operator="lessThan" aboveAverage="0" equalAverage="0" bottom="0" percent="0" rank="0" text="" dxfId="8">
      <formula>0</formula>
    </cfRule>
    <cfRule type="cellIs" priority="17" operator="greaterThan" aboveAverage="0" equalAverage="0" bottom="0" percent="0" rank="0" text="" dxfId="7">
      <formula>0</formula>
    </cfRule>
  </conditionalFormatting>
  <conditionalFormatting sqref="I19:I25">
    <cfRule type="cellIs" priority="18" operator="equal" aboveAverage="0" equalAverage="0" bottom="0" percent="0" rank="0" text="" dxfId="2">
      <formula>"ESCALAR"</formula>
    </cfRule>
    <cfRule type="cellIs" priority="19" operator="equal" aboveAverage="0" equalAverage="0" bottom="0" percent="0" rank="0" text="" dxfId="3">
      <formula>"MANTENER"</formula>
    </cfRule>
    <cfRule type="cellIs" priority="20" operator="equal" aboveAverage="0" equalAverage="0" bottom="0" percent="0" rank="0" text="" dxfId="4">
      <formula>"PROMETEDOR"</formula>
    </cfRule>
    <cfRule type="cellIs" priority="21" operator="equal" aboveAverage="0" equalAverage="0" bottom="0" percent="0" rank="0" text="" dxfId="4">
      <formula>"VIGILAR"</formula>
    </cfRule>
    <cfRule type="cellIs" priority="22" operator="equal" aboveAverage="0" equalAverage="0" bottom="0" percent="0" rank="0" text="" dxfId="5">
      <formula>"APAGAR"</formula>
    </cfRule>
    <cfRule type="cellIs" priority="23" operator="equal" aboveAverage="0" equalAverage="0" bottom="0" percent="0" rank="0" text="" dxfId="6">
      <formula>"APRENDIENDO"</formula>
    </cfRule>
  </conditionalFormatting>
  <conditionalFormatting sqref="H19:H26">
    <cfRule type="cellIs" priority="24" operator="lessThan" aboveAverage="0" equalAverage="0" bottom="0" percent="0" rank="0" text="" dxfId="8">
      <formula>0</formula>
    </cfRule>
    <cfRule type="cellIs" priority="25" operator="greater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8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44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30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5" min="15" style="0" width="7"/>
    <col collapsed="false" customWidth="true" hidden="false" outlineLevel="0" max="17" min="16" style="0" width="8"/>
    <col collapsed="false" customWidth="true" hidden="false" outlineLevel="0" max="19" min="18" style="0" width="9"/>
    <col collapsed="false" customWidth="true" hidden="false" outlineLevel="0" max="20" min="20" style="0" width="10"/>
    <col collapsed="false" customWidth="true" hidden="false" outlineLevel="0" max="22" min="21" style="0" width="9"/>
    <col collapsed="false" customWidth="true" hidden="false" outlineLevel="0" max="23" min="23" style="0" width="7"/>
    <col collapsed="false" customWidth="true" hidden="false" outlineLevel="0" max="26" min="24" style="0" width="8"/>
    <col collapsed="false" customWidth="true" hidden="false" outlineLevel="0" max="27" min="27" style="0" width="13"/>
    <col collapsed="false" customWidth="true" hidden="false" outlineLevel="0" max="28" min="28" style="0" width="36"/>
    <col collapsed="false" customWidth="true" hidden="true" outlineLevel="0" max="29" min="29" style="0" width="6"/>
  </cols>
  <sheetData>
    <row r="1" customFormat="false" ht="19.7" hidden="false" customHeight="false" outlineLevel="0" collapsed="false">
      <c r="B1" s="1" t="s">
        <v>68</v>
      </c>
    </row>
    <row r="2" customFormat="false" ht="15" hidden="false" customHeight="false" outlineLevel="0" collapsed="false">
      <c r="B2" s="2" t="s">
        <v>69</v>
      </c>
    </row>
    <row r="4" customFormat="false" ht="42" hidden="false" customHeight="true" outlineLevel="0" collapsed="false">
      <c r="A4" s="18" t="s">
        <v>70</v>
      </c>
      <c r="B4" s="18" t="s">
        <v>28</v>
      </c>
      <c r="C4" s="18" t="s">
        <v>71</v>
      </c>
      <c r="D4" s="18" t="s">
        <v>72</v>
      </c>
      <c r="E4" s="39" t="s">
        <v>46</v>
      </c>
      <c r="F4" s="39" t="s">
        <v>73</v>
      </c>
      <c r="G4" s="39" t="s">
        <v>74</v>
      </c>
      <c r="H4" s="39" t="s">
        <v>51</v>
      </c>
      <c r="I4" s="39" t="s">
        <v>75</v>
      </c>
      <c r="J4" s="18" t="s">
        <v>76</v>
      </c>
      <c r="K4" s="18" t="s">
        <v>77</v>
      </c>
      <c r="L4" s="39" t="s">
        <v>78</v>
      </c>
      <c r="M4" s="18" t="s">
        <v>31</v>
      </c>
      <c r="N4" s="18" t="s">
        <v>79</v>
      </c>
      <c r="O4" s="18" t="s">
        <v>80</v>
      </c>
      <c r="P4" s="18" t="s">
        <v>81</v>
      </c>
      <c r="Q4" s="18" t="s">
        <v>37</v>
      </c>
      <c r="R4" s="18" t="s">
        <v>82</v>
      </c>
      <c r="S4" s="18" t="s">
        <v>32</v>
      </c>
      <c r="T4" s="18" t="s">
        <v>39</v>
      </c>
      <c r="U4" s="18" t="s">
        <v>83</v>
      </c>
      <c r="V4" s="18" t="s">
        <v>84</v>
      </c>
      <c r="W4" s="18" t="s">
        <v>41</v>
      </c>
      <c r="X4" s="18" t="s">
        <v>85</v>
      </c>
      <c r="Y4" s="18" t="s">
        <v>86</v>
      </c>
      <c r="Z4" s="18" t="s">
        <v>87</v>
      </c>
      <c r="AA4" s="18" t="s">
        <v>34</v>
      </c>
      <c r="AB4" s="18" t="s">
        <v>88</v>
      </c>
      <c r="AC4" s="18" t="s">
        <v>89</v>
      </c>
    </row>
    <row r="5" customFormat="false" ht="45.75" hidden="false" customHeight="true" outlineLevel="0" collapsed="false">
      <c r="A5" s="40" t="s">
        <v>90</v>
      </c>
      <c r="B5" s="30" t="s">
        <v>91</v>
      </c>
      <c r="C5" s="41" t="s">
        <v>92</v>
      </c>
      <c r="D5" s="42" t="s">
        <v>42</v>
      </c>
      <c r="E5" s="43" t="s">
        <v>93</v>
      </c>
      <c r="F5" s="44" t="s">
        <v>94</v>
      </c>
      <c r="G5" s="43" t="s">
        <v>95</v>
      </c>
      <c r="H5" s="43" t="s">
        <v>52</v>
      </c>
      <c r="I5" s="44" t="s">
        <v>96</v>
      </c>
      <c r="J5" s="45" t="n">
        <v>46300</v>
      </c>
      <c r="K5" s="46" t="s">
        <v>97</v>
      </c>
      <c r="L5" s="44"/>
      <c r="M5" s="22" t="n">
        <f aca="false">SUMIFS(Histórico!$F$5:$F$5000,Histórico!$B$5:$B$5000,$A5,Histórico!$A$5:$A$5000,"&gt;="&amp;DESDE,Histórico!$A$5:$A$5000,"&lt;="&amp;HASTA)</f>
        <v>10.3</v>
      </c>
      <c r="N5" s="25" t="n">
        <f aca="false">SUMIFS(Histórico!$G$5:$G$5000,Histórico!$B$5:$B$5000,$A5,Histórico!$A$5:$A$5000,"&gt;="&amp;DESDE,Histórico!$A$5:$A$5000,"&lt;="&amp;HASTA)</f>
        <v>920</v>
      </c>
      <c r="O5" s="25" t="n">
        <f aca="false">SUMIFS(Histórico!$H$5:$H$5000,Histórico!$B$5:$B$5000,$A5,Histórico!$A$5:$A$5000,"&gt;="&amp;DESDE,Histórico!$A$5:$A$5000,"&lt;="&amp;HASTA)</f>
        <v>26</v>
      </c>
      <c r="P5" s="25" t="n">
        <f aca="false">SUMIFS(Histórico!$I$5:$I$5000,Histórico!$B$5:$B$5000,$A5,Histórico!$A$5:$A$5000,"&gt;="&amp;DESDE,Histórico!$A$5:$A$5000,"&lt;="&amp;HASTA)</f>
        <v>10</v>
      </c>
      <c r="Q5" s="25" t="n">
        <f aca="false">SUMIFS(Histórico!$L$5:$L$5000,Histórico!$B$5:$B$5000,$A5,Histórico!$A$5:$A$5000,"&gt;="&amp;DESDE,Histórico!$A$5:$A$5000,"&lt;="&amp;HASTA)</f>
        <v>2</v>
      </c>
      <c r="R5" s="26" t="n">
        <f aca="false">Q5*RATIO</f>
        <v>2.0952380952381</v>
      </c>
      <c r="S5" s="23" t="n">
        <f aca="false">IF(R5&gt;0,M5/R5,"")</f>
        <v>4.91590909090909</v>
      </c>
      <c r="T5" s="23" t="n">
        <f aca="false">R5*BEN_PEDIDO-M5*(1+RECARGO)</f>
        <v>14.34</v>
      </c>
      <c r="U5" s="27" t="n">
        <f aca="false">IF(N5&gt;0,SUMIFS(Histórico!$M$5:$M$5000,Histórico!$B$5:$B$5000,$A5,Histórico!$A$5:$A$5000,"&gt;="&amp;DESDE,Histórico!$A$5:$A$5000,"&lt;="&amp;HASTA)/N5,"")</f>
        <v>0.267391304347826</v>
      </c>
      <c r="V5" s="27" t="n">
        <f aca="false">IF(SUMIFS(Histórico!$M$5:$M$5000,Histórico!$B$5:$B$5000,$A5,Histórico!$A$5:$A$5000,"&gt;="&amp;DESDE,Histórico!$A$5:$A$5000,"&lt;="&amp;HASTA)&gt;0,SUMIFS(Histórico!$N$5:$N$5000,Histórico!$B$5:$B$5000,$A5,Histórico!$A$5:$A$5000,"&gt;="&amp;DESDE,Histórico!$A$5:$A$5000,"&lt;="&amp;HASTA)/SUMIFS(Histórico!$M$5:$M$5000,Histórico!$B$5:$B$5000,$A5,Histórico!$A$5:$A$5000,"&gt;="&amp;DESDE,Histórico!$A$5:$A$5000,"&lt;="&amp;HASTA),"")</f>
        <v>0.699186991869919</v>
      </c>
      <c r="W5" s="27" t="n">
        <f aca="false">IF(N5&gt;0,O5/N5,"")</f>
        <v>0.0282608695652174</v>
      </c>
      <c r="X5" s="27" t="n">
        <f aca="false">IF(O5&gt;0,P5/O5,"")</f>
        <v>0.384615384615385</v>
      </c>
      <c r="Y5" s="27" t="n">
        <f aca="false">IF(O5&gt;0,Q5/O5,"")</f>
        <v>0.0769230769230769</v>
      </c>
      <c r="Z5" s="26" t="n">
        <f aca="false">IF(N5&gt;0,SUMIFS(Histórico!$T$5:$T$5000,Histórico!$B$5:$B$5000,$A5,Histórico!$A$5:$A$5000,"&gt;="&amp;DESDE,Histórico!$A$5:$A$5000,"&lt;="&amp;HASTA)/N5,"")</f>
        <v>7.44347826086957</v>
      </c>
      <c r="AA5" s="19" t="str">
        <f aca="false">IF(M5=0,"SIN GASTO",IF(Q5=0,IF(M5&gt;=APG_SV*CPA_BE,"APAGAR",IF(M5&gt;=0.5*CPA_BE,"VIGILAR","APRENDIENDO")),IF(AND(S5&lt;=UMB_ESC*CPA_BE,Q5&gt;=3),"ESCALAR",IF(AND(S5&lt;=CPA_BE,Q5&gt;=3),"MANTENER",IF(S5&lt;=CPA_BE,"PROMETEDOR",IF(M5&gt;=APG_CV*CPA_BE,"APAGAR","VIGILAR"))))))</f>
        <v>PROMETEDOR</v>
      </c>
      <c r="AB5" s="31" t="str">
        <f aca="false">IF(N5&lt;MIN_IMPR,"Pocos datos todavía",IF(AND(ISNUMBER(U5),U5&lt;0.7*MEDIA_GANCHO),"Gancho flojo: cambia los 3 primeros segundos",IF(AND(ISNUMBER(W5),W5&lt;0.7*MEDIA_CTR),"Enganchan pero no hacen clic: refuerza oferta y llamada a la acción",IF(AND(O5&gt;=20,ISNUMBER(Y5),Y5&lt;0.6*MEDIA_CVR),"Hacen clic pero no compran: revisa ángulo y página",IF(AND(ISNUMBER(U5),U5&gt;=1.3*MEDIA_GANCHO),"Gancho por encima de la media: reutiliza este inicio","En la media de la campaña")))))</f>
        <v>Gancho por encima de la media: reutiliza este inicio</v>
      </c>
      <c r="AC5" s="47" t="n">
        <f aca="false">IF(M5&gt;0,T5+ROW()/1000000,-1000000+ROW())</f>
        <v>14.340005</v>
      </c>
    </row>
    <row r="6" customFormat="false" ht="45.75" hidden="false" customHeight="true" outlineLevel="0" collapsed="false">
      <c r="A6" s="40" t="s">
        <v>98</v>
      </c>
      <c r="B6" s="30" t="s">
        <v>99</v>
      </c>
      <c r="C6" s="41" t="s">
        <v>92</v>
      </c>
      <c r="D6" s="42" t="s">
        <v>42</v>
      </c>
      <c r="E6" s="43" t="s">
        <v>93</v>
      </c>
      <c r="F6" s="44" t="s">
        <v>94</v>
      </c>
      <c r="G6" s="43" t="s">
        <v>95</v>
      </c>
      <c r="H6" s="43" t="s">
        <v>52</v>
      </c>
      <c r="I6" s="44" t="s">
        <v>100</v>
      </c>
      <c r="J6" s="45" t="n">
        <v>46300</v>
      </c>
      <c r="K6" s="46" t="s">
        <v>97</v>
      </c>
      <c r="L6" s="44"/>
      <c r="M6" s="22" t="n">
        <f aca="false">SUMIFS(Histórico!$F$5:$F$5000,Histórico!$B$5:$B$5000,$A6,Histórico!$A$5:$A$5000,"&gt;="&amp;DESDE,Histórico!$A$5:$A$5000,"&lt;="&amp;HASTA)</f>
        <v>3.37</v>
      </c>
      <c r="N6" s="25" t="n">
        <f aca="false">SUMIFS(Histórico!$G$5:$G$5000,Histórico!$B$5:$B$5000,$A6,Histórico!$A$5:$A$5000,"&gt;="&amp;DESDE,Histórico!$A$5:$A$5000,"&lt;="&amp;HASTA)</f>
        <v>298</v>
      </c>
      <c r="O6" s="25" t="n">
        <f aca="false">SUMIFS(Histórico!$H$5:$H$5000,Histórico!$B$5:$B$5000,$A6,Histórico!$A$5:$A$5000,"&gt;="&amp;DESDE,Histórico!$A$5:$A$5000,"&lt;="&amp;HASTA)</f>
        <v>5</v>
      </c>
      <c r="P6" s="25" t="n">
        <f aca="false">SUMIFS(Histórico!$I$5:$I$5000,Histórico!$B$5:$B$5000,$A6,Histórico!$A$5:$A$5000,"&gt;="&amp;DESDE,Histórico!$A$5:$A$5000,"&lt;="&amp;HASTA)</f>
        <v>0</v>
      </c>
      <c r="Q6" s="25" t="n">
        <f aca="false">SUMIFS(Histórico!$L$5:$L$5000,Histórico!$B$5:$B$5000,$A6,Histórico!$A$5:$A$5000,"&gt;="&amp;DESDE,Histórico!$A$5:$A$5000,"&lt;="&amp;HASTA)</f>
        <v>0</v>
      </c>
      <c r="R6" s="26" t="n">
        <f aca="false">Q6*RATIO</f>
        <v>0</v>
      </c>
      <c r="S6" s="23" t="str">
        <f aca="false">IF(R6&gt;0,M6/R6,"")</f>
        <v/>
      </c>
      <c r="T6" s="23" t="n">
        <f aca="false">R6*BEN_PEDIDO-M6*(1+RECARGO)</f>
        <v>-3.37</v>
      </c>
      <c r="U6" s="27" t="n">
        <f aca="false">IF(N6&gt;0,SUMIFS(Histórico!$M$5:$M$5000,Histórico!$B$5:$B$5000,$A6,Histórico!$A$5:$A$5000,"&gt;="&amp;DESDE,Histórico!$A$5:$A$5000,"&lt;="&amp;HASTA)/N6,"")</f>
        <v>0.211409395973154</v>
      </c>
      <c r="V6" s="27" t="n">
        <f aca="false">IF(SUMIFS(Histórico!$M$5:$M$5000,Histórico!$B$5:$B$5000,$A6,Histórico!$A$5:$A$5000,"&gt;="&amp;DESDE,Histórico!$A$5:$A$5000,"&lt;="&amp;HASTA)&gt;0,SUMIFS(Histórico!$N$5:$N$5000,Histórico!$B$5:$B$5000,$A6,Histórico!$A$5:$A$5000,"&gt;="&amp;DESDE,Histórico!$A$5:$A$5000,"&lt;="&amp;HASTA)/SUMIFS(Histórico!$M$5:$M$5000,Histórico!$B$5:$B$5000,$A6,Histórico!$A$5:$A$5000,"&gt;="&amp;DESDE,Histórico!$A$5:$A$5000,"&lt;="&amp;HASTA),"")</f>
        <v>0.746031746031746</v>
      </c>
      <c r="W6" s="27" t="n">
        <f aca="false">IF(N6&gt;0,O6/N6,"")</f>
        <v>0.0167785234899329</v>
      </c>
      <c r="X6" s="27" t="n">
        <f aca="false">IF(O6&gt;0,P6/O6,"")</f>
        <v>0</v>
      </c>
      <c r="Y6" s="27" t="n">
        <f aca="false">IF(O6&gt;0,Q6/O6,"")</f>
        <v>0</v>
      </c>
      <c r="Z6" s="26" t="n">
        <f aca="false">IF(N6&gt;0,SUMIFS(Histórico!$T$5:$T$5000,Histórico!$B$5:$B$5000,$A6,Histórico!$A$5:$A$5000,"&gt;="&amp;DESDE,Histórico!$A$5:$A$5000,"&lt;="&amp;HASTA)/N6,"")</f>
        <v>7.7248322147651</v>
      </c>
      <c r="AA6" s="19" t="str">
        <f aca="false">IF(M6=0,"SIN GASTO",IF(Q6=0,IF(M6&gt;=APG_SV*CPA_BE,"APAGAR",IF(M6&gt;=0.5*CPA_BE,"VIGILAR","APRENDIENDO")),IF(AND(S6&lt;=UMB_ESC*CPA_BE,Q6&gt;=3),"ESCALAR",IF(AND(S6&lt;=CPA_BE,Q6&gt;=3),"MANTENER",IF(S6&lt;=CPA_BE,"PROMETEDOR",IF(M6&gt;=APG_CV*CPA_BE,"APAGAR","VIGILAR"))))))</f>
        <v>APRENDIENDO</v>
      </c>
      <c r="AB6" s="31" t="str">
        <f aca="false">IF(N6&lt;MIN_IMPR,"Pocos datos todavía",IF(AND(ISNUMBER(U6),U6&lt;0.7*MEDIA_GANCHO),"Gancho flojo: cambia los 3 primeros segundos",IF(AND(ISNUMBER(W6),W6&lt;0.7*MEDIA_CTR),"Enganchan pero no hacen clic: refuerza oferta y llamada a la acción",IF(AND(O6&gt;=20,ISNUMBER(Y6),Y6&lt;0.6*MEDIA_CVR),"Hacen clic pero no compran: revisa ángulo y página",IF(AND(ISNUMBER(U6),U6&gt;=1.3*MEDIA_GANCHO),"Gancho por encima de la media: reutiliza este inicio","En la media de la campaña")))))</f>
        <v>Pocos datos todavía</v>
      </c>
      <c r="AC6" s="47" t="n">
        <f aca="false">IF(M6&gt;0,T6+ROW()/1000000,-1000000+ROW())</f>
        <v>-3.369994</v>
      </c>
    </row>
    <row r="7" customFormat="false" ht="45.75" hidden="false" customHeight="true" outlineLevel="0" collapsed="false">
      <c r="A7" s="48" t="s">
        <v>101</v>
      </c>
      <c r="B7" s="36" t="s">
        <v>102</v>
      </c>
      <c r="C7" s="41" t="s">
        <v>92</v>
      </c>
      <c r="D7" s="49" t="s">
        <v>43</v>
      </c>
      <c r="E7" s="43" t="s">
        <v>103</v>
      </c>
      <c r="F7" s="44" t="s">
        <v>94</v>
      </c>
      <c r="G7" s="43" t="s">
        <v>95</v>
      </c>
      <c r="H7" s="43" t="s">
        <v>53</v>
      </c>
      <c r="I7" s="44" t="s">
        <v>104</v>
      </c>
      <c r="J7" s="45" t="n">
        <v>46300</v>
      </c>
      <c r="K7" s="46" t="s">
        <v>97</v>
      </c>
      <c r="L7" s="44"/>
      <c r="M7" s="22" t="n">
        <f aca="false">SUMIFS(Histórico!$F$5:$F$5000,Histórico!$B$5:$B$5000,$A7,Histórico!$A$5:$A$5000,"&gt;="&amp;DESDE,Histórico!$A$5:$A$5000,"&lt;="&amp;HASTA)</f>
        <v>9.17</v>
      </c>
      <c r="N7" s="25" t="n">
        <f aca="false">SUMIFS(Histórico!$G$5:$G$5000,Histórico!$B$5:$B$5000,$A7,Histórico!$A$5:$A$5000,"&gt;="&amp;DESDE,Histórico!$A$5:$A$5000,"&lt;="&amp;HASTA)</f>
        <v>627</v>
      </c>
      <c r="O7" s="25" t="n">
        <f aca="false">SUMIFS(Histórico!$H$5:$H$5000,Histórico!$B$5:$B$5000,$A7,Histórico!$A$5:$A$5000,"&gt;="&amp;DESDE,Histórico!$A$5:$A$5000,"&lt;="&amp;HASTA)</f>
        <v>23</v>
      </c>
      <c r="P7" s="25" t="n">
        <f aca="false">SUMIFS(Histórico!$I$5:$I$5000,Histórico!$B$5:$B$5000,$A7,Histórico!$A$5:$A$5000,"&gt;="&amp;DESDE,Histórico!$A$5:$A$5000,"&lt;="&amp;HASTA)</f>
        <v>10</v>
      </c>
      <c r="Q7" s="25" t="n">
        <f aca="false">SUMIFS(Histórico!$L$5:$L$5000,Histórico!$B$5:$B$5000,$A7,Histórico!$A$5:$A$5000,"&gt;="&amp;DESDE,Histórico!$A$5:$A$5000,"&lt;="&amp;HASTA)</f>
        <v>0</v>
      </c>
      <c r="R7" s="26" t="n">
        <f aca="false">Q7*RATIO</f>
        <v>0</v>
      </c>
      <c r="S7" s="23" t="str">
        <f aca="false">IF(R7&gt;0,M7/R7,"")</f>
        <v/>
      </c>
      <c r="T7" s="23" t="n">
        <f aca="false">R7*BEN_PEDIDO-M7*(1+RECARGO)</f>
        <v>-9.17</v>
      </c>
      <c r="U7" s="27" t="n">
        <f aca="false">IF(N7&gt;0,SUMIFS(Histórico!$M$5:$M$5000,Histórico!$B$5:$B$5000,$A7,Histórico!$A$5:$A$5000,"&gt;="&amp;DESDE,Histórico!$A$5:$A$5000,"&lt;="&amp;HASTA)/N7,"")</f>
        <v>0.194577352472089</v>
      </c>
      <c r="V7" s="27" t="n">
        <f aca="false">IF(SUMIFS(Histórico!$M$5:$M$5000,Histórico!$B$5:$B$5000,$A7,Histórico!$A$5:$A$5000,"&gt;="&amp;DESDE,Histórico!$A$5:$A$5000,"&lt;="&amp;HASTA)&gt;0,SUMIFS(Histórico!$N$5:$N$5000,Histórico!$B$5:$B$5000,$A7,Histórico!$A$5:$A$5000,"&gt;="&amp;DESDE,Histórico!$A$5:$A$5000,"&lt;="&amp;HASTA)/SUMIFS(Histórico!$M$5:$M$5000,Histórico!$B$5:$B$5000,$A7,Histórico!$A$5:$A$5000,"&gt;="&amp;DESDE,Histórico!$A$5:$A$5000,"&lt;="&amp;HASTA),"")</f>
        <v>0.663934426229508</v>
      </c>
      <c r="W7" s="27" t="n">
        <f aca="false">IF(N7&gt;0,O7/N7,"")</f>
        <v>0.0366826156299841</v>
      </c>
      <c r="X7" s="27" t="n">
        <f aca="false">IF(O7&gt;0,P7/O7,"")</f>
        <v>0.434782608695652</v>
      </c>
      <c r="Y7" s="27" t="n">
        <f aca="false">IF(O7&gt;0,Q7/O7,"")</f>
        <v>0</v>
      </c>
      <c r="Z7" s="26" t="n">
        <f aca="false">IF(N7&gt;0,SUMIFS(Histórico!$T$5:$T$5000,Histórico!$B$5:$B$5000,$A7,Histórico!$A$5:$A$5000,"&gt;="&amp;DESDE,Histórico!$A$5:$A$5000,"&lt;="&amp;HASTA)/N7,"")</f>
        <v>7.03987240829346</v>
      </c>
      <c r="AA7" s="19" t="str">
        <f aca="false">IF(M7=0,"SIN GASTO",IF(Q7=0,IF(M7&gt;=APG_SV*CPA_BE,"APAGAR",IF(M7&gt;=0.5*CPA_BE,"VIGILAR","APRENDIENDO")),IF(AND(S7&lt;=UMB_ESC*CPA_BE,Q7&gt;=3),"ESCALAR",IF(AND(S7&lt;=CPA_BE,Q7&gt;=3),"MANTENER",IF(S7&lt;=CPA_BE,"PROMETEDOR",IF(M7&gt;=APG_CV*CPA_BE,"APAGAR","VIGILAR"))))))</f>
        <v>VIGILAR</v>
      </c>
      <c r="AB7" s="31" t="str">
        <f aca="false">IF(N7&lt;MIN_IMPR,"Pocos datos todavía",IF(AND(ISNUMBER(U7),U7&lt;0.7*MEDIA_GANCHO),"Gancho flojo: cambia los 3 primeros segundos",IF(AND(ISNUMBER(W7),W7&lt;0.7*MEDIA_CTR),"Enganchan pero no hacen clic: refuerza oferta y llamada a la acción",IF(AND(O7&gt;=20,ISNUMBER(Y7),Y7&lt;0.6*MEDIA_CVR),"Hacen clic pero no compran: revisa ángulo y página",IF(AND(ISNUMBER(U7),U7&gt;=1.3*MEDIA_GANCHO),"Gancho por encima de la media: reutiliza este inicio","En la media de la campaña")))))</f>
        <v>Pocos datos todavía</v>
      </c>
      <c r="AC7" s="47" t="n">
        <f aca="false">IF(M7&gt;0,T7+ROW()/1000000,-1000000+ROW())</f>
        <v>-9.169993</v>
      </c>
    </row>
    <row r="8" customFormat="false" ht="45.75" hidden="false" customHeight="true" outlineLevel="0" collapsed="false">
      <c r="A8" s="48" t="s">
        <v>105</v>
      </c>
      <c r="B8" s="36" t="s">
        <v>106</v>
      </c>
      <c r="C8" s="41" t="s">
        <v>92</v>
      </c>
      <c r="D8" s="49" t="s">
        <v>43</v>
      </c>
      <c r="E8" s="43" t="s">
        <v>103</v>
      </c>
      <c r="F8" s="44" t="s">
        <v>94</v>
      </c>
      <c r="G8" s="43" t="s">
        <v>95</v>
      </c>
      <c r="H8" s="43" t="s">
        <v>53</v>
      </c>
      <c r="I8" s="44" t="s">
        <v>107</v>
      </c>
      <c r="J8" s="45" t="n">
        <v>46300</v>
      </c>
      <c r="K8" s="46" t="s">
        <v>97</v>
      </c>
      <c r="L8" s="44"/>
      <c r="M8" s="22" t="n">
        <f aca="false">SUMIFS(Histórico!$F$5:$F$5000,Histórico!$B$5:$B$5000,$A8,Histórico!$A$5:$A$5000,"&gt;="&amp;DESDE,Histórico!$A$5:$A$5000,"&lt;="&amp;HASTA)</f>
        <v>2.35</v>
      </c>
      <c r="N8" s="25" t="n">
        <f aca="false">SUMIFS(Histórico!$G$5:$G$5000,Histórico!$B$5:$B$5000,$A8,Histórico!$A$5:$A$5000,"&gt;="&amp;DESDE,Histórico!$A$5:$A$5000,"&lt;="&amp;HASTA)</f>
        <v>232</v>
      </c>
      <c r="O8" s="25" t="n">
        <f aca="false">SUMIFS(Histórico!$H$5:$H$5000,Histórico!$B$5:$B$5000,$A8,Histórico!$A$5:$A$5000,"&gt;="&amp;DESDE,Histórico!$A$5:$A$5000,"&lt;="&amp;HASTA)</f>
        <v>6</v>
      </c>
      <c r="P8" s="25" t="n">
        <f aca="false">SUMIFS(Histórico!$I$5:$I$5000,Histórico!$B$5:$B$5000,$A8,Histórico!$A$5:$A$5000,"&gt;="&amp;DESDE,Histórico!$A$5:$A$5000,"&lt;="&amp;HASTA)</f>
        <v>0</v>
      </c>
      <c r="Q8" s="25" t="n">
        <f aca="false">SUMIFS(Histórico!$L$5:$L$5000,Histórico!$B$5:$B$5000,$A8,Histórico!$A$5:$A$5000,"&gt;="&amp;DESDE,Histórico!$A$5:$A$5000,"&lt;="&amp;HASTA)</f>
        <v>0</v>
      </c>
      <c r="R8" s="26" t="n">
        <f aca="false">Q8*RATIO</f>
        <v>0</v>
      </c>
      <c r="S8" s="23" t="str">
        <f aca="false">IF(R8&gt;0,M8/R8,"")</f>
        <v/>
      </c>
      <c r="T8" s="23" t="n">
        <f aca="false">R8*BEN_PEDIDO-M8*(1+RECARGO)</f>
        <v>-2.35</v>
      </c>
      <c r="U8" s="27" t="n">
        <f aca="false">IF(N8&gt;0,SUMIFS(Histórico!$M$5:$M$5000,Histórico!$B$5:$B$5000,$A8,Histórico!$A$5:$A$5000,"&gt;="&amp;DESDE,Histórico!$A$5:$A$5000,"&lt;="&amp;HASTA)/N8,"")</f>
        <v>0.163793103448276</v>
      </c>
      <c r="V8" s="27" t="n">
        <f aca="false">IF(SUMIFS(Histórico!$M$5:$M$5000,Histórico!$B$5:$B$5000,$A8,Histórico!$A$5:$A$5000,"&gt;="&amp;DESDE,Histórico!$A$5:$A$5000,"&lt;="&amp;HASTA)&gt;0,SUMIFS(Histórico!$N$5:$N$5000,Histórico!$B$5:$B$5000,$A8,Histórico!$A$5:$A$5000,"&gt;="&amp;DESDE,Histórico!$A$5:$A$5000,"&lt;="&amp;HASTA)/SUMIFS(Histórico!$M$5:$M$5000,Histórico!$B$5:$B$5000,$A8,Histórico!$A$5:$A$5000,"&gt;="&amp;DESDE,Histórico!$A$5:$A$5000,"&lt;="&amp;HASTA),"")</f>
        <v>0.631578947368421</v>
      </c>
      <c r="W8" s="27" t="n">
        <f aca="false">IF(N8&gt;0,O8/N8,"")</f>
        <v>0.0258620689655172</v>
      </c>
      <c r="X8" s="27" t="n">
        <f aca="false">IF(O8&gt;0,P8/O8,"")</f>
        <v>0</v>
      </c>
      <c r="Y8" s="27" t="n">
        <f aca="false">IF(O8&gt;0,Q8/O8,"")</f>
        <v>0</v>
      </c>
      <c r="Z8" s="26" t="n">
        <f aca="false">IF(N8&gt;0,SUMIFS(Histórico!$T$5:$T$5000,Histórico!$B$5:$B$5000,$A8,Histórico!$A$5:$A$5000,"&gt;="&amp;DESDE,Histórico!$A$5:$A$5000,"&lt;="&amp;HASTA)/N8,"")</f>
        <v>6.42672413793104</v>
      </c>
      <c r="AA8" s="19" t="str">
        <f aca="false">IF(M8=0,"SIN GASTO",IF(Q8=0,IF(M8&gt;=APG_SV*CPA_BE,"APAGAR",IF(M8&gt;=0.5*CPA_BE,"VIGILAR","APRENDIENDO")),IF(AND(S8&lt;=UMB_ESC*CPA_BE,Q8&gt;=3),"ESCALAR",IF(AND(S8&lt;=CPA_BE,Q8&gt;=3),"MANTENER",IF(S8&lt;=CPA_BE,"PROMETEDOR",IF(M8&gt;=APG_CV*CPA_BE,"APAGAR","VIGILAR"))))))</f>
        <v>APRENDIENDO</v>
      </c>
      <c r="AB8" s="31" t="str">
        <f aca="false">IF(N8&lt;MIN_IMPR,"Pocos datos todavía",IF(AND(ISNUMBER(U8),U8&lt;0.7*MEDIA_GANCHO),"Gancho flojo: cambia los 3 primeros segundos",IF(AND(ISNUMBER(W8),W8&lt;0.7*MEDIA_CTR),"Enganchan pero no hacen clic: refuerza oferta y llamada a la acción",IF(AND(O8&gt;=20,ISNUMBER(Y8),Y8&lt;0.6*MEDIA_CVR),"Hacen clic pero no compran: revisa ángulo y página",IF(AND(ISNUMBER(U8),U8&gt;=1.3*MEDIA_GANCHO),"Gancho por encima de la media: reutiliza este inicio","En la media de la campaña")))))</f>
        <v>Pocos datos todavía</v>
      </c>
      <c r="AC8" s="47" t="n">
        <f aca="false">IF(M8&gt;0,T8+ROW()/1000000,-1000000+ROW())</f>
        <v>-2.349992</v>
      </c>
    </row>
    <row r="9" customFormat="false" ht="45.75" hidden="false" customHeight="true" outlineLevel="0" collapsed="false">
      <c r="A9" s="48" t="s">
        <v>108</v>
      </c>
      <c r="B9" s="36" t="s">
        <v>109</v>
      </c>
      <c r="C9" s="41" t="s">
        <v>92</v>
      </c>
      <c r="D9" s="49" t="s">
        <v>43</v>
      </c>
      <c r="E9" s="43" t="s">
        <v>103</v>
      </c>
      <c r="F9" s="44" t="s">
        <v>94</v>
      </c>
      <c r="G9" s="43" t="s">
        <v>95</v>
      </c>
      <c r="H9" s="43" t="s">
        <v>53</v>
      </c>
      <c r="I9" s="44" t="s">
        <v>110</v>
      </c>
      <c r="J9" s="45" t="n">
        <v>46300</v>
      </c>
      <c r="K9" s="46" t="s">
        <v>97</v>
      </c>
      <c r="L9" s="44"/>
      <c r="M9" s="22" t="n">
        <f aca="false">SUMIFS(Histórico!$F$5:$F$5000,Histórico!$B$5:$B$5000,$A9,Histórico!$A$5:$A$5000,"&gt;="&amp;DESDE,Histórico!$A$5:$A$5000,"&lt;="&amp;HASTA)</f>
        <v>2.84</v>
      </c>
      <c r="N9" s="25" t="n">
        <f aca="false">SUMIFS(Histórico!$G$5:$G$5000,Histórico!$B$5:$B$5000,$A9,Histórico!$A$5:$A$5000,"&gt;="&amp;DESDE,Histórico!$A$5:$A$5000,"&lt;="&amp;HASTA)</f>
        <v>220</v>
      </c>
      <c r="O9" s="25" t="n">
        <f aca="false">SUMIFS(Histórico!$H$5:$H$5000,Histórico!$B$5:$B$5000,$A9,Histórico!$A$5:$A$5000,"&gt;="&amp;DESDE,Histórico!$A$5:$A$5000,"&lt;="&amp;HASTA)</f>
        <v>5</v>
      </c>
      <c r="P9" s="25" t="n">
        <f aca="false">SUMIFS(Histórico!$I$5:$I$5000,Histórico!$B$5:$B$5000,$A9,Histórico!$A$5:$A$5000,"&gt;="&amp;DESDE,Histórico!$A$5:$A$5000,"&lt;="&amp;HASTA)</f>
        <v>1</v>
      </c>
      <c r="Q9" s="25" t="n">
        <f aca="false">SUMIFS(Histórico!$L$5:$L$5000,Histórico!$B$5:$B$5000,$A9,Histórico!$A$5:$A$5000,"&gt;="&amp;DESDE,Histórico!$A$5:$A$5000,"&lt;="&amp;HASTA)</f>
        <v>0</v>
      </c>
      <c r="R9" s="26" t="n">
        <f aca="false">Q9*RATIO</f>
        <v>0</v>
      </c>
      <c r="S9" s="23" t="str">
        <f aca="false">IF(R9&gt;0,M9/R9,"")</f>
        <v/>
      </c>
      <c r="T9" s="23" t="n">
        <f aca="false">R9*BEN_PEDIDO-M9*(1+RECARGO)</f>
        <v>-2.84</v>
      </c>
      <c r="U9" s="27" t="n">
        <f aca="false">IF(N9&gt;0,SUMIFS(Histórico!$M$5:$M$5000,Histórico!$B$5:$B$5000,$A9,Histórico!$A$5:$A$5000,"&gt;="&amp;DESDE,Histórico!$A$5:$A$5000,"&lt;="&amp;HASTA)/N9,"")</f>
        <v>0.218181818181818</v>
      </c>
      <c r="V9" s="27" t="n">
        <f aca="false">IF(SUMIFS(Histórico!$M$5:$M$5000,Histórico!$B$5:$B$5000,$A9,Histórico!$A$5:$A$5000,"&gt;="&amp;DESDE,Histórico!$A$5:$A$5000,"&lt;="&amp;HASTA)&gt;0,SUMIFS(Histórico!$N$5:$N$5000,Histórico!$B$5:$B$5000,$A9,Histórico!$A$5:$A$5000,"&gt;="&amp;DESDE,Histórico!$A$5:$A$5000,"&lt;="&amp;HASTA)/SUMIFS(Histórico!$M$5:$M$5000,Histórico!$B$5:$B$5000,$A9,Histórico!$A$5:$A$5000,"&gt;="&amp;DESDE,Histórico!$A$5:$A$5000,"&lt;="&amp;HASTA),"")</f>
        <v>0.583333333333333</v>
      </c>
      <c r="W9" s="27" t="n">
        <f aca="false">IF(N9&gt;0,O9/N9,"")</f>
        <v>0.0227272727272727</v>
      </c>
      <c r="X9" s="27" t="n">
        <f aca="false">IF(O9&gt;0,P9/O9,"")</f>
        <v>0.2</v>
      </c>
      <c r="Y9" s="27" t="n">
        <f aca="false">IF(O9&gt;0,Q9/O9,"")</f>
        <v>0</v>
      </c>
      <c r="Z9" s="26" t="n">
        <f aca="false">IF(N9&gt;0,SUMIFS(Histórico!$T$5:$T$5000,Histórico!$B$5:$B$5000,$A9,Histórico!$A$5:$A$5000,"&gt;="&amp;DESDE,Histórico!$A$5:$A$5000,"&lt;="&amp;HASTA)/N9,"")</f>
        <v>7.20909090909091</v>
      </c>
      <c r="AA9" s="19" t="str">
        <f aca="false">IF(M9=0,"SIN GASTO",IF(Q9=0,IF(M9&gt;=APG_SV*CPA_BE,"APAGAR",IF(M9&gt;=0.5*CPA_BE,"VIGILAR","APRENDIENDO")),IF(AND(S9&lt;=UMB_ESC*CPA_BE,Q9&gt;=3),"ESCALAR",IF(AND(S9&lt;=CPA_BE,Q9&gt;=3),"MANTENER",IF(S9&lt;=CPA_BE,"PROMETEDOR",IF(M9&gt;=APG_CV*CPA_BE,"APAGAR","VIGILAR"))))))</f>
        <v>APRENDIENDO</v>
      </c>
      <c r="AB9" s="31" t="str">
        <f aca="false">IF(N9&lt;MIN_IMPR,"Pocos datos todavía",IF(AND(ISNUMBER(U9),U9&lt;0.7*MEDIA_GANCHO),"Gancho flojo: cambia los 3 primeros segundos",IF(AND(ISNUMBER(W9),W9&lt;0.7*MEDIA_CTR),"Enganchan pero no hacen clic: refuerza oferta y llamada a la acción",IF(AND(O9&gt;=20,ISNUMBER(Y9),Y9&lt;0.6*MEDIA_CVR),"Hacen clic pero no compran: revisa ángulo y página",IF(AND(ISNUMBER(U9),U9&gt;=1.3*MEDIA_GANCHO),"Gancho por encima de la media: reutiliza este inicio","En la media de la campaña")))))</f>
        <v>Pocos datos todavía</v>
      </c>
      <c r="AC9" s="47" t="n">
        <f aca="false">IF(M9&gt;0,T9+ROW()/1000000,-1000000+ROW())</f>
        <v>-2.839991</v>
      </c>
    </row>
    <row r="10" customFormat="false" ht="45.75" hidden="false" customHeight="true" outlineLevel="0" collapsed="false">
      <c r="A10" s="50" t="s">
        <v>111</v>
      </c>
      <c r="B10" s="38" t="s">
        <v>112</v>
      </c>
      <c r="C10" s="41" t="s">
        <v>92</v>
      </c>
      <c r="D10" s="51" t="s">
        <v>44</v>
      </c>
      <c r="E10" s="43" t="s">
        <v>113</v>
      </c>
      <c r="F10" s="44" t="s">
        <v>114</v>
      </c>
      <c r="G10" s="43" t="s">
        <v>115</v>
      </c>
      <c r="H10" s="43" t="s">
        <v>54</v>
      </c>
      <c r="I10" s="44"/>
      <c r="J10" s="45" t="n">
        <v>46300</v>
      </c>
      <c r="K10" s="46" t="s">
        <v>97</v>
      </c>
      <c r="L10" s="44"/>
      <c r="M10" s="22" t="n">
        <f aca="false">SUMIFS(Histórico!$F$5:$F$5000,Histórico!$B$5:$B$5000,$A10,Histórico!$A$5:$A$5000,"&gt;="&amp;DESDE,Histórico!$A$5:$A$5000,"&lt;="&amp;HASTA)</f>
        <v>85.54</v>
      </c>
      <c r="N10" s="25" t="n">
        <f aca="false">SUMIFS(Histórico!$G$5:$G$5000,Histórico!$B$5:$B$5000,$A10,Histórico!$A$5:$A$5000,"&gt;="&amp;DESDE,Histórico!$A$5:$A$5000,"&lt;="&amp;HASTA)</f>
        <v>14164</v>
      </c>
      <c r="O10" s="25" t="n">
        <f aca="false">SUMIFS(Histórico!$H$5:$H$5000,Histórico!$B$5:$B$5000,$A10,Histórico!$A$5:$A$5000,"&gt;="&amp;DESDE,Histórico!$A$5:$A$5000,"&lt;="&amp;HASTA)</f>
        <v>228</v>
      </c>
      <c r="P10" s="25" t="n">
        <f aca="false">SUMIFS(Histórico!$I$5:$I$5000,Histórico!$B$5:$B$5000,$A10,Histórico!$A$5:$A$5000,"&gt;="&amp;DESDE,Histórico!$A$5:$A$5000,"&lt;="&amp;HASTA)</f>
        <v>86</v>
      </c>
      <c r="Q10" s="25" t="n">
        <f aca="false">SUMIFS(Histórico!$L$5:$L$5000,Histórico!$B$5:$B$5000,$A10,Histórico!$A$5:$A$5000,"&gt;="&amp;DESDE,Histórico!$A$5:$A$5000,"&lt;="&amp;HASTA)</f>
        <v>10</v>
      </c>
      <c r="R10" s="26" t="n">
        <f aca="false">Q10*RATIO</f>
        <v>10.4761904761905</v>
      </c>
      <c r="S10" s="23" t="n">
        <f aca="false">IF(R10&gt;0,M10/R10,"")</f>
        <v>8.16518181818182</v>
      </c>
      <c r="T10" s="23" t="n">
        <f aca="false">R10*BEN_PEDIDO-M10*(1+RECARGO)</f>
        <v>37.66</v>
      </c>
      <c r="U10" s="27" t="n">
        <f aca="false">IF(N10&gt;0,SUMIFS(Histórico!$M$5:$M$5000,Histórico!$B$5:$B$5000,$A10,Histórico!$A$5:$A$5000,"&gt;="&amp;DESDE,Histórico!$A$5:$A$5000,"&lt;="&amp;HASTA)/N10,"")</f>
        <v>0.121081615362892</v>
      </c>
      <c r="V10" s="27" t="n">
        <f aca="false">IF(SUMIFS(Histórico!$M$5:$M$5000,Histórico!$B$5:$B$5000,$A10,Histórico!$A$5:$A$5000,"&gt;="&amp;DESDE,Histórico!$A$5:$A$5000,"&lt;="&amp;HASTA)&gt;0,SUMIFS(Histórico!$N$5:$N$5000,Histórico!$B$5:$B$5000,$A10,Histórico!$A$5:$A$5000,"&gt;="&amp;DESDE,Histórico!$A$5:$A$5000,"&lt;="&amp;HASTA)/SUMIFS(Histórico!$M$5:$M$5000,Histórico!$B$5:$B$5000,$A10,Histórico!$A$5:$A$5000,"&gt;="&amp;DESDE,Histórico!$A$5:$A$5000,"&lt;="&amp;HASTA),"")</f>
        <v>0.511370262390671</v>
      </c>
      <c r="W10" s="27" t="n">
        <f aca="false">IF(N10&gt;0,O10/N10,"")</f>
        <v>0.0160971476983903</v>
      </c>
      <c r="X10" s="27" t="n">
        <f aca="false">IF(O10&gt;0,P10/O10,"")</f>
        <v>0.37719298245614</v>
      </c>
      <c r="Y10" s="27" t="n">
        <f aca="false">IF(O10&gt;0,Q10/O10,"")</f>
        <v>0.043859649122807</v>
      </c>
      <c r="Z10" s="26" t="n">
        <f aca="false">IF(N10&gt;0,SUMIFS(Histórico!$T$5:$T$5000,Histórico!$B$5:$B$5000,$A10,Histórico!$A$5:$A$5000,"&gt;="&amp;DESDE,Histórico!$A$5:$A$5000,"&lt;="&amp;HASTA)/N10,"")</f>
        <v>4</v>
      </c>
      <c r="AA10" s="19" t="str">
        <f aca="false">IF(M10=0,"SIN GASTO",IF(Q10=0,IF(M10&gt;=APG_SV*CPA_BE,"APAGAR",IF(M10&gt;=0.5*CPA_BE,"VIGILAR","APRENDIENDO")),IF(AND(S10&lt;=UMB_ESC*CPA_BE,Q10&gt;=3),"ESCALAR",IF(AND(S10&lt;=CPA_BE,Q10&gt;=3),"MANTENER",IF(S10&lt;=CPA_BE,"PROMETEDOR",IF(M10&gt;=APG_CV*CPA_BE,"APAGAR","VIGILAR"))))))</f>
        <v>ESCALAR</v>
      </c>
      <c r="AB10" s="31" t="str">
        <f aca="false">IF(N10&lt;MIN_IMPR,"Pocos datos todavía",IF(AND(ISNUMBER(U10),U10&lt;0.7*MEDIA_GANCHO),"Gancho flojo: cambia los 3 primeros segundos",IF(AND(ISNUMBER(W10),W10&lt;0.7*MEDIA_CTR),"Enganchan pero no hacen clic: refuerza oferta y llamada a la acción",IF(AND(O10&gt;=20,ISNUMBER(Y10),Y10&lt;0.6*MEDIA_CVR),"Hacen clic pero no compran: revisa ángulo y página",IF(AND(ISNUMBER(U10),U10&gt;=1.3*MEDIA_GANCHO),"Gancho por encima de la media: reutiliza este inicio","En la media de la campaña")))))</f>
        <v>En la media de la campaña</v>
      </c>
      <c r="AC10" s="47" t="n">
        <f aca="false">IF(M10&gt;0,T10+ROW()/1000000,-1000000+ROW())</f>
        <v>37.66001</v>
      </c>
    </row>
    <row r="11" customFormat="false" ht="45.75" hidden="false" customHeight="true" outlineLevel="0" collapsed="false">
      <c r="A11" s="50" t="s">
        <v>116</v>
      </c>
      <c r="B11" s="38" t="s">
        <v>117</v>
      </c>
      <c r="C11" s="41" t="s">
        <v>92</v>
      </c>
      <c r="D11" s="51" t="s">
        <v>44</v>
      </c>
      <c r="E11" s="43" t="s">
        <v>113</v>
      </c>
      <c r="F11" s="44" t="s">
        <v>114</v>
      </c>
      <c r="G11" s="43" t="s">
        <v>115</v>
      </c>
      <c r="H11" s="43" t="s">
        <v>55</v>
      </c>
      <c r="I11" s="44"/>
      <c r="J11" s="45" t="n">
        <v>46300</v>
      </c>
      <c r="K11" s="46" t="s">
        <v>97</v>
      </c>
      <c r="L11" s="44"/>
      <c r="M11" s="22" t="n">
        <f aca="false">SUMIFS(Histórico!$F$5:$F$5000,Histórico!$B$5:$B$5000,$A11,Histórico!$A$5:$A$5000,"&gt;="&amp;DESDE,Histórico!$A$5:$A$5000,"&lt;="&amp;HASTA)</f>
        <v>37.7</v>
      </c>
      <c r="N11" s="25" t="n">
        <f aca="false">SUMIFS(Histórico!$G$5:$G$5000,Histórico!$B$5:$B$5000,$A11,Histórico!$A$5:$A$5000,"&gt;="&amp;DESDE,Histórico!$A$5:$A$5000,"&lt;="&amp;HASTA)</f>
        <v>3992</v>
      </c>
      <c r="O11" s="25" t="n">
        <f aca="false">SUMIFS(Histórico!$H$5:$H$5000,Histórico!$B$5:$B$5000,$A11,Histórico!$A$5:$A$5000,"&gt;="&amp;DESDE,Histórico!$A$5:$A$5000,"&lt;="&amp;HASTA)</f>
        <v>74</v>
      </c>
      <c r="P11" s="25" t="n">
        <f aca="false">SUMIFS(Histórico!$I$5:$I$5000,Histórico!$B$5:$B$5000,$A11,Histórico!$A$5:$A$5000,"&gt;="&amp;DESDE,Histórico!$A$5:$A$5000,"&lt;="&amp;HASTA)</f>
        <v>31</v>
      </c>
      <c r="Q11" s="25" t="n">
        <f aca="false">SUMIFS(Histórico!$L$5:$L$5000,Histórico!$B$5:$B$5000,$A11,Histórico!$A$5:$A$5000,"&gt;="&amp;DESDE,Histórico!$A$5:$A$5000,"&lt;="&amp;HASTA)</f>
        <v>6</v>
      </c>
      <c r="R11" s="26" t="n">
        <f aca="false">Q11*RATIO</f>
        <v>6.28571428571429</v>
      </c>
      <c r="S11" s="23" t="n">
        <f aca="false">IF(R11&gt;0,M11/R11,"")</f>
        <v>5.99772727272727</v>
      </c>
      <c r="T11" s="23" t="n">
        <f aca="false">R11*BEN_PEDIDO-M11*(1+RECARGO)</f>
        <v>36.22</v>
      </c>
      <c r="U11" s="27" t="n">
        <f aca="false">IF(N11&gt;0,SUMIFS(Histórico!$M$5:$M$5000,Histórico!$B$5:$B$5000,$A11,Histórico!$A$5:$A$5000,"&gt;="&amp;DESDE,Histórico!$A$5:$A$5000,"&lt;="&amp;HASTA)/N11,"")</f>
        <v>0.108967935871743</v>
      </c>
      <c r="V11" s="27" t="n">
        <f aca="false">IF(SUMIFS(Histórico!$M$5:$M$5000,Histórico!$B$5:$B$5000,$A11,Histórico!$A$5:$A$5000,"&gt;="&amp;DESDE,Histórico!$A$5:$A$5000,"&lt;="&amp;HASTA)&gt;0,SUMIFS(Histórico!$N$5:$N$5000,Histórico!$B$5:$B$5000,$A11,Histórico!$A$5:$A$5000,"&gt;="&amp;DESDE,Histórico!$A$5:$A$5000,"&lt;="&amp;HASTA)/SUMIFS(Histórico!$M$5:$M$5000,Histórico!$B$5:$B$5000,$A11,Histórico!$A$5:$A$5000,"&gt;="&amp;DESDE,Histórico!$A$5:$A$5000,"&lt;="&amp;HASTA),"")</f>
        <v>0.459770114942529</v>
      </c>
      <c r="W11" s="27" t="n">
        <f aca="false">IF(N11&gt;0,O11/N11,"")</f>
        <v>0.0185370741482966</v>
      </c>
      <c r="X11" s="27" t="n">
        <f aca="false">IF(O11&gt;0,P11/O11,"")</f>
        <v>0.418918918918919</v>
      </c>
      <c r="Y11" s="27" t="n">
        <f aca="false">IF(O11&gt;0,Q11/O11,"")</f>
        <v>0.0810810810810811</v>
      </c>
      <c r="Z11" s="26" t="n">
        <f aca="false">IF(N11&gt;0,SUMIFS(Histórico!$T$5:$T$5000,Histórico!$B$5:$B$5000,$A11,Histórico!$A$5:$A$5000,"&gt;="&amp;DESDE,Histórico!$A$5:$A$5000,"&lt;="&amp;HASTA)/N11,"")</f>
        <v>3.87174348697395</v>
      </c>
      <c r="AA11" s="19" t="str">
        <f aca="false">IF(M11=0,"SIN GASTO",IF(Q11=0,IF(M11&gt;=APG_SV*CPA_BE,"APAGAR",IF(M11&gt;=0.5*CPA_BE,"VIGILAR","APRENDIENDO")),IF(AND(S11&lt;=UMB_ESC*CPA_BE,Q11&gt;=3),"ESCALAR",IF(AND(S11&lt;=CPA_BE,Q11&gt;=3),"MANTENER",IF(S11&lt;=CPA_BE,"PROMETEDOR",IF(M11&gt;=APG_CV*CPA_BE,"APAGAR","VIGILAR"))))))</f>
        <v>ESCALAR</v>
      </c>
      <c r="AB11" s="31" t="str">
        <f aca="false">IF(N11&lt;MIN_IMPR,"Pocos datos todavía",IF(AND(ISNUMBER(U11),U11&lt;0.7*MEDIA_GANCHO),"Gancho flojo: cambia los 3 primeros segundos",IF(AND(ISNUMBER(W11),W11&lt;0.7*MEDIA_CTR),"Enganchan pero no hacen clic: refuerza oferta y llamada a la acción",IF(AND(O11&gt;=20,ISNUMBER(Y11),Y11&lt;0.6*MEDIA_CVR),"Hacen clic pero no compran: revisa ángulo y página",IF(AND(ISNUMBER(U11),U11&gt;=1.3*MEDIA_GANCHO),"Gancho por encima de la media: reutiliza este inicio","En la media de la campaña")))))</f>
        <v>En la media de la campaña</v>
      </c>
      <c r="AC11" s="47" t="n">
        <f aca="false">IF(M11&gt;0,T11+ROW()/1000000,-1000000+ROW())</f>
        <v>36.220011</v>
      </c>
    </row>
    <row r="12" customFormat="false" ht="45.75" hidden="false" customHeight="true" outlineLevel="0" collapsed="false">
      <c r="A12" s="50" t="s">
        <v>118</v>
      </c>
      <c r="B12" s="38" t="s">
        <v>119</v>
      </c>
      <c r="C12" s="41" t="s">
        <v>92</v>
      </c>
      <c r="D12" s="51" t="s">
        <v>44</v>
      </c>
      <c r="E12" s="43" t="s">
        <v>113</v>
      </c>
      <c r="F12" s="44" t="s">
        <v>114</v>
      </c>
      <c r="G12" s="43" t="s">
        <v>115</v>
      </c>
      <c r="H12" s="43" t="s">
        <v>55</v>
      </c>
      <c r="I12" s="44"/>
      <c r="J12" s="45" t="n">
        <v>46300</v>
      </c>
      <c r="K12" s="46" t="s">
        <v>97</v>
      </c>
      <c r="L12" s="44"/>
      <c r="M12" s="22" t="n">
        <f aca="false">SUMIFS(Histórico!$F$5:$F$5000,Histórico!$B$5:$B$5000,$A12,Histórico!$A$5:$A$5000,"&gt;="&amp;DESDE,Histórico!$A$5:$A$5000,"&lt;="&amp;HASTA)</f>
        <v>1.81</v>
      </c>
      <c r="N12" s="25" t="n">
        <f aca="false">SUMIFS(Histórico!$G$5:$G$5000,Histórico!$B$5:$B$5000,$A12,Histórico!$A$5:$A$5000,"&gt;="&amp;DESDE,Histórico!$A$5:$A$5000,"&lt;="&amp;HASTA)</f>
        <v>157</v>
      </c>
      <c r="O12" s="25" t="n">
        <f aca="false">SUMIFS(Histórico!$H$5:$H$5000,Histórico!$B$5:$B$5000,$A12,Histórico!$A$5:$A$5000,"&gt;="&amp;DESDE,Histórico!$A$5:$A$5000,"&lt;="&amp;HASTA)</f>
        <v>3</v>
      </c>
      <c r="P12" s="25" t="n">
        <f aca="false">SUMIFS(Histórico!$I$5:$I$5000,Histórico!$B$5:$B$5000,$A12,Histórico!$A$5:$A$5000,"&gt;="&amp;DESDE,Histórico!$A$5:$A$5000,"&lt;="&amp;HASTA)</f>
        <v>3</v>
      </c>
      <c r="Q12" s="25" t="n">
        <f aca="false">SUMIFS(Histórico!$L$5:$L$5000,Histórico!$B$5:$B$5000,$A12,Histórico!$A$5:$A$5000,"&gt;="&amp;DESDE,Histórico!$A$5:$A$5000,"&lt;="&amp;HASTA)</f>
        <v>0</v>
      </c>
      <c r="R12" s="26" t="n">
        <f aca="false">Q12*RATIO</f>
        <v>0</v>
      </c>
      <c r="S12" s="23" t="str">
        <f aca="false">IF(R12&gt;0,M12/R12,"")</f>
        <v/>
      </c>
      <c r="T12" s="23" t="n">
        <f aca="false">R12*BEN_PEDIDO-M12*(1+RECARGO)</f>
        <v>-1.81</v>
      </c>
      <c r="U12" s="27" t="n">
        <f aca="false">IF(N12&gt;0,SUMIFS(Histórico!$M$5:$M$5000,Histórico!$B$5:$B$5000,$A12,Histórico!$A$5:$A$5000,"&gt;="&amp;DESDE,Histórico!$A$5:$A$5000,"&lt;="&amp;HASTA)/N12,"")</f>
        <v>0.165605095541401</v>
      </c>
      <c r="V12" s="27" t="n">
        <f aca="false">IF(SUMIFS(Histórico!$M$5:$M$5000,Histórico!$B$5:$B$5000,$A12,Histórico!$A$5:$A$5000,"&gt;="&amp;DESDE,Histórico!$A$5:$A$5000,"&lt;="&amp;HASTA)&gt;0,SUMIFS(Histórico!$N$5:$N$5000,Histórico!$B$5:$B$5000,$A12,Histórico!$A$5:$A$5000,"&gt;="&amp;DESDE,Histórico!$A$5:$A$5000,"&lt;="&amp;HASTA)/SUMIFS(Histórico!$M$5:$M$5000,Histórico!$B$5:$B$5000,$A12,Histórico!$A$5:$A$5000,"&gt;="&amp;DESDE,Histórico!$A$5:$A$5000,"&lt;="&amp;HASTA),"")</f>
        <v>0.5</v>
      </c>
      <c r="W12" s="27" t="n">
        <f aca="false">IF(N12&gt;0,O12/N12,"")</f>
        <v>0.0191082802547771</v>
      </c>
      <c r="X12" s="27" t="n">
        <f aca="false">IF(O12&gt;0,P12/O12,"")</f>
        <v>1</v>
      </c>
      <c r="Y12" s="27" t="n">
        <f aca="false">IF(O12&gt;0,Q12/O12,"")</f>
        <v>0</v>
      </c>
      <c r="Z12" s="26" t="n">
        <f aca="false">IF(N12&gt;0,SUMIFS(Histórico!$T$5:$T$5000,Histórico!$B$5:$B$5000,$A12,Histórico!$A$5:$A$5000,"&gt;="&amp;DESDE,Histórico!$A$5:$A$5000,"&lt;="&amp;HASTA)/N12,"")</f>
        <v>4.92356687898089</v>
      </c>
      <c r="AA12" s="19" t="str">
        <f aca="false">IF(M12=0,"SIN GASTO",IF(Q12=0,IF(M12&gt;=APG_SV*CPA_BE,"APAGAR",IF(M12&gt;=0.5*CPA_BE,"VIGILAR","APRENDIENDO")),IF(AND(S12&lt;=UMB_ESC*CPA_BE,Q12&gt;=3),"ESCALAR",IF(AND(S12&lt;=CPA_BE,Q12&gt;=3),"MANTENER",IF(S12&lt;=CPA_BE,"PROMETEDOR",IF(M12&gt;=APG_CV*CPA_BE,"APAGAR","VIGILAR"))))))</f>
        <v>APRENDIENDO</v>
      </c>
      <c r="AB12" s="31" t="str">
        <f aca="false">IF(N12&lt;MIN_IMPR,"Pocos datos todavía",IF(AND(ISNUMBER(U12),U12&lt;0.7*MEDIA_GANCHO),"Gancho flojo: cambia los 3 primeros segundos",IF(AND(ISNUMBER(W12),W12&lt;0.7*MEDIA_CTR),"Enganchan pero no hacen clic: refuerza oferta y llamada a la acción",IF(AND(O12&gt;=20,ISNUMBER(Y12),Y12&lt;0.6*MEDIA_CVR),"Hacen clic pero no compran: revisa ángulo y página",IF(AND(ISNUMBER(U12),U12&gt;=1.3*MEDIA_GANCHO),"Gancho por encima de la media: reutiliza este inicio","En la media de la campaña")))))</f>
        <v>Pocos datos todavía</v>
      </c>
      <c r="AC12" s="47" t="n">
        <f aca="false">IF(M12&gt;0,T12+ROW()/1000000,-1000000+ROW())</f>
        <v>-1.809988</v>
      </c>
    </row>
    <row r="13" customFormat="false" ht="45.75" hidden="false" customHeight="true" outlineLevel="0" collapsed="false">
      <c r="A13" s="50" t="s">
        <v>120</v>
      </c>
      <c r="B13" s="38" t="s">
        <v>121</v>
      </c>
      <c r="C13" s="41" t="s">
        <v>92</v>
      </c>
      <c r="D13" s="51" t="s">
        <v>44</v>
      </c>
      <c r="E13" s="43" t="s">
        <v>113</v>
      </c>
      <c r="F13" s="44" t="s">
        <v>114</v>
      </c>
      <c r="G13" s="43" t="s">
        <v>115</v>
      </c>
      <c r="H13" s="43" t="s">
        <v>56</v>
      </c>
      <c r="I13" s="44"/>
      <c r="J13" s="45" t="n">
        <v>46300</v>
      </c>
      <c r="K13" s="46" t="s">
        <v>97</v>
      </c>
      <c r="L13" s="44"/>
      <c r="M13" s="22" t="n">
        <f aca="false">SUMIFS(Histórico!$F$5:$F$5000,Histórico!$B$5:$B$5000,$A13,Histórico!$A$5:$A$5000,"&gt;="&amp;DESDE,Histórico!$A$5:$A$5000,"&lt;="&amp;HASTA)</f>
        <v>8.45</v>
      </c>
      <c r="N13" s="25" t="n">
        <f aca="false">SUMIFS(Histórico!$G$5:$G$5000,Histórico!$B$5:$B$5000,$A13,Histórico!$A$5:$A$5000,"&gt;="&amp;DESDE,Histórico!$A$5:$A$5000,"&lt;="&amp;HASTA)</f>
        <v>754</v>
      </c>
      <c r="O13" s="25" t="n">
        <f aca="false">SUMIFS(Histórico!$H$5:$H$5000,Histórico!$B$5:$B$5000,$A13,Histórico!$A$5:$A$5000,"&gt;="&amp;DESDE,Histórico!$A$5:$A$5000,"&lt;="&amp;HASTA)</f>
        <v>19</v>
      </c>
      <c r="P13" s="25" t="n">
        <f aca="false">SUMIFS(Histórico!$I$5:$I$5000,Histórico!$B$5:$B$5000,$A13,Histórico!$A$5:$A$5000,"&gt;="&amp;DESDE,Histórico!$A$5:$A$5000,"&lt;="&amp;HASTA)</f>
        <v>6</v>
      </c>
      <c r="Q13" s="25" t="n">
        <f aca="false">SUMIFS(Histórico!$L$5:$L$5000,Histórico!$B$5:$B$5000,$A13,Histórico!$A$5:$A$5000,"&gt;="&amp;DESDE,Histórico!$A$5:$A$5000,"&lt;="&amp;HASTA)</f>
        <v>2</v>
      </c>
      <c r="R13" s="26" t="n">
        <f aca="false">Q13*RATIO</f>
        <v>2.0952380952381</v>
      </c>
      <c r="S13" s="23" t="n">
        <f aca="false">IF(R13&gt;0,M13/R13,"")</f>
        <v>4.03295454545455</v>
      </c>
      <c r="T13" s="23" t="n">
        <f aca="false">R13*BEN_PEDIDO-M13*(1+RECARGO)</f>
        <v>16.19</v>
      </c>
      <c r="U13" s="27" t="n">
        <f aca="false">IF(N13&gt;0,SUMIFS(Histórico!$M$5:$M$5000,Histórico!$B$5:$B$5000,$A13,Histórico!$A$5:$A$5000,"&gt;="&amp;DESDE,Histórico!$A$5:$A$5000,"&lt;="&amp;HASTA)/N13,"")</f>
        <v>0.185676392572944</v>
      </c>
      <c r="V13" s="27" t="n">
        <f aca="false">IF(SUMIFS(Histórico!$M$5:$M$5000,Histórico!$B$5:$B$5000,$A13,Histórico!$A$5:$A$5000,"&gt;="&amp;DESDE,Histórico!$A$5:$A$5000,"&lt;="&amp;HASTA)&gt;0,SUMIFS(Histórico!$N$5:$N$5000,Histórico!$B$5:$B$5000,$A13,Histórico!$A$5:$A$5000,"&gt;="&amp;DESDE,Histórico!$A$5:$A$5000,"&lt;="&amp;HASTA)/SUMIFS(Histórico!$M$5:$M$5000,Histórico!$B$5:$B$5000,$A13,Histórico!$A$5:$A$5000,"&gt;="&amp;DESDE,Histórico!$A$5:$A$5000,"&lt;="&amp;HASTA),"")</f>
        <v>0.507142857142857</v>
      </c>
      <c r="W13" s="27" t="n">
        <f aca="false">IF(N13&gt;0,O13/N13,"")</f>
        <v>0.0251989389920424</v>
      </c>
      <c r="X13" s="27" t="n">
        <f aca="false">IF(O13&gt;0,P13/O13,"")</f>
        <v>0.315789473684211</v>
      </c>
      <c r="Y13" s="27" t="n">
        <f aca="false">IF(O13&gt;0,Q13/O13,"")</f>
        <v>0.105263157894737</v>
      </c>
      <c r="Z13" s="26" t="n">
        <f aca="false">IF(N13&gt;0,SUMIFS(Histórico!$T$5:$T$5000,Histórico!$B$5:$B$5000,$A13,Histórico!$A$5:$A$5000,"&gt;="&amp;DESDE,Histórico!$A$5:$A$5000,"&lt;="&amp;HASTA)/N13,"")</f>
        <v>5.37931034482759</v>
      </c>
      <c r="AA13" s="19" t="str">
        <f aca="false">IF(M13=0,"SIN GASTO",IF(Q13=0,IF(M13&gt;=APG_SV*CPA_BE,"APAGAR",IF(M13&gt;=0.5*CPA_BE,"VIGILAR","APRENDIENDO")),IF(AND(S13&lt;=UMB_ESC*CPA_BE,Q13&gt;=3),"ESCALAR",IF(AND(S13&lt;=CPA_BE,Q13&gt;=3),"MANTENER",IF(S13&lt;=CPA_BE,"PROMETEDOR",IF(M13&gt;=APG_CV*CPA_BE,"APAGAR","VIGILAR"))))))</f>
        <v>PROMETEDOR</v>
      </c>
      <c r="AB13" s="31" t="str">
        <f aca="false">IF(N13&lt;MIN_IMPR,"Pocos datos todavía",IF(AND(ISNUMBER(U13),U13&lt;0.7*MEDIA_GANCHO),"Gancho flojo: cambia los 3 primeros segundos",IF(AND(ISNUMBER(W13),W13&lt;0.7*MEDIA_CTR),"Enganchan pero no hacen clic: refuerza oferta y llamada a la acción",IF(AND(O13&gt;=20,ISNUMBER(Y13),Y13&lt;0.6*MEDIA_CVR),"Hacen clic pero no compran: revisa ángulo y página",IF(AND(ISNUMBER(U13),U13&gt;=1.3*MEDIA_GANCHO),"Gancho por encima de la media: reutiliza este inicio","En la media de la campaña")))))</f>
        <v>Pocos datos todavía</v>
      </c>
      <c r="AC13" s="47" t="n">
        <f aca="false">IF(M13&gt;0,T13+ROW()/1000000,-1000000+ROW())</f>
        <v>16.190013</v>
      </c>
    </row>
    <row r="14" customFormat="false" ht="45.75" hidden="false" customHeight="true" outlineLevel="0" collapsed="false">
      <c r="A14" s="50" t="s">
        <v>122</v>
      </c>
      <c r="B14" s="38" t="s">
        <v>123</v>
      </c>
      <c r="C14" s="41" t="s">
        <v>92</v>
      </c>
      <c r="D14" s="51" t="s">
        <v>44</v>
      </c>
      <c r="E14" s="43" t="s">
        <v>113</v>
      </c>
      <c r="F14" s="44" t="s">
        <v>114</v>
      </c>
      <c r="G14" s="43" t="s">
        <v>115</v>
      </c>
      <c r="H14" s="43" t="s">
        <v>56</v>
      </c>
      <c r="I14" s="44"/>
      <c r="J14" s="45" t="n">
        <v>46300</v>
      </c>
      <c r="K14" s="46" t="s">
        <v>97</v>
      </c>
      <c r="L14" s="44"/>
      <c r="M14" s="22" t="n">
        <f aca="false">SUMIFS(Histórico!$F$5:$F$5000,Histórico!$B$5:$B$5000,$A14,Histórico!$A$5:$A$5000,"&gt;="&amp;DESDE,Histórico!$A$5:$A$5000,"&lt;="&amp;HASTA)</f>
        <v>0.05</v>
      </c>
      <c r="N14" s="25" t="n">
        <f aca="false">SUMIFS(Histórico!$G$5:$G$5000,Histórico!$B$5:$B$5000,$A14,Histórico!$A$5:$A$5000,"&gt;="&amp;DESDE,Histórico!$A$5:$A$5000,"&lt;="&amp;HASTA)</f>
        <v>13</v>
      </c>
      <c r="O14" s="25" t="n">
        <f aca="false">SUMIFS(Histórico!$H$5:$H$5000,Histórico!$B$5:$B$5000,$A14,Histórico!$A$5:$A$5000,"&gt;="&amp;DESDE,Histórico!$A$5:$A$5000,"&lt;="&amp;HASTA)</f>
        <v>0</v>
      </c>
      <c r="P14" s="25" t="n">
        <f aca="false">SUMIFS(Histórico!$I$5:$I$5000,Histórico!$B$5:$B$5000,$A14,Histórico!$A$5:$A$5000,"&gt;="&amp;DESDE,Histórico!$A$5:$A$5000,"&lt;="&amp;HASTA)</f>
        <v>0</v>
      </c>
      <c r="Q14" s="25" t="n">
        <f aca="false">SUMIFS(Histórico!$L$5:$L$5000,Histórico!$B$5:$B$5000,$A14,Histórico!$A$5:$A$5000,"&gt;="&amp;DESDE,Histórico!$A$5:$A$5000,"&lt;="&amp;HASTA)</f>
        <v>0</v>
      </c>
      <c r="R14" s="26" t="n">
        <f aca="false">Q14*RATIO</f>
        <v>0</v>
      </c>
      <c r="S14" s="23" t="str">
        <f aca="false">IF(R14&gt;0,M14/R14,"")</f>
        <v/>
      </c>
      <c r="T14" s="23" t="n">
        <f aca="false">R14*BEN_PEDIDO-M14*(1+RECARGO)</f>
        <v>-0.05</v>
      </c>
      <c r="U14" s="27" t="n">
        <f aca="false">IF(N14&gt;0,SUMIFS(Histórico!$M$5:$M$5000,Histórico!$B$5:$B$5000,$A14,Histórico!$A$5:$A$5000,"&gt;="&amp;DESDE,Histórico!$A$5:$A$5000,"&lt;="&amp;HASTA)/N14,"")</f>
        <v>0</v>
      </c>
      <c r="V14" s="27" t="str">
        <f aca="false">IF(SUMIFS(Histórico!$M$5:$M$5000,Histórico!$B$5:$B$5000,$A14,Histórico!$A$5:$A$5000,"&gt;="&amp;DESDE,Histórico!$A$5:$A$5000,"&lt;="&amp;HASTA)&gt;0,SUMIFS(Histórico!$N$5:$N$5000,Histórico!$B$5:$B$5000,$A14,Histórico!$A$5:$A$5000,"&gt;="&amp;DESDE,Histórico!$A$5:$A$5000,"&lt;="&amp;HASTA)/SUMIFS(Histórico!$M$5:$M$5000,Histórico!$B$5:$B$5000,$A14,Histórico!$A$5:$A$5000,"&gt;="&amp;DESDE,Histórico!$A$5:$A$5000,"&lt;="&amp;HASTA),"")</f>
        <v/>
      </c>
      <c r="W14" s="27" t="n">
        <f aca="false">IF(N14&gt;0,O14/N14,"")</f>
        <v>0</v>
      </c>
      <c r="X14" s="27" t="str">
        <f aca="false">IF(O14&gt;0,P14/O14,"")</f>
        <v/>
      </c>
      <c r="Y14" s="27" t="str">
        <f aca="false">IF(O14&gt;0,Q14/O14,"")</f>
        <v/>
      </c>
      <c r="Z14" s="26" t="n">
        <f aca="false">IF(N14&gt;0,SUMIFS(Histórico!$T$5:$T$5000,Histórico!$B$5:$B$5000,$A14,Histórico!$A$5:$A$5000,"&gt;="&amp;DESDE,Histórico!$A$5:$A$5000,"&lt;="&amp;HASTA)/N14,"")</f>
        <v>2</v>
      </c>
      <c r="AA14" s="19" t="str">
        <f aca="false">IF(M14=0,"SIN GASTO",IF(Q14=0,IF(M14&gt;=APG_SV*CPA_BE,"APAGAR",IF(M14&gt;=0.5*CPA_BE,"VIGILAR","APRENDIENDO")),IF(AND(S14&lt;=UMB_ESC*CPA_BE,Q14&gt;=3),"ESCALAR",IF(AND(S14&lt;=CPA_BE,Q14&gt;=3),"MANTENER",IF(S14&lt;=CPA_BE,"PROMETEDOR",IF(M14&gt;=APG_CV*CPA_BE,"APAGAR","VIGILAR"))))))</f>
        <v>APRENDIENDO</v>
      </c>
      <c r="AB14" s="31" t="str">
        <f aca="false">IF(N14&lt;MIN_IMPR,"Pocos datos todavía",IF(AND(ISNUMBER(U14),U14&lt;0.7*MEDIA_GANCHO),"Gancho flojo: cambia los 3 primeros segundos",IF(AND(ISNUMBER(W14),W14&lt;0.7*MEDIA_CTR),"Enganchan pero no hacen clic: refuerza oferta y llamada a la acción",IF(AND(O14&gt;=20,ISNUMBER(Y14),Y14&lt;0.6*MEDIA_CVR),"Hacen clic pero no compran: revisa ángulo y página",IF(AND(ISNUMBER(U14),U14&gt;=1.3*MEDIA_GANCHO),"Gancho por encima de la media: reutiliza este inicio","En la media de la campaña")))))</f>
        <v>Pocos datos todavía</v>
      </c>
      <c r="AC14" s="47" t="n">
        <f aca="false">IF(M14&gt;0,T14+ROW()/1000000,-1000000+ROW())</f>
        <v>-0.049986</v>
      </c>
    </row>
    <row r="15" customFormat="false" ht="45.75" hidden="false" customHeight="true" outlineLevel="0" collapsed="false">
      <c r="A15" s="50" t="s">
        <v>124</v>
      </c>
      <c r="B15" s="38" t="s">
        <v>125</v>
      </c>
      <c r="C15" s="41" t="s">
        <v>92</v>
      </c>
      <c r="D15" s="51" t="s">
        <v>44</v>
      </c>
      <c r="E15" s="43" t="s">
        <v>113</v>
      </c>
      <c r="F15" s="44" t="s">
        <v>114</v>
      </c>
      <c r="G15" s="43" t="s">
        <v>115</v>
      </c>
      <c r="H15" s="43" t="s">
        <v>57</v>
      </c>
      <c r="I15" s="44"/>
      <c r="J15" s="45" t="n">
        <v>46300</v>
      </c>
      <c r="K15" s="46" t="s">
        <v>97</v>
      </c>
      <c r="L15" s="44"/>
      <c r="M15" s="22" t="n">
        <f aca="false">SUMIFS(Histórico!$F$5:$F$5000,Histórico!$B$5:$B$5000,$A15,Histórico!$A$5:$A$5000,"&gt;="&amp;DESDE,Histórico!$A$5:$A$5000,"&lt;="&amp;HASTA)</f>
        <v>0.73</v>
      </c>
      <c r="N15" s="25" t="n">
        <f aca="false">SUMIFS(Histórico!$G$5:$G$5000,Histórico!$B$5:$B$5000,$A15,Histórico!$A$5:$A$5000,"&gt;="&amp;DESDE,Histórico!$A$5:$A$5000,"&lt;="&amp;HASTA)</f>
        <v>49</v>
      </c>
      <c r="O15" s="25" t="n">
        <f aca="false">SUMIFS(Histórico!$H$5:$H$5000,Histórico!$B$5:$B$5000,$A15,Histórico!$A$5:$A$5000,"&gt;="&amp;DESDE,Histórico!$A$5:$A$5000,"&lt;="&amp;HASTA)</f>
        <v>0</v>
      </c>
      <c r="P15" s="25" t="n">
        <f aca="false">SUMIFS(Histórico!$I$5:$I$5000,Histórico!$B$5:$B$5000,$A15,Histórico!$A$5:$A$5000,"&gt;="&amp;DESDE,Histórico!$A$5:$A$5000,"&lt;="&amp;HASTA)</f>
        <v>0</v>
      </c>
      <c r="Q15" s="25" t="n">
        <f aca="false">SUMIFS(Histórico!$L$5:$L$5000,Histórico!$B$5:$B$5000,$A15,Histórico!$A$5:$A$5000,"&gt;="&amp;DESDE,Histórico!$A$5:$A$5000,"&lt;="&amp;HASTA)</f>
        <v>0</v>
      </c>
      <c r="R15" s="26" t="n">
        <f aca="false">Q15*RATIO</f>
        <v>0</v>
      </c>
      <c r="S15" s="23" t="str">
        <f aca="false">IF(R15&gt;0,M15/R15,"")</f>
        <v/>
      </c>
      <c r="T15" s="23" t="n">
        <f aca="false">R15*BEN_PEDIDO-M15*(1+RECARGO)</f>
        <v>-0.73</v>
      </c>
      <c r="U15" s="27" t="n">
        <f aca="false">IF(N15&gt;0,SUMIFS(Histórico!$M$5:$M$5000,Histórico!$B$5:$B$5000,$A15,Histórico!$A$5:$A$5000,"&gt;="&amp;DESDE,Histórico!$A$5:$A$5000,"&lt;="&amp;HASTA)/N15,"")</f>
        <v>0.142857142857143</v>
      </c>
      <c r="V15" s="27" t="n">
        <f aca="false">IF(SUMIFS(Histórico!$M$5:$M$5000,Histórico!$B$5:$B$5000,$A15,Histórico!$A$5:$A$5000,"&gt;="&amp;DESDE,Histórico!$A$5:$A$5000,"&lt;="&amp;HASTA)&gt;0,SUMIFS(Histórico!$N$5:$N$5000,Histórico!$B$5:$B$5000,$A15,Histórico!$A$5:$A$5000,"&gt;="&amp;DESDE,Histórico!$A$5:$A$5000,"&lt;="&amp;HASTA)/SUMIFS(Histórico!$M$5:$M$5000,Histórico!$B$5:$B$5000,$A15,Histórico!$A$5:$A$5000,"&gt;="&amp;DESDE,Histórico!$A$5:$A$5000,"&lt;="&amp;HASTA),"")</f>
        <v>0.428571428571429</v>
      </c>
      <c r="W15" s="27" t="n">
        <f aca="false">IF(N15&gt;0,O15/N15,"")</f>
        <v>0</v>
      </c>
      <c r="X15" s="27" t="str">
        <f aca="false">IF(O15&gt;0,P15/O15,"")</f>
        <v/>
      </c>
      <c r="Y15" s="27" t="str">
        <f aca="false">IF(O15&gt;0,Q15/O15,"")</f>
        <v/>
      </c>
      <c r="Z15" s="26" t="n">
        <f aca="false">IF(N15&gt;0,SUMIFS(Histórico!$T$5:$T$5000,Histórico!$B$5:$B$5000,$A15,Histórico!$A$5:$A$5000,"&gt;="&amp;DESDE,Histórico!$A$5:$A$5000,"&lt;="&amp;HASTA)/N15,"")</f>
        <v>4.69387755102041</v>
      </c>
      <c r="AA15" s="19" t="str">
        <f aca="false">IF(M15=0,"SIN GASTO",IF(Q15=0,IF(M15&gt;=APG_SV*CPA_BE,"APAGAR",IF(M15&gt;=0.5*CPA_BE,"VIGILAR","APRENDIENDO")),IF(AND(S15&lt;=UMB_ESC*CPA_BE,Q15&gt;=3),"ESCALAR",IF(AND(S15&lt;=CPA_BE,Q15&gt;=3),"MANTENER",IF(S15&lt;=CPA_BE,"PROMETEDOR",IF(M15&gt;=APG_CV*CPA_BE,"APAGAR","VIGILAR"))))))</f>
        <v>APRENDIENDO</v>
      </c>
      <c r="AB15" s="31" t="str">
        <f aca="false">IF(N15&lt;MIN_IMPR,"Pocos datos todavía",IF(AND(ISNUMBER(U15),U15&lt;0.7*MEDIA_GANCHO),"Gancho flojo: cambia los 3 primeros segundos",IF(AND(ISNUMBER(W15),W15&lt;0.7*MEDIA_CTR),"Enganchan pero no hacen clic: refuerza oferta y llamada a la acción",IF(AND(O15&gt;=20,ISNUMBER(Y15),Y15&lt;0.6*MEDIA_CVR),"Hacen clic pero no compran: revisa ángulo y página",IF(AND(ISNUMBER(U15),U15&gt;=1.3*MEDIA_GANCHO),"Gancho por encima de la media: reutiliza este inicio","En la media de la campaña")))))</f>
        <v>Pocos datos todavía</v>
      </c>
      <c r="AC15" s="47" t="n">
        <f aca="false">IF(M15&gt;0,T15+ROW()/1000000,-1000000+ROW())</f>
        <v>-0.729985</v>
      </c>
    </row>
    <row r="16" customFormat="false" ht="45.75" hidden="false" customHeight="true" outlineLevel="0" collapsed="false">
      <c r="A16" s="50" t="s">
        <v>126</v>
      </c>
      <c r="B16" s="38" t="s">
        <v>127</v>
      </c>
      <c r="C16" s="41" t="s">
        <v>92</v>
      </c>
      <c r="D16" s="51" t="s">
        <v>44</v>
      </c>
      <c r="E16" s="43" t="s">
        <v>113</v>
      </c>
      <c r="F16" s="44" t="s">
        <v>114</v>
      </c>
      <c r="G16" s="43" t="s">
        <v>115</v>
      </c>
      <c r="H16" s="43" t="s">
        <v>57</v>
      </c>
      <c r="I16" s="44"/>
      <c r="J16" s="45" t="n">
        <v>46300</v>
      </c>
      <c r="K16" s="46" t="s">
        <v>97</v>
      </c>
      <c r="L16" s="44"/>
      <c r="M16" s="22" t="n">
        <f aca="false">SUMIFS(Histórico!$F$5:$F$5000,Histórico!$B$5:$B$5000,$A16,Histórico!$A$5:$A$5000,"&gt;="&amp;DESDE,Histórico!$A$5:$A$5000,"&lt;="&amp;HASTA)</f>
        <v>12.9</v>
      </c>
      <c r="N16" s="25" t="n">
        <f aca="false">SUMIFS(Histórico!$G$5:$G$5000,Histórico!$B$5:$B$5000,$A16,Histórico!$A$5:$A$5000,"&gt;="&amp;DESDE,Histórico!$A$5:$A$5000,"&lt;="&amp;HASTA)</f>
        <v>864</v>
      </c>
      <c r="O16" s="25" t="n">
        <f aca="false">SUMIFS(Histórico!$H$5:$H$5000,Histórico!$B$5:$B$5000,$A16,Histórico!$A$5:$A$5000,"&gt;="&amp;DESDE,Histórico!$A$5:$A$5000,"&lt;="&amp;HASTA)</f>
        <v>33</v>
      </c>
      <c r="P16" s="25" t="n">
        <f aca="false">SUMIFS(Histórico!$I$5:$I$5000,Histórico!$B$5:$B$5000,$A16,Histórico!$A$5:$A$5000,"&gt;="&amp;DESDE,Histórico!$A$5:$A$5000,"&lt;="&amp;HASTA)</f>
        <v>17</v>
      </c>
      <c r="Q16" s="25" t="n">
        <f aca="false">SUMIFS(Histórico!$L$5:$L$5000,Histórico!$B$5:$B$5000,$A16,Histórico!$A$5:$A$5000,"&gt;="&amp;DESDE,Histórico!$A$5:$A$5000,"&lt;="&amp;HASTA)</f>
        <v>1</v>
      </c>
      <c r="R16" s="26" t="n">
        <f aca="false">Q16*RATIO</f>
        <v>1.04761904761905</v>
      </c>
      <c r="S16" s="23" t="n">
        <f aca="false">IF(R16&gt;0,M16/R16,"")</f>
        <v>12.3136363636364</v>
      </c>
      <c r="T16" s="23" t="n">
        <f aca="false">R16*BEN_PEDIDO-M16*(1+RECARGO)</f>
        <v>-0.58</v>
      </c>
      <c r="U16" s="27" t="n">
        <f aca="false">IF(N16&gt;0,SUMIFS(Histórico!$M$5:$M$5000,Histórico!$B$5:$B$5000,$A16,Histórico!$A$5:$A$5000,"&gt;="&amp;DESDE,Histórico!$A$5:$A$5000,"&lt;="&amp;HASTA)/N16,"")</f>
        <v>0.271990740740741</v>
      </c>
      <c r="V16" s="27" t="n">
        <f aca="false">IF(SUMIFS(Histórico!$M$5:$M$5000,Histórico!$B$5:$B$5000,$A16,Histórico!$A$5:$A$5000,"&gt;="&amp;DESDE,Histórico!$A$5:$A$5000,"&lt;="&amp;HASTA)&gt;0,SUMIFS(Histórico!$N$5:$N$5000,Histórico!$B$5:$B$5000,$A16,Histórico!$A$5:$A$5000,"&gt;="&amp;DESDE,Histórico!$A$5:$A$5000,"&lt;="&amp;HASTA)/SUMIFS(Histórico!$M$5:$M$5000,Histórico!$B$5:$B$5000,$A16,Histórico!$A$5:$A$5000,"&gt;="&amp;DESDE,Histórico!$A$5:$A$5000,"&lt;="&amp;HASTA),"")</f>
        <v>0.506382978723404</v>
      </c>
      <c r="W16" s="27" t="n">
        <f aca="false">IF(N16&gt;0,O16/N16,"")</f>
        <v>0.0381944444444445</v>
      </c>
      <c r="X16" s="27" t="n">
        <f aca="false">IF(O16&gt;0,P16/O16,"")</f>
        <v>0.515151515151515</v>
      </c>
      <c r="Y16" s="27" t="n">
        <f aca="false">IF(O16&gt;0,Q16/O16,"")</f>
        <v>0.0303030303030303</v>
      </c>
      <c r="Z16" s="26" t="n">
        <f aca="false">IF(N16&gt;0,SUMIFS(Histórico!$T$5:$T$5000,Histórico!$B$5:$B$5000,$A16,Histórico!$A$5:$A$5000,"&gt;="&amp;DESDE,Histórico!$A$5:$A$5000,"&lt;="&amp;HASTA)/N16,"")</f>
        <v>7.7962962962963</v>
      </c>
      <c r="AA16" s="19" t="str">
        <f aca="false">IF(M16=0,"SIN GASTO",IF(Q16=0,IF(M16&gt;=APG_SV*CPA_BE,"APAGAR",IF(M16&gt;=0.5*CPA_BE,"VIGILAR","APRENDIENDO")),IF(AND(S16&lt;=UMB_ESC*CPA_BE,Q16&gt;=3),"ESCALAR",IF(AND(S16&lt;=CPA_BE,Q16&gt;=3),"MANTENER",IF(S16&lt;=CPA_BE,"PROMETEDOR",IF(M16&gt;=APG_CV*CPA_BE,"APAGAR","VIGILAR"))))))</f>
        <v>VIGILAR</v>
      </c>
      <c r="AB16" s="31" t="str">
        <f aca="false">IF(N16&lt;MIN_IMPR,"Pocos datos todavía",IF(AND(ISNUMBER(U16),U16&lt;0.7*MEDIA_GANCHO),"Gancho flojo: cambia los 3 primeros segundos",IF(AND(ISNUMBER(W16),W16&lt;0.7*MEDIA_CTR),"Enganchan pero no hacen clic: refuerza oferta y llamada a la acción",IF(AND(O16&gt;=20,ISNUMBER(Y16),Y16&lt;0.6*MEDIA_CVR),"Hacen clic pero no compran: revisa ángulo y página",IF(AND(ISNUMBER(U16),U16&gt;=1.3*MEDIA_GANCHO),"Gancho por encima de la media: reutiliza este inicio","En la media de la campaña")))))</f>
        <v>Gancho por encima de la media: reutiliza este inicio</v>
      </c>
      <c r="AC16" s="47" t="n">
        <f aca="false">IF(M16&gt;0,T16+ROW()/1000000,-1000000+ROW())</f>
        <v>-0.579984</v>
      </c>
    </row>
  </sheetData>
  <conditionalFormatting sqref="AA5:AA16">
    <cfRule type="cellIs" priority="2" operator="equal" aboveAverage="0" equalAverage="0" bottom="0" percent="0" rank="0" text="" dxfId="2">
      <formula>"ESCALAR"</formula>
    </cfRule>
    <cfRule type="cellIs" priority="3" operator="equal" aboveAverage="0" equalAverage="0" bottom="0" percent="0" rank="0" text="" dxfId="3">
      <formula>"MANTENER"</formula>
    </cfRule>
    <cfRule type="cellIs" priority="4" operator="equal" aboveAverage="0" equalAverage="0" bottom="0" percent="0" rank="0" text="" dxfId="4">
      <formula>"PROMETEDOR"</formula>
    </cfRule>
    <cfRule type="cellIs" priority="5" operator="equal" aboveAverage="0" equalAverage="0" bottom="0" percent="0" rank="0" text="" dxfId="4">
      <formula>"VIGILAR"</formula>
    </cfRule>
    <cfRule type="cellIs" priority="6" operator="equal" aboveAverage="0" equalAverage="0" bottom="0" percent="0" rank="0" text="" dxfId="5">
      <formula>"APAGAR"</formula>
    </cfRule>
    <cfRule type="cellIs" priority="7" operator="equal" aboveAverage="0" equalAverage="0" bottom="0" percent="0" rank="0" text="" dxfId="6">
      <formula>"APRENDIENDO"</formula>
    </cfRule>
  </conditionalFormatting>
  <conditionalFormatting sqref="T5:T16">
    <cfRule type="cellIs" priority="8" operator="greaterThan" aboveAverage="0" equalAverage="0" bottom="0" percent="0" rank="0" text="" dxfId="7">
      <formula>0</formula>
    </cfRule>
  </conditionalFormatting>
  <conditionalFormatting sqref="S5:S16">
    <cfRule type="expression" priority="9" aboveAverage="0" equalAverage="0" bottom="0" percent="0" rank="0" text="" dxfId="8">
      <formula>AND(ISNUMBER(S5),S5&gt;CPA_BE)</formula>
    </cfRule>
  </conditionalFormatting>
  <conditionalFormatting sqref="U5:U16">
    <cfRule type="expression" priority="10" aboveAverage="0" equalAverage="0" bottom="0" percent="0" rank="0" text="" dxfId="7">
      <formula>AND(ISNUMBER(U5),$N5&gt;=300,U5&gt;=1.3*MEDIA_GANCHO)</formula>
    </cfRule>
    <cfRule type="expression" priority="11" aboveAverage="0" equalAverage="0" bottom="0" percent="0" rank="0" text="" dxfId="8">
      <formula>AND(ISNUMBER(U5),$N5&gt;=300,U5&lt;0.7*MEDIA_GANCHO)</formula>
    </cfRule>
  </conditionalFormatting>
  <conditionalFormatting sqref="W5:W16">
    <cfRule type="expression" priority="12" aboveAverage="0" equalAverage="0" bottom="0" percent="0" rank="0" text="" dxfId="7">
      <formula>AND(ISNUMBER(W5),$N5&gt;=300,W5&gt;=1.3*MEDIA_CTR)</formula>
    </cfRule>
    <cfRule type="expression" priority="13" aboveAverage="0" equalAverage="0" bottom="0" percent="0" rank="0" text="" dxfId="8">
      <formula>AND(ISNUMBER(W5),$N5&gt;=300,W5&lt;0.7*MEDIA_CTR)</formula>
    </cfRule>
  </conditionalFormatting>
  <conditionalFormatting sqref="X5:X16">
    <cfRule type="expression" priority="14" aboveAverage="0" equalAverage="0" bottom="0" percent="0" rank="0" text="" dxfId="7">
      <formula>AND(ISNUMBER(X5),$N5&gt;=300,X5&gt;=1.3*MEDIA_WEB)</formula>
    </cfRule>
    <cfRule type="expression" priority="15" aboveAverage="0" equalAverage="0" bottom="0" percent="0" rank="0" text="" dxfId="8">
      <formula>AND(ISNUMBER(X5),$N5&gt;=300,X5&lt;0.7*MEDIA_WEB)</formula>
    </cfRule>
  </conditionalFormatting>
  <conditionalFormatting sqref="Y5:Y16">
    <cfRule type="expression" priority="16" aboveAverage="0" equalAverage="0" bottom="0" percent="0" rank="0" text="" dxfId="7">
      <formula>AND(ISNUMBER(Y5),$N5&gt;=300,Y5&gt;=1.3*MEDIA_CVR)</formula>
    </cfRule>
    <cfRule type="expression" priority="17" aboveAverage="0" equalAverage="0" bottom="0" percent="0" rank="0" text="" dxfId="8">
      <formula>AND(ISNUMBER(Y5),$N5&gt;=300,Y5&lt;0.7*MEDIA_CVR)</formula>
    </cfRule>
  </conditionalFormatting>
  <dataValidations count="2">
    <dataValidation allowBlank="true" errorStyle="stop" operator="between" showDropDown="false" showErrorMessage="false" showInputMessage="false" sqref="E5:E36" type="list">
      <formula1>Cuerpos!$A$5:$A$17</formula1>
      <formula2>0</formula2>
    </dataValidation>
    <dataValidation allowBlank="true" errorStyle="stop" operator="between" showDropDown="false" showErrorMessage="false" showInputMessage="false" sqref="G5:G36" type="list">
      <formula1>LISTA_TIPOS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26"/>
    <col collapsed="false" customWidth="true" hidden="false" outlineLevel="0" max="7" min="7" style="0" width="30"/>
    <col collapsed="false" customWidth="true" hidden="false" outlineLevel="0" max="8" min="8" style="0" width="28"/>
    <col collapsed="false" customWidth="true" hidden="false" outlineLevel="0" max="10" min="9" style="0" width="22"/>
    <col collapsed="false" customWidth="true" hidden="false" outlineLevel="0" max="11" min="11" style="0" width="50"/>
    <col collapsed="false" customWidth="true" hidden="false" outlineLevel="0" max="12" min="12" style="0" width="8"/>
    <col collapsed="false" customWidth="true" hidden="false" outlineLevel="0" max="13" min="13" style="0" width="9"/>
    <col collapsed="false" customWidth="true" hidden="false" outlineLevel="0" max="14" min="14" style="0" width="11"/>
    <col collapsed="false" customWidth="true" hidden="false" outlineLevel="0" max="15" min="15" style="0" width="24"/>
    <col collapsed="false" customWidth="true" hidden="false" outlineLevel="0" max="16" min="16" style="0" width="8"/>
    <col collapsed="false" customWidth="true" hidden="false" outlineLevel="0" max="17" min="17" style="0" width="9"/>
    <col collapsed="false" customWidth="true" hidden="false" outlineLevel="0" max="18" min="18" style="0" width="8"/>
    <col collapsed="false" customWidth="true" hidden="false" outlineLevel="0" max="19" min="19" style="0" width="9"/>
    <col collapsed="false" customWidth="true" hidden="false" outlineLevel="0" max="20" min="20" style="0" width="10"/>
  </cols>
  <sheetData>
    <row r="1" customFormat="false" ht="19.7" hidden="false" customHeight="false" outlineLevel="0" collapsed="false">
      <c r="B1" s="1" t="s">
        <v>128</v>
      </c>
    </row>
    <row r="2" customFormat="false" ht="15" hidden="false" customHeight="false" outlineLevel="0" collapsed="false">
      <c r="B2" s="2" t="s">
        <v>129</v>
      </c>
    </row>
    <row r="4" customFormat="false" ht="39.75" hidden="false" customHeight="true" outlineLevel="0" collapsed="false">
      <c r="A4" s="39" t="s">
        <v>130</v>
      </c>
      <c r="B4" s="39" t="s">
        <v>131</v>
      </c>
      <c r="C4" s="39" t="s">
        <v>29</v>
      </c>
      <c r="D4" s="39" t="s">
        <v>73</v>
      </c>
      <c r="E4" s="39" t="s">
        <v>132</v>
      </c>
      <c r="F4" s="39" t="s">
        <v>133</v>
      </c>
      <c r="G4" s="39" t="s">
        <v>134</v>
      </c>
      <c r="H4" s="39" t="s">
        <v>135</v>
      </c>
      <c r="I4" s="39" t="s">
        <v>136</v>
      </c>
      <c r="J4" s="39" t="s">
        <v>137</v>
      </c>
      <c r="K4" s="18" t="s">
        <v>138</v>
      </c>
      <c r="L4" s="18" t="s">
        <v>139</v>
      </c>
      <c r="M4" s="18" t="s">
        <v>140</v>
      </c>
      <c r="N4" s="39" t="s">
        <v>141</v>
      </c>
      <c r="O4" s="39" t="s">
        <v>142</v>
      </c>
      <c r="P4" s="18" t="s">
        <v>36</v>
      </c>
      <c r="Q4" s="18" t="s">
        <v>31</v>
      </c>
      <c r="R4" s="18" t="s">
        <v>37</v>
      </c>
      <c r="S4" s="18" t="s">
        <v>32</v>
      </c>
      <c r="T4" s="18" t="s">
        <v>39</v>
      </c>
    </row>
    <row r="5" customFormat="false" ht="150" hidden="false" customHeight="true" outlineLevel="0" collapsed="false">
      <c r="A5" s="43" t="s">
        <v>93</v>
      </c>
      <c r="B5" s="44" t="s">
        <v>143</v>
      </c>
      <c r="C5" s="44" t="s">
        <v>42</v>
      </c>
      <c r="D5" s="44" t="s">
        <v>94</v>
      </c>
      <c r="E5" s="44" t="s">
        <v>144</v>
      </c>
      <c r="F5" s="44" t="s">
        <v>145</v>
      </c>
      <c r="G5" s="44" t="s">
        <v>146</v>
      </c>
      <c r="H5" s="44"/>
      <c r="I5" s="44" t="s">
        <v>147</v>
      </c>
      <c r="J5" s="44" t="s">
        <v>148</v>
      </c>
      <c r="K5" s="52" t="str">
        <f aca="false">TRIM(E5&amp;" "&amp;F5&amp;" "&amp;G5&amp;" "&amp;H5&amp;" "&amp;I5&amp;" "&amp;J5)</f>
        <v>No la hiciste tú, pero la vas a pagar tú. Vas al taller, te piden 120 euros y te quedas dos días sin coche, por una raya que no es culpa tuya. Oye, ¿y si no hiciera falta? Me pulverizas, pasas el paño y la raya deja de verse. No lijo, relleno. Tu coche tiene el barniz que tiene. Yo no te quito ni una capa. 29 euros. Y me pagas cuando llego a tu casa. Haz clic en el enlace. Guárdame en el maletero y olvídate.</v>
      </c>
      <c r="L5" s="25" t="n">
        <f aca="false">IF(K5="","",LEN(K5)-LEN(SUBSTITUTE(K5," ",""))+1)</f>
        <v>87</v>
      </c>
      <c r="M5" s="25" t="n">
        <f aca="false">IF(L5="","",ROUND(L5/2.6,0))</f>
        <v>33</v>
      </c>
      <c r="N5" s="44" t="s">
        <v>149</v>
      </c>
      <c r="O5" s="44"/>
      <c r="P5" s="25" t="n">
        <f aca="false">IF(A5="","",COUNTIF(Creativos!$E$5:$E$16,A5))</f>
        <v>2</v>
      </c>
      <c r="Q5" s="22" t="n">
        <f aca="false">IF(A5="","",SUMIFS(Histórico!$F$5:$F$5000,Histórico!$R$5:$R$5000,$A5,Histórico!$A$5:$A$5000,"&gt;="&amp;DESDE,Histórico!$A$5:$A$5000,"&lt;="&amp;HASTA))</f>
        <v>13.67</v>
      </c>
      <c r="R5" s="25" t="n">
        <f aca="false">IF(A5="","",SUMIFS(Histórico!$L$5:$L$5000,Histórico!$R$5:$R$5000,$A5,Histórico!$A$5:$A$5000,"&gt;="&amp;DESDE,Histórico!$A$5:$A$5000,"&lt;="&amp;HASTA))</f>
        <v>2</v>
      </c>
      <c r="S5" s="23" t="n">
        <f aca="false">IF(N(R5)*RATIO&gt;0,Q5/(R5*RATIO),"")</f>
        <v>6.52431818181818</v>
      </c>
      <c r="T5" s="23" t="n">
        <f aca="false">IF(A5="","",R5*RATIO*BEN_PEDIDO-Q5*(1+RECARGO))</f>
        <v>10.97</v>
      </c>
    </row>
    <row r="6" customFormat="false" ht="150" hidden="false" customHeight="true" outlineLevel="0" collapsed="false">
      <c r="A6" s="43" t="s">
        <v>103</v>
      </c>
      <c r="B6" s="44" t="s">
        <v>150</v>
      </c>
      <c r="C6" s="44" t="s">
        <v>43</v>
      </c>
      <c r="D6" s="44" t="s">
        <v>94</v>
      </c>
      <c r="E6" s="44" t="s">
        <v>151</v>
      </c>
      <c r="F6" s="44" t="s">
        <v>152</v>
      </c>
      <c r="G6" s="44" t="s">
        <v>153</v>
      </c>
      <c r="H6" s="44" t="s">
        <v>154</v>
      </c>
      <c r="I6" s="44" t="s">
        <v>155</v>
      </c>
      <c r="J6" s="44" t="s">
        <v>156</v>
      </c>
      <c r="K6" s="52" t="str">
        <f aca="false">TRIM(E6&amp;" "&amp;F6&amp;" "&amp;G6&amp;" "&amp;H6&amp;" "&amp;I6&amp;" "&amp;J6)</f>
        <v>Un dineral en el taller. La pulidora te come barniz y el del súper no hace nada. Pues no hace falta. Soy Ceralux y funciono al revés que una pulidora. Ella lija el barniz hasta igualar la raya. Yo la relleno y te dejo el barniz intacto. Pasa la uña por encima del rayón. Si se engancha, es demasiado profunda y yo no te sirvo. Si no se engancha, soy tu solución. Puesto menos de 30 euros y no pagas nada hasta tenerme en la mano. 10 minutos y ahora te quedas tranquilo de haberlo vendido por lo que vale.</v>
      </c>
      <c r="L6" s="25" t="n">
        <f aca="false">IF(K6="","",LEN(K6)-LEN(SUBSTITUTE(K6," ",""))+1)</f>
        <v>100</v>
      </c>
      <c r="M6" s="25" t="n">
        <f aca="false">IF(L6="","",ROUND(L6/2.6,0))</f>
        <v>38</v>
      </c>
      <c r="N6" s="44" t="s">
        <v>157</v>
      </c>
      <c r="O6" s="44" t="s">
        <v>158</v>
      </c>
      <c r="P6" s="25" t="n">
        <f aca="false">IF(A6="","",COUNTIF(Creativos!$E$5:$E$16,A6))</f>
        <v>3</v>
      </c>
      <c r="Q6" s="22" t="n">
        <f aca="false">IF(A6="","",SUMIFS(Histórico!$F$5:$F$5000,Histórico!$R$5:$R$5000,$A6,Histórico!$A$5:$A$5000,"&gt;="&amp;DESDE,Histórico!$A$5:$A$5000,"&lt;="&amp;HASTA))</f>
        <v>14.36</v>
      </c>
      <c r="R6" s="25" t="n">
        <f aca="false">IF(A6="","",SUMIFS(Histórico!$L$5:$L$5000,Histórico!$R$5:$R$5000,$A6,Histórico!$A$5:$A$5000,"&gt;="&amp;DESDE,Histórico!$A$5:$A$5000,"&lt;="&amp;HASTA))</f>
        <v>0</v>
      </c>
      <c r="S6" s="23" t="str">
        <f aca="false">IF(N(R6)*RATIO&gt;0,Q6/(R6*RATIO),"")</f>
        <v/>
      </c>
      <c r="T6" s="23" t="n">
        <f aca="false">IF(A6="","",R6*RATIO*BEN_PEDIDO-Q6*(1+RECARGO))</f>
        <v>-14.36</v>
      </c>
    </row>
    <row r="7" customFormat="false" ht="150" hidden="false" customHeight="true" outlineLevel="0" collapsed="false">
      <c r="A7" s="43" t="s">
        <v>113</v>
      </c>
      <c r="B7" s="44" t="s">
        <v>159</v>
      </c>
      <c r="C7" s="44" t="s">
        <v>44</v>
      </c>
      <c r="D7" s="44" t="s">
        <v>114</v>
      </c>
      <c r="E7" s="44" t="s">
        <v>160</v>
      </c>
      <c r="F7" s="44" t="s">
        <v>161</v>
      </c>
      <c r="G7" s="44" t="s">
        <v>162</v>
      </c>
      <c r="H7" s="44" t="s">
        <v>163</v>
      </c>
      <c r="I7" s="44" t="s">
        <v>164</v>
      </c>
      <c r="J7" s="44" t="s">
        <v>165</v>
      </c>
      <c r="K7" s="52" t="str">
        <f aca="false">TRIM(E7&amp;" "&amp;F7&amp;" "&amp;G7&amp;" "&amp;H7&amp;" "&amp;I7&amp;" "&amp;J7)</f>
        <v>Este es el reparador de arañazos del que habla todo el mundo. Míralo, sin cortes y sin Photoshop. Dos pulsaciones sobre el paño y lo pasamos directamente por encima del arañazo. La fórmula de nanopolímeros rellena la marca y te alisa la superficie al instante, sin lijar el barniz. Esa raya blanca, un par de pasadas y deja de verse. Funciona en cualquier color de coche, mismo resultado. No pagas nada hasta que lo tienes en la mano y lo ves funcionar. Hoy te llevas dos botes por 39,90 y el envío te sale gratis. Pagas en casa cuando te llegue. El enlace está aquí abajo.</v>
      </c>
      <c r="L7" s="25" t="n">
        <f aca="false">IF(K7="","",LEN(K7)-LEN(SUBSTITUTE(K7," ",""))+1)</f>
        <v>106</v>
      </c>
      <c r="M7" s="25" t="n">
        <f aca="false">IF(L7="","",ROUND(L7/2.6,0))</f>
        <v>41</v>
      </c>
      <c r="N7" s="44" t="s">
        <v>166</v>
      </c>
      <c r="O7" s="44" t="s">
        <v>167</v>
      </c>
      <c r="P7" s="25" t="n">
        <f aca="false">IF(A7="","",COUNTIF(Creativos!$E$5:$E$16,A7))</f>
        <v>7</v>
      </c>
      <c r="Q7" s="22" t="n">
        <f aca="false">IF(A7="","",SUMIFS(Histórico!$F$5:$F$5000,Histórico!$R$5:$R$5000,$A7,Histórico!$A$5:$A$5000,"&gt;="&amp;DESDE,Histórico!$A$5:$A$5000,"&lt;="&amp;HASTA))</f>
        <v>147.18</v>
      </c>
      <c r="R7" s="25" t="n">
        <f aca="false">IF(A7="","",SUMIFS(Histórico!$L$5:$L$5000,Histórico!$R$5:$R$5000,$A7,Histórico!$A$5:$A$5000,"&gt;="&amp;DESDE,Histórico!$A$5:$A$5000,"&lt;="&amp;HASTA))</f>
        <v>19</v>
      </c>
      <c r="S7" s="23" t="n">
        <f aca="false">IF(N(R7)*RATIO&gt;0,Q7/(R7*RATIO),"")</f>
        <v>7.39421052631579</v>
      </c>
      <c r="T7" s="23" t="n">
        <f aca="false">IF(A7="","",R7*RATIO*BEN_PEDIDO-Q7*(1+RECARGO))</f>
        <v>86.9</v>
      </c>
    </row>
    <row r="8" customFormat="false" ht="30" hidden="false" customHeight="true" outlineLevel="0" collapsed="false">
      <c r="A8" s="43"/>
      <c r="B8" s="44"/>
      <c r="C8" s="44"/>
      <c r="D8" s="44"/>
      <c r="E8" s="44"/>
      <c r="F8" s="44"/>
      <c r="G8" s="44"/>
      <c r="H8" s="44"/>
      <c r="I8" s="44"/>
      <c r="J8" s="44"/>
      <c r="K8" s="52" t="str">
        <f aca="false">TRIM(E8&amp;" "&amp;F8&amp;" "&amp;G8&amp;" "&amp;H8&amp;" "&amp;I8&amp;" "&amp;J8)</f>
        <v/>
      </c>
      <c r="L8" s="25" t="str">
        <f aca="false">IF(K8="","",LEN(K8)-LEN(SUBSTITUTE(K8," ",""))+1)</f>
        <v/>
      </c>
      <c r="M8" s="25" t="str">
        <f aca="false">IF(L8="","",ROUND(L8/2.6,0))</f>
        <v/>
      </c>
      <c r="N8" s="44"/>
      <c r="O8" s="44"/>
      <c r="P8" s="25" t="str">
        <f aca="false">IF(A8="","",COUNTIF(Creativos!$E$5:$E$16,A8))</f>
        <v/>
      </c>
      <c r="Q8" s="22" t="str">
        <f aca="false">IF(A8="","",SUMIFS(Histórico!$F$5:$F$5000,Histórico!$R$5:$R$5000,$A8,Histórico!$A$5:$A$5000,"&gt;="&amp;DESDE,Histórico!$A$5:$A$5000,"&lt;="&amp;HASTA))</f>
        <v/>
      </c>
      <c r="R8" s="25" t="str">
        <f aca="false">IF(A8="","",SUMIFS(Histórico!$L$5:$L$5000,Histórico!$R$5:$R$5000,$A8,Histórico!$A$5:$A$5000,"&gt;="&amp;DESDE,Histórico!$A$5:$A$5000,"&lt;="&amp;HASTA))</f>
        <v/>
      </c>
      <c r="S8" s="23" t="str">
        <f aca="false">IF(N(R8)*RATIO&gt;0,Q8/(R8*RATIO),"")</f>
        <v/>
      </c>
      <c r="T8" s="23" t="str">
        <f aca="false">IF(A8="","",R8*RATIO*BEN_PEDIDO-Q8*(1+RECARGO))</f>
        <v/>
      </c>
    </row>
    <row r="9" customFormat="false" ht="30" hidden="false" customHeight="true" outlineLevel="0" collapsed="false">
      <c r="A9" s="43"/>
      <c r="B9" s="44"/>
      <c r="C9" s="44"/>
      <c r="D9" s="44"/>
      <c r="E9" s="44"/>
      <c r="F9" s="44"/>
      <c r="G9" s="44"/>
      <c r="H9" s="44"/>
      <c r="I9" s="44"/>
      <c r="J9" s="44"/>
      <c r="K9" s="52" t="str">
        <f aca="false">TRIM(E9&amp;" "&amp;F9&amp;" "&amp;G9&amp;" "&amp;H9&amp;" "&amp;I9&amp;" "&amp;J9)</f>
        <v/>
      </c>
      <c r="L9" s="25" t="str">
        <f aca="false">IF(K9="","",LEN(K9)-LEN(SUBSTITUTE(K9," ",""))+1)</f>
        <v/>
      </c>
      <c r="M9" s="25" t="str">
        <f aca="false">IF(L9="","",ROUND(L9/2.6,0))</f>
        <v/>
      </c>
      <c r="N9" s="44"/>
      <c r="O9" s="44"/>
      <c r="P9" s="25" t="str">
        <f aca="false">IF(A9="","",COUNTIF(Creativos!$E$5:$E$16,A9))</f>
        <v/>
      </c>
      <c r="Q9" s="22" t="str">
        <f aca="false">IF(A9="","",SUMIFS(Histórico!$F$5:$F$5000,Histórico!$R$5:$R$5000,$A9,Histórico!$A$5:$A$5000,"&gt;="&amp;DESDE,Histórico!$A$5:$A$5000,"&lt;="&amp;HASTA))</f>
        <v/>
      </c>
      <c r="R9" s="25" t="str">
        <f aca="false">IF(A9="","",SUMIFS(Histórico!$L$5:$L$5000,Histórico!$R$5:$R$5000,$A9,Histórico!$A$5:$A$5000,"&gt;="&amp;DESDE,Histórico!$A$5:$A$5000,"&lt;="&amp;HASTA))</f>
        <v/>
      </c>
      <c r="S9" s="23" t="str">
        <f aca="false">IF(N(R9)*RATIO&gt;0,Q9/(R9*RATIO),"")</f>
        <v/>
      </c>
      <c r="T9" s="23" t="str">
        <f aca="false">IF(A9="","",R9*RATIO*BEN_PEDIDO-Q9*(1+RECARGO))</f>
        <v/>
      </c>
    </row>
    <row r="10" customFormat="false" ht="30" hidden="false" customHeight="true" outlineLevel="0" collapsed="false">
      <c r="A10" s="43"/>
      <c r="B10" s="44"/>
      <c r="C10" s="44"/>
      <c r="D10" s="44"/>
      <c r="E10" s="44"/>
      <c r="F10" s="44"/>
      <c r="G10" s="44"/>
      <c r="H10" s="44"/>
      <c r="I10" s="44"/>
      <c r="J10" s="44"/>
      <c r="K10" s="52" t="str">
        <f aca="false">TRIM(E10&amp;" "&amp;F10&amp;" "&amp;G10&amp;" "&amp;H10&amp;" "&amp;I10&amp;" "&amp;J10)</f>
        <v/>
      </c>
      <c r="L10" s="25" t="str">
        <f aca="false">IF(K10="","",LEN(K10)-LEN(SUBSTITUTE(K10," ",""))+1)</f>
        <v/>
      </c>
      <c r="M10" s="25" t="str">
        <f aca="false">IF(L10="","",ROUND(L10/2.6,0))</f>
        <v/>
      </c>
      <c r="N10" s="44"/>
      <c r="O10" s="44"/>
      <c r="P10" s="25" t="str">
        <f aca="false">IF(A10="","",COUNTIF(Creativos!$E$5:$E$16,A10))</f>
        <v/>
      </c>
      <c r="Q10" s="22" t="str">
        <f aca="false">IF(A10="","",SUMIFS(Histórico!$F$5:$F$5000,Histórico!$R$5:$R$5000,$A10,Histórico!$A$5:$A$5000,"&gt;="&amp;DESDE,Histórico!$A$5:$A$5000,"&lt;="&amp;HASTA))</f>
        <v/>
      </c>
      <c r="R10" s="25" t="str">
        <f aca="false">IF(A10="","",SUMIFS(Histórico!$L$5:$L$5000,Histórico!$R$5:$R$5000,$A10,Histórico!$A$5:$A$5000,"&gt;="&amp;DESDE,Histórico!$A$5:$A$5000,"&lt;="&amp;HASTA))</f>
        <v/>
      </c>
      <c r="S10" s="23" t="str">
        <f aca="false">IF(N(R10)*RATIO&gt;0,Q10/(R10*RATIO),"")</f>
        <v/>
      </c>
      <c r="T10" s="23" t="str">
        <f aca="false">IF(A10="","",R10*RATIO*BEN_PEDIDO-Q10*(1+RECARGO))</f>
        <v/>
      </c>
    </row>
    <row r="11" customFormat="false" ht="30" hidden="false" customHeight="true" outlineLevel="0" collapsed="false">
      <c r="A11" s="43"/>
      <c r="B11" s="44"/>
      <c r="C11" s="44"/>
      <c r="D11" s="44"/>
      <c r="E11" s="44"/>
      <c r="F11" s="44"/>
      <c r="G11" s="44"/>
      <c r="H11" s="44"/>
      <c r="I11" s="44"/>
      <c r="J11" s="44"/>
      <c r="K11" s="52" t="str">
        <f aca="false">TRIM(E11&amp;" "&amp;F11&amp;" "&amp;G11&amp;" "&amp;H11&amp;" "&amp;I11&amp;" "&amp;J11)</f>
        <v/>
      </c>
      <c r="L11" s="25" t="str">
        <f aca="false">IF(K11="","",LEN(K11)-LEN(SUBSTITUTE(K11," ",""))+1)</f>
        <v/>
      </c>
      <c r="M11" s="25" t="str">
        <f aca="false">IF(L11="","",ROUND(L11/2.6,0))</f>
        <v/>
      </c>
      <c r="N11" s="44"/>
      <c r="O11" s="44"/>
      <c r="P11" s="25" t="str">
        <f aca="false">IF(A11="","",COUNTIF(Creativos!$E$5:$E$16,A11))</f>
        <v/>
      </c>
      <c r="Q11" s="22" t="str">
        <f aca="false">IF(A11="","",SUMIFS(Histórico!$F$5:$F$5000,Histórico!$R$5:$R$5000,$A11,Histórico!$A$5:$A$5000,"&gt;="&amp;DESDE,Histórico!$A$5:$A$5000,"&lt;="&amp;HASTA))</f>
        <v/>
      </c>
      <c r="R11" s="25" t="str">
        <f aca="false">IF(A11="","",SUMIFS(Histórico!$L$5:$L$5000,Histórico!$R$5:$R$5000,$A11,Histórico!$A$5:$A$5000,"&gt;="&amp;DESDE,Histórico!$A$5:$A$5000,"&lt;="&amp;HASTA))</f>
        <v/>
      </c>
      <c r="S11" s="23" t="str">
        <f aca="false">IF(N(R11)*RATIO&gt;0,Q11/(R11*RATIO),"")</f>
        <v/>
      </c>
      <c r="T11" s="23" t="str">
        <f aca="false">IF(A11="","",R11*RATIO*BEN_PEDIDO-Q11*(1+RECARGO))</f>
        <v/>
      </c>
    </row>
    <row r="12" customFormat="false" ht="30" hidden="false" customHeight="true" outlineLevel="0" collapsed="false">
      <c r="A12" s="43"/>
      <c r="B12" s="44"/>
      <c r="C12" s="44"/>
      <c r="D12" s="44"/>
      <c r="E12" s="44"/>
      <c r="F12" s="44"/>
      <c r="G12" s="44"/>
      <c r="H12" s="44"/>
      <c r="I12" s="44"/>
      <c r="J12" s="44"/>
      <c r="K12" s="52" t="str">
        <f aca="false">TRIM(E12&amp;" "&amp;F12&amp;" "&amp;G12&amp;" "&amp;H12&amp;" "&amp;I12&amp;" "&amp;J12)</f>
        <v/>
      </c>
      <c r="L12" s="25" t="str">
        <f aca="false">IF(K12="","",LEN(K12)-LEN(SUBSTITUTE(K12," ",""))+1)</f>
        <v/>
      </c>
      <c r="M12" s="25" t="str">
        <f aca="false">IF(L12="","",ROUND(L12/2.6,0))</f>
        <v/>
      </c>
      <c r="N12" s="44"/>
      <c r="O12" s="44"/>
      <c r="P12" s="25" t="str">
        <f aca="false">IF(A12="","",COUNTIF(Creativos!$E$5:$E$16,A12))</f>
        <v/>
      </c>
      <c r="Q12" s="22" t="str">
        <f aca="false">IF(A12="","",SUMIFS(Histórico!$F$5:$F$5000,Histórico!$R$5:$R$5000,$A12,Histórico!$A$5:$A$5000,"&gt;="&amp;DESDE,Histórico!$A$5:$A$5000,"&lt;="&amp;HASTA))</f>
        <v/>
      </c>
      <c r="R12" s="25" t="str">
        <f aca="false">IF(A12="","",SUMIFS(Histórico!$L$5:$L$5000,Histórico!$R$5:$R$5000,$A12,Histórico!$A$5:$A$5000,"&gt;="&amp;DESDE,Histórico!$A$5:$A$5000,"&lt;="&amp;HASTA))</f>
        <v/>
      </c>
      <c r="S12" s="23" t="str">
        <f aca="false">IF(N(R12)*RATIO&gt;0,Q12/(R12*RATIO),"")</f>
        <v/>
      </c>
      <c r="T12" s="23" t="str">
        <f aca="false">IF(A12="","",R12*RATIO*BEN_PEDIDO-Q12*(1+RECARGO))</f>
        <v/>
      </c>
    </row>
    <row r="13" customFormat="false" ht="30" hidden="false" customHeight="true" outlineLevel="0" collapsed="false">
      <c r="A13" s="43"/>
      <c r="B13" s="44"/>
      <c r="C13" s="44"/>
      <c r="D13" s="44"/>
      <c r="E13" s="44"/>
      <c r="F13" s="44"/>
      <c r="G13" s="44"/>
      <c r="H13" s="44"/>
      <c r="I13" s="44"/>
      <c r="J13" s="44"/>
      <c r="K13" s="52" t="str">
        <f aca="false">TRIM(E13&amp;" "&amp;F13&amp;" "&amp;G13&amp;" "&amp;H13&amp;" "&amp;I13&amp;" "&amp;J13)</f>
        <v/>
      </c>
      <c r="L13" s="25" t="str">
        <f aca="false">IF(K13="","",LEN(K13)-LEN(SUBSTITUTE(K13," ",""))+1)</f>
        <v/>
      </c>
      <c r="M13" s="25" t="str">
        <f aca="false">IF(L13="","",ROUND(L13/2.6,0))</f>
        <v/>
      </c>
      <c r="N13" s="44"/>
      <c r="O13" s="44"/>
      <c r="P13" s="25" t="str">
        <f aca="false">IF(A13="","",COUNTIF(Creativos!$E$5:$E$16,A13))</f>
        <v/>
      </c>
      <c r="Q13" s="22" t="str">
        <f aca="false">IF(A13="","",SUMIFS(Histórico!$F$5:$F$5000,Histórico!$R$5:$R$5000,$A13,Histórico!$A$5:$A$5000,"&gt;="&amp;DESDE,Histórico!$A$5:$A$5000,"&lt;="&amp;HASTA))</f>
        <v/>
      </c>
      <c r="R13" s="25" t="str">
        <f aca="false">IF(A13="","",SUMIFS(Histórico!$L$5:$L$5000,Histórico!$R$5:$R$5000,$A13,Histórico!$A$5:$A$5000,"&gt;="&amp;DESDE,Histórico!$A$5:$A$5000,"&lt;="&amp;HASTA))</f>
        <v/>
      </c>
      <c r="S13" s="23" t="str">
        <f aca="false">IF(N(R13)*RATIO&gt;0,Q13/(R13*RATIO),"")</f>
        <v/>
      </c>
      <c r="T13" s="23" t="str">
        <f aca="false">IF(A13="","",R13*RATIO*BEN_PEDIDO-Q13*(1+RECARGO))</f>
        <v/>
      </c>
    </row>
    <row r="14" customFormat="false" ht="30" hidden="false" customHeight="true" outlineLevel="0" collapsed="false">
      <c r="A14" s="43"/>
      <c r="B14" s="44"/>
      <c r="C14" s="44"/>
      <c r="D14" s="44"/>
      <c r="E14" s="44"/>
      <c r="F14" s="44"/>
      <c r="G14" s="44"/>
      <c r="H14" s="44"/>
      <c r="I14" s="44"/>
      <c r="J14" s="44"/>
      <c r="K14" s="52" t="str">
        <f aca="false">TRIM(E14&amp;" "&amp;F14&amp;" "&amp;G14&amp;" "&amp;H14&amp;" "&amp;I14&amp;" "&amp;J14)</f>
        <v/>
      </c>
      <c r="L14" s="25" t="str">
        <f aca="false">IF(K14="","",LEN(K14)-LEN(SUBSTITUTE(K14," ",""))+1)</f>
        <v/>
      </c>
      <c r="M14" s="25" t="str">
        <f aca="false">IF(L14="","",ROUND(L14/2.6,0))</f>
        <v/>
      </c>
      <c r="N14" s="44"/>
      <c r="O14" s="44"/>
      <c r="P14" s="25" t="str">
        <f aca="false">IF(A14="","",COUNTIF(Creativos!$E$5:$E$16,A14))</f>
        <v/>
      </c>
      <c r="Q14" s="22" t="str">
        <f aca="false">IF(A14="","",SUMIFS(Histórico!$F$5:$F$5000,Histórico!$R$5:$R$5000,$A14,Histórico!$A$5:$A$5000,"&gt;="&amp;DESDE,Histórico!$A$5:$A$5000,"&lt;="&amp;HASTA))</f>
        <v/>
      </c>
      <c r="R14" s="25" t="str">
        <f aca="false">IF(A14="","",SUMIFS(Histórico!$L$5:$L$5000,Histórico!$R$5:$R$5000,$A14,Histórico!$A$5:$A$5000,"&gt;="&amp;DESDE,Histórico!$A$5:$A$5000,"&lt;="&amp;HASTA))</f>
        <v/>
      </c>
      <c r="S14" s="23" t="str">
        <f aca="false">IF(N(R14)*RATIO&gt;0,Q14/(R14*RATIO),"")</f>
        <v/>
      </c>
      <c r="T14" s="23" t="str">
        <f aca="false">IF(A14="","",R14*RATIO*BEN_PEDIDO-Q14*(1+RECARGO))</f>
        <v/>
      </c>
    </row>
    <row r="15" customFormat="false" ht="30" hidden="false" customHeight="true" outlineLevel="0" collapsed="false">
      <c r="A15" s="43"/>
      <c r="B15" s="44"/>
      <c r="C15" s="44"/>
      <c r="D15" s="44"/>
      <c r="E15" s="44"/>
      <c r="F15" s="44"/>
      <c r="G15" s="44"/>
      <c r="H15" s="44"/>
      <c r="I15" s="44"/>
      <c r="J15" s="44"/>
      <c r="K15" s="52" t="str">
        <f aca="false">TRIM(E15&amp;" "&amp;F15&amp;" "&amp;G15&amp;" "&amp;H15&amp;" "&amp;I15&amp;" "&amp;J15)</f>
        <v/>
      </c>
      <c r="L15" s="25" t="str">
        <f aca="false">IF(K15="","",LEN(K15)-LEN(SUBSTITUTE(K15," ",""))+1)</f>
        <v/>
      </c>
      <c r="M15" s="25" t="str">
        <f aca="false">IF(L15="","",ROUND(L15/2.6,0))</f>
        <v/>
      </c>
      <c r="N15" s="44"/>
      <c r="O15" s="44"/>
      <c r="P15" s="25" t="str">
        <f aca="false">IF(A15="","",COUNTIF(Creativos!$E$5:$E$16,A15))</f>
        <v/>
      </c>
      <c r="Q15" s="22" t="str">
        <f aca="false">IF(A15="","",SUMIFS(Histórico!$F$5:$F$5000,Histórico!$R$5:$R$5000,$A15,Histórico!$A$5:$A$5000,"&gt;="&amp;DESDE,Histórico!$A$5:$A$5000,"&lt;="&amp;HASTA))</f>
        <v/>
      </c>
      <c r="R15" s="25" t="str">
        <f aca="false">IF(A15="","",SUMIFS(Histórico!$L$5:$L$5000,Histórico!$R$5:$R$5000,$A15,Histórico!$A$5:$A$5000,"&gt;="&amp;DESDE,Histórico!$A$5:$A$5000,"&lt;="&amp;HASTA))</f>
        <v/>
      </c>
      <c r="S15" s="23" t="str">
        <f aca="false">IF(N(R15)*RATIO&gt;0,Q15/(R15*RATIO),"")</f>
        <v/>
      </c>
      <c r="T15" s="23" t="str">
        <f aca="false">IF(A15="","",R15*RATIO*BEN_PEDIDO-Q15*(1+RECARGO))</f>
        <v/>
      </c>
    </row>
    <row r="16" customFormat="false" ht="30" hidden="false" customHeight="true" outlineLevel="0" collapsed="false">
      <c r="A16" s="43"/>
      <c r="B16" s="44"/>
      <c r="C16" s="44"/>
      <c r="D16" s="44"/>
      <c r="E16" s="44"/>
      <c r="F16" s="44"/>
      <c r="G16" s="44"/>
      <c r="H16" s="44"/>
      <c r="I16" s="44"/>
      <c r="J16" s="44"/>
      <c r="K16" s="52" t="str">
        <f aca="false">TRIM(E16&amp;" "&amp;F16&amp;" "&amp;G16&amp;" "&amp;H16&amp;" "&amp;I16&amp;" "&amp;J16)</f>
        <v/>
      </c>
      <c r="L16" s="25" t="str">
        <f aca="false">IF(K16="","",LEN(K16)-LEN(SUBSTITUTE(K16," ",""))+1)</f>
        <v/>
      </c>
      <c r="M16" s="25" t="str">
        <f aca="false">IF(L16="","",ROUND(L16/2.6,0))</f>
        <v/>
      </c>
      <c r="N16" s="44"/>
      <c r="O16" s="44"/>
      <c r="P16" s="25" t="str">
        <f aca="false">IF(A16="","",COUNTIF(Creativos!$E$5:$E$16,A16))</f>
        <v/>
      </c>
      <c r="Q16" s="22" t="str">
        <f aca="false">IF(A16="","",SUMIFS(Histórico!$F$5:$F$5000,Histórico!$R$5:$R$5000,$A16,Histórico!$A$5:$A$5000,"&gt;="&amp;DESDE,Histórico!$A$5:$A$5000,"&lt;="&amp;HASTA))</f>
        <v/>
      </c>
      <c r="R16" s="25" t="str">
        <f aca="false">IF(A16="","",SUMIFS(Histórico!$L$5:$L$5000,Histórico!$R$5:$R$5000,$A16,Histórico!$A$5:$A$5000,"&gt;="&amp;DESDE,Histórico!$A$5:$A$5000,"&lt;="&amp;HASTA))</f>
        <v/>
      </c>
      <c r="S16" s="23" t="str">
        <f aca="false">IF(N(R16)*RATIO&gt;0,Q16/(R16*RATIO),"")</f>
        <v/>
      </c>
      <c r="T16" s="23" t="str">
        <f aca="false">IF(A16="","",R16*RATIO*BEN_PEDIDO-Q16*(1+RECARGO))</f>
        <v/>
      </c>
    </row>
    <row r="17" customFormat="false" ht="30" hidden="false" customHeight="true" outlineLevel="0" collapsed="false">
      <c r="A17" s="43"/>
      <c r="B17" s="44"/>
      <c r="C17" s="44"/>
      <c r="D17" s="44"/>
      <c r="E17" s="44"/>
      <c r="F17" s="44"/>
      <c r="G17" s="44"/>
      <c r="H17" s="44"/>
      <c r="I17" s="44"/>
      <c r="J17" s="44"/>
      <c r="K17" s="52" t="str">
        <f aca="false">TRIM(E17&amp;" "&amp;F17&amp;" "&amp;G17&amp;" "&amp;H17&amp;" "&amp;I17&amp;" "&amp;J17)</f>
        <v/>
      </c>
      <c r="L17" s="25" t="str">
        <f aca="false">IF(K17="","",LEN(K17)-LEN(SUBSTITUTE(K17," ",""))+1)</f>
        <v/>
      </c>
      <c r="M17" s="25" t="str">
        <f aca="false">IF(L17="","",ROUND(L17/2.6,0))</f>
        <v/>
      </c>
      <c r="N17" s="44"/>
      <c r="O17" s="44"/>
      <c r="P17" s="25" t="str">
        <f aca="false">IF(A17="","",COUNTIF(Creativos!$E$5:$E$16,A17))</f>
        <v/>
      </c>
      <c r="Q17" s="22" t="str">
        <f aca="false">IF(A17="","",SUMIFS(Histórico!$F$5:$F$5000,Histórico!$R$5:$R$5000,$A17,Histórico!$A$5:$A$5000,"&gt;="&amp;DESDE,Histórico!$A$5:$A$5000,"&lt;="&amp;HASTA))</f>
        <v/>
      </c>
      <c r="R17" s="25" t="str">
        <f aca="false">IF(A17="","",SUMIFS(Histórico!$L$5:$L$5000,Histórico!$R$5:$R$5000,$A17,Histórico!$A$5:$A$5000,"&gt;="&amp;DESDE,Histórico!$A$5:$A$5000,"&lt;="&amp;HASTA))</f>
        <v/>
      </c>
      <c r="S17" s="23" t="str">
        <f aca="false">IF(N(R17)*RATIO&gt;0,Q17/(R17*RATIO),"")</f>
        <v/>
      </c>
      <c r="T17" s="23" t="str">
        <f aca="false">IF(A17="","",R17*RATIO*BEN_PEDIDO-Q17*(1+RECARGO))</f>
        <v/>
      </c>
    </row>
  </sheetData>
  <conditionalFormatting sqref="T5:T17">
    <cfRule type="cellIs" priority="2" operator="greaterThan" aboveAverage="0" equalAverage="0" bottom="0" percent="0" rank="0" text="" dxfId="7">
      <formula>0</formula>
    </cfRule>
    <cfRule type="cellIs" priority="3" operator="less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5" min="3" style="0" width="18"/>
  </cols>
  <sheetData>
    <row r="1" customFormat="false" ht="19.7" hidden="false" customHeight="false" outlineLevel="0" collapsed="false">
      <c r="B1" s="1" t="s">
        <v>168</v>
      </c>
    </row>
    <row r="2" customFormat="false" ht="15" hidden="false" customHeight="false" outlineLevel="0" collapsed="false">
      <c r="B2" s="2" t="s">
        <v>169</v>
      </c>
    </row>
    <row r="4" customFormat="false" ht="36" hidden="false" customHeight="true" outlineLevel="0" collapsed="false">
      <c r="B4" s="18" t="s">
        <v>51</v>
      </c>
      <c r="C4" s="18" t="s">
        <v>47</v>
      </c>
      <c r="D4" s="18" t="s">
        <v>48</v>
      </c>
      <c r="E4" s="18" t="s">
        <v>49</v>
      </c>
    </row>
    <row r="5" customFormat="false" ht="25.5" hidden="false" customHeight="true" outlineLevel="0" collapsed="false">
      <c r="B5" s="53" t="s">
        <v>52</v>
      </c>
      <c r="C5" s="54" t="n">
        <f aca="false">IF(SUMIFS(Histórico!$F$5:$F$5000,Histórico!$S$5:$S$5000,$B5,Histórico!$R$5:$R$5000,"C1",Histórico!$A$5:$A$5000,"&gt;="&amp;DESDE,Histórico!$A$5:$A$5000,"&lt;="&amp;HASTA)=0,"—",IF(SUMIFS(Histórico!$L$5:$L$5000,Histórico!$S$5:$S$5000,$B5,Histórico!$R$5:$R$5000,"C1",Histórico!$A$5:$A$5000,"&gt;="&amp;DESDE,Histórico!$A$5:$A$5000,"&lt;="&amp;HASTA)=0,"sin ventas",SUMIFS(Histórico!$F$5:$F$5000,Histórico!$S$5:$S$5000,$B5,Histórico!$R$5:$R$5000,"C1",Histórico!$A$5:$A$5000,"&gt;="&amp;DESDE,Histórico!$A$5:$A$5000,"&lt;="&amp;HASTA)/(SUMIFS(Histórico!$L$5:$L$5000,Histórico!$S$5:$S$5000,$B5,Histórico!$R$5:$R$5000,"C1",Histórico!$A$5:$A$5000,"&gt;="&amp;DESDE,Histórico!$A$5:$A$5000,"&lt;="&amp;HASTA)*RATIO)))</f>
        <v>6.52431818181818</v>
      </c>
      <c r="D5" s="54" t="str">
        <f aca="false">IF(SUMIFS(Histórico!$F$5:$F$5000,Histórico!$S$5:$S$5000,$B5,Histórico!$R$5:$R$5000,"C2",Histórico!$A$5:$A$5000,"&gt;="&amp;DESDE,Histórico!$A$5:$A$5000,"&lt;="&amp;HASTA)=0,"—",IF(SUMIFS(Histórico!$L$5:$L$5000,Histórico!$S$5:$S$5000,$B5,Histórico!$R$5:$R$5000,"C2",Histórico!$A$5:$A$5000,"&gt;="&amp;DESDE,Histórico!$A$5:$A$5000,"&lt;="&amp;HASTA)=0,"sin ventas",SUMIFS(Histórico!$F$5:$F$5000,Histórico!$S$5:$S$5000,$B5,Histórico!$R$5:$R$5000,"C2",Histórico!$A$5:$A$5000,"&gt;="&amp;DESDE,Histórico!$A$5:$A$5000,"&lt;="&amp;HASTA)/(SUMIFS(Histórico!$L$5:$L$5000,Histórico!$S$5:$S$5000,$B5,Histórico!$R$5:$R$5000,"C2",Histórico!$A$5:$A$5000,"&gt;="&amp;DESDE,Histórico!$A$5:$A$5000,"&lt;="&amp;HASTA)*RATIO)))</f>
        <v>—</v>
      </c>
      <c r="E5" s="54" t="str">
        <f aca="false">IF(SUMIFS(Histórico!$F$5:$F$5000,Histórico!$S$5:$S$5000,$B5,Histórico!$R$5:$R$5000,"C3",Histórico!$A$5:$A$5000,"&gt;="&amp;DESDE,Histórico!$A$5:$A$5000,"&lt;="&amp;HASTA)=0,"—",IF(SUMIFS(Histórico!$L$5:$L$5000,Histórico!$S$5:$S$5000,$B5,Histórico!$R$5:$R$5000,"C3",Histórico!$A$5:$A$5000,"&gt;="&amp;DESDE,Histórico!$A$5:$A$5000,"&lt;="&amp;HASTA)=0,"sin ventas",SUMIFS(Histórico!$F$5:$F$5000,Histórico!$S$5:$S$5000,$B5,Histórico!$R$5:$R$5000,"C3",Histórico!$A$5:$A$5000,"&gt;="&amp;DESDE,Histórico!$A$5:$A$5000,"&lt;="&amp;HASTA)/(SUMIFS(Histórico!$L$5:$L$5000,Histórico!$S$5:$S$5000,$B5,Histórico!$R$5:$R$5000,"C3",Histórico!$A$5:$A$5000,"&gt;="&amp;DESDE,Histórico!$A$5:$A$5000,"&lt;="&amp;HASTA)*RATIO)))</f>
        <v>—</v>
      </c>
    </row>
    <row r="6" customFormat="false" ht="25.5" hidden="false" customHeight="true" outlineLevel="0" collapsed="false">
      <c r="B6" s="53" t="s">
        <v>53</v>
      </c>
      <c r="C6" s="54" t="str">
        <f aca="false">IF(SUMIFS(Histórico!$F$5:$F$5000,Histórico!$S$5:$S$5000,$B6,Histórico!$R$5:$R$5000,"C1",Histórico!$A$5:$A$5000,"&gt;="&amp;DESDE,Histórico!$A$5:$A$5000,"&lt;="&amp;HASTA)=0,"—",IF(SUMIFS(Histórico!$L$5:$L$5000,Histórico!$S$5:$S$5000,$B6,Histórico!$R$5:$R$5000,"C1",Histórico!$A$5:$A$5000,"&gt;="&amp;DESDE,Histórico!$A$5:$A$5000,"&lt;="&amp;HASTA)=0,"sin ventas",SUMIFS(Histórico!$F$5:$F$5000,Histórico!$S$5:$S$5000,$B6,Histórico!$R$5:$R$5000,"C1",Histórico!$A$5:$A$5000,"&gt;="&amp;DESDE,Histórico!$A$5:$A$5000,"&lt;="&amp;HASTA)/(SUMIFS(Histórico!$L$5:$L$5000,Histórico!$S$5:$S$5000,$B6,Histórico!$R$5:$R$5000,"C1",Histórico!$A$5:$A$5000,"&gt;="&amp;DESDE,Histórico!$A$5:$A$5000,"&lt;="&amp;HASTA)*RATIO)))</f>
        <v>—</v>
      </c>
      <c r="D6" s="54" t="str">
        <f aca="false">IF(SUMIFS(Histórico!$F$5:$F$5000,Histórico!$S$5:$S$5000,$B6,Histórico!$R$5:$R$5000,"C2",Histórico!$A$5:$A$5000,"&gt;="&amp;DESDE,Histórico!$A$5:$A$5000,"&lt;="&amp;HASTA)=0,"—",IF(SUMIFS(Histórico!$L$5:$L$5000,Histórico!$S$5:$S$5000,$B6,Histórico!$R$5:$R$5000,"C2",Histórico!$A$5:$A$5000,"&gt;="&amp;DESDE,Histórico!$A$5:$A$5000,"&lt;="&amp;HASTA)=0,"sin ventas",SUMIFS(Histórico!$F$5:$F$5000,Histórico!$S$5:$S$5000,$B6,Histórico!$R$5:$R$5000,"C2",Histórico!$A$5:$A$5000,"&gt;="&amp;DESDE,Histórico!$A$5:$A$5000,"&lt;="&amp;HASTA)/(SUMIFS(Histórico!$L$5:$L$5000,Histórico!$S$5:$S$5000,$B6,Histórico!$R$5:$R$5000,"C2",Histórico!$A$5:$A$5000,"&gt;="&amp;DESDE,Histórico!$A$5:$A$5000,"&lt;="&amp;HASTA)*RATIO)))</f>
        <v>sin ventas</v>
      </c>
      <c r="E6" s="54" t="str">
        <f aca="false">IF(SUMIFS(Histórico!$F$5:$F$5000,Histórico!$S$5:$S$5000,$B6,Histórico!$R$5:$R$5000,"C3",Histórico!$A$5:$A$5000,"&gt;="&amp;DESDE,Histórico!$A$5:$A$5000,"&lt;="&amp;HASTA)=0,"—",IF(SUMIFS(Histórico!$L$5:$L$5000,Histórico!$S$5:$S$5000,$B6,Histórico!$R$5:$R$5000,"C3",Histórico!$A$5:$A$5000,"&gt;="&amp;DESDE,Histórico!$A$5:$A$5000,"&lt;="&amp;HASTA)=0,"sin ventas",SUMIFS(Histórico!$F$5:$F$5000,Histórico!$S$5:$S$5000,$B6,Histórico!$R$5:$R$5000,"C3",Histórico!$A$5:$A$5000,"&gt;="&amp;DESDE,Histórico!$A$5:$A$5000,"&lt;="&amp;HASTA)/(SUMIFS(Histórico!$L$5:$L$5000,Histórico!$S$5:$S$5000,$B6,Histórico!$R$5:$R$5000,"C3",Histórico!$A$5:$A$5000,"&gt;="&amp;DESDE,Histórico!$A$5:$A$5000,"&lt;="&amp;HASTA)*RATIO)))</f>
        <v>—</v>
      </c>
    </row>
    <row r="7" customFormat="false" ht="25.5" hidden="false" customHeight="true" outlineLevel="0" collapsed="false">
      <c r="B7" s="53" t="s">
        <v>54</v>
      </c>
      <c r="C7" s="54" t="str">
        <f aca="false">IF(SUMIFS(Histórico!$F$5:$F$5000,Histórico!$S$5:$S$5000,$B7,Histórico!$R$5:$R$5000,"C1",Histórico!$A$5:$A$5000,"&gt;="&amp;DESDE,Histórico!$A$5:$A$5000,"&lt;="&amp;HASTA)=0,"—",IF(SUMIFS(Histórico!$L$5:$L$5000,Histórico!$S$5:$S$5000,$B7,Histórico!$R$5:$R$5000,"C1",Histórico!$A$5:$A$5000,"&gt;="&amp;DESDE,Histórico!$A$5:$A$5000,"&lt;="&amp;HASTA)=0,"sin ventas",SUMIFS(Histórico!$F$5:$F$5000,Histórico!$S$5:$S$5000,$B7,Histórico!$R$5:$R$5000,"C1",Histórico!$A$5:$A$5000,"&gt;="&amp;DESDE,Histórico!$A$5:$A$5000,"&lt;="&amp;HASTA)/(SUMIFS(Histórico!$L$5:$L$5000,Histórico!$S$5:$S$5000,$B7,Histórico!$R$5:$R$5000,"C1",Histórico!$A$5:$A$5000,"&gt;="&amp;DESDE,Histórico!$A$5:$A$5000,"&lt;="&amp;HASTA)*RATIO)))</f>
        <v>—</v>
      </c>
      <c r="D7" s="54" t="str">
        <f aca="false">IF(SUMIFS(Histórico!$F$5:$F$5000,Histórico!$S$5:$S$5000,$B7,Histórico!$R$5:$R$5000,"C2",Histórico!$A$5:$A$5000,"&gt;="&amp;DESDE,Histórico!$A$5:$A$5000,"&lt;="&amp;HASTA)=0,"—",IF(SUMIFS(Histórico!$L$5:$L$5000,Histórico!$S$5:$S$5000,$B7,Histórico!$R$5:$R$5000,"C2",Histórico!$A$5:$A$5000,"&gt;="&amp;DESDE,Histórico!$A$5:$A$5000,"&lt;="&amp;HASTA)=0,"sin ventas",SUMIFS(Histórico!$F$5:$F$5000,Histórico!$S$5:$S$5000,$B7,Histórico!$R$5:$R$5000,"C2",Histórico!$A$5:$A$5000,"&gt;="&amp;DESDE,Histórico!$A$5:$A$5000,"&lt;="&amp;HASTA)/(SUMIFS(Histórico!$L$5:$L$5000,Histórico!$S$5:$S$5000,$B7,Histórico!$R$5:$R$5000,"C2",Histórico!$A$5:$A$5000,"&gt;="&amp;DESDE,Histórico!$A$5:$A$5000,"&lt;="&amp;HASTA)*RATIO)))</f>
        <v>—</v>
      </c>
      <c r="E7" s="54" t="n">
        <f aca="false">IF(SUMIFS(Histórico!$F$5:$F$5000,Histórico!$S$5:$S$5000,$B7,Histórico!$R$5:$R$5000,"C3",Histórico!$A$5:$A$5000,"&gt;="&amp;DESDE,Histórico!$A$5:$A$5000,"&lt;="&amp;HASTA)=0,"—",IF(SUMIFS(Histórico!$L$5:$L$5000,Histórico!$S$5:$S$5000,$B7,Histórico!$R$5:$R$5000,"C3",Histórico!$A$5:$A$5000,"&gt;="&amp;DESDE,Histórico!$A$5:$A$5000,"&lt;="&amp;HASTA)=0,"sin ventas",SUMIFS(Histórico!$F$5:$F$5000,Histórico!$S$5:$S$5000,$B7,Histórico!$R$5:$R$5000,"C3",Histórico!$A$5:$A$5000,"&gt;="&amp;DESDE,Histórico!$A$5:$A$5000,"&lt;="&amp;HASTA)/(SUMIFS(Histórico!$L$5:$L$5000,Histórico!$S$5:$S$5000,$B7,Histórico!$R$5:$R$5000,"C3",Histórico!$A$5:$A$5000,"&gt;="&amp;DESDE,Histórico!$A$5:$A$5000,"&lt;="&amp;HASTA)*RATIO)))</f>
        <v>8.16518181818182</v>
      </c>
    </row>
    <row r="8" customFormat="false" ht="25.5" hidden="false" customHeight="true" outlineLevel="0" collapsed="false">
      <c r="B8" s="53" t="s">
        <v>55</v>
      </c>
      <c r="C8" s="54" t="str">
        <f aca="false">IF(SUMIFS(Histórico!$F$5:$F$5000,Histórico!$S$5:$S$5000,$B8,Histórico!$R$5:$R$5000,"C1",Histórico!$A$5:$A$5000,"&gt;="&amp;DESDE,Histórico!$A$5:$A$5000,"&lt;="&amp;HASTA)=0,"—",IF(SUMIFS(Histórico!$L$5:$L$5000,Histórico!$S$5:$S$5000,$B8,Histórico!$R$5:$R$5000,"C1",Histórico!$A$5:$A$5000,"&gt;="&amp;DESDE,Histórico!$A$5:$A$5000,"&lt;="&amp;HASTA)=0,"sin ventas",SUMIFS(Histórico!$F$5:$F$5000,Histórico!$S$5:$S$5000,$B8,Histórico!$R$5:$R$5000,"C1",Histórico!$A$5:$A$5000,"&gt;="&amp;DESDE,Histórico!$A$5:$A$5000,"&lt;="&amp;HASTA)/(SUMIFS(Histórico!$L$5:$L$5000,Histórico!$S$5:$S$5000,$B8,Histórico!$R$5:$R$5000,"C1",Histórico!$A$5:$A$5000,"&gt;="&amp;DESDE,Histórico!$A$5:$A$5000,"&lt;="&amp;HASTA)*RATIO)))</f>
        <v>—</v>
      </c>
      <c r="D8" s="54" t="str">
        <f aca="false">IF(SUMIFS(Histórico!$F$5:$F$5000,Histórico!$S$5:$S$5000,$B8,Histórico!$R$5:$R$5000,"C2",Histórico!$A$5:$A$5000,"&gt;="&amp;DESDE,Histórico!$A$5:$A$5000,"&lt;="&amp;HASTA)=0,"—",IF(SUMIFS(Histórico!$L$5:$L$5000,Histórico!$S$5:$S$5000,$B8,Histórico!$R$5:$R$5000,"C2",Histórico!$A$5:$A$5000,"&gt;="&amp;DESDE,Histórico!$A$5:$A$5000,"&lt;="&amp;HASTA)=0,"sin ventas",SUMIFS(Histórico!$F$5:$F$5000,Histórico!$S$5:$S$5000,$B8,Histórico!$R$5:$R$5000,"C2",Histórico!$A$5:$A$5000,"&gt;="&amp;DESDE,Histórico!$A$5:$A$5000,"&lt;="&amp;HASTA)/(SUMIFS(Histórico!$L$5:$L$5000,Histórico!$S$5:$S$5000,$B8,Histórico!$R$5:$R$5000,"C2",Histórico!$A$5:$A$5000,"&gt;="&amp;DESDE,Histórico!$A$5:$A$5000,"&lt;="&amp;HASTA)*RATIO)))</f>
        <v>—</v>
      </c>
      <c r="E8" s="54" t="n">
        <f aca="false">IF(SUMIFS(Histórico!$F$5:$F$5000,Histórico!$S$5:$S$5000,$B8,Histórico!$R$5:$R$5000,"C3",Histórico!$A$5:$A$5000,"&gt;="&amp;DESDE,Histórico!$A$5:$A$5000,"&lt;="&amp;HASTA)=0,"—",IF(SUMIFS(Histórico!$L$5:$L$5000,Histórico!$S$5:$S$5000,$B8,Histórico!$R$5:$R$5000,"C3",Histórico!$A$5:$A$5000,"&gt;="&amp;DESDE,Histórico!$A$5:$A$5000,"&lt;="&amp;HASTA)=0,"sin ventas",SUMIFS(Histórico!$F$5:$F$5000,Histórico!$S$5:$S$5000,$B8,Histórico!$R$5:$R$5000,"C3",Histórico!$A$5:$A$5000,"&gt;="&amp;DESDE,Histórico!$A$5:$A$5000,"&lt;="&amp;HASTA)/(SUMIFS(Histórico!$L$5:$L$5000,Histórico!$S$5:$S$5000,$B8,Histórico!$R$5:$R$5000,"C3",Histórico!$A$5:$A$5000,"&gt;="&amp;DESDE,Histórico!$A$5:$A$5000,"&lt;="&amp;HASTA)*RATIO)))</f>
        <v>6.28568181818182</v>
      </c>
    </row>
    <row r="9" customFormat="false" ht="25.5" hidden="false" customHeight="true" outlineLevel="0" collapsed="false">
      <c r="B9" s="53" t="s">
        <v>56</v>
      </c>
      <c r="C9" s="54" t="str">
        <f aca="false">IF(SUMIFS(Histórico!$F$5:$F$5000,Histórico!$S$5:$S$5000,$B9,Histórico!$R$5:$R$5000,"C1",Histórico!$A$5:$A$5000,"&gt;="&amp;DESDE,Histórico!$A$5:$A$5000,"&lt;="&amp;HASTA)=0,"—",IF(SUMIFS(Histórico!$L$5:$L$5000,Histórico!$S$5:$S$5000,$B9,Histórico!$R$5:$R$5000,"C1",Histórico!$A$5:$A$5000,"&gt;="&amp;DESDE,Histórico!$A$5:$A$5000,"&lt;="&amp;HASTA)=0,"sin ventas",SUMIFS(Histórico!$F$5:$F$5000,Histórico!$S$5:$S$5000,$B9,Histórico!$R$5:$R$5000,"C1",Histórico!$A$5:$A$5000,"&gt;="&amp;DESDE,Histórico!$A$5:$A$5000,"&lt;="&amp;HASTA)/(SUMIFS(Histórico!$L$5:$L$5000,Histórico!$S$5:$S$5000,$B9,Histórico!$R$5:$R$5000,"C1",Histórico!$A$5:$A$5000,"&gt;="&amp;DESDE,Histórico!$A$5:$A$5000,"&lt;="&amp;HASTA)*RATIO)))</f>
        <v>—</v>
      </c>
      <c r="D9" s="54" t="str">
        <f aca="false">IF(SUMIFS(Histórico!$F$5:$F$5000,Histórico!$S$5:$S$5000,$B9,Histórico!$R$5:$R$5000,"C2",Histórico!$A$5:$A$5000,"&gt;="&amp;DESDE,Histórico!$A$5:$A$5000,"&lt;="&amp;HASTA)=0,"—",IF(SUMIFS(Histórico!$L$5:$L$5000,Histórico!$S$5:$S$5000,$B9,Histórico!$R$5:$R$5000,"C2",Histórico!$A$5:$A$5000,"&gt;="&amp;DESDE,Histórico!$A$5:$A$5000,"&lt;="&amp;HASTA)=0,"sin ventas",SUMIFS(Histórico!$F$5:$F$5000,Histórico!$S$5:$S$5000,$B9,Histórico!$R$5:$R$5000,"C2",Histórico!$A$5:$A$5000,"&gt;="&amp;DESDE,Histórico!$A$5:$A$5000,"&lt;="&amp;HASTA)/(SUMIFS(Histórico!$L$5:$L$5000,Histórico!$S$5:$S$5000,$B9,Histórico!$R$5:$R$5000,"C2",Histórico!$A$5:$A$5000,"&gt;="&amp;DESDE,Histórico!$A$5:$A$5000,"&lt;="&amp;HASTA)*RATIO)))</f>
        <v>—</v>
      </c>
      <c r="E9" s="54" t="n">
        <f aca="false">IF(SUMIFS(Histórico!$F$5:$F$5000,Histórico!$S$5:$S$5000,$B9,Histórico!$R$5:$R$5000,"C3",Histórico!$A$5:$A$5000,"&gt;="&amp;DESDE,Histórico!$A$5:$A$5000,"&lt;="&amp;HASTA)=0,"—",IF(SUMIFS(Histórico!$L$5:$L$5000,Histórico!$S$5:$S$5000,$B9,Histórico!$R$5:$R$5000,"C3",Histórico!$A$5:$A$5000,"&gt;="&amp;DESDE,Histórico!$A$5:$A$5000,"&lt;="&amp;HASTA)=0,"sin ventas",SUMIFS(Histórico!$F$5:$F$5000,Histórico!$S$5:$S$5000,$B9,Histórico!$R$5:$R$5000,"C3",Histórico!$A$5:$A$5000,"&gt;="&amp;DESDE,Histórico!$A$5:$A$5000,"&lt;="&amp;HASTA)/(SUMIFS(Histórico!$L$5:$L$5000,Histórico!$S$5:$S$5000,$B9,Histórico!$R$5:$R$5000,"C3",Histórico!$A$5:$A$5000,"&gt;="&amp;DESDE,Histórico!$A$5:$A$5000,"&lt;="&amp;HASTA)*RATIO)))</f>
        <v>4.05681818181818</v>
      </c>
    </row>
    <row r="10" customFormat="false" ht="25.5" hidden="false" customHeight="true" outlineLevel="0" collapsed="false">
      <c r="B10" s="53" t="s">
        <v>57</v>
      </c>
      <c r="C10" s="54" t="str">
        <f aca="false">IF(SUMIFS(Histórico!$F$5:$F$5000,Histórico!$S$5:$S$5000,$B10,Histórico!$R$5:$R$5000,"C1",Histórico!$A$5:$A$5000,"&gt;="&amp;DESDE,Histórico!$A$5:$A$5000,"&lt;="&amp;HASTA)=0,"—",IF(SUMIFS(Histórico!$L$5:$L$5000,Histórico!$S$5:$S$5000,$B10,Histórico!$R$5:$R$5000,"C1",Histórico!$A$5:$A$5000,"&gt;="&amp;DESDE,Histórico!$A$5:$A$5000,"&lt;="&amp;HASTA)=0,"sin ventas",SUMIFS(Histórico!$F$5:$F$5000,Histórico!$S$5:$S$5000,$B10,Histórico!$R$5:$R$5000,"C1",Histórico!$A$5:$A$5000,"&gt;="&amp;DESDE,Histórico!$A$5:$A$5000,"&lt;="&amp;HASTA)/(SUMIFS(Histórico!$L$5:$L$5000,Histórico!$S$5:$S$5000,$B10,Histórico!$R$5:$R$5000,"C1",Histórico!$A$5:$A$5000,"&gt;="&amp;DESDE,Histórico!$A$5:$A$5000,"&lt;="&amp;HASTA)*RATIO)))</f>
        <v>—</v>
      </c>
      <c r="D10" s="54" t="str">
        <f aca="false">IF(SUMIFS(Histórico!$F$5:$F$5000,Histórico!$S$5:$S$5000,$B10,Histórico!$R$5:$R$5000,"C2",Histórico!$A$5:$A$5000,"&gt;="&amp;DESDE,Histórico!$A$5:$A$5000,"&lt;="&amp;HASTA)=0,"—",IF(SUMIFS(Histórico!$L$5:$L$5000,Histórico!$S$5:$S$5000,$B10,Histórico!$R$5:$R$5000,"C2",Histórico!$A$5:$A$5000,"&gt;="&amp;DESDE,Histórico!$A$5:$A$5000,"&lt;="&amp;HASTA)=0,"sin ventas",SUMIFS(Histórico!$F$5:$F$5000,Histórico!$S$5:$S$5000,$B10,Histórico!$R$5:$R$5000,"C2",Histórico!$A$5:$A$5000,"&gt;="&amp;DESDE,Histórico!$A$5:$A$5000,"&lt;="&amp;HASTA)/(SUMIFS(Histórico!$L$5:$L$5000,Histórico!$S$5:$S$5000,$B10,Histórico!$R$5:$R$5000,"C2",Histórico!$A$5:$A$5000,"&gt;="&amp;DESDE,Histórico!$A$5:$A$5000,"&lt;="&amp;HASTA)*RATIO)))</f>
        <v>—</v>
      </c>
      <c r="E10" s="54" t="n">
        <f aca="false">IF(SUMIFS(Histórico!$F$5:$F$5000,Histórico!$S$5:$S$5000,$B10,Histórico!$R$5:$R$5000,"C3",Histórico!$A$5:$A$5000,"&gt;="&amp;DESDE,Histórico!$A$5:$A$5000,"&lt;="&amp;HASTA)=0,"—",IF(SUMIFS(Histórico!$L$5:$L$5000,Histórico!$S$5:$S$5000,$B10,Histórico!$R$5:$R$5000,"C3",Histórico!$A$5:$A$5000,"&gt;="&amp;DESDE,Histórico!$A$5:$A$5000,"&lt;="&amp;HASTA)=0,"sin ventas",SUMIFS(Histórico!$F$5:$F$5000,Histórico!$S$5:$S$5000,$B10,Histórico!$R$5:$R$5000,"C3",Histórico!$A$5:$A$5000,"&gt;="&amp;DESDE,Histórico!$A$5:$A$5000,"&lt;="&amp;HASTA)/(SUMIFS(Histórico!$L$5:$L$5000,Histórico!$S$5:$S$5000,$B10,Histórico!$R$5:$R$5000,"C3",Histórico!$A$5:$A$5000,"&gt;="&amp;DESDE,Histórico!$A$5:$A$5000,"&lt;="&amp;HASTA)*RATIO)))</f>
        <v>13.0104545454545</v>
      </c>
    </row>
    <row r="12" customFormat="false" ht="15" hidden="false" customHeight="false" outlineLevel="0" collapsed="false">
      <c r="B12" s="2" t="s">
        <v>170</v>
      </c>
    </row>
  </sheetData>
  <conditionalFormatting sqref="C5:E10">
    <cfRule type="expression" priority="2" aboveAverage="0" equalAverage="0" bottom="0" percent="0" rank="0" text="" dxfId="3">
      <formula>AND(ISNUMBER(C5),C5&lt;=UMB_ESC*CPA_BE)</formula>
    </cfRule>
    <cfRule type="expression" priority="3" aboveAverage="0" equalAverage="0" bottom="0" percent="0" rank="0" text="" dxfId="4">
      <formula>AND(ISNUMBER(C5),C5&gt;UMB_ESC*CPA_BE,C5&lt;=CPA_BE)</formula>
    </cfRule>
    <cfRule type="expression" priority="4" aboveAverage="0" equalAverage="0" bottom="0" percent="0" rank="0" text="" dxfId="5">
      <formula>OR(AND(ISNUMBER(C5),C5&gt;CPA_BE),C5="sin ventas")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9"/>
    <col collapsed="false" customWidth="true" hidden="false" outlineLevel="0" max="3" min="3" style="0" width="20"/>
    <col collapsed="false" customWidth="true" hidden="false" outlineLevel="0" max="5" min="4" style="0" width="30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18" min="8" style="0" width="8"/>
    <col collapsed="false" customWidth="true" hidden="false" outlineLevel="0" max="19" min="19" style="0" width="14"/>
    <col collapsed="false" customWidth="true" hidden="false" outlineLevel="0" max="20" min="20" style="0" width="9"/>
    <col collapsed="false" customWidth="true" hidden="false" outlineLevel="0" max="22" min="21" style="0" width="7"/>
    <col collapsed="false" customWidth="true" hidden="false" outlineLevel="0" max="23" min="23" style="0" width="8"/>
  </cols>
  <sheetData>
    <row r="1" customFormat="false" ht="19.7" hidden="false" customHeight="false" outlineLevel="0" collapsed="false">
      <c r="B1" s="1" t="s">
        <v>171</v>
      </c>
    </row>
    <row r="2" customFormat="false" ht="15" hidden="false" customHeight="false" outlineLevel="0" collapsed="false">
      <c r="B2" s="2" t="s">
        <v>172</v>
      </c>
    </row>
    <row r="4" customFormat="false" ht="30" hidden="false" customHeight="true" outlineLevel="0" collapsed="false">
      <c r="A4" s="18" t="s">
        <v>173</v>
      </c>
      <c r="B4" s="18" t="s">
        <v>70</v>
      </c>
      <c r="C4" s="18" t="s">
        <v>28</v>
      </c>
      <c r="D4" s="18" t="s">
        <v>72</v>
      </c>
      <c r="E4" s="18" t="s">
        <v>71</v>
      </c>
      <c r="F4" s="18" t="s">
        <v>31</v>
      </c>
      <c r="G4" s="18" t="s">
        <v>79</v>
      </c>
      <c r="H4" s="18" t="s">
        <v>174</v>
      </c>
      <c r="I4" s="18" t="s">
        <v>81</v>
      </c>
      <c r="J4" s="18" t="s">
        <v>175</v>
      </c>
      <c r="K4" s="18" t="s">
        <v>176</v>
      </c>
      <c r="L4" s="18" t="s">
        <v>177</v>
      </c>
      <c r="M4" s="18" t="s">
        <v>178</v>
      </c>
      <c r="N4" s="18" t="s">
        <v>179</v>
      </c>
      <c r="O4" s="18" t="s">
        <v>180</v>
      </c>
      <c r="P4" s="18" t="s">
        <v>87</v>
      </c>
      <c r="Q4" s="18" t="s">
        <v>181</v>
      </c>
      <c r="R4" s="18" t="s">
        <v>46</v>
      </c>
      <c r="S4" s="18" t="s">
        <v>182</v>
      </c>
      <c r="T4" s="18" t="s">
        <v>183</v>
      </c>
      <c r="U4" s="18" t="s">
        <v>41</v>
      </c>
      <c r="V4" s="18" t="s">
        <v>40</v>
      </c>
      <c r="W4" s="18" t="s">
        <v>184</v>
      </c>
    </row>
    <row r="5" customFormat="false" ht="15" hidden="false" customHeight="false" outlineLevel="0" collapsed="false">
      <c r="A5" s="45" t="n">
        <v>46300</v>
      </c>
      <c r="B5" s="55" t="s">
        <v>111</v>
      </c>
      <c r="C5" s="56" t="s">
        <v>112</v>
      </c>
      <c r="D5" s="46" t="s">
        <v>44</v>
      </c>
      <c r="E5" s="57" t="s">
        <v>92</v>
      </c>
      <c r="F5" s="22" t="n">
        <v>15.67</v>
      </c>
      <c r="G5" s="25" t="n">
        <v>2508</v>
      </c>
      <c r="H5" s="25" t="n">
        <v>38</v>
      </c>
      <c r="I5" s="25" t="n">
        <v>17</v>
      </c>
      <c r="J5" s="25" t="n">
        <v>5</v>
      </c>
      <c r="K5" s="25" t="n">
        <v>5</v>
      </c>
      <c r="L5" s="25" t="n">
        <v>2</v>
      </c>
      <c r="M5" s="25" t="n">
        <v>289</v>
      </c>
      <c r="N5" s="25" t="n">
        <v>138</v>
      </c>
      <c r="O5" s="25" t="n">
        <v>137</v>
      </c>
      <c r="P5" s="25" t="n">
        <v>4</v>
      </c>
      <c r="Q5" s="58" t="n">
        <v>1.087598</v>
      </c>
      <c r="R5" s="59" t="str">
        <f aca="false">IFERROR(INDEX(Creativos!$E$5:$E$16,MATCH($B5,Creativos!$A$5:$A$16,0)),"")</f>
        <v>C3</v>
      </c>
      <c r="S5" s="59" t="str">
        <f aca="false">IFERROR(INDEX(Creativos!$H$5:$H$16,MATCH($B5,Creativos!$A$5:$A$16,0)),"")</f>
        <v>Bolardo</v>
      </c>
      <c r="T5" s="60" t="n">
        <f aca="false">P5*G5</f>
        <v>10032</v>
      </c>
      <c r="U5" s="27" t="n">
        <f aca="false">IF(G5&gt;0,H5/G5,"")</f>
        <v>0.0151515151515152</v>
      </c>
      <c r="V5" s="27" t="n">
        <f aca="false">IF(G5&gt;0,M5/G5,"")</f>
        <v>0.115231259968102</v>
      </c>
      <c r="W5" s="22" t="n">
        <f aca="false">IF(L5&gt;0,F5/L5,"")</f>
        <v>7.835</v>
      </c>
    </row>
    <row r="6" customFormat="false" ht="15" hidden="false" customHeight="false" outlineLevel="0" collapsed="false">
      <c r="A6" s="45" t="n">
        <v>46300</v>
      </c>
      <c r="B6" s="55" t="s">
        <v>116</v>
      </c>
      <c r="C6" s="56" t="s">
        <v>117</v>
      </c>
      <c r="D6" s="46" t="s">
        <v>44</v>
      </c>
      <c r="E6" s="57" t="s">
        <v>92</v>
      </c>
      <c r="F6" s="22" t="n">
        <v>27.53</v>
      </c>
      <c r="G6" s="25" t="n">
        <v>2996</v>
      </c>
      <c r="H6" s="25" t="n">
        <v>50</v>
      </c>
      <c r="I6" s="25" t="n">
        <v>21</v>
      </c>
      <c r="J6" s="25" t="n">
        <v>8</v>
      </c>
      <c r="K6" s="25" t="n">
        <v>8</v>
      </c>
      <c r="L6" s="25" t="n">
        <v>5</v>
      </c>
      <c r="M6" s="25" t="n">
        <v>331</v>
      </c>
      <c r="N6" s="25" t="n">
        <v>139</v>
      </c>
      <c r="O6" s="25" t="n">
        <v>145</v>
      </c>
      <c r="P6" s="25" t="n">
        <v>4</v>
      </c>
      <c r="Q6" s="58" t="n">
        <v>1.054558</v>
      </c>
      <c r="R6" s="59" t="str">
        <f aca="false">IFERROR(INDEX(Creativos!$E$5:$E$16,MATCH($B6,Creativos!$A$5:$A$16,0)),"")</f>
        <v>C3</v>
      </c>
      <c r="S6" s="59" t="str">
        <f aca="false">IFERROR(INDEX(Creativos!$H$5:$H$16,MATCH($B6,Creativos!$A$5:$A$16,0)),"")</f>
        <v>Llaves</v>
      </c>
      <c r="T6" s="60" t="n">
        <f aca="false">P6*G6</f>
        <v>11984</v>
      </c>
      <c r="U6" s="27" t="n">
        <f aca="false">IF(G6&gt;0,H6/G6,"")</f>
        <v>0.0166889185580774</v>
      </c>
      <c r="V6" s="27" t="n">
        <f aca="false">IF(G6&gt;0,M6/G6,"")</f>
        <v>0.110480640854473</v>
      </c>
      <c r="W6" s="22" t="n">
        <f aca="false">IF(L6&gt;0,F6/L6,"")</f>
        <v>5.506</v>
      </c>
    </row>
    <row r="7" customFormat="false" ht="15" hidden="false" customHeight="false" outlineLevel="0" collapsed="false">
      <c r="A7" s="45" t="n">
        <v>46300</v>
      </c>
      <c r="B7" s="55" t="s">
        <v>118</v>
      </c>
      <c r="C7" s="56" t="s">
        <v>119</v>
      </c>
      <c r="D7" s="46" t="s">
        <v>44</v>
      </c>
      <c r="E7" s="57" t="s">
        <v>92</v>
      </c>
      <c r="F7" s="22" t="n">
        <v>1.28</v>
      </c>
      <c r="G7" s="25" t="n">
        <v>135</v>
      </c>
      <c r="H7" s="25" t="n">
        <v>3</v>
      </c>
      <c r="I7" s="25" t="n">
        <v>3</v>
      </c>
      <c r="J7" s="25" t="n">
        <v>0</v>
      </c>
      <c r="K7" s="25" t="n">
        <v>0</v>
      </c>
      <c r="L7" s="25" t="n">
        <v>0</v>
      </c>
      <c r="M7" s="25" t="n">
        <v>23</v>
      </c>
      <c r="N7" s="25" t="n">
        <v>11</v>
      </c>
      <c r="O7" s="25" t="n">
        <v>13</v>
      </c>
      <c r="P7" s="25" t="n">
        <v>5</v>
      </c>
      <c r="Q7" s="58" t="n">
        <v>1.097561</v>
      </c>
      <c r="R7" s="59" t="str">
        <f aca="false">IFERROR(INDEX(Creativos!$E$5:$E$16,MATCH($B7,Creativos!$A$5:$A$16,0)),"")</f>
        <v>C3</v>
      </c>
      <c r="S7" s="59" t="str">
        <f aca="false">IFERROR(INDEX(Creativos!$H$5:$H$16,MATCH($B7,Creativos!$A$5:$A$16,0)),"")</f>
        <v>Llaves</v>
      </c>
      <c r="T7" s="60" t="n">
        <f aca="false">P7*G7</f>
        <v>675</v>
      </c>
      <c r="U7" s="27" t="n">
        <f aca="false">IF(G7&gt;0,H7/G7,"")</f>
        <v>0.0222222222222222</v>
      </c>
      <c r="V7" s="27" t="n">
        <f aca="false">IF(G7&gt;0,M7/G7,"")</f>
        <v>0.17037037037037</v>
      </c>
      <c r="W7" s="22" t="str">
        <f aca="false">IF(L7&gt;0,F7/L7,"")</f>
        <v/>
      </c>
    </row>
    <row r="8" customFormat="false" ht="15" hidden="false" customHeight="false" outlineLevel="0" collapsed="false">
      <c r="A8" s="45" t="n">
        <v>46300</v>
      </c>
      <c r="B8" s="55" t="s">
        <v>120</v>
      </c>
      <c r="C8" s="56" t="s">
        <v>121</v>
      </c>
      <c r="D8" s="46" t="s">
        <v>44</v>
      </c>
      <c r="E8" s="57" t="s">
        <v>92</v>
      </c>
      <c r="F8" s="22" t="n">
        <v>7.7</v>
      </c>
      <c r="G8" s="25" t="n">
        <v>671</v>
      </c>
      <c r="H8" s="25" t="n">
        <v>14</v>
      </c>
      <c r="I8" s="25" t="n">
        <v>6</v>
      </c>
      <c r="J8" s="25" t="n">
        <v>3</v>
      </c>
      <c r="K8" s="25" t="n">
        <v>3</v>
      </c>
      <c r="L8" s="25" t="n">
        <v>2</v>
      </c>
      <c r="M8" s="25" t="n">
        <v>109</v>
      </c>
      <c r="N8" s="25" t="n">
        <v>51</v>
      </c>
      <c r="O8" s="25" t="n">
        <v>51</v>
      </c>
      <c r="P8" s="25" t="n">
        <v>5</v>
      </c>
      <c r="Q8" s="58" t="n">
        <v>1.077047</v>
      </c>
      <c r="R8" s="59" t="str">
        <f aca="false">IFERROR(INDEX(Creativos!$E$5:$E$16,MATCH($B8,Creativos!$A$5:$A$16,0)),"")</f>
        <v>C3</v>
      </c>
      <c r="S8" s="59" t="str">
        <f aca="false">IFERROR(INDEX(Creativos!$H$5:$H$16,MATCH($B8,Creativos!$A$5:$A$16,0)),"")</f>
        <v>Perro</v>
      </c>
      <c r="T8" s="60" t="n">
        <f aca="false">P8*G8</f>
        <v>3355</v>
      </c>
      <c r="U8" s="27" t="n">
        <f aca="false">IF(G8&gt;0,H8/G8,"")</f>
        <v>0.0208643815201192</v>
      </c>
      <c r="V8" s="27" t="n">
        <f aca="false">IF(G8&gt;0,M8/G8,"")</f>
        <v>0.162444113263785</v>
      </c>
      <c r="W8" s="22" t="n">
        <f aca="false">IF(L8&gt;0,F8/L8,"")</f>
        <v>3.85</v>
      </c>
    </row>
    <row r="9" customFormat="false" ht="15" hidden="false" customHeight="false" outlineLevel="0" collapsed="false">
      <c r="A9" s="45" t="n">
        <v>46300</v>
      </c>
      <c r="B9" s="55" t="s">
        <v>122</v>
      </c>
      <c r="C9" s="56" t="s">
        <v>123</v>
      </c>
      <c r="D9" s="46" t="s">
        <v>44</v>
      </c>
      <c r="E9" s="57" t="s">
        <v>92</v>
      </c>
      <c r="F9" s="22" t="n">
        <v>0.04</v>
      </c>
      <c r="G9" s="25" t="n">
        <v>11</v>
      </c>
      <c r="H9" s="25" t="n">
        <v>0</v>
      </c>
      <c r="I9" s="25" t="n">
        <v>0</v>
      </c>
      <c r="J9" s="25" t="n">
        <v>0</v>
      </c>
      <c r="K9" s="25" t="n">
        <v>0</v>
      </c>
      <c r="L9" s="25" t="n">
        <v>0</v>
      </c>
      <c r="M9" s="25" t="n">
        <v>0</v>
      </c>
      <c r="N9" s="25" t="n">
        <v>0</v>
      </c>
      <c r="O9" s="25" t="n">
        <v>0</v>
      </c>
      <c r="P9" s="25" t="n">
        <v>2</v>
      </c>
      <c r="Q9" s="58" t="n">
        <v>1</v>
      </c>
      <c r="R9" s="59" t="str">
        <f aca="false">IFERROR(INDEX(Creativos!$E$5:$E$16,MATCH($B9,Creativos!$A$5:$A$16,0)),"")</f>
        <v>C3</v>
      </c>
      <c r="S9" s="59" t="str">
        <f aca="false">IFERROR(INDEX(Creativos!$H$5:$H$16,MATCH($B9,Creativos!$A$5:$A$16,0)),"")</f>
        <v>Perro</v>
      </c>
      <c r="T9" s="60" t="n">
        <f aca="false">P9*G9</f>
        <v>22</v>
      </c>
      <c r="U9" s="27" t="n">
        <f aca="false">IF(G9&gt;0,H9/G9,"")</f>
        <v>0</v>
      </c>
      <c r="V9" s="27" t="n">
        <f aca="false">IF(G9&gt;0,M9/G9,"")</f>
        <v>0</v>
      </c>
      <c r="W9" s="22" t="str">
        <f aca="false">IF(L9&gt;0,F9/L9,"")</f>
        <v/>
      </c>
    </row>
    <row r="10" customFormat="false" ht="15" hidden="false" customHeight="false" outlineLevel="0" collapsed="false">
      <c r="A10" s="45" t="n">
        <v>46300</v>
      </c>
      <c r="B10" s="55" t="s">
        <v>124</v>
      </c>
      <c r="C10" s="56" t="s">
        <v>125</v>
      </c>
      <c r="D10" s="46" t="s">
        <v>44</v>
      </c>
      <c r="E10" s="57" t="s">
        <v>92</v>
      </c>
      <c r="F10" s="22" t="n">
        <v>0.72</v>
      </c>
      <c r="G10" s="25" t="n">
        <v>46</v>
      </c>
      <c r="H10" s="25" t="n">
        <v>0</v>
      </c>
      <c r="I10" s="25" t="n">
        <v>0</v>
      </c>
      <c r="J10" s="25" t="n">
        <v>0</v>
      </c>
      <c r="K10" s="25" t="n">
        <v>0</v>
      </c>
      <c r="L10" s="25" t="n">
        <v>0</v>
      </c>
      <c r="M10" s="25" t="n">
        <v>7</v>
      </c>
      <c r="N10" s="25" t="n">
        <v>3</v>
      </c>
      <c r="O10" s="25" t="n">
        <v>3</v>
      </c>
      <c r="P10" s="25" t="n">
        <v>5</v>
      </c>
      <c r="Q10" s="58" t="n">
        <v>1.069767</v>
      </c>
      <c r="R10" s="59" t="str">
        <f aca="false">IFERROR(INDEX(Creativos!$E$5:$E$16,MATCH($B10,Creativos!$A$5:$A$16,0)),"")</f>
        <v>C3</v>
      </c>
      <c r="S10" s="59" t="str">
        <f aca="false">IFERROR(INDEX(Creativos!$H$5:$H$16,MATCH($B10,Creativos!$A$5:$A$16,0)),"")</f>
        <v>Carrito</v>
      </c>
      <c r="T10" s="60" t="n">
        <f aca="false">P10*G10</f>
        <v>230</v>
      </c>
      <c r="U10" s="27" t="n">
        <f aca="false">IF(G10&gt;0,H10/G10,"")</f>
        <v>0</v>
      </c>
      <c r="V10" s="27" t="n">
        <f aca="false">IF(G10&gt;0,M10/G10,"")</f>
        <v>0.152173913043478</v>
      </c>
      <c r="W10" s="22" t="str">
        <f aca="false">IF(L10&gt;0,F10/L10,"")</f>
        <v/>
      </c>
    </row>
    <row r="11" customFormat="false" ht="15" hidden="false" customHeight="false" outlineLevel="0" collapsed="false">
      <c r="A11" s="45" t="n">
        <v>46300</v>
      </c>
      <c r="B11" s="55" t="s">
        <v>126</v>
      </c>
      <c r="C11" s="56" t="s">
        <v>127</v>
      </c>
      <c r="D11" s="46" t="s">
        <v>44</v>
      </c>
      <c r="E11" s="57" t="s">
        <v>92</v>
      </c>
      <c r="F11" s="22" t="n">
        <v>5.07</v>
      </c>
      <c r="G11" s="25" t="n">
        <v>330</v>
      </c>
      <c r="H11" s="25" t="n">
        <v>10</v>
      </c>
      <c r="I11" s="25" t="n">
        <v>7</v>
      </c>
      <c r="J11" s="25" t="n">
        <v>0</v>
      </c>
      <c r="K11" s="25" t="n">
        <v>0</v>
      </c>
      <c r="L11" s="25" t="n">
        <v>0</v>
      </c>
      <c r="M11" s="25" t="n">
        <v>81</v>
      </c>
      <c r="N11" s="25" t="n">
        <v>36</v>
      </c>
      <c r="O11" s="25" t="n">
        <v>39</v>
      </c>
      <c r="P11" s="25" t="n">
        <v>7</v>
      </c>
      <c r="Q11" s="58" t="n">
        <v>1.057692</v>
      </c>
      <c r="R11" s="59" t="str">
        <f aca="false">IFERROR(INDEX(Creativos!$E$5:$E$16,MATCH($B11,Creativos!$A$5:$A$16,0)),"")</f>
        <v>C3</v>
      </c>
      <c r="S11" s="59" t="str">
        <f aca="false">IFERROR(INDEX(Creativos!$H$5:$H$16,MATCH($B11,Creativos!$A$5:$A$16,0)),"")</f>
        <v>Carrito</v>
      </c>
      <c r="T11" s="60" t="n">
        <f aca="false">P11*G11</f>
        <v>2310</v>
      </c>
      <c r="U11" s="27" t="n">
        <f aca="false">IF(G11&gt;0,H11/G11,"")</f>
        <v>0.0303030303030303</v>
      </c>
      <c r="V11" s="27" t="n">
        <f aca="false">IF(G11&gt;0,M11/G11,"")</f>
        <v>0.245454545454545</v>
      </c>
      <c r="W11" s="22" t="str">
        <f aca="false">IF(L11&gt;0,F11/L11,"")</f>
        <v/>
      </c>
    </row>
    <row r="12" customFormat="false" ht="15" hidden="false" customHeight="false" outlineLevel="0" collapsed="false">
      <c r="A12" s="45" t="n">
        <v>46300</v>
      </c>
      <c r="B12" s="55" t="s">
        <v>90</v>
      </c>
      <c r="C12" s="56" t="s">
        <v>91</v>
      </c>
      <c r="D12" s="46" t="s">
        <v>42</v>
      </c>
      <c r="E12" s="57" t="s">
        <v>92</v>
      </c>
      <c r="F12" s="22" t="n">
        <v>3.39</v>
      </c>
      <c r="G12" s="25" t="n">
        <v>426</v>
      </c>
      <c r="H12" s="25" t="n">
        <v>5</v>
      </c>
      <c r="I12" s="25" t="n">
        <v>1</v>
      </c>
      <c r="J12" s="25" t="n">
        <v>0</v>
      </c>
      <c r="K12" s="25" t="n">
        <v>0</v>
      </c>
      <c r="L12" s="25" t="n">
        <v>0</v>
      </c>
      <c r="M12" s="25" t="n">
        <v>66</v>
      </c>
      <c r="N12" s="25" t="n">
        <v>47</v>
      </c>
      <c r="O12" s="25" t="n">
        <v>50</v>
      </c>
      <c r="P12" s="25" t="n">
        <v>5</v>
      </c>
      <c r="Q12" s="58" t="n">
        <v>1.065</v>
      </c>
      <c r="R12" s="59" t="str">
        <f aca="false">IFERROR(INDEX(Creativos!$E$5:$E$16,MATCH($B12,Creativos!$A$5:$A$16,0)),"")</f>
        <v>C1</v>
      </c>
      <c r="S12" s="59" t="str">
        <f aca="false">IFERROR(INDEX(Creativos!$H$5:$H$16,MATCH($B12,Creativos!$A$5:$A$16,0)),"")</f>
        <v>Rayón en el parking</v>
      </c>
      <c r="T12" s="60" t="n">
        <f aca="false">P12*G12</f>
        <v>2130</v>
      </c>
      <c r="U12" s="27" t="n">
        <f aca="false">IF(G12&gt;0,H12/G12,"")</f>
        <v>0.0117370892018779</v>
      </c>
      <c r="V12" s="27" t="n">
        <f aca="false">IF(G12&gt;0,M12/G12,"")</f>
        <v>0.154929577464789</v>
      </c>
      <c r="W12" s="22" t="str">
        <f aca="false">IF(L12&gt;0,F12/L12,"")</f>
        <v/>
      </c>
    </row>
    <row r="13" customFormat="false" ht="15" hidden="false" customHeight="false" outlineLevel="0" collapsed="false">
      <c r="A13" s="45" t="n">
        <v>46300</v>
      </c>
      <c r="B13" s="55" t="s">
        <v>98</v>
      </c>
      <c r="C13" s="56" t="s">
        <v>99</v>
      </c>
      <c r="D13" s="46" t="s">
        <v>42</v>
      </c>
      <c r="E13" s="57" t="s">
        <v>92</v>
      </c>
      <c r="F13" s="22" t="n">
        <v>1.35</v>
      </c>
      <c r="G13" s="25" t="n">
        <v>159</v>
      </c>
      <c r="H13" s="25" t="n">
        <v>0</v>
      </c>
      <c r="I13" s="25" t="n">
        <v>0</v>
      </c>
      <c r="J13" s="25" t="n">
        <v>0</v>
      </c>
      <c r="K13" s="25" t="n">
        <v>0</v>
      </c>
      <c r="L13" s="25" t="n">
        <v>0</v>
      </c>
      <c r="M13" s="25" t="n">
        <v>21</v>
      </c>
      <c r="N13" s="25" t="n">
        <v>17</v>
      </c>
      <c r="O13" s="25" t="n">
        <v>15</v>
      </c>
      <c r="P13" s="25" t="n">
        <v>7</v>
      </c>
      <c r="Q13" s="58" t="n">
        <v>1.019231</v>
      </c>
      <c r="R13" s="59" t="str">
        <f aca="false">IFERROR(INDEX(Creativos!$E$5:$E$16,MATCH($B13,Creativos!$A$5:$A$16,0)),"")</f>
        <v>C1</v>
      </c>
      <c r="S13" s="59" t="str">
        <f aca="false">IFERROR(INDEX(Creativos!$H$5:$H$16,MATCH($B13,Creativos!$A$5:$A$16,0)),"")</f>
        <v>Rayón en el parking</v>
      </c>
      <c r="T13" s="60" t="n">
        <f aca="false">P13*G13</f>
        <v>1113</v>
      </c>
      <c r="U13" s="27" t="n">
        <f aca="false">IF(G13&gt;0,H13/G13,"")</f>
        <v>0</v>
      </c>
      <c r="V13" s="27" t="n">
        <f aca="false">IF(G13&gt;0,M13/G13,"")</f>
        <v>0.132075471698113</v>
      </c>
      <c r="W13" s="22" t="str">
        <f aca="false">IF(L13&gt;0,F13/L13,"")</f>
        <v/>
      </c>
    </row>
    <row r="14" customFormat="false" ht="15" hidden="false" customHeight="false" outlineLevel="0" collapsed="false">
      <c r="A14" s="45" t="n">
        <v>46300</v>
      </c>
      <c r="B14" s="55" t="s">
        <v>101</v>
      </c>
      <c r="C14" s="56" t="s">
        <v>102</v>
      </c>
      <c r="D14" s="46" t="s">
        <v>43</v>
      </c>
      <c r="E14" s="57" t="s">
        <v>92</v>
      </c>
      <c r="F14" s="22" t="n">
        <v>4.09</v>
      </c>
      <c r="G14" s="25" t="n">
        <v>301</v>
      </c>
      <c r="H14" s="25" t="n">
        <v>8</v>
      </c>
      <c r="I14" s="25" t="n">
        <v>3</v>
      </c>
      <c r="J14" s="25" t="n">
        <v>0</v>
      </c>
      <c r="K14" s="25" t="n">
        <v>0</v>
      </c>
      <c r="L14" s="25" t="n">
        <v>0</v>
      </c>
      <c r="M14" s="25" t="n">
        <v>45</v>
      </c>
      <c r="N14" s="25" t="n">
        <v>29</v>
      </c>
      <c r="O14" s="25" t="n">
        <v>35</v>
      </c>
      <c r="P14" s="25" t="n">
        <v>6</v>
      </c>
      <c r="Q14" s="58" t="n">
        <v>1.059859</v>
      </c>
      <c r="R14" s="59" t="str">
        <f aca="false">IFERROR(INDEX(Creativos!$E$5:$E$16,MATCH($B14,Creativos!$A$5:$A$16,0)),"")</f>
        <v>C2</v>
      </c>
      <c r="S14" s="59" t="str">
        <f aca="false">IFERROR(INDEX(Creativos!$H$5:$H$16,MATCH($B14,Creativos!$A$5:$A$16,0)),"")</f>
        <v>Vender el coche</v>
      </c>
      <c r="T14" s="60" t="n">
        <f aca="false">P14*G14</f>
        <v>1806</v>
      </c>
      <c r="U14" s="27" t="n">
        <f aca="false">IF(G14&gt;0,H14/G14,"")</f>
        <v>0.026578073089701</v>
      </c>
      <c r="V14" s="27" t="n">
        <f aca="false">IF(G14&gt;0,M14/G14,"")</f>
        <v>0.149501661129568</v>
      </c>
      <c r="W14" s="22" t="str">
        <f aca="false">IF(L14&gt;0,F14/L14,"")</f>
        <v/>
      </c>
    </row>
    <row r="15" customFormat="false" ht="15" hidden="false" customHeight="false" outlineLevel="0" collapsed="false">
      <c r="A15" s="45" t="n">
        <v>46300</v>
      </c>
      <c r="B15" s="55" t="s">
        <v>105</v>
      </c>
      <c r="C15" s="56" t="s">
        <v>106</v>
      </c>
      <c r="D15" s="46" t="s">
        <v>43</v>
      </c>
      <c r="E15" s="57" t="s">
        <v>92</v>
      </c>
      <c r="F15" s="22" t="n">
        <v>0.09</v>
      </c>
      <c r="G15" s="25" t="n">
        <v>21</v>
      </c>
      <c r="H15" s="25" t="n">
        <v>0</v>
      </c>
      <c r="I15" s="25" t="n">
        <v>0</v>
      </c>
      <c r="J15" s="25" t="n">
        <v>0</v>
      </c>
      <c r="K15" s="25" t="n">
        <v>0</v>
      </c>
      <c r="L15" s="25" t="n">
        <v>0</v>
      </c>
      <c r="M15" s="25" t="n">
        <v>4</v>
      </c>
      <c r="N15" s="25" t="n">
        <v>1</v>
      </c>
      <c r="O15" s="25" t="n">
        <v>3</v>
      </c>
      <c r="P15" s="25" t="n">
        <v>5</v>
      </c>
      <c r="Q15" s="58" t="n">
        <v>1.05</v>
      </c>
      <c r="R15" s="59" t="str">
        <f aca="false">IFERROR(INDEX(Creativos!$E$5:$E$16,MATCH($B15,Creativos!$A$5:$A$16,0)),"")</f>
        <v>C2</v>
      </c>
      <c r="S15" s="59" t="str">
        <f aca="false">IFERROR(INDEX(Creativos!$H$5:$H$16,MATCH($B15,Creativos!$A$5:$A$16,0)),"")</f>
        <v>Vender el coche</v>
      </c>
      <c r="T15" s="60" t="n">
        <f aca="false">P15*G15</f>
        <v>105</v>
      </c>
      <c r="U15" s="27" t="n">
        <f aca="false">IF(G15&gt;0,H15/G15,"")</f>
        <v>0</v>
      </c>
      <c r="V15" s="27" t="n">
        <f aca="false">IF(G15&gt;0,M15/G15,"")</f>
        <v>0.19047619047619</v>
      </c>
      <c r="W15" s="22" t="str">
        <f aca="false">IF(L15&gt;0,F15/L15,"")</f>
        <v/>
      </c>
    </row>
    <row r="16" customFormat="false" ht="15" hidden="false" customHeight="false" outlineLevel="0" collapsed="false">
      <c r="A16" s="45" t="n">
        <v>46300</v>
      </c>
      <c r="B16" s="55" t="s">
        <v>108</v>
      </c>
      <c r="C16" s="56" t="s">
        <v>109</v>
      </c>
      <c r="D16" s="46" t="s">
        <v>43</v>
      </c>
      <c r="E16" s="57" t="s">
        <v>92</v>
      </c>
      <c r="F16" s="22" t="n">
        <v>0.74</v>
      </c>
      <c r="G16" s="25" t="n">
        <v>53</v>
      </c>
      <c r="H16" s="25" t="n">
        <v>1</v>
      </c>
      <c r="I16" s="25" t="n">
        <v>0</v>
      </c>
      <c r="J16" s="25" t="n">
        <v>0</v>
      </c>
      <c r="K16" s="25" t="n">
        <v>0</v>
      </c>
      <c r="L16" s="25" t="n">
        <v>0</v>
      </c>
      <c r="M16" s="25" t="n">
        <v>10</v>
      </c>
      <c r="N16" s="25" t="n">
        <v>4</v>
      </c>
      <c r="O16" s="25" t="n">
        <v>7</v>
      </c>
      <c r="P16" s="25" t="n">
        <v>7</v>
      </c>
      <c r="Q16" s="58" t="n">
        <v>1.104167</v>
      </c>
      <c r="R16" s="59" t="str">
        <f aca="false">IFERROR(INDEX(Creativos!$E$5:$E$16,MATCH($B16,Creativos!$A$5:$A$16,0)),"")</f>
        <v>C2</v>
      </c>
      <c r="S16" s="59" t="str">
        <f aca="false">IFERROR(INDEX(Creativos!$H$5:$H$16,MATCH($B16,Creativos!$A$5:$A$16,0)),"")</f>
        <v>Vender el coche</v>
      </c>
      <c r="T16" s="60" t="n">
        <f aca="false">P16*G16</f>
        <v>371</v>
      </c>
      <c r="U16" s="27" t="n">
        <f aca="false">IF(G16&gt;0,H16/G16,"")</f>
        <v>0.0188679245283019</v>
      </c>
      <c r="V16" s="27" t="n">
        <f aca="false">IF(G16&gt;0,M16/G16,"")</f>
        <v>0.188679245283019</v>
      </c>
      <c r="W16" s="22" t="str">
        <f aca="false">IF(L16&gt;0,F16/L16,"")</f>
        <v/>
      </c>
    </row>
    <row r="17" customFormat="false" ht="15" hidden="false" customHeight="false" outlineLevel="0" collapsed="false">
      <c r="A17" s="45" t="n">
        <v>46301</v>
      </c>
      <c r="B17" s="55" t="s">
        <v>111</v>
      </c>
      <c r="C17" s="56" t="s">
        <v>112</v>
      </c>
      <c r="D17" s="46" t="s">
        <v>44</v>
      </c>
      <c r="E17" s="57" t="s">
        <v>92</v>
      </c>
      <c r="F17" s="22" t="n">
        <v>48.97</v>
      </c>
      <c r="G17" s="25" t="n">
        <v>7940</v>
      </c>
      <c r="H17" s="25" t="n">
        <v>128</v>
      </c>
      <c r="I17" s="25" t="n">
        <v>43</v>
      </c>
      <c r="J17" s="25" t="n">
        <v>7</v>
      </c>
      <c r="K17" s="25" t="n">
        <v>7</v>
      </c>
      <c r="L17" s="25" t="n">
        <v>4</v>
      </c>
      <c r="M17" s="25" t="n">
        <v>944</v>
      </c>
      <c r="N17" s="25" t="n">
        <v>491</v>
      </c>
      <c r="O17" s="25" t="n">
        <v>468</v>
      </c>
      <c r="P17" s="25" t="n">
        <v>4</v>
      </c>
      <c r="Q17" s="58" t="n">
        <v>1.035607</v>
      </c>
      <c r="R17" s="59" t="str">
        <f aca="false">IFERROR(INDEX(Creativos!$E$5:$E$16,MATCH($B17,Creativos!$A$5:$A$16,0)),"")</f>
        <v>C3</v>
      </c>
      <c r="S17" s="59" t="str">
        <f aca="false">IFERROR(INDEX(Creativos!$H$5:$H$16,MATCH($B17,Creativos!$A$5:$A$16,0)),"")</f>
        <v>Bolardo</v>
      </c>
      <c r="T17" s="60" t="n">
        <f aca="false">P17*G17</f>
        <v>31760</v>
      </c>
      <c r="U17" s="27" t="n">
        <f aca="false">IF(G17&gt;0,H17/G17,"")</f>
        <v>0.0161209068010076</v>
      </c>
      <c r="V17" s="27" t="n">
        <f aca="false">IF(G17&gt;0,M17/G17,"")</f>
        <v>0.118891687657431</v>
      </c>
      <c r="W17" s="22" t="n">
        <f aca="false">IF(L17&gt;0,F17/L17,"")</f>
        <v>12.2425</v>
      </c>
    </row>
    <row r="18" customFormat="false" ht="15" hidden="false" customHeight="false" outlineLevel="0" collapsed="false">
      <c r="A18" s="45" t="n">
        <v>46301</v>
      </c>
      <c r="B18" s="55" t="s">
        <v>116</v>
      </c>
      <c r="C18" s="56" t="s">
        <v>117</v>
      </c>
      <c r="D18" s="46" t="s">
        <v>44</v>
      </c>
      <c r="E18" s="57" t="s">
        <v>92</v>
      </c>
      <c r="F18" s="22" t="n">
        <v>4.97</v>
      </c>
      <c r="G18" s="25" t="n">
        <v>484</v>
      </c>
      <c r="H18" s="25" t="n">
        <v>13</v>
      </c>
      <c r="I18" s="25" t="n">
        <v>5</v>
      </c>
      <c r="J18" s="25" t="n">
        <v>0</v>
      </c>
      <c r="K18" s="25" t="n">
        <v>0</v>
      </c>
      <c r="L18" s="25" t="n">
        <v>0</v>
      </c>
      <c r="M18" s="25" t="n">
        <v>58</v>
      </c>
      <c r="N18" s="25" t="n">
        <v>34</v>
      </c>
      <c r="O18" s="25" t="n">
        <v>35</v>
      </c>
      <c r="P18" s="25" t="n">
        <v>4</v>
      </c>
      <c r="Q18" s="58" t="n">
        <v>1.073171</v>
      </c>
      <c r="R18" s="59" t="str">
        <f aca="false">IFERROR(INDEX(Creativos!$E$5:$E$16,MATCH($B18,Creativos!$A$5:$A$16,0)),"")</f>
        <v>C3</v>
      </c>
      <c r="S18" s="59" t="str">
        <f aca="false">IFERROR(INDEX(Creativos!$H$5:$H$16,MATCH($B18,Creativos!$A$5:$A$16,0)),"")</f>
        <v>Llaves</v>
      </c>
      <c r="T18" s="60" t="n">
        <f aca="false">P18*G18</f>
        <v>1936</v>
      </c>
      <c r="U18" s="27" t="n">
        <f aca="false">IF(G18&gt;0,H18/G18,"")</f>
        <v>0.0268595041322314</v>
      </c>
      <c r="V18" s="27" t="n">
        <f aca="false">IF(G18&gt;0,M18/G18,"")</f>
        <v>0.119834710743802</v>
      </c>
      <c r="W18" s="22" t="str">
        <f aca="false">IF(L18&gt;0,F18/L18,"")</f>
        <v/>
      </c>
    </row>
    <row r="19" customFormat="false" ht="15" hidden="false" customHeight="false" outlineLevel="0" collapsed="false">
      <c r="A19" s="45" t="n">
        <v>46301</v>
      </c>
      <c r="B19" s="55" t="s">
        <v>118</v>
      </c>
      <c r="C19" s="56" t="s">
        <v>119</v>
      </c>
      <c r="D19" s="46" t="s">
        <v>44</v>
      </c>
      <c r="E19" s="57" t="s">
        <v>92</v>
      </c>
      <c r="F19" s="22" t="n">
        <v>0.47</v>
      </c>
      <c r="G19" s="25" t="n">
        <v>19</v>
      </c>
      <c r="H19" s="25" t="n">
        <v>0</v>
      </c>
      <c r="I19" s="25" t="n">
        <v>0</v>
      </c>
      <c r="J19" s="25" t="n">
        <v>0</v>
      </c>
      <c r="K19" s="25" t="n">
        <v>0</v>
      </c>
      <c r="L19" s="25" t="n">
        <v>0</v>
      </c>
      <c r="M19" s="25" t="n">
        <v>3</v>
      </c>
      <c r="N19" s="25" t="n">
        <v>2</v>
      </c>
      <c r="O19" s="25" t="n">
        <v>2</v>
      </c>
      <c r="P19" s="25" t="n">
        <v>5</v>
      </c>
      <c r="Q19" s="58" t="n">
        <v>1</v>
      </c>
      <c r="R19" s="59" t="str">
        <f aca="false">IFERROR(INDEX(Creativos!$E$5:$E$16,MATCH($B19,Creativos!$A$5:$A$16,0)),"")</f>
        <v>C3</v>
      </c>
      <c r="S19" s="59" t="str">
        <f aca="false">IFERROR(INDEX(Creativos!$H$5:$H$16,MATCH($B19,Creativos!$A$5:$A$16,0)),"")</f>
        <v>Llaves</v>
      </c>
      <c r="T19" s="60" t="n">
        <f aca="false">P19*G19</f>
        <v>95</v>
      </c>
      <c r="U19" s="27" t="n">
        <f aca="false">IF(G19&gt;0,H19/G19,"")</f>
        <v>0</v>
      </c>
      <c r="V19" s="27" t="n">
        <f aca="false">IF(G19&gt;0,M19/G19,"")</f>
        <v>0.157894736842105</v>
      </c>
      <c r="W19" s="22" t="str">
        <f aca="false">IF(L19&gt;0,F19/L19,"")</f>
        <v/>
      </c>
    </row>
    <row r="20" customFormat="false" ht="15" hidden="false" customHeight="false" outlineLevel="0" collapsed="false">
      <c r="A20" s="45" t="n">
        <v>46301</v>
      </c>
      <c r="B20" s="55" t="s">
        <v>120</v>
      </c>
      <c r="C20" s="56" t="s">
        <v>121</v>
      </c>
      <c r="D20" s="46" t="s">
        <v>44</v>
      </c>
      <c r="E20" s="57" t="s">
        <v>92</v>
      </c>
      <c r="F20" s="22" t="n">
        <v>0.38</v>
      </c>
      <c r="G20" s="25" t="n">
        <v>46</v>
      </c>
      <c r="H20" s="25" t="n">
        <v>4</v>
      </c>
      <c r="I20" s="25" t="n">
        <v>0</v>
      </c>
      <c r="J20" s="25" t="n">
        <v>0</v>
      </c>
      <c r="K20" s="25" t="n">
        <v>0</v>
      </c>
      <c r="L20" s="25" t="n">
        <v>0</v>
      </c>
      <c r="M20" s="25" t="n">
        <v>17</v>
      </c>
      <c r="N20" s="25" t="n">
        <v>11</v>
      </c>
      <c r="O20" s="25" t="n">
        <v>11</v>
      </c>
      <c r="P20" s="25" t="n">
        <v>8</v>
      </c>
      <c r="Q20" s="58" t="n">
        <v>1.15</v>
      </c>
      <c r="R20" s="59" t="str">
        <f aca="false">IFERROR(INDEX(Creativos!$E$5:$E$16,MATCH($B20,Creativos!$A$5:$A$16,0)),"")</f>
        <v>C3</v>
      </c>
      <c r="S20" s="59" t="str">
        <f aca="false">IFERROR(INDEX(Creativos!$H$5:$H$16,MATCH($B20,Creativos!$A$5:$A$16,0)),"")</f>
        <v>Perro</v>
      </c>
      <c r="T20" s="60" t="n">
        <f aca="false">P20*G20</f>
        <v>368</v>
      </c>
      <c r="U20" s="27" t="n">
        <f aca="false">IF(G20&gt;0,H20/G20,"")</f>
        <v>0.0869565217391304</v>
      </c>
      <c r="V20" s="27" t="n">
        <f aca="false">IF(G20&gt;0,M20/G20,"")</f>
        <v>0.369565217391304</v>
      </c>
      <c r="W20" s="22" t="str">
        <f aca="false">IF(L20&gt;0,F20/L20,"")</f>
        <v/>
      </c>
    </row>
    <row r="21" customFormat="false" ht="15" hidden="false" customHeight="false" outlineLevel="0" collapsed="false">
      <c r="A21" s="45" t="n">
        <v>46301</v>
      </c>
      <c r="B21" s="55" t="s">
        <v>122</v>
      </c>
      <c r="C21" s="56" t="s">
        <v>123</v>
      </c>
      <c r="D21" s="46" t="s">
        <v>44</v>
      </c>
      <c r="E21" s="57" t="s">
        <v>92</v>
      </c>
      <c r="F21" s="22" t="n">
        <v>0.01</v>
      </c>
      <c r="G21" s="25" t="n">
        <v>2</v>
      </c>
      <c r="H21" s="25" t="n">
        <v>0</v>
      </c>
      <c r="I21" s="25" t="n">
        <v>0</v>
      </c>
      <c r="J21" s="25" t="n">
        <v>0</v>
      </c>
      <c r="K21" s="25" t="n">
        <v>0</v>
      </c>
      <c r="L21" s="25" t="n">
        <v>0</v>
      </c>
      <c r="M21" s="25" t="n">
        <v>0</v>
      </c>
      <c r="N21" s="25" t="n">
        <v>0</v>
      </c>
      <c r="O21" s="25" t="n">
        <v>0</v>
      </c>
      <c r="P21" s="25" t="n">
        <v>2</v>
      </c>
      <c r="Q21" s="58" t="n">
        <v>1</v>
      </c>
      <c r="R21" s="59" t="str">
        <f aca="false">IFERROR(INDEX(Creativos!$E$5:$E$16,MATCH($B21,Creativos!$A$5:$A$16,0)),"")</f>
        <v>C3</v>
      </c>
      <c r="S21" s="59" t="str">
        <f aca="false">IFERROR(INDEX(Creativos!$H$5:$H$16,MATCH($B21,Creativos!$A$5:$A$16,0)),"")</f>
        <v>Perro</v>
      </c>
      <c r="T21" s="60" t="n">
        <f aca="false">P21*G21</f>
        <v>4</v>
      </c>
      <c r="U21" s="27" t="n">
        <f aca="false">IF(G21&gt;0,H21/G21,"")</f>
        <v>0</v>
      </c>
      <c r="V21" s="27" t="n">
        <f aca="false">IF(G21&gt;0,M21/G21,"")</f>
        <v>0</v>
      </c>
      <c r="W21" s="22" t="str">
        <f aca="false">IF(L21&gt;0,F21/L21,"")</f>
        <v/>
      </c>
    </row>
    <row r="22" customFormat="false" ht="15" hidden="false" customHeight="false" outlineLevel="0" collapsed="false">
      <c r="A22" s="45" t="n">
        <v>46301</v>
      </c>
      <c r="B22" s="55" t="s">
        <v>124</v>
      </c>
      <c r="C22" s="56" t="s">
        <v>125</v>
      </c>
      <c r="D22" s="46" t="s">
        <v>44</v>
      </c>
      <c r="E22" s="57" t="s">
        <v>92</v>
      </c>
      <c r="F22" s="22" t="n">
        <v>0.01</v>
      </c>
      <c r="G22" s="25" t="n">
        <v>3</v>
      </c>
      <c r="H22" s="25" t="n">
        <v>0</v>
      </c>
      <c r="I22" s="25" t="n">
        <v>0</v>
      </c>
      <c r="J22" s="25" t="n">
        <v>0</v>
      </c>
      <c r="K22" s="25" t="n">
        <v>0</v>
      </c>
      <c r="L22" s="25" t="n">
        <v>0</v>
      </c>
      <c r="M22" s="25" t="n">
        <v>0</v>
      </c>
      <c r="N22" s="25" t="n">
        <v>0</v>
      </c>
      <c r="O22" s="25" t="n">
        <v>0</v>
      </c>
      <c r="P22" s="25" t="n">
        <v>0</v>
      </c>
      <c r="Q22" s="58" t="n">
        <v>1</v>
      </c>
      <c r="R22" s="59" t="str">
        <f aca="false">IFERROR(INDEX(Creativos!$E$5:$E$16,MATCH($B22,Creativos!$A$5:$A$16,0)),"")</f>
        <v>C3</v>
      </c>
      <c r="S22" s="59" t="str">
        <f aca="false">IFERROR(INDEX(Creativos!$H$5:$H$16,MATCH($B22,Creativos!$A$5:$A$16,0)),"")</f>
        <v>Carrito</v>
      </c>
      <c r="T22" s="60" t="n">
        <f aca="false">P22*G22</f>
        <v>0</v>
      </c>
      <c r="U22" s="27" t="n">
        <f aca="false">IF(G22&gt;0,H22/G22,"")</f>
        <v>0</v>
      </c>
      <c r="V22" s="27" t="n">
        <f aca="false">IF(G22&gt;0,M22/G22,"")</f>
        <v>0</v>
      </c>
      <c r="W22" s="22" t="str">
        <f aca="false">IF(L22&gt;0,F22/L22,"")</f>
        <v/>
      </c>
    </row>
    <row r="23" customFormat="false" ht="15" hidden="false" customHeight="false" outlineLevel="0" collapsed="false">
      <c r="A23" s="45" t="n">
        <v>46301</v>
      </c>
      <c r="B23" s="55" t="s">
        <v>126</v>
      </c>
      <c r="C23" s="56" t="s">
        <v>127</v>
      </c>
      <c r="D23" s="46" t="s">
        <v>44</v>
      </c>
      <c r="E23" s="57" t="s">
        <v>92</v>
      </c>
      <c r="F23" s="22" t="n">
        <v>5.13</v>
      </c>
      <c r="G23" s="25" t="n">
        <v>362</v>
      </c>
      <c r="H23" s="25" t="n">
        <v>20</v>
      </c>
      <c r="I23" s="25" t="n">
        <v>10</v>
      </c>
      <c r="J23" s="25" t="n">
        <v>2</v>
      </c>
      <c r="K23" s="25" t="n">
        <v>2</v>
      </c>
      <c r="L23" s="25" t="n">
        <v>1</v>
      </c>
      <c r="M23" s="25" t="n">
        <v>83</v>
      </c>
      <c r="N23" s="25" t="n">
        <v>37</v>
      </c>
      <c r="O23" s="25" t="n">
        <v>36</v>
      </c>
      <c r="P23" s="25" t="n">
        <v>7</v>
      </c>
      <c r="Q23" s="58" t="n">
        <v>1.064706</v>
      </c>
      <c r="R23" s="59" t="str">
        <f aca="false">IFERROR(INDEX(Creativos!$E$5:$E$16,MATCH($B23,Creativos!$A$5:$A$16,0)),"")</f>
        <v>C3</v>
      </c>
      <c r="S23" s="59" t="str">
        <f aca="false">IFERROR(INDEX(Creativos!$H$5:$H$16,MATCH($B23,Creativos!$A$5:$A$16,0)),"")</f>
        <v>Carrito</v>
      </c>
      <c r="T23" s="60" t="n">
        <f aca="false">P23*G23</f>
        <v>2534</v>
      </c>
      <c r="U23" s="27" t="n">
        <f aca="false">IF(G23&gt;0,H23/G23,"")</f>
        <v>0.0552486187845304</v>
      </c>
      <c r="V23" s="27" t="n">
        <f aca="false">IF(G23&gt;0,M23/G23,"")</f>
        <v>0.229281767955801</v>
      </c>
      <c r="W23" s="22" t="n">
        <f aca="false">IF(L23&gt;0,F23/L23,"")</f>
        <v>5.13</v>
      </c>
    </row>
    <row r="24" customFormat="false" ht="15" hidden="false" customHeight="false" outlineLevel="0" collapsed="false">
      <c r="A24" s="45" t="n">
        <v>46301</v>
      </c>
      <c r="B24" s="55" t="s">
        <v>90</v>
      </c>
      <c r="C24" s="56" t="s">
        <v>91</v>
      </c>
      <c r="D24" s="46" t="s">
        <v>42</v>
      </c>
      <c r="E24" s="57" t="s">
        <v>92</v>
      </c>
      <c r="F24" s="22" t="n">
        <v>3.48</v>
      </c>
      <c r="G24" s="25" t="n">
        <v>242</v>
      </c>
      <c r="H24" s="25" t="n">
        <v>11</v>
      </c>
      <c r="I24" s="25" t="n">
        <v>7</v>
      </c>
      <c r="J24" s="25" t="n">
        <v>2</v>
      </c>
      <c r="K24" s="25" t="n">
        <v>2</v>
      </c>
      <c r="L24" s="25" t="n">
        <v>2</v>
      </c>
      <c r="M24" s="25" t="n">
        <v>60</v>
      </c>
      <c r="N24" s="25" t="n">
        <v>40</v>
      </c>
      <c r="O24" s="25" t="n">
        <v>48</v>
      </c>
      <c r="P24" s="25" t="n">
        <v>7</v>
      </c>
      <c r="Q24" s="58" t="n">
        <v>1.115207</v>
      </c>
      <c r="R24" s="59" t="str">
        <f aca="false">IFERROR(INDEX(Creativos!$E$5:$E$16,MATCH($B24,Creativos!$A$5:$A$16,0)),"")</f>
        <v>C1</v>
      </c>
      <c r="S24" s="59" t="str">
        <f aca="false">IFERROR(INDEX(Creativos!$H$5:$H$16,MATCH($B24,Creativos!$A$5:$A$16,0)),"")</f>
        <v>Rayón en el parking</v>
      </c>
      <c r="T24" s="60" t="n">
        <f aca="false">P24*G24</f>
        <v>1694</v>
      </c>
      <c r="U24" s="27" t="n">
        <f aca="false">IF(G24&gt;0,H24/G24,"")</f>
        <v>0.0454545454545455</v>
      </c>
      <c r="V24" s="27" t="n">
        <f aca="false">IF(G24&gt;0,M24/G24,"")</f>
        <v>0.247933884297521</v>
      </c>
      <c r="W24" s="22" t="n">
        <f aca="false">IF(L24&gt;0,F24/L24,"")</f>
        <v>1.74</v>
      </c>
    </row>
    <row r="25" customFormat="false" ht="15" hidden="false" customHeight="false" outlineLevel="0" collapsed="false">
      <c r="A25" s="45" t="n">
        <v>46301</v>
      </c>
      <c r="B25" s="55" t="s">
        <v>98</v>
      </c>
      <c r="C25" s="56" t="s">
        <v>99</v>
      </c>
      <c r="D25" s="46" t="s">
        <v>42</v>
      </c>
      <c r="E25" s="57" t="s">
        <v>92</v>
      </c>
      <c r="F25" s="22" t="n">
        <v>1.25</v>
      </c>
      <c r="G25" s="25" t="n">
        <v>62</v>
      </c>
      <c r="H25" s="25" t="n">
        <v>2</v>
      </c>
      <c r="I25" s="25" t="n">
        <v>0</v>
      </c>
      <c r="J25" s="25" t="n">
        <v>0</v>
      </c>
      <c r="K25" s="25" t="n">
        <v>0</v>
      </c>
      <c r="L25" s="25" t="n">
        <v>0</v>
      </c>
      <c r="M25" s="25" t="n">
        <v>16</v>
      </c>
      <c r="N25" s="25" t="n">
        <v>12</v>
      </c>
      <c r="O25" s="25" t="n">
        <v>12</v>
      </c>
      <c r="P25" s="25" t="n">
        <v>8</v>
      </c>
      <c r="Q25" s="58" t="n">
        <v>1.087719</v>
      </c>
      <c r="R25" s="59" t="str">
        <f aca="false">IFERROR(INDEX(Creativos!$E$5:$E$16,MATCH($B25,Creativos!$A$5:$A$16,0)),"")</f>
        <v>C1</v>
      </c>
      <c r="S25" s="59" t="str">
        <f aca="false">IFERROR(INDEX(Creativos!$H$5:$H$16,MATCH($B25,Creativos!$A$5:$A$16,0)),"")</f>
        <v>Rayón en el parking</v>
      </c>
      <c r="T25" s="60" t="n">
        <f aca="false">P25*G25</f>
        <v>496</v>
      </c>
      <c r="U25" s="27" t="n">
        <f aca="false">IF(G25&gt;0,H25/G25,"")</f>
        <v>0.032258064516129</v>
      </c>
      <c r="V25" s="27" t="n">
        <f aca="false">IF(G25&gt;0,M25/G25,"")</f>
        <v>0.258064516129032</v>
      </c>
      <c r="W25" s="22" t="str">
        <f aca="false">IF(L25&gt;0,F25/L25,"")</f>
        <v/>
      </c>
    </row>
    <row r="26" customFormat="false" ht="15" hidden="false" customHeight="false" outlineLevel="0" collapsed="false">
      <c r="A26" s="45" t="n">
        <v>46301</v>
      </c>
      <c r="B26" s="55" t="s">
        <v>101</v>
      </c>
      <c r="C26" s="56" t="s">
        <v>102</v>
      </c>
      <c r="D26" s="46" t="s">
        <v>43</v>
      </c>
      <c r="E26" s="57" t="s">
        <v>92</v>
      </c>
      <c r="F26" s="22" t="n">
        <v>2.45</v>
      </c>
      <c r="G26" s="25" t="n">
        <v>153</v>
      </c>
      <c r="H26" s="25" t="n">
        <v>8</v>
      </c>
      <c r="I26" s="25" t="n">
        <v>4</v>
      </c>
      <c r="J26" s="25" t="n">
        <v>0</v>
      </c>
      <c r="K26" s="25" t="n">
        <v>0</v>
      </c>
      <c r="L26" s="25" t="n">
        <v>0</v>
      </c>
      <c r="M26" s="25" t="n">
        <v>35</v>
      </c>
      <c r="N26" s="25" t="n">
        <v>26</v>
      </c>
      <c r="O26" s="25" t="n">
        <v>30</v>
      </c>
      <c r="P26" s="25" t="n">
        <v>8</v>
      </c>
      <c r="Q26" s="58" t="n">
        <v>1.125</v>
      </c>
      <c r="R26" s="59" t="str">
        <f aca="false">IFERROR(INDEX(Creativos!$E$5:$E$16,MATCH($B26,Creativos!$A$5:$A$16,0)),"")</f>
        <v>C2</v>
      </c>
      <c r="S26" s="59" t="str">
        <f aca="false">IFERROR(INDEX(Creativos!$H$5:$H$16,MATCH($B26,Creativos!$A$5:$A$16,0)),"")</f>
        <v>Vender el coche</v>
      </c>
      <c r="T26" s="60" t="n">
        <f aca="false">P26*G26</f>
        <v>1224</v>
      </c>
      <c r="U26" s="27" t="n">
        <f aca="false">IF(G26&gt;0,H26/G26,"")</f>
        <v>0.0522875816993464</v>
      </c>
      <c r="V26" s="27" t="n">
        <f aca="false">IF(G26&gt;0,M26/G26,"")</f>
        <v>0.228758169934641</v>
      </c>
      <c r="W26" s="22" t="str">
        <f aca="false">IF(L26&gt;0,F26/L26,"")</f>
        <v/>
      </c>
    </row>
    <row r="27" customFormat="false" ht="15" hidden="false" customHeight="false" outlineLevel="0" collapsed="false">
      <c r="A27" s="45" t="n">
        <v>46301</v>
      </c>
      <c r="B27" s="55" t="s">
        <v>105</v>
      </c>
      <c r="C27" s="56" t="s">
        <v>106</v>
      </c>
      <c r="D27" s="46" t="s">
        <v>43</v>
      </c>
      <c r="E27" s="57" t="s">
        <v>92</v>
      </c>
      <c r="F27" s="22" t="n">
        <v>1.51</v>
      </c>
      <c r="G27" s="25" t="n">
        <v>151</v>
      </c>
      <c r="H27" s="25" t="n">
        <v>6</v>
      </c>
      <c r="I27" s="25" t="n">
        <v>0</v>
      </c>
      <c r="J27" s="25" t="n">
        <v>0</v>
      </c>
      <c r="K27" s="25" t="n">
        <v>0</v>
      </c>
      <c r="L27" s="25" t="n">
        <v>0</v>
      </c>
      <c r="M27" s="25" t="n">
        <v>27</v>
      </c>
      <c r="N27" s="25" t="n">
        <v>18</v>
      </c>
      <c r="O27" s="25" t="n">
        <v>22</v>
      </c>
      <c r="P27" s="25" t="n">
        <v>6</v>
      </c>
      <c r="Q27" s="58" t="n">
        <v>1.188976</v>
      </c>
      <c r="R27" s="59" t="str">
        <f aca="false">IFERROR(INDEX(Creativos!$E$5:$E$16,MATCH($B27,Creativos!$A$5:$A$16,0)),"")</f>
        <v>C2</v>
      </c>
      <c r="S27" s="59" t="str">
        <f aca="false">IFERROR(INDEX(Creativos!$H$5:$H$16,MATCH($B27,Creativos!$A$5:$A$16,0)),"")</f>
        <v>Vender el coche</v>
      </c>
      <c r="T27" s="60" t="n">
        <f aca="false">P27*G27</f>
        <v>906</v>
      </c>
      <c r="U27" s="27" t="n">
        <f aca="false">IF(G27&gt;0,H27/G27,"")</f>
        <v>0.0397350993377483</v>
      </c>
      <c r="V27" s="27" t="n">
        <f aca="false">IF(G27&gt;0,M27/G27,"")</f>
        <v>0.178807947019868</v>
      </c>
      <c r="W27" s="22" t="str">
        <f aca="false">IF(L27&gt;0,F27/L27,"")</f>
        <v/>
      </c>
    </row>
    <row r="28" customFormat="false" ht="15" hidden="false" customHeight="false" outlineLevel="0" collapsed="false">
      <c r="A28" s="45" t="n">
        <v>46301</v>
      </c>
      <c r="B28" s="55" t="s">
        <v>108</v>
      </c>
      <c r="C28" s="56" t="s">
        <v>109</v>
      </c>
      <c r="D28" s="46" t="s">
        <v>43</v>
      </c>
      <c r="E28" s="57" t="s">
        <v>92</v>
      </c>
      <c r="F28" s="22" t="n">
        <v>1.55</v>
      </c>
      <c r="G28" s="25" t="n">
        <v>121</v>
      </c>
      <c r="H28" s="25" t="n">
        <v>4</v>
      </c>
      <c r="I28" s="25" t="n">
        <v>1</v>
      </c>
      <c r="J28" s="25" t="n">
        <v>0</v>
      </c>
      <c r="K28" s="25" t="n">
        <v>0</v>
      </c>
      <c r="L28" s="25" t="n">
        <v>0</v>
      </c>
      <c r="M28" s="25" t="n">
        <v>25</v>
      </c>
      <c r="N28" s="25" t="n">
        <v>17</v>
      </c>
      <c r="O28" s="25" t="n">
        <v>19</v>
      </c>
      <c r="P28" s="25" t="n">
        <v>7</v>
      </c>
      <c r="Q28" s="58" t="n">
        <v>1.12037</v>
      </c>
      <c r="R28" s="59" t="str">
        <f aca="false">IFERROR(INDEX(Creativos!$E$5:$E$16,MATCH($B28,Creativos!$A$5:$A$16,0)),"")</f>
        <v>C2</v>
      </c>
      <c r="S28" s="59" t="str">
        <f aca="false">IFERROR(INDEX(Creativos!$H$5:$H$16,MATCH($B28,Creativos!$A$5:$A$16,0)),"")</f>
        <v>Vender el coche</v>
      </c>
      <c r="T28" s="60" t="n">
        <f aca="false">P28*G28</f>
        <v>847</v>
      </c>
      <c r="U28" s="27" t="n">
        <f aca="false">IF(G28&gt;0,H28/G28,"")</f>
        <v>0.0330578512396694</v>
      </c>
      <c r="V28" s="27" t="n">
        <f aca="false">IF(G28&gt;0,M28/G28,"")</f>
        <v>0.206611570247934</v>
      </c>
      <c r="W28" s="22" t="str">
        <f aca="false">IF(L28&gt;0,F28/L28,"")</f>
        <v/>
      </c>
    </row>
    <row r="29" customFormat="false" ht="15" hidden="false" customHeight="false" outlineLevel="0" collapsed="false">
      <c r="A29" s="45" t="n">
        <v>46302</v>
      </c>
      <c r="B29" s="55" t="s">
        <v>111</v>
      </c>
      <c r="C29" s="56" t="s">
        <v>112</v>
      </c>
      <c r="D29" s="46" t="s">
        <v>44</v>
      </c>
      <c r="E29" s="57" t="s">
        <v>92</v>
      </c>
      <c r="F29" s="22" t="n">
        <v>20.9</v>
      </c>
      <c r="G29" s="25" t="n">
        <v>3716</v>
      </c>
      <c r="H29" s="25" t="n">
        <v>62</v>
      </c>
      <c r="I29" s="25" t="n">
        <v>26</v>
      </c>
      <c r="J29" s="25" t="n">
        <v>9</v>
      </c>
      <c r="K29" s="25" t="n">
        <v>9</v>
      </c>
      <c r="L29" s="25" t="n">
        <v>4</v>
      </c>
      <c r="M29" s="25" t="n">
        <v>482</v>
      </c>
      <c r="N29" s="25" t="n">
        <v>248</v>
      </c>
      <c r="O29" s="25" t="n">
        <v>237</v>
      </c>
      <c r="P29" s="25" t="n">
        <v>4</v>
      </c>
      <c r="Q29" s="58" t="n">
        <v>1.071511</v>
      </c>
      <c r="R29" s="59" t="str">
        <f aca="false">IFERROR(INDEX(Creativos!$E$5:$E$16,MATCH($B29,Creativos!$A$5:$A$16,0)),"")</f>
        <v>C3</v>
      </c>
      <c r="S29" s="59" t="str">
        <f aca="false">IFERROR(INDEX(Creativos!$H$5:$H$16,MATCH($B29,Creativos!$A$5:$A$16,0)),"")</f>
        <v>Bolardo</v>
      </c>
      <c r="T29" s="60" t="n">
        <f aca="false">P29*G29</f>
        <v>14864</v>
      </c>
      <c r="U29" s="27" t="n">
        <f aca="false">IF(G29&gt;0,H29/G29,"")</f>
        <v>0.0166846071044133</v>
      </c>
      <c r="V29" s="27" t="n">
        <f aca="false">IF(G29&gt;0,M29/G29,"")</f>
        <v>0.129709364908504</v>
      </c>
      <c r="W29" s="22" t="n">
        <f aca="false">IF(L29&gt;0,F29/L29,"")</f>
        <v>5.225</v>
      </c>
    </row>
    <row r="30" customFormat="false" ht="15" hidden="false" customHeight="false" outlineLevel="0" collapsed="false">
      <c r="A30" s="45" t="n">
        <v>46302</v>
      </c>
      <c r="B30" s="55" t="s">
        <v>116</v>
      </c>
      <c r="C30" s="56" t="s">
        <v>117</v>
      </c>
      <c r="D30" s="46" t="s">
        <v>44</v>
      </c>
      <c r="E30" s="57" t="s">
        <v>92</v>
      </c>
      <c r="F30" s="22" t="n">
        <v>5.2</v>
      </c>
      <c r="G30" s="25" t="n">
        <v>512</v>
      </c>
      <c r="H30" s="25" t="n">
        <v>11</v>
      </c>
      <c r="I30" s="25" t="n">
        <v>5</v>
      </c>
      <c r="J30" s="25" t="n">
        <v>1</v>
      </c>
      <c r="K30" s="25" t="n">
        <v>1</v>
      </c>
      <c r="L30" s="25" t="n">
        <v>1</v>
      </c>
      <c r="M30" s="25" t="n">
        <v>46</v>
      </c>
      <c r="N30" s="25" t="n">
        <v>27</v>
      </c>
      <c r="O30" s="25" t="n">
        <v>25</v>
      </c>
      <c r="P30" s="25" t="n">
        <v>3</v>
      </c>
      <c r="Q30" s="58" t="n">
        <v>1.12035</v>
      </c>
      <c r="R30" s="59" t="str">
        <f aca="false">IFERROR(INDEX(Creativos!$E$5:$E$16,MATCH($B30,Creativos!$A$5:$A$16,0)),"")</f>
        <v>C3</v>
      </c>
      <c r="S30" s="59" t="str">
        <f aca="false">IFERROR(INDEX(Creativos!$H$5:$H$16,MATCH($B30,Creativos!$A$5:$A$16,0)),"")</f>
        <v>Llaves</v>
      </c>
      <c r="T30" s="60" t="n">
        <f aca="false">P30*G30</f>
        <v>1536</v>
      </c>
      <c r="U30" s="27" t="n">
        <f aca="false">IF(G30&gt;0,H30/G30,"")</f>
        <v>0.021484375</v>
      </c>
      <c r="V30" s="27" t="n">
        <f aca="false">IF(G30&gt;0,M30/G30,"")</f>
        <v>0.08984375</v>
      </c>
      <c r="W30" s="22" t="n">
        <f aca="false">IF(L30&gt;0,F30/L30,"")</f>
        <v>5.2</v>
      </c>
    </row>
    <row r="31" customFormat="false" ht="15" hidden="false" customHeight="false" outlineLevel="0" collapsed="false">
      <c r="A31" s="45" t="n">
        <v>46302</v>
      </c>
      <c r="B31" s="55" t="s">
        <v>118</v>
      </c>
      <c r="C31" s="56" t="s">
        <v>119</v>
      </c>
      <c r="D31" s="46" t="s">
        <v>44</v>
      </c>
      <c r="E31" s="57" t="s">
        <v>92</v>
      </c>
      <c r="F31" s="22" t="n">
        <v>0.06</v>
      </c>
      <c r="G31" s="25" t="n">
        <v>3</v>
      </c>
      <c r="H31" s="25" t="n">
        <v>0</v>
      </c>
      <c r="I31" s="25" t="n">
        <v>0</v>
      </c>
      <c r="J31" s="25" t="n">
        <v>0</v>
      </c>
      <c r="K31" s="25" t="n">
        <v>0</v>
      </c>
      <c r="L31" s="25" t="n">
        <v>0</v>
      </c>
      <c r="M31" s="25" t="n">
        <v>0</v>
      </c>
      <c r="N31" s="25" t="n">
        <v>0</v>
      </c>
      <c r="O31" s="25" t="n">
        <v>0</v>
      </c>
      <c r="P31" s="25" t="n">
        <v>1</v>
      </c>
      <c r="Q31" s="58" t="n">
        <v>1</v>
      </c>
      <c r="R31" s="59" t="str">
        <f aca="false">IFERROR(INDEX(Creativos!$E$5:$E$16,MATCH($B31,Creativos!$A$5:$A$16,0)),"")</f>
        <v>C3</v>
      </c>
      <c r="S31" s="59" t="str">
        <f aca="false">IFERROR(INDEX(Creativos!$H$5:$H$16,MATCH($B31,Creativos!$A$5:$A$16,0)),"")</f>
        <v>Llaves</v>
      </c>
      <c r="T31" s="60" t="n">
        <f aca="false">P31*G31</f>
        <v>3</v>
      </c>
      <c r="U31" s="27" t="n">
        <f aca="false">IF(G31&gt;0,H31/G31,"")</f>
        <v>0</v>
      </c>
      <c r="V31" s="27" t="n">
        <f aca="false">IF(G31&gt;0,M31/G31,"")</f>
        <v>0</v>
      </c>
      <c r="W31" s="22" t="str">
        <f aca="false">IF(L31&gt;0,F31/L31,"")</f>
        <v/>
      </c>
    </row>
    <row r="32" customFormat="false" ht="15" hidden="false" customHeight="false" outlineLevel="0" collapsed="false">
      <c r="A32" s="45" t="n">
        <v>46302</v>
      </c>
      <c r="B32" s="55" t="s">
        <v>120</v>
      </c>
      <c r="C32" s="56" t="s">
        <v>121</v>
      </c>
      <c r="D32" s="46" t="s">
        <v>44</v>
      </c>
      <c r="E32" s="57" t="s">
        <v>92</v>
      </c>
      <c r="F32" s="22" t="n">
        <v>0.37</v>
      </c>
      <c r="G32" s="25" t="n">
        <v>37</v>
      </c>
      <c r="H32" s="25" t="n">
        <v>1</v>
      </c>
      <c r="I32" s="25" t="n">
        <v>0</v>
      </c>
      <c r="J32" s="25" t="n">
        <v>0</v>
      </c>
      <c r="K32" s="25" t="n">
        <v>0</v>
      </c>
      <c r="L32" s="25" t="n">
        <v>0</v>
      </c>
      <c r="M32" s="25" t="n">
        <v>14</v>
      </c>
      <c r="N32" s="25" t="n">
        <v>9</v>
      </c>
      <c r="O32" s="25" t="n">
        <v>10</v>
      </c>
      <c r="P32" s="25" t="n">
        <v>9</v>
      </c>
      <c r="Q32" s="58" t="n">
        <v>1.121212</v>
      </c>
      <c r="R32" s="59" t="str">
        <f aca="false">IFERROR(INDEX(Creativos!$E$5:$E$16,MATCH($B32,Creativos!$A$5:$A$16,0)),"")</f>
        <v>C3</v>
      </c>
      <c r="S32" s="59" t="str">
        <f aca="false">IFERROR(INDEX(Creativos!$H$5:$H$16,MATCH($B32,Creativos!$A$5:$A$16,0)),"")</f>
        <v>Perro</v>
      </c>
      <c r="T32" s="60" t="n">
        <f aca="false">P32*G32</f>
        <v>333</v>
      </c>
      <c r="U32" s="27" t="n">
        <f aca="false">IF(G32&gt;0,H32/G32,"")</f>
        <v>0.027027027027027</v>
      </c>
      <c r="V32" s="27" t="n">
        <f aca="false">IF(G32&gt;0,M32/G32,"")</f>
        <v>0.378378378378378</v>
      </c>
      <c r="W32" s="22" t="str">
        <f aca="false">IF(L32&gt;0,F32/L32,"")</f>
        <v/>
      </c>
    </row>
    <row r="33" customFormat="false" ht="15" hidden="false" customHeight="false" outlineLevel="0" collapsed="false">
      <c r="A33" s="45" t="n">
        <v>46302</v>
      </c>
      <c r="B33" s="55" t="s">
        <v>126</v>
      </c>
      <c r="C33" s="56" t="s">
        <v>127</v>
      </c>
      <c r="D33" s="46" t="s">
        <v>44</v>
      </c>
      <c r="E33" s="57" t="s">
        <v>92</v>
      </c>
      <c r="F33" s="22" t="n">
        <v>2.7</v>
      </c>
      <c r="G33" s="25" t="n">
        <v>172</v>
      </c>
      <c r="H33" s="25" t="n">
        <v>3</v>
      </c>
      <c r="I33" s="25" t="n">
        <v>0</v>
      </c>
      <c r="J33" s="25" t="n">
        <v>0</v>
      </c>
      <c r="K33" s="25" t="n">
        <v>0</v>
      </c>
      <c r="L33" s="25" t="n">
        <v>0</v>
      </c>
      <c r="M33" s="25" t="n">
        <v>71</v>
      </c>
      <c r="N33" s="25" t="n">
        <v>46</v>
      </c>
      <c r="O33" s="25" t="n">
        <v>49</v>
      </c>
      <c r="P33" s="25" t="n">
        <v>11</v>
      </c>
      <c r="Q33" s="58" t="n">
        <v>1.131579</v>
      </c>
      <c r="R33" s="59" t="str">
        <f aca="false">IFERROR(INDEX(Creativos!$E$5:$E$16,MATCH($B33,Creativos!$A$5:$A$16,0)),"")</f>
        <v>C3</v>
      </c>
      <c r="S33" s="59" t="str">
        <f aca="false">IFERROR(INDEX(Creativos!$H$5:$H$16,MATCH($B33,Creativos!$A$5:$A$16,0)),"")</f>
        <v>Carrito</v>
      </c>
      <c r="T33" s="60" t="n">
        <f aca="false">P33*G33</f>
        <v>1892</v>
      </c>
      <c r="U33" s="27" t="n">
        <f aca="false">IF(G33&gt;0,H33/G33,"")</f>
        <v>0.0174418604651163</v>
      </c>
      <c r="V33" s="27" t="n">
        <f aca="false">IF(G33&gt;0,M33/G33,"")</f>
        <v>0.412790697674419</v>
      </c>
      <c r="W33" s="22" t="str">
        <f aca="false">IF(L33&gt;0,F33/L33,"")</f>
        <v/>
      </c>
    </row>
    <row r="34" customFormat="false" ht="15" hidden="false" customHeight="false" outlineLevel="0" collapsed="false">
      <c r="A34" s="45" t="n">
        <v>46302</v>
      </c>
      <c r="B34" s="55" t="s">
        <v>90</v>
      </c>
      <c r="C34" s="56" t="s">
        <v>91</v>
      </c>
      <c r="D34" s="46" t="s">
        <v>42</v>
      </c>
      <c r="E34" s="57" t="s">
        <v>92</v>
      </c>
      <c r="F34" s="22" t="n">
        <v>3.43</v>
      </c>
      <c r="G34" s="25" t="n">
        <v>252</v>
      </c>
      <c r="H34" s="25" t="n">
        <v>10</v>
      </c>
      <c r="I34" s="25" t="n">
        <v>2</v>
      </c>
      <c r="J34" s="25" t="n">
        <v>1</v>
      </c>
      <c r="K34" s="25" t="n">
        <v>1</v>
      </c>
      <c r="L34" s="25" t="n">
        <v>0</v>
      </c>
      <c r="M34" s="25" t="n">
        <v>120</v>
      </c>
      <c r="N34" s="25" t="n">
        <v>85</v>
      </c>
      <c r="O34" s="25" t="n">
        <v>102</v>
      </c>
      <c r="P34" s="25" t="n">
        <v>12</v>
      </c>
      <c r="Q34" s="58" t="n">
        <v>1.205742</v>
      </c>
      <c r="R34" s="59" t="str">
        <f aca="false">IFERROR(INDEX(Creativos!$E$5:$E$16,MATCH($B34,Creativos!$A$5:$A$16,0)),"")</f>
        <v>C1</v>
      </c>
      <c r="S34" s="59" t="str">
        <f aca="false">IFERROR(INDEX(Creativos!$H$5:$H$16,MATCH($B34,Creativos!$A$5:$A$16,0)),"")</f>
        <v>Rayón en el parking</v>
      </c>
      <c r="T34" s="60" t="n">
        <f aca="false">P34*G34</f>
        <v>3024</v>
      </c>
      <c r="U34" s="27" t="n">
        <f aca="false">IF(G34&gt;0,H34/G34,"")</f>
        <v>0.0396825396825397</v>
      </c>
      <c r="V34" s="27" t="n">
        <f aca="false">IF(G34&gt;0,M34/G34,"")</f>
        <v>0.476190476190476</v>
      </c>
      <c r="W34" s="22" t="str">
        <f aca="false">IF(L34&gt;0,F34/L34,"")</f>
        <v/>
      </c>
    </row>
    <row r="35" customFormat="false" ht="15" hidden="false" customHeight="false" outlineLevel="0" collapsed="false">
      <c r="A35" s="45" t="n">
        <v>46302</v>
      </c>
      <c r="B35" s="55" t="s">
        <v>98</v>
      </c>
      <c r="C35" s="56" t="s">
        <v>99</v>
      </c>
      <c r="D35" s="46" t="s">
        <v>42</v>
      </c>
      <c r="E35" s="57" t="s">
        <v>92</v>
      </c>
      <c r="F35" s="22" t="n">
        <v>0.77</v>
      </c>
      <c r="G35" s="25" t="n">
        <v>77</v>
      </c>
      <c r="H35" s="25" t="n">
        <v>3</v>
      </c>
      <c r="I35" s="25" t="n">
        <v>0</v>
      </c>
      <c r="J35" s="25" t="n">
        <v>0</v>
      </c>
      <c r="K35" s="25" t="n">
        <v>0</v>
      </c>
      <c r="L35" s="25" t="n">
        <v>0</v>
      </c>
      <c r="M35" s="25" t="n">
        <v>26</v>
      </c>
      <c r="N35" s="25" t="n">
        <v>18</v>
      </c>
      <c r="O35" s="25" t="n">
        <v>24</v>
      </c>
      <c r="P35" s="25" t="n">
        <v>9</v>
      </c>
      <c r="Q35" s="58" t="n">
        <v>1.149254</v>
      </c>
      <c r="R35" s="59" t="str">
        <f aca="false">IFERROR(INDEX(Creativos!$E$5:$E$16,MATCH($B35,Creativos!$A$5:$A$16,0)),"")</f>
        <v>C1</v>
      </c>
      <c r="S35" s="59" t="str">
        <f aca="false">IFERROR(INDEX(Creativos!$H$5:$H$16,MATCH($B35,Creativos!$A$5:$A$16,0)),"")</f>
        <v>Rayón en el parking</v>
      </c>
      <c r="T35" s="60" t="n">
        <f aca="false">P35*G35</f>
        <v>693</v>
      </c>
      <c r="U35" s="27" t="n">
        <f aca="false">IF(G35&gt;0,H35/G35,"")</f>
        <v>0.038961038961039</v>
      </c>
      <c r="V35" s="27" t="n">
        <f aca="false">IF(G35&gt;0,M35/G35,"")</f>
        <v>0.337662337662338</v>
      </c>
      <c r="W35" s="22" t="str">
        <f aca="false">IF(L35&gt;0,F35/L35,"")</f>
        <v/>
      </c>
    </row>
    <row r="36" customFormat="false" ht="15" hidden="false" customHeight="false" outlineLevel="0" collapsed="false">
      <c r="A36" s="45" t="n">
        <v>46302</v>
      </c>
      <c r="B36" s="55" t="s">
        <v>101</v>
      </c>
      <c r="C36" s="56" t="s">
        <v>102</v>
      </c>
      <c r="D36" s="46" t="s">
        <v>43</v>
      </c>
      <c r="E36" s="57" t="s">
        <v>92</v>
      </c>
      <c r="F36" s="22" t="n">
        <v>2.63</v>
      </c>
      <c r="G36" s="25" t="n">
        <v>173</v>
      </c>
      <c r="H36" s="25" t="n">
        <v>7</v>
      </c>
      <c r="I36" s="25" t="n">
        <v>3</v>
      </c>
      <c r="J36" s="25" t="n">
        <v>0</v>
      </c>
      <c r="K36" s="25" t="n">
        <v>0</v>
      </c>
      <c r="L36" s="25" t="n">
        <v>0</v>
      </c>
      <c r="M36" s="25" t="n">
        <v>42</v>
      </c>
      <c r="N36" s="25" t="n">
        <v>26</v>
      </c>
      <c r="O36" s="25" t="n">
        <v>34</v>
      </c>
      <c r="P36" s="25" t="n">
        <v>8</v>
      </c>
      <c r="Q36" s="58" t="n">
        <v>1.108974</v>
      </c>
      <c r="R36" s="59" t="str">
        <f aca="false">IFERROR(INDEX(Creativos!$E$5:$E$16,MATCH($B36,Creativos!$A$5:$A$16,0)),"")</f>
        <v>C2</v>
      </c>
      <c r="S36" s="59" t="str">
        <f aca="false">IFERROR(INDEX(Creativos!$H$5:$H$16,MATCH($B36,Creativos!$A$5:$A$16,0)),"")</f>
        <v>Vender el coche</v>
      </c>
      <c r="T36" s="60" t="n">
        <f aca="false">P36*G36</f>
        <v>1384</v>
      </c>
      <c r="U36" s="27" t="n">
        <f aca="false">IF(G36&gt;0,H36/G36,"")</f>
        <v>0.0404624277456647</v>
      </c>
      <c r="V36" s="27" t="n">
        <f aca="false">IF(G36&gt;0,M36/G36,"")</f>
        <v>0.242774566473988</v>
      </c>
      <c r="W36" s="22" t="str">
        <f aca="false">IF(L36&gt;0,F36/L36,"")</f>
        <v/>
      </c>
    </row>
    <row r="37" customFormat="false" ht="15" hidden="false" customHeight="false" outlineLevel="0" collapsed="false">
      <c r="A37" s="45" t="n">
        <v>46302</v>
      </c>
      <c r="B37" s="55" t="s">
        <v>105</v>
      </c>
      <c r="C37" s="56" t="s">
        <v>106</v>
      </c>
      <c r="D37" s="46" t="s">
        <v>43</v>
      </c>
      <c r="E37" s="57" t="s">
        <v>92</v>
      </c>
      <c r="F37" s="22" t="n">
        <v>0.75</v>
      </c>
      <c r="G37" s="25" t="n">
        <v>60</v>
      </c>
      <c r="H37" s="25" t="n">
        <v>0</v>
      </c>
      <c r="I37" s="25" t="n">
        <v>0</v>
      </c>
      <c r="J37" s="25" t="n">
        <v>0</v>
      </c>
      <c r="K37" s="25" t="n">
        <v>0</v>
      </c>
      <c r="L37" s="25" t="n">
        <v>0</v>
      </c>
      <c r="M37" s="25" t="n">
        <v>7</v>
      </c>
      <c r="N37" s="25" t="n">
        <v>5</v>
      </c>
      <c r="O37" s="25" t="n">
        <v>6</v>
      </c>
      <c r="P37" s="25" t="n">
        <v>8</v>
      </c>
      <c r="Q37" s="58" t="n">
        <v>1.090909</v>
      </c>
      <c r="R37" s="59" t="str">
        <f aca="false">IFERROR(INDEX(Creativos!$E$5:$E$16,MATCH($B37,Creativos!$A$5:$A$16,0)),"")</f>
        <v>C2</v>
      </c>
      <c r="S37" s="59" t="str">
        <f aca="false">IFERROR(INDEX(Creativos!$H$5:$H$16,MATCH($B37,Creativos!$A$5:$A$16,0)),"")</f>
        <v>Vender el coche</v>
      </c>
      <c r="T37" s="60" t="n">
        <f aca="false">P37*G37</f>
        <v>480</v>
      </c>
      <c r="U37" s="27" t="n">
        <f aca="false">IF(G37&gt;0,H37/G37,"")</f>
        <v>0</v>
      </c>
      <c r="V37" s="27" t="n">
        <f aca="false">IF(G37&gt;0,M37/G37,"")</f>
        <v>0.116666666666667</v>
      </c>
      <c r="W37" s="22" t="str">
        <f aca="false">IF(L37&gt;0,F37/L37,"")</f>
        <v/>
      </c>
    </row>
    <row r="38" customFormat="false" ht="15" hidden="false" customHeight="false" outlineLevel="0" collapsed="false">
      <c r="A38" s="45" t="n">
        <v>46302</v>
      </c>
      <c r="B38" s="55" t="s">
        <v>108</v>
      </c>
      <c r="C38" s="56" t="s">
        <v>109</v>
      </c>
      <c r="D38" s="46" t="s">
        <v>43</v>
      </c>
      <c r="E38" s="57" t="s">
        <v>92</v>
      </c>
      <c r="F38" s="22" t="n">
        <v>0.55</v>
      </c>
      <c r="G38" s="25" t="n">
        <v>46</v>
      </c>
      <c r="H38" s="25" t="n">
        <v>0</v>
      </c>
      <c r="I38" s="25" t="n">
        <v>0</v>
      </c>
      <c r="J38" s="25" t="n">
        <v>1</v>
      </c>
      <c r="K38" s="25" t="n">
        <v>1</v>
      </c>
      <c r="L38" s="25" t="n">
        <v>0</v>
      </c>
      <c r="M38" s="25" t="n">
        <v>13</v>
      </c>
      <c r="N38" s="25" t="n">
        <v>7</v>
      </c>
      <c r="O38" s="25" t="n">
        <v>11</v>
      </c>
      <c r="P38" s="25" t="n">
        <v>8</v>
      </c>
      <c r="Q38" s="58" t="n">
        <v>1.095238</v>
      </c>
      <c r="R38" s="59" t="str">
        <f aca="false">IFERROR(INDEX(Creativos!$E$5:$E$16,MATCH($B38,Creativos!$A$5:$A$16,0)),"")</f>
        <v>C2</v>
      </c>
      <c r="S38" s="59" t="str">
        <f aca="false">IFERROR(INDEX(Creativos!$H$5:$H$16,MATCH($B38,Creativos!$A$5:$A$16,0)),"")</f>
        <v>Vender el coche</v>
      </c>
      <c r="T38" s="60" t="n">
        <f aca="false">P38*G38</f>
        <v>368</v>
      </c>
      <c r="U38" s="27" t="n">
        <f aca="false">IF(G38&gt;0,H38/G38,"")</f>
        <v>0</v>
      </c>
      <c r="V38" s="27" t="n">
        <f aca="false">IF(G38&gt;0,M38/G38,"")</f>
        <v>0.282608695652174</v>
      </c>
      <c r="W38" s="22" t="str">
        <f aca="false">IF(L38&gt;0,F38/L38,"")</f>
        <v/>
      </c>
    </row>
  </sheetData>
  <autoFilter ref="A4:W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6" min="4" style="0" width="12"/>
  </cols>
  <sheetData>
    <row r="1" customFormat="false" ht="19.7" hidden="false" customHeight="false" outlineLevel="0" collapsed="false">
      <c r="B1" s="1" t="s">
        <v>185</v>
      </c>
    </row>
    <row r="2" customFormat="false" ht="15" hidden="false" customHeight="false" outlineLevel="0" collapsed="false">
      <c r="B2" s="2" t="s">
        <v>186</v>
      </c>
    </row>
    <row r="4" customFormat="false" ht="22.35" hidden="false" customHeight="false" outlineLevel="0" collapsed="false">
      <c r="A4" s="18" t="s">
        <v>173</v>
      </c>
      <c r="B4" s="39" t="s">
        <v>187</v>
      </c>
      <c r="C4" s="18" t="s">
        <v>37</v>
      </c>
      <c r="D4" s="18" t="s">
        <v>188</v>
      </c>
      <c r="E4" s="18" t="s">
        <v>31</v>
      </c>
      <c r="F4" s="18" t="s">
        <v>32</v>
      </c>
    </row>
    <row r="5" customFormat="false" ht="15" hidden="false" customHeight="false" outlineLevel="0" collapsed="false">
      <c r="A5" s="45" t="n">
        <v>46300</v>
      </c>
      <c r="B5" s="61" t="n">
        <v>9</v>
      </c>
      <c r="C5" s="25" t="n">
        <f aca="false">SUMIFS(Histórico!$L$5:$L$5000,Histórico!$A$5:$A$5000,A5)</f>
        <v>9</v>
      </c>
      <c r="D5" s="58" t="n">
        <f aca="false">IF(AND(C5&gt;0,B5&lt;&gt;""),B5/C5,"")</f>
        <v>1</v>
      </c>
      <c r="E5" s="22" t="n">
        <f aca="false">SUMIFS(Histórico!$F$5:$F$5000,Histórico!$A$5:$A$5000,A5)</f>
        <v>67.67</v>
      </c>
      <c r="F5" s="22" t="n">
        <f aca="false">IF(N(B5)&gt;0,E5/B5,"")</f>
        <v>7.51888888888889</v>
      </c>
    </row>
    <row r="6" customFormat="false" ht="15" hidden="false" customHeight="false" outlineLevel="0" collapsed="false">
      <c r="A6" s="45" t="n">
        <v>46301</v>
      </c>
      <c r="B6" s="61" t="n">
        <v>8</v>
      </c>
      <c r="C6" s="25" t="n">
        <f aca="false">SUMIFS(Histórico!$L$5:$L$5000,Histórico!$A$5:$A$5000,A6)</f>
        <v>7</v>
      </c>
      <c r="D6" s="58" t="n">
        <f aca="false">IF(AND(C6&gt;0,B6&lt;&gt;""),B6/C6,"")</f>
        <v>1.14285714285714</v>
      </c>
      <c r="E6" s="22" t="n">
        <f aca="false">SUMIFS(Histórico!$F$5:$F$5000,Histórico!$A$5:$A$5000,A6)</f>
        <v>70.18</v>
      </c>
      <c r="F6" s="22" t="n">
        <f aca="false">IF(N(B6)&gt;0,E6/B6,"")</f>
        <v>8.7725</v>
      </c>
    </row>
    <row r="7" customFormat="false" ht="15" hidden="false" customHeight="false" outlineLevel="0" collapsed="false">
      <c r="A7" s="45" t="n">
        <v>46302</v>
      </c>
      <c r="B7" s="61" t="n">
        <v>5</v>
      </c>
      <c r="C7" s="25" t="n">
        <f aca="false">SUMIFS(Histórico!$L$5:$L$5000,Histórico!$A$5:$A$5000,A7)</f>
        <v>5</v>
      </c>
      <c r="D7" s="58" t="n">
        <f aca="false">IF(AND(C7&gt;0,B7&lt;&gt;""),B7/C7,"")</f>
        <v>1</v>
      </c>
      <c r="E7" s="22" t="n">
        <f aca="false">SUMIFS(Histórico!$F$5:$F$5000,Histórico!$A$5:$A$5000,A7)</f>
        <v>37.36</v>
      </c>
      <c r="F7" s="22" t="n">
        <f aca="false">IF(N(B7)&gt;0,E7/B7,"")</f>
        <v>7.472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2"/>
    <col collapsed="false" customWidth="true" hidden="false" outlineLevel="0" max="5" min="5" style="0" width="70"/>
    <col collapsed="false" customWidth="true" hidden="false" outlineLevel="0" max="6" min="6" style="0" width="18"/>
  </cols>
  <sheetData>
    <row r="1" customFormat="false" ht="19.7" hidden="false" customHeight="false" outlineLevel="0" collapsed="false">
      <c r="B1" s="1" t="s">
        <v>189</v>
      </c>
    </row>
    <row r="2" customFormat="false" ht="15" hidden="false" customHeight="false" outlineLevel="0" collapsed="false">
      <c r="B2" s="2" t="s">
        <v>190</v>
      </c>
    </row>
    <row r="3" customFormat="false" ht="15" hidden="false" customHeight="false" outlineLevel="0" collapsed="false">
      <c r="B3" s="18" t="s">
        <v>191</v>
      </c>
      <c r="C3" s="18" t="s">
        <v>192</v>
      </c>
      <c r="D3" s="18"/>
      <c r="E3" s="18" t="s">
        <v>193</v>
      </c>
    </row>
    <row r="4" customFormat="false" ht="15" hidden="false" customHeight="false" outlineLevel="0" collapsed="false">
      <c r="B4" s="62" t="s">
        <v>194</v>
      </c>
      <c r="C4" s="63" t="n">
        <v>11.76</v>
      </c>
      <c r="E4" s="64" t="s">
        <v>195</v>
      </c>
      <c r="F4" s="65" t="s">
        <v>196</v>
      </c>
    </row>
    <row r="5" customFormat="false" ht="15" hidden="false" customHeight="false" outlineLevel="0" collapsed="false">
      <c r="B5" s="62" t="s">
        <v>197</v>
      </c>
      <c r="C5" s="63" t="n">
        <v>11.76</v>
      </c>
      <c r="E5" s="64" t="s">
        <v>198</v>
      </c>
      <c r="F5" s="65" t="s">
        <v>199</v>
      </c>
    </row>
    <row r="6" customFormat="false" ht="15" hidden="false" customHeight="false" outlineLevel="0" collapsed="false">
      <c r="B6" s="62" t="s">
        <v>200</v>
      </c>
      <c r="C6" s="66" t="n">
        <v>0</v>
      </c>
      <c r="E6" s="64" t="s">
        <v>201</v>
      </c>
      <c r="F6" s="65" t="s">
        <v>202</v>
      </c>
    </row>
    <row r="7" customFormat="false" ht="15" hidden="false" customHeight="false" outlineLevel="0" collapsed="false">
      <c r="B7" s="62" t="s">
        <v>203</v>
      </c>
      <c r="C7" s="4" t="n">
        <v>46300</v>
      </c>
      <c r="E7" s="64" t="s">
        <v>204</v>
      </c>
      <c r="F7" s="65" t="s">
        <v>205</v>
      </c>
    </row>
    <row r="8" customFormat="false" ht="15" hidden="false" customHeight="false" outlineLevel="0" collapsed="false">
      <c r="B8" s="62" t="s">
        <v>206</v>
      </c>
      <c r="C8" s="66" t="n">
        <v>0.75</v>
      </c>
      <c r="E8" s="64" t="s">
        <v>207</v>
      </c>
      <c r="F8" s="65" t="s">
        <v>208</v>
      </c>
    </row>
    <row r="9" customFormat="false" ht="15" hidden="false" customHeight="false" outlineLevel="0" collapsed="false">
      <c r="B9" s="62" t="s">
        <v>209</v>
      </c>
      <c r="C9" s="67" t="n">
        <v>1.5</v>
      </c>
      <c r="E9" s="64" t="s">
        <v>210</v>
      </c>
      <c r="F9" s="65" t="s">
        <v>211</v>
      </c>
    </row>
    <row r="10" customFormat="false" ht="15" hidden="false" customHeight="false" outlineLevel="0" collapsed="false">
      <c r="B10" s="62" t="s">
        <v>212</v>
      </c>
      <c r="C10" s="67" t="n">
        <v>2</v>
      </c>
      <c r="E10" s="64" t="s">
        <v>213</v>
      </c>
      <c r="F10" s="65" t="s">
        <v>214</v>
      </c>
    </row>
    <row r="11" customFormat="false" ht="15" hidden="false" customHeight="false" outlineLevel="0" collapsed="false">
      <c r="B11" s="62" t="s">
        <v>215</v>
      </c>
      <c r="C11" s="61" t="n">
        <v>800</v>
      </c>
      <c r="E11" s="64" t="s">
        <v>216</v>
      </c>
      <c r="F11" s="65" t="s">
        <v>217</v>
      </c>
    </row>
    <row r="13" customFormat="false" ht="15" hidden="false" customHeight="false" outlineLevel="0" collapsed="false">
      <c r="B13" s="68" t="s">
        <v>218</v>
      </c>
    </row>
    <row r="14" customFormat="false" ht="15" hidden="false" customHeight="false" outlineLevel="0" collapsed="false">
      <c r="B14" s="69" t="s">
        <v>219</v>
      </c>
      <c r="C14" s="62" t="s">
        <v>95</v>
      </c>
    </row>
    <row r="15" customFormat="false" ht="15" hidden="false" customHeight="false" outlineLevel="0" collapsed="false">
      <c r="C15" s="62" t="s">
        <v>115</v>
      </c>
    </row>
    <row r="16" customFormat="false" ht="15" hidden="false" customHeight="false" outlineLevel="0" collapsed="false">
      <c r="C16" s="62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0"/>
  </cols>
  <sheetData>
    <row r="1" customFormat="false" ht="19.7" hidden="false" customHeight="false" outlineLevel="0" collapsed="false">
      <c r="B1" s="1" t="s">
        <v>221</v>
      </c>
    </row>
    <row r="4" customFormat="false" ht="15" hidden="false" customHeight="false" outlineLevel="0" collapsed="false">
      <c r="B4" s="70" t="s">
        <v>222</v>
      </c>
    </row>
    <row r="5" customFormat="false" ht="15" hidden="false" customHeight="false" outlineLevel="0" collapsed="false">
      <c r="B5" s="71" t="s">
        <v>223</v>
      </c>
    </row>
    <row r="6" customFormat="false" ht="15" hidden="false" customHeight="false" outlineLevel="0" collapsed="false">
      <c r="B6" s="71" t="s">
        <v>224</v>
      </c>
    </row>
    <row r="7" customFormat="false" ht="15" hidden="false" customHeight="false" outlineLevel="0" collapsed="false">
      <c r="B7" s="71" t="s">
        <v>225</v>
      </c>
    </row>
    <row r="8" customFormat="false" ht="23.85" hidden="false" customHeight="false" outlineLevel="0" collapsed="false">
      <c r="B8" s="71" t="s">
        <v>226</v>
      </c>
    </row>
    <row r="9" customFormat="false" ht="15" hidden="false" customHeight="false" outlineLevel="0" collapsed="false">
      <c r="B9" s="71" t="s">
        <v>227</v>
      </c>
    </row>
    <row r="10" customFormat="false" ht="15" hidden="false" customHeight="false" outlineLevel="0" collapsed="false">
      <c r="B10" s="71" t="s">
        <v>228</v>
      </c>
    </row>
    <row r="12" customFormat="false" ht="15" hidden="false" customHeight="false" outlineLevel="0" collapsed="false">
      <c r="B12" s="70" t="s">
        <v>229</v>
      </c>
    </row>
    <row r="13" customFormat="false" ht="23.85" hidden="false" customHeight="false" outlineLevel="0" collapsed="false">
      <c r="B13" s="71" t="s">
        <v>230</v>
      </c>
    </row>
    <row r="14" customFormat="false" ht="15" hidden="false" customHeight="false" outlineLevel="0" collapsed="false">
      <c r="B14" s="71" t="s">
        <v>231</v>
      </c>
    </row>
    <row r="16" customFormat="false" ht="15" hidden="false" customHeight="false" outlineLevel="0" collapsed="false">
      <c r="B16" s="70" t="s">
        <v>232</v>
      </c>
    </row>
    <row r="17" customFormat="false" ht="15" hidden="false" customHeight="false" outlineLevel="0" collapsed="false">
      <c r="B17" s="71" t="s">
        <v>233</v>
      </c>
    </row>
    <row r="18" customFormat="false" ht="15" hidden="false" customHeight="false" outlineLevel="0" collapsed="false">
      <c r="B18" s="71" t="s">
        <v>234</v>
      </c>
    </row>
    <row r="19" customFormat="false" ht="15" hidden="false" customHeight="false" outlineLevel="0" collapsed="false">
      <c r="B19" s="71" t="s">
        <v>235</v>
      </c>
    </row>
    <row r="20" customFormat="false" ht="23.85" hidden="false" customHeight="false" outlineLevel="0" collapsed="false">
      <c r="B20" s="71" t="s">
        <v>236</v>
      </c>
    </row>
    <row r="22" customFormat="false" ht="15" hidden="false" customHeight="false" outlineLevel="0" collapsed="false">
      <c r="B22" s="70" t="s">
        <v>237</v>
      </c>
    </row>
    <row r="23" customFormat="false" ht="15" hidden="false" customHeight="false" outlineLevel="0" collapsed="false">
      <c r="B23" s="71" t="s">
        <v>238</v>
      </c>
    </row>
    <row r="24" customFormat="false" ht="15" hidden="false" customHeight="false" outlineLevel="0" collapsed="false">
      <c r="B24" s="71" t="s">
        <v>239</v>
      </c>
    </row>
    <row r="25" customFormat="false" ht="15" hidden="false" customHeight="false" outlineLevel="0" collapsed="false">
      <c r="B25" s="71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2026-10-07T19:04:22Z</dcterms:created>
  <dc:creator>openpyxl</dc:creator>
  <dc:description/>
  <dc:language>en-US</dc:language>
  <cp:lastModifiedBy/>
  <dcterms:modified xsi:type="dcterms:W3CDTF">2026-10-07T19:04:24Z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